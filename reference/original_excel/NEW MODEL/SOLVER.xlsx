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S:\FPL\MODEL 2.1\"/>
    </mc:Choice>
  </mc:AlternateContent>
  <xr:revisionPtr revIDLastSave="0" documentId="13_ncr:1_{3AB2A952-19A1-4663-B48D-DD23BFFF13D8}" xr6:coauthVersionLast="47" xr6:coauthVersionMax="47" xr10:uidLastSave="{00000000-0000-0000-0000-000000000000}"/>
  <bookViews>
    <workbookView xWindow="-120" yWindow="-120" windowWidth="29040" windowHeight="18240" activeTab="1" xr2:uid="{F76520CF-FF6A-4779-A386-19C67B91C7A9}"/>
  </bookViews>
  <sheets>
    <sheet name="SOLVER Sensitivity 1" sheetId="3" r:id="rId1"/>
    <sheet name="SOLVER" sheetId="1" r:id="rId2"/>
  </sheets>
  <externalReferences>
    <externalReference r:id="rId3"/>
  </externalReferences>
  <definedNames>
    <definedName name="OpenSolver_ChosenSolver" localSheetId="1" hidden="1">CBC</definedName>
    <definedName name="OpenSolver_DualsNewSheet" localSheetId="1" hidden="1">0</definedName>
    <definedName name="OpenSolver_LinearityCheck" localSheetId="1" hidden="1">1</definedName>
    <definedName name="OpenSolver_UpdateSensitivity" localSheetId="1" hidden="1">0</definedName>
    <definedName name="solver_adj" localSheetId="1" hidden="1">SOLVER!$G$2:$I$200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SOLVER!$Z$8:$AA$8</definedName>
    <definedName name="solver_lhs10" localSheetId="1" hidden="1">SOLVER!$G$2:$I$200</definedName>
    <definedName name="solver_lhs2" localSheetId="1" hidden="1">SOLVER!$X$8:$X$27</definedName>
    <definedName name="solver_lhs3" localSheetId="1" hidden="1">SOLVER!$S$5</definedName>
    <definedName name="solver_lhs4" localSheetId="1" hidden="1">SOLVER!$S$8</definedName>
    <definedName name="solver_lhs5" localSheetId="1" hidden="1">SOLVER!$Y$2:$Y$5</definedName>
    <definedName name="solver_lhs6" localSheetId="1" hidden="1">SOLVER!$AB$2:$AB$5</definedName>
    <definedName name="solver_lhs7" localSheetId="1" hidden="1">SOLVER!$AB$2:$AB$5</definedName>
    <definedName name="solver_lhs8" localSheetId="1" hidden="1">SOLVER!$I$2:$I$200</definedName>
    <definedName name="solver_lhs9" localSheetId="1" hidden="1">SOLVER!$J$2:$J$200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10</definedName>
    <definedName name="solver_nwt" localSheetId="1" hidden="1">1</definedName>
    <definedName name="solver_opt" localSheetId="1" hidden="1">SOLVER!$S$2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el10" localSheetId="1" hidden="1">5</definedName>
    <definedName name="solver_rel2" localSheetId="1" hidden="1">1</definedName>
    <definedName name="solver_rel3" localSheetId="1" hidden="1">1</definedName>
    <definedName name="solver_rel4" localSheetId="1" hidden="1">2</definedName>
    <definedName name="solver_rel5" localSheetId="1" hidden="1">2</definedName>
    <definedName name="solver_rel6" localSheetId="1" hidden="1">3</definedName>
    <definedName name="solver_rel7" localSheetId="1" hidden="1">1</definedName>
    <definedName name="solver_rel8" localSheetId="1" hidden="1">1</definedName>
    <definedName name="solver_rel9" localSheetId="1" hidden="1">1</definedName>
    <definedName name="solver_rhs1" localSheetId="1" hidden="1">SOLVER!$Z$10:$AA$10</definedName>
    <definedName name="solver_rhs10" localSheetId="1" hidden="1">binary</definedName>
    <definedName name="solver_rhs2" localSheetId="1" hidden="1">3</definedName>
    <definedName name="solver_rhs3" localSheetId="1" hidden="1">SOLVER!$T$5</definedName>
    <definedName name="solver_rhs4" localSheetId="1" hidden="1">1</definedName>
    <definedName name="solver_rhs5" localSheetId="1" hidden="1">SOLVER!$X$2:$X$5</definedName>
    <definedName name="solver_rhs6" localSheetId="1" hidden="1">SOLVER!$Z$2:$Z$5</definedName>
    <definedName name="solver_rhs7" localSheetId="1" hidden="1">SOLVER!$AA$2:$AA$5</definedName>
    <definedName name="solver_rhs8" localSheetId="1" hidden="1">SOLVER!$G$2:$G$200</definedName>
    <definedName name="solver_rhs9" localSheetId="1" hidden="1">1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0.05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J91" i="1" l="1"/>
  <c r="J220" i="1"/>
  <c r="J599" i="1"/>
  <c r="J537" i="1"/>
  <c r="J523" i="1"/>
  <c r="J438" i="1"/>
  <c r="J60" i="1"/>
  <c r="J524" i="1"/>
  <c r="J4" i="1"/>
  <c r="J117" i="1"/>
  <c r="J445" i="1"/>
  <c r="J373" i="1"/>
  <c r="J396" i="1"/>
  <c r="J34" i="1"/>
  <c r="J367" i="1"/>
  <c r="J132" i="1"/>
  <c r="J333" i="1"/>
  <c r="J402" i="1"/>
  <c r="J406" i="1"/>
  <c r="J142" i="1"/>
  <c r="J424" i="1"/>
  <c r="J422" i="1"/>
  <c r="J14" i="1"/>
  <c r="J538" i="1"/>
  <c r="J344" i="1"/>
  <c r="J243" i="1"/>
  <c r="J381" i="1"/>
  <c r="J87" i="1"/>
  <c r="J633" i="1"/>
  <c r="J54" i="1"/>
  <c r="J159" i="1"/>
  <c r="J223" i="1"/>
  <c r="J268" i="1"/>
  <c r="J258" i="1"/>
  <c r="J39" i="1"/>
  <c r="J453" i="1"/>
  <c r="J6" i="1"/>
  <c r="J493" i="1"/>
  <c r="J496" i="1"/>
  <c r="J323" i="1"/>
  <c r="J46" i="1"/>
  <c r="J201" i="1"/>
  <c r="J294" i="1"/>
  <c r="J655" i="1"/>
  <c r="J211" i="1"/>
  <c r="J457" i="1"/>
  <c r="J603" i="1"/>
  <c r="J335" i="1"/>
  <c r="J302" i="1"/>
  <c r="J334" i="1"/>
  <c r="J376" i="1"/>
  <c r="J121" i="1"/>
  <c r="J646" i="1"/>
  <c r="J340" i="1"/>
  <c r="J541" i="1"/>
  <c r="J52" i="1"/>
  <c r="J342" i="1"/>
  <c r="J207" i="1"/>
  <c r="J53" i="1"/>
  <c r="J176" i="1"/>
  <c r="J289" i="1"/>
  <c r="J209" i="1"/>
  <c r="J632" i="1"/>
  <c r="J400" i="1"/>
  <c r="J358" i="1"/>
  <c r="J654" i="1"/>
  <c r="J81" i="1"/>
  <c r="J275" i="1"/>
  <c r="J19" i="1"/>
  <c r="J114" i="1"/>
  <c r="J161" i="1"/>
  <c r="J140" i="1"/>
  <c r="J103" i="1"/>
  <c r="J322" i="1"/>
  <c r="J125" i="1"/>
  <c r="J480" i="1"/>
  <c r="J610" i="1"/>
  <c r="J122" i="1"/>
  <c r="J137" i="1"/>
  <c r="J394" i="1"/>
  <c r="J38" i="1"/>
  <c r="J177" i="1"/>
  <c r="J130" i="1"/>
  <c r="J41" i="1"/>
  <c r="J320" i="1"/>
  <c r="J224" i="1"/>
  <c r="J146" i="1"/>
  <c r="J256" i="1"/>
  <c r="J383" i="1"/>
  <c r="J66" i="1"/>
  <c r="J623" i="1"/>
  <c r="J85" i="1"/>
  <c r="J614" i="1"/>
  <c r="J321" i="1"/>
  <c r="J349" i="1"/>
  <c r="J461" i="1"/>
  <c r="J642" i="1"/>
  <c r="J105" i="1"/>
  <c r="J649" i="1"/>
  <c r="J426" i="1"/>
  <c r="J314" i="1"/>
  <c r="J113" i="1"/>
  <c r="J474" i="1"/>
  <c r="J429" i="1"/>
  <c r="J419" i="1"/>
  <c r="J75" i="1"/>
  <c r="J351" i="1"/>
  <c r="J144" i="1"/>
  <c r="J640" i="1"/>
  <c r="J606" i="1"/>
  <c r="J412" i="1"/>
  <c r="J160" i="1"/>
  <c r="J263" i="1"/>
  <c r="J168" i="1"/>
  <c r="J280" i="1"/>
  <c r="J192" i="1"/>
  <c r="J374" i="1"/>
  <c r="J439" i="1"/>
  <c r="J120" i="1"/>
  <c r="J222" i="1"/>
  <c r="J450" i="1"/>
  <c r="J267" i="1"/>
  <c r="J501" i="1"/>
  <c r="J271" i="1"/>
  <c r="J83" i="1"/>
  <c r="J232" i="1"/>
  <c r="J411" i="1"/>
  <c r="J97" i="1"/>
  <c r="J282" i="1"/>
  <c r="J64" i="1"/>
  <c r="J198" i="1"/>
  <c r="J513" i="1"/>
  <c r="J398" i="1"/>
  <c r="J158" i="1"/>
  <c r="J88" i="1"/>
  <c r="J403" i="1"/>
  <c r="J68" i="1"/>
  <c r="J326" i="1"/>
  <c r="J281" i="1"/>
  <c r="J72" i="1"/>
  <c r="J208" i="1"/>
  <c r="J530" i="1"/>
  <c r="J265" i="1"/>
  <c r="J514" i="1"/>
  <c r="J308" i="1"/>
  <c r="J515" i="1"/>
  <c r="J20" i="1"/>
  <c r="J79" i="1"/>
  <c r="J636" i="1"/>
  <c r="J312" i="1"/>
  <c r="J27" i="1"/>
  <c r="J80" i="1"/>
  <c r="J390" i="1"/>
  <c r="J247" i="1"/>
  <c r="J571" i="1"/>
  <c r="J616" i="1"/>
  <c r="J379" i="1"/>
  <c r="J214" i="1"/>
  <c r="J270" i="1"/>
  <c r="J166" i="1"/>
  <c r="J51" i="1"/>
  <c r="J430" i="1"/>
  <c r="J413" i="1"/>
  <c r="J465" i="1"/>
  <c r="J658" i="1"/>
  <c r="J634" i="1"/>
  <c r="J565" i="1"/>
  <c r="J96" i="1"/>
  <c r="J205" i="1"/>
  <c r="J635" i="1"/>
  <c r="J242" i="1"/>
  <c r="J145" i="1"/>
  <c r="J92" i="1"/>
  <c r="J189" i="1"/>
  <c r="J395" i="1"/>
  <c r="J133" i="1"/>
  <c r="J627" i="1"/>
  <c r="J427" i="1"/>
  <c r="J89" i="1"/>
  <c r="J647" i="1"/>
  <c r="J200" i="1"/>
  <c r="J362" i="1"/>
  <c r="J195" i="1"/>
  <c r="J291" i="1"/>
  <c r="J181" i="1"/>
  <c r="J148" i="1"/>
  <c r="J253" i="1"/>
  <c r="J401" i="1"/>
  <c r="J278" i="1"/>
  <c r="J449" i="1"/>
  <c r="J118" i="1"/>
  <c r="J303" i="1"/>
  <c r="J425" i="1"/>
  <c r="J305" i="1"/>
  <c r="J180" i="1"/>
  <c r="J126" i="1"/>
  <c r="J490" i="1"/>
  <c r="J566" i="1"/>
  <c r="J56" i="1"/>
  <c r="J428" i="1"/>
  <c r="J479" i="1"/>
  <c r="J507" i="1"/>
  <c r="J591" i="1"/>
  <c r="J420" i="1"/>
  <c r="J110" i="1"/>
  <c r="J592" i="1"/>
  <c r="J338" i="1"/>
  <c r="J149" i="1"/>
  <c r="J355" i="1"/>
  <c r="J408" i="1"/>
  <c r="J593" i="1"/>
  <c r="J594" i="1"/>
  <c r="J595" i="1"/>
  <c r="J596" i="1"/>
  <c r="J8" i="1"/>
  <c r="J454" i="1"/>
  <c r="J241" i="1"/>
  <c r="J295" i="1"/>
  <c r="J460" i="1"/>
  <c r="J318" i="1"/>
  <c r="J49" i="1"/>
  <c r="J290" i="1"/>
  <c r="J59" i="1"/>
  <c r="J194" i="1"/>
  <c r="J447" i="1"/>
  <c r="J456" i="1"/>
  <c r="J107" i="1"/>
  <c r="J65" i="1"/>
  <c r="J470" i="1"/>
  <c r="J95" i="1"/>
  <c r="J67" i="1"/>
  <c r="J539" i="1"/>
  <c r="J471" i="1"/>
  <c r="J17" i="1"/>
  <c r="J62" i="1"/>
  <c r="J561" i="1"/>
  <c r="J286" i="1"/>
  <c r="J625" i="1"/>
  <c r="J21" i="1"/>
  <c r="J505" i="1"/>
  <c r="J18" i="1"/>
  <c r="J170" i="1"/>
  <c r="J540" i="1"/>
  <c r="J431" i="1"/>
  <c r="J359" i="1"/>
  <c r="J562" i="1"/>
  <c r="J518" i="1"/>
  <c r="J129" i="1"/>
  <c r="J264" i="1"/>
  <c r="J527" i="1"/>
  <c r="J108" i="1"/>
  <c r="J389" i="1"/>
  <c r="J455" i="1"/>
  <c r="J528" i="1"/>
  <c r="J175" i="1"/>
  <c r="J617" i="1"/>
  <c r="J618" i="1"/>
  <c r="J221" i="1"/>
  <c r="J378" i="1"/>
  <c r="J529" i="1"/>
  <c r="J11" i="1"/>
  <c r="J32" i="1"/>
  <c r="J615" i="1"/>
  <c r="J239" i="1"/>
  <c r="J311" i="1"/>
  <c r="J293" i="1"/>
  <c r="J63" i="1"/>
  <c r="J274" i="1"/>
  <c r="J327" i="1"/>
  <c r="J151" i="1"/>
  <c r="J418" i="1"/>
  <c r="J185" i="1"/>
  <c r="J231" i="1"/>
  <c r="J225" i="1"/>
  <c r="J61" i="1"/>
  <c r="J500" i="1"/>
  <c r="J153" i="1"/>
  <c r="J444" i="1"/>
  <c r="J15" i="1"/>
  <c r="J50" i="1"/>
  <c r="J102" i="1"/>
  <c r="J251" i="1"/>
  <c r="J57" i="1"/>
  <c r="J261" i="1"/>
  <c r="J332" i="1"/>
  <c r="J29" i="1"/>
  <c r="J345" i="1"/>
  <c r="J499" i="1"/>
  <c r="J104" i="1"/>
  <c r="J42" i="1"/>
  <c r="J138" i="1"/>
  <c r="J495" i="1"/>
  <c r="J328" i="1"/>
  <c r="J435" i="1"/>
  <c r="J384" i="1"/>
  <c r="J71" i="1"/>
  <c r="J174" i="1"/>
  <c r="J77" i="1"/>
  <c r="J385" i="1"/>
  <c r="J164" i="1"/>
  <c r="J473" i="1"/>
  <c r="J150" i="1"/>
  <c r="J197" i="1"/>
  <c r="J273" i="1"/>
  <c r="J371" i="1"/>
  <c r="J3" i="1"/>
  <c r="J269" i="1"/>
  <c r="J348" i="1"/>
  <c r="J252" i="1"/>
  <c r="J486" i="1"/>
  <c r="J365" i="1"/>
  <c r="J236" i="1"/>
  <c r="J111" i="1"/>
  <c r="J637" i="1"/>
  <c r="J393" i="1"/>
  <c r="J156" i="1"/>
  <c r="J621" i="1"/>
  <c r="J356" i="1"/>
  <c r="J163" i="1"/>
  <c r="J458" i="1"/>
  <c r="J620" i="1"/>
  <c r="J415" i="1"/>
  <c r="J350" i="1"/>
  <c r="J73" i="1"/>
  <c r="J626" i="1"/>
  <c r="J272" i="1"/>
  <c r="J330" i="1"/>
  <c r="J407" i="1"/>
  <c r="J28" i="1"/>
  <c r="J604" i="1"/>
  <c r="J226" i="1"/>
  <c r="J609" i="1"/>
  <c r="J489" i="1"/>
  <c r="J277" i="1"/>
  <c r="J545" i="1"/>
  <c r="J101" i="1"/>
  <c r="J188" i="1"/>
  <c r="J292" i="1"/>
  <c r="J74" i="1"/>
  <c r="J628" i="1"/>
  <c r="J531" i="1"/>
  <c r="J452" i="1"/>
  <c r="J94" i="1"/>
  <c r="J190" i="1"/>
  <c r="J368" i="1"/>
  <c r="J546" i="1"/>
  <c r="J547" i="1"/>
  <c r="J25" i="1"/>
  <c r="J475" i="1"/>
  <c r="J476" i="1"/>
  <c r="J324" i="1"/>
  <c r="J463" i="1"/>
  <c r="J287" i="1"/>
  <c r="J116" i="1"/>
  <c r="J317" i="1"/>
  <c r="J532" i="1"/>
  <c r="J533" i="1"/>
  <c r="J143" i="1"/>
  <c r="J13" i="1"/>
  <c r="J433" i="1"/>
  <c r="J423" i="1"/>
  <c r="J441" i="1"/>
  <c r="J502" i="1"/>
  <c r="J494" i="1"/>
  <c r="J106" i="1"/>
  <c r="J641" i="1"/>
  <c r="J656" i="1"/>
  <c r="J506" i="1"/>
  <c r="J204" i="1"/>
  <c r="J98" i="1"/>
  <c r="J630" i="1"/>
  <c r="J352" i="1"/>
  <c r="J497" i="1"/>
  <c r="J487" i="1"/>
  <c r="J446" i="1"/>
  <c r="J534" i="1"/>
  <c r="J353" i="1"/>
  <c r="J488" i="1"/>
  <c r="J409" i="1"/>
  <c r="J229" i="1"/>
  <c r="J436" i="1"/>
  <c r="J9" i="1"/>
  <c r="J93" i="1"/>
  <c r="J300" i="1"/>
  <c r="J613" i="1"/>
  <c r="J485" i="1"/>
  <c r="J235" i="1"/>
  <c r="J119" i="1"/>
  <c r="J339" i="1"/>
  <c r="J417" i="1"/>
  <c r="J296" i="1"/>
  <c r="J459" i="1"/>
  <c r="J462" i="1"/>
  <c r="J135" i="1"/>
  <c r="J370" i="1"/>
  <c r="J548" i="1"/>
  <c r="J639" i="1"/>
  <c r="AA8" i="1" l="1"/>
  <c r="Z8" i="1"/>
  <c r="S8" i="1"/>
  <c r="J23" i="1"/>
  <c r="J511" i="1"/>
  <c r="J35" i="1"/>
  <c r="J313" i="1"/>
  <c r="J139" i="1"/>
  <c r="J544" i="1"/>
  <c r="J467" i="1"/>
  <c r="J590" i="1"/>
  <c r="J16" i="1"/>
  <c r="J583" i="1"/>
  <c r="J346" i="1"/>
  <c r="J434" i="1"/>
  <c r="J182" i="1"/>
  <c r="J580" i="1"/>
  <c r="J285" i="1"/>
  <c r="J380" i="1"/>
  <c r="J262" i="1"/>
  <c r="J310" i="1"/>
  <c r="J469" i="1"/>
  <c r="J284" i="1"/>
  <c r="J416" i="1"/>
  <c r="J147" i="1"/>
  <c r="J549" i="1"/>
  <c r="J228" i="1"/>
  <c r="J570" i="1"/>
  <c r="J576" i="1"/>
  <c r="J70" i="1"/>
  <c r="J215" i="1"/>
  <c r="J619" i="1"/>
  <c r="J47" i="1"/>
  <c r="J240" i="1"/>
  <c r="J354" i="1"/>
  <c r="J451" i="1"/>
  <c r="J227" i="1"/>
  <c r="J399" i="1"/>
  <c r="J154" i="1"/>
  <c r="J218" i="1"/>
  <c r="J622" i="1"/>
  <c r="J315" i="1"/>
  <c r="J553" i="1"/>
  <c r="J237" i="1"/>
  <c r="J10" i="1"/>
  <c r="J210" i="1"/>
  <c r="J266" i="1"/>
  <c r="J162" i="1"/>
  <c r="J82" i="1"/>
  <c r="J331" i="1"/>
  <c r="J517" i="1"/>
  <c r="J504" i="1"/>
  <c r="J644" i="1"/>
  <c r="J387" i="1"/>
  <c r="J522" i="1"/>
  <c r="J578" i="1"/>
  <c r="J184" i="1"/>
  <c r="J477" i="1"/>
  <c r="J554" i="1"/>
  <c r="J343" i="1"/>
  <c r="J577" i="1"/>
  <c r="J653" i="1"/>
  <c r="J392" i="1"/>
  <c r="J657" i="1"/>
  <c r="J443" i="1"/>
  <c r="J584" i="1"/>
  <c r="J557" i="1"/>
  <c r="J519" i="1"/>
  <c r="J366" i="1"/>
  <c r="J123" i="1"/>
  <c r="J347" i="1"/>
  <c r="J652" i="1"/>
  <c r="J573" i="1"/>
  <c r="J127" i="1"/>
  <c r="J341" i="1"/>
  <c r="J484" i="1"/>
  <c r="J410" i="1"/>
  <c r="J316" i="1"/>
  <c r="J558" i="1"/>
  <c r="J128" i="1"/>
  <c r="J585" i="1"/>
  <c r="J279" i="1"/>
  <c r="J31" i="1"/>
  <c r="J257" i="1"/>
  <c r="J579" i="1"/>
  <c r="J572" i="1"/>
  <c r="J386" i="1"/>
  <c r="J213" i="1"/>
  <c r="J169" i="1"/>
  <c r="J556" i="1"/>
  <c r="J564" i="1"/>
  <c r="J193" i="1"/>
  <c r="J510" i="1"/>
  <c r="J233" i="1"/>
  <c r="J58" i="1"/>
  <c r="J555" i="1"/>
  <c r="J288" i="1"/>
  <c r="J90" i="1"/>
  <c r="J136" i="1"/>
  <c r="J589" i="1"/>
  <c r="J5" i="1"/>
  <c r="J84" i="1"/>
  <c r="J643" i="1"/>
  <c r="J512" i="1"/>
  <c r="J608" i="1"/>
  <c r="J559" i="1"/>
  <c r="J307" i="1"/>
  <c r="J99" i="1"/>
  <c r="J306" i="1"/>
  <c r="J442" i="1"/>
  <c r="J563" i="1"/>
  <c r="J115" i="1"/>
  <c r="J196" i="1"/>
  <c r="J611" i="1"/>
  <c r="J645" i="1"/>
  <c r="J238" i="1"/>
  <c r="J404" i="1"/>
  <c r="J388" i="1"/>
  <c r="J187" i="1"/>
  <c r="J631" i="1"/>
  <c r="J414" i="1"/>
  <c r="J466" i="1"/>
  <c r="J217" i="1"/>
  <c r="J357" i="1"/>
  <c r="J245" i="1"/>
  <c r="J478" i="1"/>
  <c r="J152" i="1"/>
  <c r="J173" i="1"/>
  <c r="J167" i="1"/>
  <c r="J157" i="1"/>
  <c r="J199" i="1"/>
  <c r="J372" i="1"/>
  <c r="J535" i="1"/>
  <c r="J44" i="1"/>
  <c r="J276" i="1"/>
  <c r="J171" i="1"/>
  <c r="J2" i="1"/>
  <c r="J26" i="1"/>
  <c r="J509" i="1"/>
  <c r="J246" i="1"/>
  <c r="J141" i="1"/>
  <c r="J78" i="1"/>
  <c r="J134" i="1"/>
  <c r="J543" i="1"/>
  <c r="J567" i="1"/>
  <c r="J24" i="1"/>
  <c r="J536" i="1"/>
  <c r="J86" i="1"/>
  <c r="J319" i="1"/>
  <c r="J526" i="1"/>
  <c r="J165" i="1"/>
  <c r="J55" i="1"/>
  <c r="J508" i="1"/>
  <c r="J230" i="1"/>
  <c r="J363" i="1"/>
  <c r="J575" i="1"/>
  <c r="J483" i="1"/>
  <c r="J219" i="1"/>
  <c r="J482" i="1"/>
  <c r="J516" i="1"/>
  <c r="J283" i="1"/>
  <c r="J124" i="1"/>
  <c r="J109" i="1"/>
  <c r="J602" i="1"/>
  <c r="J464" i="1"/>
  <c r="J364" i="1"/>
  <c r="J586" i="1"/>
  <c r="J254" i="1"/>
  <c r="J155" i="1"/>
  <c r="J203" i="1"/>
  <c r="J520" i="1"/>
  <c r="J568" i="1"/>
  <c r="J172" i="1"/>
  <c r="J178" i="1"/>
  <c r="J375" i="1"/>
  <c r="J131" i="1"/>
  <c r="J581" i="1"/>
  <c r="J336" i="1"/>
  <c r="J244" i="1"/>
  <c r="J601" i="1"/>
  <c r="J448" i="1"/>
  <c r="J202" i="1"/>
  <c r="J492" i="1"/>
  <c r="J250" i="1"/>
  <c r="J248" i="1"/>
  <c r="J7" i="1"/>
  <c r="J369" i="1"/>
  <c r="J491" i="1"/>
  <c r="J605" i="1"/>
  <c r="J498" i="1"/>
  <c r="J638" i="1"/>
  <c r="J481" i="1"/>
  <c r="J234" i="1"/>
  <c r="J298" i="1"/>
  <c r="J76" i="1"/>
  <c r="J337" i="1"/>
  <c r="J69" i="1"/>
  <c r="J22" i="1"/>
  <c r="J45" i="1"/>
  <c r="J468" i="1"/>
  <c r="J551" i="1"/>
  <c r="J260" i="1"/>
  <c r="J588" i="1"/>
  <c r="J587" i="1"/>
  <c r="J191" i="1"/>
  <c r="J550" i="1"/>
  <c r="J212" i="1"/>
  <c r="J360" i="1"/>
  <c r="J12" i="1"/>
  <c r="J472" i="1"/>
  <c r="J297" i="1"/>
  <c r="J560" i="1"/>
  <c r="J30" i="1"/>
  <c r="J255" i="1"/>
  <c r="J624" i="1"/>
  <c r="J574" i="1"/>
  <c r="J552" i="1"/>
  <c r="J382" i="1"/>
  <c r="J301" i="1"/>
  <c r="J648" i="1"/>
  <c r="J40" i="1"/>
  <c r="J651" i="1"/>
  <c r="J629" i="1"/>
  <c r="J48" i="1"/>
  <c r="J607" i="1"/>
  <c r="J183" i="1"/>
  <c r="J43" i="1"/>
  <c r="J216" i="1"/>
  <c r="J309" i="1"/>
  <c r="J542" i="1"/>
  <c r="J259" i="1"/>
  <c r="J186" i="1"/>
  <c r="J36" i="1"/>
  <c r="J397" i="1"/>
  <c r="J405" i="1"/>
  <c r="J612" i="1"/>
  <c r="J37" i="1"/>
  <c r="J650" i="1"/>
  <c r="J304" i="1"/>
  <c r="J249" i="1"/>
  <c r="J100" i="1"/>
  <c r="J112" i="1"/>
  <c r="J329" i="1"/>
  <c r="J325" i="1"/>
  <c r="J521" i="1"/>
  <c r="J391" i="1"/>
  <c r="J440" i="1"/>
  <c r="J361" i="1"/>
  <c r="J432" i="1"/>
  <c r="J179" i="1"/>
  <c r="J503" i="1"/>
  <c r="J377" i="1"/>
  <c r="J569" i="1"/>
  <c r="J206" i="1"/>
  <c r="J437" i="1"/>
  <c r="J33" i="1"/>
  <c r="J421" i="1"/>
  <c r="J299" i="1"/>
  <c r="J598" i="1"/>
  <c r="J600" i="1"/>
  <c r="J525" i="1"/>
  <c r="J582" i="1"/>
  <c r="J597" i="1"/>
  <c r="P663" i="1" l="1"/>
  <c r="P763" i="1"/>
  <c r="P784" i="1"/>
  <c r="P759" i="1"/>
  <c r="P786" i="1"/>
  <c r="P783" i="1"/>
  <c r="P757" i="1"/>
  <c r="P781" i="1"/>
  <c r="P782" i="1"/>
  <c r="P780" i="1"/>
  <c r="P779" i="1"/>
  <c r="P777" i="1"/>
  <c r="P778" i="1"/>
  <c r="P775" i="1"/>
  <c r="P773" i="1"/>
  <c r="P768" i="1"/>
  <c r="P767" i="1"/>
  <c r="P769" i="1"/>
  <c r="P764" i="1"/>
  <c r="P785" i="1"/>
  <c r="P761" i="1"/>
  <c r="P776" i="1"/>
  <c r="P709" i="1"/>
  <c r="P772" i="1"/>
  <c r="P770" i="1"/>
  <c r="P766" i="1"/>
  <c r="P765" i="1"/>
  <c r="P762" i="1"/>
  <c r="P717" i="1"/>
  <c r="P756" i="1"/>
  <c r="P754" i="1"/>
  <c r="P753" i="1"/>
  <c r="P752" i="1"/>
  <c r="P751" i="1"/>
  <c r="P750" i="1"/>
  <c r="P748" i="1"/>
  <c r="P747" i="1"/>
  <c r="P745" i="1"/>
  <c r="P743" i="1"/>
  <c r="P740" i="1"/>
  <c r="P735" i="1"/>
  <c r="P731" i="1"/>
  <c r="P706" i="1"/>
  <c r="P741" i="1"/>
  <c r="P738" i="1"/>
  <c r="P737" i="1"/>
  <c r="P736" i="1"/>
  <c r="P732" i="1"/>
  <c r="P725" i="1"/>
  <c r="P710" i="1"/>
  <c r="P693" i="1"/>
  <c r="P690" i="1"/>
  <c r="P734" i="1"/>
  <c r="P728" i="1"/>
  <c r="P722" i="1"/>
  <c r="P707" i="1"/>
  <c r="P694" i="1"/>
  <c r="P701" i="1"/>
  <c r="P749" i="1"/>
  <c r="P733" i="1"/>
  <c r="P698" i="1"/>
  <c r="P746" i="1"/>
  <c r="P730" i="1"/>
  <c r="P691" i="1"/>
  <c r="P760" i="1"/>
  <c r="P744" i="1"/>
  <c r="P726" i="1"/>
  <c r="P682" i="1"/>
  <c r="P674" i="1"/>
  <c r="P774" i="1"/>
  <c r="P758" i="1"/>
  <c r="P742" i="1"/>
  <c r="P723" i="1"/>
  <c r="P667" i="1"/>
  <c r="P692" i="1"/>
  <c r="P708" i="1"/>
  <c r="P724" i="1"/>
  <c r="P664" i="1"/>
  <c r="P695" i="1"/>
  <c r="P711" i="1"/>
  <c r="P727" i="1"/>
  <c r="P666" i="1"/>
  <c r="P696" i="1"/>
  <c r="P712" i="1"/>
  <c r="P671" i="1"/>
  <c r="P697" i="1"/>
  <c r="P713" i="1"/>
  <c r="P729" i="1"/>
  <c r="P679" i="1"/>
  <c r="P699" i="1"/>
  <c r="P715" i="1"/>
  <c r="P680" i="1"/>
  <c r="P700" i="1"/>
  <c r="P716" i="1"/>
  <c r="P684" i="1"/>
  <c r="P702" i="1"/>
  <c r="P718" i="1"/>
  <c r="P687" i="1"/>
  <c r="P703" i="1"/>
  <c r="P719" i="1"/>
  <c r="P688" i="1"/>
  <c r="P704" i="1"/>
  <c r="P720" i="1"/>
  <c r="P689" i="1"/>
  <c r="P705" i="1"/>
  <c r="P721" i="1"/>
  <c r="P771" i="1"/>
  <c r="P755" i="1"/>
  <c r="P739" i="1"/>
  <c r="P714" i="1"/>
  <c r="P681" i="1"/>
  <c r="P665" i="1"/>
  <c r="P678" i="1"/>
  <c r="P662" i="1"/>
  <c r="P677" i="1"/>
  <c r="P661" i="1"/>
  <c r="P676" i="1"/>
  <c r="P660" i="1"/>
  <c r="P675" i="1"/>
  <c r="P659" i="1"/>
  <c r="P673" i="1"/>
  <c r="P672" i="1"/>
  <c r="P686" i="1"/>
  <c r="P670" i="1"/>
  <c r="P685" i="1"/>
  <c r="P669" i="1"/>
  <c r="P668" i="1"/>
  <c r="P683" i="1"/>
  <c r="E2" i="1" l="1"/>
  <c r="E15" i="1"/>
  <c r="E3" i="1"/>
  <c r="E4" i="1"/>
  <c r="E79" i="1"/>
  <c r="E34" i="1"/>
  <c r="E6" i="1"/>
  <c r="E16" i="1"/>
  <c r="E24" i="1"/>
  <c r="E38" i="1"/>
  <c r="E7" i="1"/>
  <c r="E19" i="1"/>
  <c r="E17" i="1"/>
  <c r="E18" i="1"/>
  <c r="E5" i="1"/>
  <c r="E8" i="1"/>
  <c r="E53" i="1"/>
  <c r="E14" i="1"/>
  <c r="E20" i="1"/>
  <c r="E13" i="1"/>
  <c r="E55" i="1"/>
  <c r="E11" i="1"/>
  <c r="E9" i="1"/>
  <c r="E10" i="1"/>
  <c r="E22" i="1"/>
  <c r="E23" i="1"/>
  <c r="E119" i="1"/>
  <c r="E25" i="1"/>
  <c r="E26" i="1"/>
  <c r="E27" i="1"/>
  <c r="E28" i="1"/>
  <c r="E29" i="1"/>
  <c r="E30" i="1"/>
  <c r="E75" i="1"/>
  <c r="E31" i="1"/>
  <c r="E32" i="1"/>
  <c r="E33" i="1"/>
  <c r="E35" i="1"/>
  <c r="E36" i="1"/>
  <c r="E37" i="1"/>
  <c r="E39" i="1"/>
  <c r="E40" i="1"/>
  <c r="E41" i="1"/>
  <c r="E42" i="1"/>
  <c r="E43" i="1"/>
  <c r="E44" i="1"/>
  <c r="E12" i="1"/>
  <c r="E45" i="1"/>
  <c r="E47" i="1"/>
  <c r="E48" i="1"/>
  <c r="E49" i="1"/>
  <c r="E50" i="1"/>
  <c r="E51" i="1"/>
  <c r="E52" i="1"/>
  <c r="E56" i="1"/>
  <c r="E58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6" i="1"/>
  <c r="E77" i="1"/>
  <c r="E78" i="1"/>
  <c r="E21" i="1"/>
  <c r="E80" i="1"/>
  <c r="E81" i="1"/>
  <c r="E82" i="1"/>
  <c r="E83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5" i="1"/>
  <c r="E106" i="1"/>
  <c r="E107" i="1"/>
  <c r="E108" i="1"/>
  <c r="E109" i="1"/>
  <c r="E110" i="1"/>
  <c r="E111" i="1"/>
  <c r="E112" i="1"/>
  <c r="E113" i="1"/>
  <c r="E114" i="1"/>
  <c r="E54" i="1"/>
  <c r="E46" i="1"/>
  <c r="E115" i="1"/>
  <c r="E116" i="1"/>
  <c r="E117" i="1"/>
  <c r="E118" i="1"/>
  <c r="E120" i="1"/>
  <c r="E121" i="1"/>
  <c r="E122" i="1"/>
  <c r="E123" i="1"/>
  <c r="E124" i="1"/>
  <c r="E125" i="1"/>
  <c r="E59" i="1"/>
  <c r="E126" i="1"/>
  <c r="E127" i="1"/>
  <c r="E57" i="1"/>
  <c r="E128" i="1"/>
  <c r="E129" i="1"/>
  <c r="E130" i="1"/>
  <c r="E131" i="1"/>
  <c r="E132" i="1"/>
  <c r="E133" i="1"/>
  <c r="E134" i="1"/>
  <c r="E135" i="1"/>
  <c r="E136" i="1"/>
  <c r="E84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1" i="1"/>
  <c r="E104" i="1"/>
  <c r="E152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50" i="1"/>
  <c r="E198" i="1"/>
  <c r="E153" i="1"/>
  <c r="E200" i="1"/>
  <c r="E201" i="1"/>
  <c r="E202" i="1"/>
  <c r="E203" i="1"/>
  <c r="E204" i="1"/>
  <c r="E205" i="1"/>
  <c r="E206" i="1"/>
  <c r="E207" i="1"/>
  <c r="E208" i="1"/>
  <c r="E209" i="1"/>
  <c r="E210" i="1"/>
  <c r="E212" i="1"/>
  <c r="E213" i="1"/>
  <c r="E214" i="1"/>
  <c r="E215" i="1"/>
  <c r="E216" i="1"/>
  <c r="E217" i="1"/>
  <c r="E218" i="1"/>
  <c r="E219" i="1"/>
  <c r="E220" i="1"/>
  <c r="E221" i="1"/>
  <c r="E222" i="1"/>
  <c r="E224" i="1"/>
  <c r="E225" i="1"/>
  <c r="E226" i="1"/>
  <c r="E227" i="1"/>
  <c r="E228" i="1"/>
  <c r="E229" i="1"/>
  <c r="E231" i="1"/>
  <c r="E232" i="1"/>
  <c r="E233" i="1"/>
  <c r="E197" i="1"/>
  <c r="E199" i="1"/>
  <c r="E234" i="1"/>
  <c r="E235" i="1"/>
  <c r="E237" i="1"/>
  <c r="E238" i="1"/>
  <c r="E239" i="1"/>
  <c r="E240" i="1"/>
  <c r="E211" i="1"/>
  <c r="E241" i="1"/>
  <c r="E242" i="1"/>
  <c r="E243" i="1"/>
  <c r="E244" i="1"/>
  <c r="E245" i="1"/>
  <c r="E246" i="1"/>
  <c r="E247" i="1"/>
  <c r="E248" i="1"/>
  <c r="E249" i="1"/>
  <c r="E250" i="1"/>
  <c r="E252" i="1"/>
  <c r="E253" i="1"/>
  <c r="E254" i="1"/>
  <c r="E223" i="1"/>
  <c r="E255" i="1"/>
  <c r="E230" i="1"/>
  <c r="E236" i="1"/>
  <c r="E256" i="1"/>
  <c r="E257" i="1"/>
  <c r="E258" i="1"/>
  <c r="E259" i="1"/>
  <c r="E260" i="1"/>
  <c r="E261" i="1"/>
  <c r="E262" i="1"/>
  <c r="E263" i="1"/>
  <c r="E265" i="1"/>
  <c r="E266" i="1"/>
  <c r="E267" i="1"/>
  <c r="E251" i="1"/>
  <c r="E268" i="1"/>
  <c r="E269" i="1"/>
  <c r="E270" i="1"/>
  <c r="E271" i="1"/>
  <c r="E272" i="1"/>
  <c r="E273" i="1"/>
  <c r="E274" i="1"/>
  <c r="E276" i="1"/>
  <c r="E277" i="1"/>
  <c r="E278" i="1"/>
  <c r="E279" i="1"/>
  <c r="E280" i="1"/>
  <c r="E281" i="1"/>
  <c r="E282" i="1"/>
  <c r="E283" i="1"/>
  <c r="E264" i="1"/>
  <c r="E285" i="1"/>
  <c r="E286" i="1"/>
  <c r="E287" i="1"/>
  <c r="E288" i="1"/>
  <c r="E289" i="1"/>
  <c r="E290" i="1"/>
  <c r="E291" i="1"/>
  <c r="E292" i="1"/>
  <c r="E293" i="1"/>
  <c r="E294" i="1"/>
  <c r="E295" i="1"/>
  <c r="E275" i="1"/>
  <c r="E296" i="1"/>
  <c r="E297" i="1"/>
  <c r="E298" i="1"/>
  <c r="E299" i="1"/>
  <c r="E300" i="1"/>
  <c r="E301" i="1"/>
  <c r="E284" i="1"/>
  <c r="E302" i="1"/>
  <c r="E303" i="1"/>
  <c r="E305" i="1"/>
  <c r="E306" i="1"/>
  <c r="E308" i="1"/>
  <c r="E309" i="1"/>
  <c r="E310" i="1"/>
  <c r="E312" i="1"/>
  <c r="E313" i="1"/>
  <c r="E314" i="1"/>
  <c r="E315" i="1"/>
  <c r="E317" i="1"/>
  <c r="E319" i="1"/>
  <c r="E321" i="1"/>
  <c r="E322" i="1"/>
  <c r="E323" i="1"/>
  <c r="E304" i="1"/>
  <c r="E324" i="1"/>
  <c r="E325" i="1"/>
  <c r="E326" i="1"/>
  <c r="E327" i="1"/>
  <c r="E328" i="1"/>
  <c r="E307" i="1"/>
  <c r="E330" i="1"/>
  <c r="E331" i="1"/>
  <c r="E311" i="1"/>
  <c r="E316" i="1"/>
  <c r="E332" i="1"/>
  <c r="E333" i="1"/>
  <c r="E334" i="1"/>
  <c r="E335" i="1"/>
  <c r="E318" i="1"/>
  <c r="E336" i="1"/>
  <c r="E337" i="1"/>
  <c r="E338" i="1"/>
  <c r="E320" i="1"/>
  <c r="E339" i="1"/>
  <c r="E340" i="1"/>
  <c r="E341" i="1"/>
  <c r="E342" i="1"/>
  <c r="E345" i="1"/>
  <c r="E346" i="1"/>
  <c r="E347" i="1"/>
  <c r="E348" i="1"/>
  <c r="E329" i="1"/>
  <c r="E349" i="1"/>
  <c r="E350" i="1"/>
  <c r="E351" i="1"/>
  <c r="E352" i="1"/>
  <c r="E353" i="1"/>
  <c r="E354" i="1"/>
  <c r="E355" i="1"/>
  <c r="E356" i="1"/>
  <c r="E357" i="1"/>
  <c r="E343" i="1"/>
  <c r="E358" i="1"/>
  <c r="E359" i="1"/>
  <c r="E344" i="1"/>
  <c r="E360" i="1"/>
  <c r="E361" i="1"/>
  <c r="E362" i="1"/>
  <c r="E363" i="1"/>
  <c r="E365" i="1"/>
  <c r="E368" i="1"/>
  <c r="E369" i="1"/>
  <c r="E370" i="1"/>
  <c r="E371" i="1"/>
  <c r="E373" i="1"/>
  <c r="E364" i="1"/>
  <c r="E374" i="1"/>
  <c r="E366" i="1"/>
  <c r="E375" i="1"/>
  <c r="E376" i="1"/>
  <c r="E377" i="1"/>
  <c r="E367" i="1"/>
  <c r="E380" i="1"/>
  <c r="E381" i="1"/>
  <c r="E382" i="1"/>
  <c r="E383" i="1"/>
  <c r="E384" i="1"/>
  <c r="E385" i="1"/>
  <c r="E386" i="1"/>
  <c r="E387" i="1"/>
  <c r="E372" i="1"/>
  <c r="E388" i="1"/>
  <c r="E389" i="1"/>
  <c r="E390" i="1"/>
  <c r="E391" i="1"/>
  <c r="E378" i="1"/>
  <c r="E379" i="1"/>
  <c r="E392" i="1"/>
  <c r="E393" i="1"/>
  <c r="E394" i="1"/>
  <c r="E396" i="1"/>
  <c r="E397" i="1"/>
  <c r="E398" i="1"/>
  <c r="E400" i="1"/>
  <c r="E401" i="1"/>
  <c r="E402" i="1"/>
  <c r="E403" i="1"/>
  <c r="E404" i="1"/>
  <c r="E405" i="1"/>
  <c r="E406" i="1"/>
  <c r="E408" i="1"/>
  <c r="E395" i="1"/>
  <c r="E409" i="1"/>
  <c r="E411" i="1"/>
  <c r="E412" i="1"/>
  <c r="E399" i="1"/>
  <c r="E413" i="1"/>
  <c r="E414" i="1"/>
  <c r="E415" i="1"/>
  <c r="E416" i="1"/>
  <c r="E417" i="1"/>
  <c r="E418" i="1"/>
  <c r="E407" i="1"/>
  <c r="E419" i="1"/>
  <c r="E420" i="1"/>
  <c r="E410" i="1"/>
  <c r="E422" i="1"/>
  <c r="E423" i="1"/>
  <c r="E424" i="1"/>
  <c r="E426" i="1"/>
  <c r="E429" i="1"/>
  <c r="E431" i="1"/>
  <c r="E432" i="1"/>
  <c r="E433" i="1"/>
  <c r="E434" i="1"/>
  <c r="E421" i="1"/>
  <c r="E435" i="1"/>
  <c r="E436" i="1"/>
  <c r="E437" i="1"/>
  <c r="E438" i="1"/>
  <c r="E439" i="1"/>
  <c r="E425" i="1"/>
  <c r="E427" i="1"/>
  <c r="E428" i="1"/>
  <c r="E441" i="1"/>
  <c r="E442" i="1"/>
  <c r="E443" i="1"/>
  <c r="E444" i="1"/>
  <c r="E430" i="1"/>
  <c r="E440" i="1"/>
  <c r="E446" i="1"/>
  <c r="E447" i="1"/>
  <c r="E448" i="1"/>
  <c r="E449" i="1"/>
  <c r="E450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4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51" i="1"/>
  <c r="E492" i="1"/>
  <c r="E493" i="1"/>
  <c r="E494" i="1"/>
  <c r="E495" i="1"/>
  <c r="E496" i="1"/>
  <c r="E497" i="1"/>
  <c r="E498" i="1"/>
  <c r="E499" i="1"/>
  <c r="E500" i="1"/>
  <c r="E501" i="1"/>
  <c r="E502" i="1"/>
  <c r="E504" i="1"/>
  <c r="E506" i="1"/>
  <c r="E503" i="1"/>
  <c r="E507" i="1"/>
  <c r="E508" i="1"/>
  <c r="E509" i="1"/>
  <c r="E511" i="1"/>
  <c r="E512" i="1"/>
  <c r="E505" i="1"/>
  <c r="E602" i="1"/>
  <c r="E510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8" i="1"/>
  <c r="E615" i="1"/>
  <c r="E616" i="1"/>
  <c r="E617" i="1"/>
  <c r="E619" i="1"/>
  <c r="E620" i="1"/>
  <c r="E621" i="1"/>
  <c r="E622" i="1"/>
  <c r="E623" i="1"/>
  <c r="E624" i="1"/>
  <c r="E625" i="1"/>
  <c r="E626" i="1"/>
  <c r="E627" i="1"/>
  <c r="E628" i="1"/>
  <c r="E629" i="1"/>
  <c r="E632" i="1"/>
  <c r="E633" i="1"/>
  <c r="E630" i="1"/>
  <c r="E631" i="1"/>
  <c r="E634" i="1"/>
  <c r="E635" i="1"/>
  <c r="E636" i="1"/>
  <c r="E637" i="1"/>
  <c r="E638" i="1"/>
  <c r="E639" i="1"/>
  <c r="E640" i="1"/>
  <c r="E641" i="1"/>
  <c r="E643" i="1"/>
  <c r="E644" i="1"/>
  <c r="E645" i="1"/>
  <c r="E646" i="1"/>
  <c r="E642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K642" i="1" l="1"/>
  <c r="L642" i="1"/>
  <c r="K440" i="1"/>
  <c r="L440" i="1"/>
  <c r="L414" i="1"/>
  <c r="K414" i="1"/>
  <c r="L397" i="1"/>
  <c r="K397" i="1"/>
  <c r="K383" i="1"/>
  <c r="L383" i="1"/>
  <c r="K365" i="1"/>
  <c r="L365" i="1"/>
  <c r="K350" i="1"/>
  <c r="L350" i="1"/>
  <c r="K335" i="1"/>
  <c r="L335" i="1"/>
  <c r="K322" i="1"/>
  <c r="L322" i="1"/>
  <c r="K301" i="1"/>
  <c r="L301" i="1"/>
  <c r="K286" i="1"/>
  <c r="L286" i="1"/>
  <c r="K269" i="1"/>
  <c r="L269" i="1"/>
  <c r="L255" i="1"/>
  <c r="K255" i="1"/>
  <c r="K240" i="1"/>
  <c r="L240" i="1"/>
  <c r="K224" i="1"/>
  <c r="L224" i="1"/>
  <c r="K206" i="1"/>
  <c r="L206" i="1"/>
  <c r="K190" i="1"/>
  <c r="L190" i="1"/>
  <c r="K174" i="1"/>
  <c r="L174" i="1"/>
  <c r="K158" i="1"/>
  <c r="L158" i="1"/>
  <c r="K141" i="1"/>
  <c r="L141" i="1"/>
  <c r="K127" i="1"/>
  <c r="L127" i="1"/>
  <c r="K113" i="1"/>
  <c r="L113" i="1"/>
  <c r="K96" i="1"/>
  <c r="L96" i="1"/>
  <c r="K21" i="1"/>
  <c r="L21" i="1"/>
  <c r="K62" i="1"/>
  <c r="L62" i="1"/>
  <c r="K41" i="1"/>
  <c r="L41" i="1"/>
  <c r="K119" i="1"/>
  <c r="L119" i="1"/>
  <c r="K7" i="1"/>
  <c r="L7" i="1"/>
  <c r="K618" i="1"/>
  <c r="L618" i="1"/>
  <c r="L511" i="1"/>
  <c r="K511" i="1"/>
  <c r="K462" i="1"/>
  <c r="L462" i="1"/>
  <c r="L508" i="1"/>
  <c r="K508" i="1"/>
  <c r="L451" i="1"/>
  <c r="K451" i="1"/>
  <c r="K476" i="1"/>
  <c r="L476" i="1"/>
  <c r="K461" i="1"/>
  <c r="L461" i="1"/>
  <c r="K430" i="1"/>
  <c r="L430" i="1"/>
  <c r="L432" i="1"/>
  <c r="K432" i="1"/>
  <c r="K413" i="1"/>
  <c r="L413" i="1"/>
  <c r="K396" i="1"/>
  <c r="L396" i="1"/>
  <c r="L382" i="1"/>
  <c r="K382" i="1"/>
  <c r="L363" i="1"/>
  <c r="K363" i="1"/>
  <c r="K349" i="1"/>
  <c r="L349" i="1"/>
  <c r="K334" i="1"/>
  <c r="L334" i="1"/>
  <c r="K321" i="1"/>
  <c r="L321" i="1"/>
  <c r="K300" i="1"/>
  <c r="L300" i="1"/>
  <c r="L285" i="1"/>
  <c r="K285" i="1"/>
  <c r="K268" i="1"/>
  <c r="L268" i="1"/>
  <c r="K223" i="1"/>
  <c r="L223" i="1"/>
  <c r="K239" i="1"/>
  <c r="L239" i="1"/>
  <c r="K222" i="1"/>
  <c r="L222" i="1"/>
  <c r="K205" i="1"/>
  <c r="L205" i="1"/>
  <c r="K189" i="1"/>
  <c r="L189" i="1"/>
  <c r="K173" i="1"/>
  <c r="L173" i="1"/>
  <c r="L157" i="1"/>
  <c r="K157" i="1"/>
  <c r="K140" i="1"/>
  <c r="L140" i="1"/>
  <c r="K126" i="1"/>
  <c r="L126" i="1"/>
  <c r="L112" i="1"/>
  <c r="K112" i="1"/>
  <c r="K95" i="1"/>
  <c r="L95" i="1"/>
  <c r="K78" i="1"/>
  <c r="L78" i="1"/>
  <c r="K61" i="1"/>
  <c r="L61" i="1"/>
  <c r="K40" i="1"/>
  <c r="L40" i="1"/>
  <c r="K23" i="1"/>
  <c r="L23" i="1"/>
  <c r="L38" i="1"/>
  <c r="K38" i="1"/>
  <c r="K633" i="1"/>
  <c r="L633" i="1"/>
  <c r="K433" i="1"/>
  <c r="L433" i="1"/>
  <c r="K645" i="1"/>
  <c r="L645" i="1"/>
  <c r="L612" i="1"/>
  <c r="K612" i="1"/>
  <c r="K507" i="1"/>
  <c r="L507" i="1"/>
  <c r="L491" i="1"/>
  <c r="K491" i="1"/>
  <c r="K445" i="1"/>
  <c r="L445" i="1"/>
  <c r="K460" i="1"/>
  <c r="L460" i="1"/>
  <c r="K444" i="1"/>
  <c r="L444" i="1"/>
  <c r="K431" i="1"/>
  <c r="L431" i="1"/>
  <c r="K399" i="1"/>
  <c r="L399" i="1"/>
  <c r="K394" i="1"/>
  <c r="L394" i="1"/>
  <c r="K381" i="1"/>
  <c r="L381" i="1"/>
  <c r="K362" i="1"/>
  <c r="L362" i="1"/>
  <c r="L329" i="1"/>
  <c r="K329" i="1"/>
  <c r="L333" i="1"/>
  <c r="K333" i="1"/>
  <c r="K319" i="1"/>
  <c r="L319" i="1"/>
  <c r="L299" i="1"/>
  <c r="K299" i="1"/>
  <c r="K264" i="1"/>
  <c r="L264" i="1"/>
  <c r="K251" i="1"/>
  <c r="L251" i="1"/>
  <c r="K254" i="1"/>
  <c r="L254" i="1"/>
  <c r="K238" i="1"/>
  <c r="L238" i="1"/>
  <c r="K221" i="1"/>
  <c r="L221" i="1"/>
  <c r="K204" i="1"/>
  <c r="L204" i="1"/>
  <c r="K188" i="1"/>
  <c r="L188" i="1"/>
  <c r="L172" i="1"/>
  <c r="K172" i="1"/>
  <c r="K156" i="1"/>
  <c r="L156" i="1"/>
  <c r="L139" i="1"/>
  <c r="K139" i="1"/>
  <c r="K59" i="1"/>
  <c r="L59" i="1"/>
  <c r="K111" i="1"/>
  <c r="L111" i="1"/>
  <c r="K94" i="1"/>
  <c r="L94" i="1"/>
  <c r="K77" i="1"/>
  <c r="L77" i="1"/>
  <c r="K60" i="1"/>
  <c r="L60" i="1"/>
  <c r="K39" i="1"/>
  <c r="L39" i="1"/>
  <c r="L22" i="1"/>
  <c r="K22" i="1"/>
  <c r="L24" i="1"/>
  <c r="K24" i="1"/>
  <c r="K647" i="1"/>
  <c r="L647" i="1"/>
  <c r="K632" i="1"/>
  <c r="L632" i="1"/>
  <c r="K509" i="1"/>
  <c r="L509" i="1"/>
  <c r="K646" i="1"/>
  <c r="L646" i="1"/>
  <c r="L644" i="1"/>
  <c r="K644" i="1"/>
  <c r="K459" i="1"/>
  <c r="L459" i="1"/>
  <c r="K443" i="1"/>
  <c r="L443" i="1"/>
  <c r="K429" i="1"/>
  <c r="L429" i="1"/>
  <c r="K412" i="1"/>
  <c r="L412" i="1"/>
  <c r="K393" i="1"/>
  <c r="L393" i="1"/>
  <c r="K380" i="1"/>
  <c r="L380" i="1"/>
  <c r="K361" i="1"/>
  <c r="L361" i="1"/>
  <c r="K348" i="1"/>
  <c r="L348" i="1"/>
  <c r="K332" i="1"/>
  <c r="L332" i="1"/>
  <c r="K317" i="1"/>
  <c r="L317" i="1"/>
  <c r="L298" i="1"/>
  <c r="K298" i="1"/>
  <c r="K283" i="1"/>
  <c r="L283" i="1"/>
  <c r="K267" i="1"/>
  <c r="L267" i="1"/>
  <c r="K253" i="1"/>
  <c r="L253" i="1"/>
  <c r="K237" i="1"/>
  <c r="L237" i="1"/>
  <c r="K220" i="1"/>
  <c r="L220" i="1"/>
  <c r="K203" i="1"/>
  <c r="L203" i="1"/>
  <c r="L187" i="1"/>
  <c r="K187" i="1"/>
  <c r="K171" i="1"/>
  <c r="L171" i="1"/>
  <c r="K155" i="1"/>
  <c r="L155" i="1"/>
  <c r="K138" i="1"/>
  <c r="L138" i="1"/>
  <c r="K125" i="1"/>
  <c r="L125" i="1"/>
  <c r="K110" i="1"/>
  <c r="L110" i="1"/>
  <c r="K93" i="1"/>
  <c r="L93" i="1"/>
  <c r="L76" i="1"/>
  <c r="K76" i="1"/>
  <c r="K58" i="1"/>
  <c r="L58" i="1"/>
  <c r="L37" i="1"/>
  <c r="K37" i="1"/>
  <c r="K10" i="1"/>
  <c r="L10" i="1"/>
  <c r="K16" i="1"/>
  <c r="L16" i="1"/>
  <c r="L463" i="1"/>
  <c r="K463" i="1"/>
  <c r="K492" i="1"/>
  <c r="L492" i="1"/>
  <c r="K629" i="1"/>
  <c r="L629" i="1"/>
  <c r="K627" i="1"/>
  <c r="L627" i="1"/>
  <c r="K490" i="1"/>
  <c r="L490" i="1"/>
  <c r="K643" i="1"/>
  <c r="L643" i="1"/>
  <c r="K506" i="1"/>
  <c r="L506" i="1"/>
  <c r="K474" i="1"/>
  <c r="L474" i="1"/>
  <c r="K442" i="1"/>
  <c r="L442" i="1"/>
  <c r="K411" i="1"/>
  <c r="L411" i="1"/>
  <c r="K367" i="1"/>
  <c r="L367" i="1"/>
  <c r="K347" i="1"/>
  <c r="L347" i="1"/>
  <c r="K315" i="1"/>
  <c r="L315" i="1"/>
  <c r="L297" i="1"/>
  <c r="K297" i="1"/>
  <c r="K266" i="1"/>
  <c r="L266" i="1"/>
  <c r="K252" i="1"/>
  <c r="L252" i="1"/>
  <c r="K235" i="1"/>
  <c r="L235" i="1"/>
  <c r="K219" i="1"/>
  <c r="L219" i="1"/>
  <c r="L202" i="1"/>
  <c r="K202" i="1"/>
  <c r="L186" i="1"/>
  <c r="K186" i="1"/>
  <c r="K170" i="1"/>
  <c r="L170" i="1"/>
  <c r="K154" i="1"/>
  <c r="L154" i="1"/>
  <c r="K137" i="1"/>
  <c r="L137" i="1"/>
  <c r="L124" i="1"/>
  <c r="K124" i="1"/>
  <c r="K109" i="1"/>
  <c r="L109" i="1"/>
  <c r="K92" i="1"/>
  <c r="L92" i="1"/>
  <c r="K74" i="1"/>
  <c r="L74" i="1"/>
  <c r="K56" i="1"/>
  <c r="L56" i="1"/>
  <c r="L36" i="1"/>
  <c r="K36" i="1"/>
  <c r="K9" i="1"/>
  <c r="L9" i="1"/>
  <c r="K6" i="1"/>
  <c r="L6" i="1"/>
  <c r="K446" i="1"/>
  <c r="L446" i="1"/>
  <c r="K613" i="1"/>
  <c r="L613" i="1"/>
  <c r="K611" i="1"/>
  <c r="L611" i="1"/>
  <c r="K475" i="1"/>
  <c r="L475" i="1"/>
  <c r="K626" i="1"/>
  <c r="L626" i="1"/>
  <c r="K489" i="1"/>
  <c r="L489" i="1"/>
  <c r="K458" i="1"/>
  <c r="L458" i="1"/>
  <c r="K426" i="1"/>
  <c r="L426" i="1"/>
  <c r="L392" i="1"/>
  <c r="K392" i="1"/>
  <c r="K360" i="1"/>
  <c r="L360" i="1"/>
  <c r="K316" i="1"/>
  <c r="L316" i="1"/>
  <c r="K282" i="1"/>
  <c r="L282" i="1"/>
  <c r="K657" i="1"/>
  <c r="L657" i="1"/>
  <c r="K641" i="1"/>
  <c r="L641" i="1"/>
  <c r="K625" i="1"/>
  <c r="L625" i="1"/>
  <c r="K609" i="1"/>
  <c r="L609" i="1"/>
  <c r="K504" i="1"/>
  <c r="L504" i="1"/>
  <c r="K488" i="1"/>
  <c r="L488" i="1"/>
  <c r="K473" i="1"/>
  <c r="L473" i="1"/>
  <c r="K457" i="1"/>
  <c r="L457" i="1"/>
  <c r="K441" i="1"/>
  <c r="L441" i="1"/>
  <c r="K424" i="1"/>
  <c r="L424" i="1"/>
  <c r="K409" i="1"/>
  <c r="L409" i="1"/>
  <c r="L379" i="1"/>
  <c r="K379" i="1"/>
  <c r="L377" i="1"/>
  <c r="K377" i="1"/>
  <c r="K344" i="1"/>
  <c r="L344" i="1"/>
  <c r="L346" i="1"/>
  <c r="K346" i="1"/>
  <c r="K311" i="1"/>
  <c r="L311" i="1"/>
  <c r="K314" i="1"/>
  <c r="L314" i="1"/>
  <c r="K296" i="1"/>
  <c r="L296" i="1"/>
  <c r="K281" i="1"/>
  <c r="L281" i="1"/>
  <c r="K265" i="1"/>
  <c r="L265" i="1"/>
  <c r="K250" i="1"/>
  <c r="L250" i="1"/>
  <c r="L234" i="1"/>
  <c r="K234" i="1"/>
  <c r="L218" i="1"/>
  <c r="K218" i="1"/>
  <c r="K201" i="1"/>
  <c r="L201" i="1"/>
  <c r="K185" i="1"/>
  <c r="L185" i="1"/>
  <c r="K169" i="1"/>
  <c r="L169" i="1"/>
  <c r="L152" i="1"/>
  <c r="K152" i="1"/>
  <c r="K84" i="1"/>
  <c r="L84" i="1"/>
  <c r="K123" i="1"/>
  <c r="L123" i="1"/>
  <c r="K108" i="1"/>
  <c r="L108" i="1"/>
  <c r="K91" i="1"/>
  <c r="L91" i="1"/>
  <c r="K73" i="1"/>
  <c r="L73" i="1"/>
  <c r="K52" i="1"/>
  <c r="L52" i="1"/>
  <c r="L35" i="1"/>
  <c r="K35" i="1"/>
  <c r="K11" i="1"/>
  <c r="L11" i="1"/>
  <c r="K34" i="1"/>
  <c r="L34" i="1"/>
  <c r="K634" i="1"/>
  <c r="L634" i="1"/>
  <c r="L477" i="1"/>
  <c r="K477" i="1"/>
  <c r="K628" i="1"/>
  <c r="L628" i="1"/>
  <c r="L503" i="1"/>
  <c r="K503" i="1"/>
  <c r="K658" i="1"/>
  <c r="L658" i="1"/>
  <c r="K610" i="1"/>
  <c r="L610" i="1"/>
  <c r="K656" i="1"/>
  <c r="L656" i="1"/>
  <c r="K640" i="1"/>
  <c r="L640" i="1"/>
  <c r="L624" i="1"/>
  <c r="K624" i="1"/>
  <c r="L608" i="1"/>
  <c r="K608" i="1"/>
  <c r="K502" i="1"/>
  <c r="L502" i="1"/>
  <c r="K487" i="1"/>
  <c r="L487" i="1"/>
  <c r="L472" i="1"/>
  <c r="K472" i="1"/>
  <c r="K456" i="1"/>
  <c r="L456" i="1"/>
  <c r="K428" i="1"/>
  <c r="L428" i="1"/>
  <c r="K423" i="1"/>
  <c r="L423" i="1"/>
  <c r="K395" i="1"/>
  <c r="L395" i="1"/>
  <c r="K378" i="1"/>
  <c r="L378" i="1"/>
  <c r="K376" i="1"/>
  <c r="L376" i="1"/>
  <c r="K359" i="1"/>
  <c r="L359" i="1"/>
  <c r="K345" i="1"/>
  <c r="L345" i="1"/>
  <c r="K331" i="1"/>
  <c r="L331" i="1"/>
  <c r="K313" i="1"/>
  <c r="L313" i="1"/>
  <c r="K275" i="1"/>
  <c r="L275" i="1"/>
  <c r="K280" i="1"/>
  <c r="L280" i="1"/>
  <c r="K263" i="1"/>
  <c r="L263" i="1"/>
  <c r="L249" i="1"/>
  <c r="K249" i="1"/>
  <c r="L199" i="1"/>
  <c r="K199" i="1"/>
  <c r="L217" i="1"/>
  <c r="K217" i="1"/>
  <c r="K200" i="1"/>
  <c r="L200" i="1"/>
  <c r="L184" i="1"/>
  <c r="K184" i="1"/>
  <c r="K168" i="1"/>
  <c r="L168" i="1"/>
  <c r="K104" i="1"/>
  <c r="L104" i="1"/>
  <c r="K136" i="1"/>
  <c r="L136" i="1"/>
  <c r="K122" i="1"/>
  <c r="L122" i="1"/>
  <c r="K107" i="1"/>
  <c r="L107" i="1"/>
  <c r="L90" i="1"/>
  <c r="K90" i="1"/>
  <c r="K72" i="1"/>
  <c r="L72" i="1"/>
  <c r="K51" i="1"/>
  <c r="L51" i="1"/>
  <c r="L33" i="1"/>
  <c r="K33" i="1"/>
  <c r="K55" i="1"/>
  <c r="L55" i="1"/>
  <c r="K79" i="1"/>
  <c r="L79" i="1"/>
  <c r="L478" i="1"/>
  <c r="K478" i="1"/>
  <c r="K623" i="1"/>
  <c r="L623" i="1"/>
  <c r="L486" i="1"/>
  <c r="K486" i="1"/>
  <c r="K427" i="1"/>
  <c r="L427" i="1"/>
  <c r="K422" i="1"/>
  <c r="L422" i="1"/>
  <c r="K375" i="1"/>
  <c r="L375" i="1"/>
  <c r="K358" i="1"/>
  <c r="L358" i="1"/>
  <c r="K342" i="1"/>
  <c r="L342" i="1"/>
  <c r="K330" i="1"/>
  <c r="L330" i="1"/>
  <c r="K312" i="1"/>
  <c r="L312" i="1"/>
  <c r="K295" i="1"/>
  <c r="L295" i="1"/>
  <c r="L279" i="1"/>
  <c r="K279" i="1"/>
  <c r="K262" i="1"/>
  <c r="L262" i="1"/>
  <c r="K248" i="1"/>
  <c r="L248" i="1"/>
  <c r="K197" i="1"/>
  <c r="L197" i="1"/>
  <c r="K216" i="1"/>
  <c r="L216" i="1"/>
  <c r="K153" i="1"/>
  <c r="L153" i="1"/>
  <c r="K183" i="1"/>
  <c r="L183" i="1"/>
  <c r="L167" i="1"/>
  <c r="K167" i="1"/>
  <c r="K151" i="1"/>
  <c r="L151" i="1"/>
  <c r="K135" i="1"/>
  <c r="L135" i="1"/>
  <c r="K121" i="1"/>
  <c r="L121" i="1"/>
  <c r="K106" i="1"/>
  <c r="L106" i="1"/>
  <c r="K89" i="1"/>
  <c r="L89" i="1"/>
  <c r="K71" i="1"/>
  <c r="L71" i="1"/>
  <c r="K50" i="1"/>
  <c r="L50" i="1"/>
  <c r="K32" i="1"/>
  <c r="L32" i="1"/>
  <c r="K13" i="1"/>
  <c r="L13" i="1"/>
  <c r="K4" i="1"/>
  <c r="L4" i="1"/>
  <c r="K510" i="1"/>
  <c r="L510" i="1"/>
  <c r="K655" i="1"/>
  <c r="L655" i="1"/>
  <c r="L607" i="1"/>
  <c r="K607" i="1"/>
  <c r="K501" i="1"/>
  <c r="L501" i="1"/>
  <c r="K471" i="1"/>
  <c r="L471" i="1"/>
  <c r="K408" i="1"/>
  <c r="L408" i="1"/>
  <c r="K654" i="1"/>
  <c r="L654" i="1"/>
  <c r="K622" i="1"/>
  <c r="L622" i="1"/>
  <c r="K454" i="1"/>
  <c r="L454" i="1"/>
  <c r="K425" i="1"/>
  <c r="L425" i="1"/>
  <c r="K410" i="1"/>
  <c r="L410" i="1"/>
  <c r="K406" i="1"/>
  <c r="L406" i="1"/>
  <c r="L390" i="1"/>
  <c r="K390" i="1"/>
  <c r="K366" i="1"/>
  <c r="L366" i="1"/>
  <c r="K343" i="1"/>
  <c r="L343" i="1"/>
  <c r="K341" i="1"/>
  <c r="L341" i="1"/>
  <c r="L307" i="1"/>
  <c r="K307" i="1"/>
  <c r="L310" i="1"/>
  <c r="K310" i="1"/>
  <c r="K294" i="1"/>
  <c r="L294" i="1"/>
  <c r="K278" i="1"/>
  <c r="L278" i="1"/>
  <c r="K261" i="1"/>
  <c r="L261" i="1"/>
  <c r="K247" i="1"/>
  <c r="L247" i="1"/>
  <c r="K233" i="1"/>
  <c r="L233" i="1"/>
  <c r="K215" i="1"/>
  <c r="L215" i="1"/>
  <c r="K198" i="1"/>
  <c r="L198" i="1"/>
  <c r="L182" i="1"/>
  <c r="K182" i="1"/>
  <c r="K166" i="1"/>
  <c r="L166" i="1"/>
  <c r="K149" i="1"/>
  <c r="L149" i="1"/>
  <c r="L134" i="1"/>
  <c r="K134" i="1"/>
  <c r="K120" i="1"/>
  <c r="L120" i="1"/>
  <c r="K105" i="1"/>
  <c r="L105" i="1"/>
  <c r="K88" i="1"/>
  <c r="L88" i="1"/>
  <c r="L70" i="1"/>
  <c r="K70" i="1"/>
  <c r="K49" i="1"/>
  <c r="L49" i="1"/>
  <c r="L31" i="1"/>
  <c r="K31" i="1"/>
  <c r="K20" i="1"/>
  <c r="L20" i="1"/>
  <c r="L3" i="1"/>
  <c r="K3" i="1"/>
  <c r="K617" i="1"/>
  <c r="L617" i="1"/>
  <c r="K614" i="1"/>
  <c r="L614" i="1"/>
  <c r="L639" i="1"/>
  <c r="K639" i="1"/>
  <c r="K455" i="1"/>
  <c r="L455" i="1"/>
  <c r="K391" i="1"/>
  <c r="L391" i="1"/>
  <c r="L638" i="1"/>
  <c r="K638" i="1"/>
  <c r="K606" i="1"/>
  <c r="L606" i="1"/>
  <c r="K500" i="1"/>
  <c r="L500" i="1"/>
  <c r="K485" i="1"/>
  <c r="L485" i="1"/>
  <c r="K470" i="1"/>
  <c r="L470" i="1"/>
  <c r="L653" i="1"/>
  <c r="K653" i="1"/>
  <c r="K637" i="1"/>
  <c r="L637" i="1"/>
  <c r="K621" i="1"/>
  <c r="L621" i="1"/>
  <c r="K605" i="1"/>
  <c r="L605" i="1"/>
  <c r="K499" i="1"/>
  <c r="L499" i="1"/>
  <c r="K484" i="1"/>
  <c r="L484" i="1"/>
  <c r="K469" i="1"/>
  <c r="L469" i="1"/>
  <c r="K453" i="1"/>
  <c r="L453" i="1"/>
  <c r="K439" i="1"/>
  <c r="L439" i="1"/>
  <c r="L420" i="1"/>
  <c r="K420" i="1"/>
  <c r="K405" i="1"/>
  <c r="L405" i="1"/>
  <c r="K389" i="1"/>
  <c r="L389" i="1"/>
  <c r="K374" i="1"/>
  <c r="L374" i="1"/>
  <c r="K357" i="1"/>
  <c r="L357" i="1"/>
  <c r="K340" i="1"/>
  <c r="L340" i="1"/>
  <c r="K328" i="1"/>
  <c r="L328" i="1"/>
  <c r="L309" i="1"/>
  <c r="K309" i="1"/>
  <c r="K293" i="1"/>
  <c r="L293" i="1"/>
  <c r="K277" i="1"/>
  <c r="L277" i="1"/>
  <c r="L260" i="1"/>
  <c r="K260" i="1"/>
  <c r="L246" i="1"/>
  <c r="K246" i="1"/>
  <c r="K232" i="1"/>
  <c r="L232" i="1"/>
  <c r="K214" i="1"/>
  <c r="L214" i="1"/>
  <c r="K150" i="1"/>
  <c r="L150" i="1"/>
  <c r="K181" i="1"/>
  <c r="L181" i="1"/>
  <c r="L165" i="1"/>
  <c r="K165" i="1"/>
  <c r="K148" i="1"/>
  <c r="L148" i="1"/>
  <c r="K133" i="1"/>
  <c r="L133" i="1"/>
  <c r="K118" i="1"/>
  <c r="L118" i="1"/>
  <c r="K103" i="1"/>
  <c r="L103" i="1"/>
  <c r="K87" i="1"/>
  <c r="L87" i="1"/>
  <c r="K69" i="1"/>
  <c r="L69" i="1"/>
  <c r="K48" i="1"/>
  <c r="L48" i="1"/>
  <c r="L75" i="1"/>
  <c r="K75" i="1"/>
  <c r="K14" i="1"/>
  <c r="L14" i="1"/>
  <c r="K15" i="1"/>
  <c r="L15" i="1"/>
  <c r="K649" i="1"/>
  <c r="L649" i="1"/>
  <c r="K620" i="1"/>
  <c r="L620" i="1"/>
  <c r="K604" i="1"/>
  <c r="L604" i="1"/>
  <c r="K498" i="1"/>
  <c r="L498" i="1"/>
  <c r="L483" i="1"/>
  <c r="K483" i="1"/>
  <c r="L468" i="1"/>
  <c r="K468" i="1"/>
  <c r="K452" i="1"/>
  <c r="L452" i="1"/>
  <c r="K438" i="1"/>
  <c r="L438" i="1"/>
  <c r="K419" i="1"/>
  <c r="L419" i="1"/>
  <c r="L404" i="1"/>
  <c r="K404" i="1"/>
  <c r="K388" i="1"/>
  <c r="L388" i="1"/>
  <c r="K364" i="1"/>
  <c r="L364" i="1"/>
  <c r="K356" i="1"/>
  <c r="L356" i="1"/>
  <c r="K339" i="1"/>
  <c r="L339" i="1"/>
  <c r="K327" i="1"/>
  <c r="L327" i="1"/>
  <c r="K308" i="1"/>
  <c r="L308" i="1"/>
  <c r="K292" i="1"/>
  <c r="L292" i="1"/>
  <c r="K276" i="1"/>
  <c r="L276" i="1"/>
  <c r="L259" i="1"/>
  <c r="K259" i="1"/>
  <c r="L245" i="1"/>
  <c r="K245" i="1"/>
  <c r="K231" i="1"/>
  <c r="L231" i="1"/>
  <c r="K213" i="1"/>
  <c r="L213" i="1"/>
  <c r="L196" i="1"/>
  <c r="K196" i="1"/>
  <c r="K180" i="1"/>
  <c r="L180" i="1"/>
  <c r="K164" i="1"/>
  <c r="L164" i="1"/>
  <c r="L147" i="1"/>
  <c r="K147" i="1"/>
  <c r="K132" i="1"/>
  <c r="L132" i="1"/>
  <c r="K117" i="1"/>
  <c r="L117" i="1"/>
  <c r="K102" i="1"/>
  <c r="L102" i="1"/>
  <c r="L86" i="1"/>
  <c r="K86" i="1"/>
  <c r="K68" i="1"/>
  <c r="L68" i="1"/>
  <c r="K47" i="1"/>
  <c r="L47" i="1"/>
  <c r="L30" i="1"/>
  <c r="K30" i="1"/>
  <c r="K53" i="1"/>
  <c r="L53" i="1"/>
  <c r="L2" i="1"/>
  <c r="K2" i="1"/>
  <c r="K493" i="1"/>
  <c r="L493" i="1"/>
  <c r="K652" i="1"/>
  <c r="L652" i="1"/>
  <c r="K636" i="1"/>
  <c r="L636" i="1"/>
  <c r="L651" i="1"/>
  <c r="K651" i="1"/>
  <c r="K635" i="1"/>
  <c r="L635" i="1"/>
  <c r="K619" i="1"/>
  <c r="L619" i="1"/>
  <c r="K603" i="1"/>
  <c r="L603" i="1"/>
  <c r="K497" i="1"/>
  <c r="L497" i="1"/>
  <c r="L482" i="1"/>
  <c r="K482" i="1"/>
  <c r="K467" i="1"/>
  <c r="L467" i="1"/>
  <c r="L450" i="1"/>
  <c r="K450" i="1"/>
  <c r="K437" i="1"/>
  <c r="L437" i="1"/>
  <c r="L407" i="1"/>
  <c r="K407" i="1"/>
  <c r="K403" i="1"/>
  <c r="L403" i="1"/>
  <c r="K372" i="1"/>
  <c r="L372" i="1"/>
  <c r="K373" i="1"/>
  <c r="L373" i="1"/>
  <c r="K355" i="1"/>
  <c r="L355" i="1"/>
  <c r="K320" i="1"/>
  <c r="L320" i="1"/>
  <c r="K326" i="1"/>
  <c r="L326" i="1"/>
  <c r="L306" i="1"/>
  <c r="K306" i="1"/>
  <c r="K291" i="1"/>
  <c r="L291" i="1"/>
  <c r="K274" i="1"/>
  <c r="L274" i="1"/>
  <c r="K258" i="1"/>
  <c r="L258" i="1"/>
  <c r="L244" i="1"/>
  <c r="K244" i="1"/>
  <c r="K229" i="1"/>
  <c r="L229" i="1"/>
  <c r="L212" i="1"/>
  <c r="K212" i="1"/>
  <c r="K195" i="1"/>
  <c r="L195" i="1"/>
  <c r="K179" i="1"/>
  <c r="L179" i="1"/>
  <c r="K163" i="1"/>
  <c r="L163" i="1"/>
  <c r="K146" i="1"/>
  <c r="L146" i="1"/>
  <c r="K131" i="1"/>
  <c r="L131" i="1"/>
  <c r="K116" i="1"/>
  <c r="L116" i="1"/>
  <c r="K101" i="1"/>
  <c r="L101" i="1"/>
  <c r="K85" i="1"/>
  <c r="L85" i="1"/>
  <c r="K67" i="1"/>
  <c r="L67" i="1"/>
  <c r="L45" i="1"/>
  <c r="K45" i="1"/>
  <c r="K29" i="1"/>
  <c r="L29" i="1"/>
  <c r="K8" i="1"/>
  <c r="L8" i="1"/>
  <c r="K650" i="1"/>
  <c r="L650" i="1"/>
  <c r="K496" i="1"/>
  <c r="L496" i="1"/>
  <c r="L481" i="1"/>
  <c r="K481" i="1"/>
  <c r="L466" i="1"/>
  <c r="K466" i="1"/>
  <c r="K449" i="1"/>
  <c r="L449" i="1"/>
  <c r="K436" i="1"/>
  <c r="L436" i="1"/>
  <c r="K418" i="1"/>
  <c r="L418" i="1"/>
  <c r="K402" i="1"/>
  <c r="L402" i="1"/>
  <c r="K387" i="1"/>
  <c r="L387" i="1"/>
  <c r="K371" i="1"/>
  <c r="L371" i="1"/>
  <c r="L354" i="1"/>
  <c r="K354" i="1"/>
  <c r="K338" i="1"/>
  <c r="L338" i="1"/>
  <c r="K325" i="1"/>
  <c r="L325" i="1"/>
  <c r="K305" i="1"/>
  <c r="L305" i="1"/>
  <c r="K290" i="1"/>
  <c r="L290" i="1"/>
  <c r="K273" i="1"/>
  <c r="L273" i="1"/>
  <c r="K257" i="1"/>
  <c r="L257" i="1"/>
  <c r="K243" i="1"/>
  <c r="L243" i="1"/>
  <c r="K228" i="1"/>
  <c r="L228" i="1"/>
  <c r="K210" i="1"/>
  <c r="L210" i="1"/>
  <c r="K194" i="1"/>
  <c r="L194" i="1"/>
  <c r="L178" i="1"/>
  <c r="K178" i="1"/>
  <c r="L162" i="1"/>
  <c r="K162" i="1"/>
  <c r="K145" i="1"/>
  <c r="L145" i="1"/>
  <c r="L130" i="1"/>
  <c r="K130" i="1"/>
  <c r="L115" i="1"/>
  <c r="K115" i="1"/>
  <c r="L100" i="1"/>
  <c r="K100" i="1"/>
  <c r="K83" i="1"/>
  <c r="L83" i="1"/>
  <c r="K66" i="1"/>
  <c r="L66" i="1"/>
  <c r="L12" i="1"/>
  <c r="K12" i="1"/>
  <c r="K28" i="1"/>
  <c r="L28" i="1"/>
  <c r="K5" i="1"/>
  <c r="L5" i="1"/>
  <c r="K616" i="1"/>
  <c r="L616" i="1"/>
  <c r="K480" i="1"/>
  <c r="L480" i="1"/>
  <c r="K401" i="1"/>
  <c r="L401" i="1"/>
  <c r="L386" i="1"/>
  <c r="K386" i="1"/>
  <c r="K370" i="1"/>
  <c r="L370" i="1"/>
  <c r="K353" i="1"/>
  <c r="L353" i="1"/>
  <c r="K337" i="1"/>
  <c r="L337" i="1"/>
  <c r="K324" i="1"/>
  <c r="L324" i="1"/>
  <c r="K303" i="1"/>
  <c r="L303" i="1"/>
  <c r="K289" i="1"/>
  <c r="L289" i="1"/>
  <c r="L272" i="1"/>
  <c r="K272" i="1"/>
  <c r="K256" i="1"/>
  <c r="L256" i="1"/>
  <c r="K242" i="1"/>
  <c r="L242" i="1"/>
  <c r="L227" i="1"/>
  <c r="K227" i="1"/>
  <c r="L209" i="1"/>
  <c r="K209" i="1"/>
  <c r="K193" i="1"/>
  <c r="L193" i="1"/>
  <c r="K177" i="1"/>
  <c r="L177" i="1"/>
  <c r="K161" i="1"/>
  <c r="L161" i="1"/>
  <c r="K144" i="1"/>
  <c r="L144" i="1"/>
  <c r="K129" i="1"/>
  <c r="L129" i="1"/>
  <c r="K46" i="1"/>
  <c r="L46" i="1"/>
  <c r="K99" i="1"/>
  <c r="L99" i="1"/>
  <c r="L82" i="1"/>
  <c r="K82" i="1"/>
  <c r="K65" i="1"/>
  <c r="L65" i="1"/>
  <c r="L44" i="1"/>
  <c r="K44" i="1"/>
  <c r="K27" i="1"/>
  <c r="L27" i="1"/>
  <c r="K18" i="1"/>
  <c r="L18" i="1"/>
  <c r="L631" i="1"/>
  <c r="K631" i="1"/>
  <c r="L602" i="1"/>
  <c r="K602" i="1"/>
  <c r="E556" i="1"/>
  <c r="E527" i="1"/>
  <c r="E545" i="1"/>
  <c r="E596" i="1"/>
  <c r="E598" i="1"/>
  <c r="E588" i="1"/>
  <c r="E543" i="1"/>
  <c r="E561" i="1"/>
  <c r="E533" i="1"/>
  <c r="E535" i="1"/>
  <c r="E585" i="1"/>
  <c r="E601" i="1"/>
  <c r="E559" i="1"/>
  <c r="E577" i="1"/>
  <c r="E565" i="1"/>
  <c r="E567" i="1"/>
  <c r="E522" i="1"/>
  <c r="E525" i="1"/>
  <c r="E591" i="1"/>
  <c r="E593" i="1"/>
  <c r="E597" i="1"/>
  <c r="E599" i="1"/>
  <c r="E538" i="1"/>
  <c r="E541" i="1"/>
  <c r="E514" i="1"/>
  <c r="E562" i="1"/>
  <c r="E520" i="1"/>
  <c r="E552" i="1"/>
  <c r="E554" i="1"/>
  <c r="E557" i="1"/>
  <c r="E578" i="1"/>
  <c r="E515" i="1"/>
  <c r="E537" i="1"/>
  <c r="E569" i="1"/>
  <c r="E570" i="1"/>
  <c r="E573" i="1"/>
  <c r="E528" i="1"/>
  <c r="E531" i="1"/>
  <c r="E517" i="1"/>
  <c r="E519" i="1"/>
  <c r="E586" i="1"/>
  <c r="E589" i="1"/>
  <c r="E544" i="1"/>
  <c r="E547" i="1"/>
  <c r="E549" i="1"/>
  <c r="E551" i="1"/>
  <c r="E523" i="1"/>
  <c r="E526" i="1"/>
  <c r="E560" i="1"/>
  <c r="E563" i="1"/>
  <c r="E581" i="1"/>
  <c r="E583" i="1"/>
  <c r="E539" i="1"/>
  <c r="E542" i="1"/>
  <c r="E576" i="1"/>
  <c r="E579" i="1"/>
  <c r="E536" i="1"/>
  <c r="E568" i="1"/>
  <c r="E555" i="1"/>
  <c r="E558" i="1"/>
  <c r="E592" i="1"/>
  <c r="E595" i="1"/>
  <c r="E521" i="1"/>
  <c r="E553" i="1"/>
  <c r="E571" i="1"/>
  <c r="E574" i="1"/>
  <c r="E530" i="1"/>
  <c r="E516" i="1"/>
  <c r="E518" i="1"/>
  <c r="E587" i="1"/>
  <c r="E590" i="1"/>
  <c r="E594" i="1"/>
  <c r="E532" i="1"/>
  <c r="E534" i="1"/>
  <c r="E572" i="1"/>
  <c r="E575" i="1"/>
  <c r="E600" i="1"/>
  <c r="E548" i="1"/>
  <c r="E550" i="1"/>
  <c r="E524" i="1"/>
  <c r="E546" i="1"/>
  <c r="E513" i="1"/>
  <c r="E564" i="1"/>
  <c r="E566" i="1"/>
  <c r="E540" i="1"/>
  <c r="E584" i="1"/>
  <c r="E529" i="1"/>
  <c r="E580" i="1"/>
  <c r="E582" i="1"/>
  <c r="K495" i="1"/>
  <c r="L495" i="1"/>
  <c r="L465" i="1"/>
  <c r="K465" i="1"/>
  <c r="L448" i="1"/>
  <c r="K448" i="1"/>
  <c r="K435" i="1"/>
  <c r="L435" i="1"/>
  <c r="K417" i="1"/>
  <c r="L417" i="1"/>
  <c r="K648" i="1"/>
  <c r="L648" i="1"/>
  <c r="K630" i="1"/>
  <c r="L630" i="1"/>
  <c r="K615" i="1"/>
  <c r="L615" i="1"/>
  <c r="K505" i="1"/>
  <c r="L505" i="1"/>
  <c r="L512" i="1"/>
  <c r="K512" i="1"/>
  <c r="K494" i="1"/>
  <c r="L494" i="1"/>
  <c r="K479" i="1"/>
  <c r="L479" i="1"/>
  <c r="K464" i="1"/>
  <c r="L464" i="1"/>
  <c r="K447" i="1"/>
  <c r="L447" i="1"/>
  <c r="L421" i="1"/>
  <c r="K421" i="1"/>
  <c r="K416" i="1"/>
  <c r="L416" i="1"/>
  <c r="K400" i="1"/>
  <c r="L400" i="1"/>
  <c r="L385" i="1"/>
  <c r="K385" i="1"/>
  <c r="K369" i="1"/>
  <c r="L369" i="1"/>
  <c r="K352" i="1"/>
  <c r="L352" i="1"/>
  <c r="K336" i="1"/>
  <c r="L336" i="1"/>
  <c r="L304" i="1"/>
  <c r="K304" i="1"/>
  <c r="K302" i="1"/>
  <c r="L302" i="1"/>
  <c r="K288" i="1"/>
  <c r="L288" i="1"/>
  <c r="K271" i="1"/>
  <c r="L271" i="1"/>
  <c r="L236" i="1"/>
  <c r="K236" i="1"/>
  <c r="K241" i="1"/>
  <c r="L241" i="1"/>
  <c r="K226" i="1"/>
  <c r="L226" i="1"/>
  <c r="K208" i="1"/>
  <c r="L208" i="1"/>
  <c r="K192" i="1"/>
  <c r="L192" i="1"/>
  <c r="K176" i="1"/>
  <c r="L176" i="1"/>
  <c r="K160" i="1"/>
  <c r="L160" i="1"/>
  <c r="K143" i="1"/>
  <c r="L143" i="1"/>
  <c r="L128" i="1"/>
  <c r="K128" i="1"/>
  <c r="K54" i="1"/>
  <c r="L54" i="1"/>
  <c r="K98" i="1"/>
  <c r="L98" i="1"/>
  <c r="K81" i="1"/>
  <c r="L81" i="1"/>
  <c r="L64" i="1"/>
  <c r="K64" i="1"/>
  <c r="L43" i="1"/>
  <c r="K43" i="1"/>
  <c r="L26" i="1"/>
  <c r="K26" i="1"/>
  <c r="K17" i="1"/>
  <c r="L17" i="1"/>
  <c r="L434" i="1"/>
  <c r="K434" i="1"/>
  <c r="K415" i="1"/>
  <c r="L415" i="1"/>
  <c r="K398" i="1"/>
  <c r="L398" i="1"/>
  <c r="K384" i="1"/>
  <c r="L384" i="1"/>
  <c r="K368" i="1"/>
  <c r="L368" i="1"/>
  <c r="K351" i="1"/>
  <c r="L351" i="1"/>
  <c r="L318" i="1"/>
  <c r="K318" i="1"/>
  <c r="K323" i="1"/>
  <c r="L323" i="1"/>
  <c r="K284" i="1"/>
  <c r="L284" i="1"/>
  <c r="K287" i="1"/>
  <c r="L287" i="1"/>
  <c r="K270" i="1"/>
  <c r="L270" i="1"/>
  <c r="L230" i="1"/>
  <c r="K230" i="1"/>
  <c r="K211" i="1"/>
  <c r="L211" i="1"/>
  <c r="K225" i="1"/>
  <c r="L225" i="1"/>
  <c r="L207" i="1"/>
  <c r="K207" i="1"/>
  <c r="K191" i="1"/>
  <c r="L191" i="1"/>
  <c r="K175" i="1"/>
  <c r="L175" i="1"/>
  <c r="K159" i="1"/>
  <c r="L159" i="1"/>
  <c r="K142" i="1"/>
  <c r="L142" i="1"/>
  <c r="K57" i="1"/>
  <c r="L57" i="1"/>
  <c r="K114" i="1"/>
  <c r="L114" i="1"/>
  <c r="K97" i="1"/>
  <c r="L97" i="1"/>
  <c r="L80" i="1"/>
  <c r="K80" i="1"/>
  <c r="K63" i="1"/>
  <c r="L63" i="1"/>
  <c r="L42" i="1"/>
  <c r="K42" i="1"/>
  <c r="K25" i="1"/>
  <c r="L25" i="1"/>
  <c r="K19" i="1"/>
  <c r="L19" i="1"/>
  <c r="K529" i="1" l="1"/>
  <c r="L529" i="1"/>
  <c r="L590" i="1"/>
  <c r="K590" i="1"/>
  <c r="L576" i="1"/>
  <c r="K576" i="1"/>
  <c r="L517" i="1"/>
  <c r="K517" i="1"/>
  <c r="K538" i="1"/>
  <c r="L538" i="1"/>
  <c r="L543" i="1"/>
  <c r="K543" i="1"/>
  <c r="K584" i="1"/>
  <c r="L584" i="1"/>
  <c r="K587" i="1"/>
  <c r="L587" i="1"/>
  <c r="K542" i="1"/>
  <c r="L542" i="1"/>
  <c r="K531" i="1"/>
  <c r="L531" i="1"/>
  <c r="L599" i="1"/>
  <c r="K599" i="1"/>
  <c r="L588" i="1"/>
  <c r="K588" i="1"/>
  <c r="L540" i="1"/>
  <c r="K540" i="1"/>
  <c r="K518" i="1"/>
  <c r="L518" i="1"/>
  <c r="K539" i="1"/>
  <c r="L539" i="1"/>
  <c r="L528" i="1"/>
  <c r="K528" i="1"/>
  <c r="L597" i="1"/>
  <c r="K597" i="1"/>
  <c r="K598" i="1"/>
  <c r="L598" i="1"/>
  <c r="K566" i="1"/>
  <c r="L566" i="1"/>
  <c r="K516" i="1"/>
  <c r="L516" i="1"/>
  <c r="L583" i="1"/>
  <c r="K583" i="1"/>
  <c r="K573" i="1"/>
  <c r="L573" i="1"/>
  <c r="K593" i="1"/>
  <c r="L593" i="1"/>
  <c r="K596" i="1"/>
  <c r="L596" i="1"/>
  <c r="K564" i="1"/>
  <c r="L564" i="1"/>
  <c r="K530" i="1"/>
  <c r="L530" i="1"/>
  <c r="L581" i="1"/>
  <c r="K581" i="1"/>
  <c r="K570" i="1"/>
  <c r="L570" i="1"/>
  <c r="K591" i="1"/>
  <c r="L591" i="1"/>
  <c r="K545" i="1"/>
  <c r="L545" i="1"/>
  <c r="K513" i="1"/>
  <c r="L513" i="1"/>
  <c r="K574" i="1"/>
  <c r="L574" i="1"/>
  <c r="L563" i="1"/>
  <c r="K563" i="1"/>
  <c r="L569" i="1"/>
  <c r="K569" i="1"/>
  <c r="K525" i="1"/>
  <c r="L525" i="1"/>
  <c r="L527" i="1"/>
  <c r="K527" i="1"/>
  <c r="K546" i="1"/>
  <c r="L546" i="1"/>
  <c r="K571" i="1"/>
  <c r="L571" i="1"/>
  <c r="K560" i="1"/>
  <c r="L560" i="1"/>
  <c r="L537" i="1"/>
  <c r="K537" i="1"/>
  <c r="K522" i="1"/>
  <c r="L522" i="1"/>
  <c r="K556" i="1"/>
  <c r="L556" i="1"/>
  <c r="K524" i="1"/>
  <c r="L524" i="1"/>
  <c r="K553" i="1"/>
  <c r="L553" i="1"/>
  <c r="K526" i="1"/>
  <c r="L526" i="1"/>
  <c r="L515" i="1"/>
  <c r="K515" i="1"/>
  <c r="K567" i="1"/>
  <c r="L567" i="1"/>
  <c r="K550" i="1"/>
  <c r="L550" i="1"/>
  <c r="K521" i="1"/>
  <c r="L521" i="1"/>
  <c r="L523" i="1"/>
  <c r="K523" i="1"/>
  <c r="K578" i="1"/>
  <c r="L578" i="1"/>
  <c r="L565" i="1"/>
  <c r="K565" i="1"/>
  <c r="K548" i="1"/>
  <c r="L548" i="1"/>
  <c r="L595" i="1"/>
  <c r="K595" i="1"/>
  <c r="L551" i="1"/>
  <c r="K551" i="1"/>
  <c r="K557" i="1"/>
  <c r="L557" i="1"/>
  <c r="L577" i="1"/>
  <c r="K577" i="1"/>
  <c r="L600" i="1"/>
  <c r="K600" i="1"/>
  <c r="L592" i="1"/>
  <c r="K592" i="1"/>
  <c r="K549" i="1"/>
  <c r="L549" i="1"/>
  <c r="K554" i="1"/>
  <c r="L554" i="1"/>
  <c r="K559" i="1"/>
  <c r="L559" i="1"/>
  <c r="L575" i="1"/>
  <c r="K575" i="1"/>
  <c r="L558" i="1"/>
  <c r="K558" i="1"/>
  <c r="K547" i="1"/>
  <c r="L547" i="1"/>
  <c r="L552" i="1"/>
  <c r="K552" i="1"/>
  <c r="L601" i="1"/>
  <c r="K601" i="1"/>
  <c r="K572" i="1"/>
  <c r="L572" i="1"/>
  <c r="L555" i="1"/>
  <c r="K555" i="1"/>
  <c r="K544" i="1"/>
  <c r="L544" i="1"/>
  <c r="K520" i="1"/>
  <c r="L520" i="1"/>
  <c r="L585" i="1"/>
  <c r="K585" i="1"/>
  <c r="K534" i="1"/>
  <c r="L534" i="1"/>
  <c r="L568" i="1"/>
  <c r="K568" i="1"/>
  <c r="L589" i="1"/>
  <c r="K589" i="1"/>
  <c r="K562" i="1"/>
  <c r="L562" i="1"/>
  <c r="L535" i="1"/>
  <c r="K535" i="1"/>
  <c r="S5" i="1"/>
  <c r="L582" i="1"/>
  <c r="K582" i="1"/>
  <c r="K532" i="1"/>
  <c r="L532" i="1"/>
  <c r="L536" i="1"/>
  <c r="K536" i="1"/>
  <c r="K586" i="1"/>
  <c r="L586" i="1"/>
  <c r="L514" i="1"/>
  <c r="K514" i="1"/>
  <c r="K533" i="1"/>
  <c r="L533" i="1"/>
  <c r="L580" i="1"/>
  <c r="K580" i="1"/>
  <c r="K594" i="1"/>
  <c r="L594" i="1"/>
  <c r="L579" i="1"/>
  <c r="K579" i="1"/>
  <c r="K519" i="1"/>
  <c r="L519" i="1"/>
  <c r="K541" i="1"/>
  <c r="L541" i="1"/>
  <c r="L561" i="1"/>
  <c r="K561" i="1"/>
  <c r="F515" i="1" l="1"/>
  <c r="F531" i="1"/>
  <c r="F547" i="1"/>
  <c r="F563" i="1"/>
  <c r="F579" i="1"/>
  <c r="F595" i="1"/>
  <c r="F668" i="1"/>
  <c r="F684" i="1"/>
  <c r="F700" i="1"/>
  <c r="F716" i="1"/>
  <c r="F732" i="1"/>
  <c r="F748" i="1"/>
  <c r="F548" i="1"/>
  <c r="F580" i="1"/>
  <c r="F685" i="1"/>
  <c r="F733" i="1"/>
  <c r="F588" i="1"/>
  <c r="F593" i="1"/>
  <c r="F516" i="1"/>
  <c r="F596" i="1"/>
  <c r="F701" i="1"/>
  <c r="F749" i="1"/>
  <c r="F661" i="1"/>
  <c r="F666" i="1"/>
  <c r="F517" i="1"/>
  <c r="F533" i="1"/>
  <c r="F549" i="1"/>
  <c r="F565" i="1"/>
  <c r="F581" i="1"/>
  <c r="F597" i="1"/>
  <c r="F670" i="1"/>
  <c r="F686" i="1"/>
  <c r="F702" i="1"/>
  <c r="F718" i="1"/>
  <c r="F734" i="1"/>
  <c r="F750" i="1"/>
  <c r="F519" i="1"/>
  <c r="F551" i="1"/>
  <c r="F583" i="1"/>
  <c r="F672" i="1"/>
  <c r="F704" i="1"/>
  <c r="F709" i="1"/>
  <c r="F730" i="1"/>
  <c r="F518" i="1"/>
  <c r="F534" i="1"/>
  <c r="F550" i="1"/>
  <c r="F566" i="1"/>
  <c r="F582" i="1"/>
  <c r="F598" i="1"/>
  <c r="F671" i="1"/>
  <c r="F687" i="1"/>
  <c r="F703" i="1"/>
  <c r="F719" i="1"/>
  <c r="F735" i="1"/>
  <c r="F535" i="1"/>
  <c r="F567" i="1"/>
  <c r="F599" i="1"/>
  <c r="F688" i="1"/>
  <c r="F736" i="1"/>
  <c r="F746" i="1"/>
  <c r="F520" i="1"/>
  <c r="F536" i="1"/>
  <c r="F552" i="1"/>
  <c r="F568" i="1"/>
  <c r="F584" i="1"/>
  <c r="F600" i="1"/>
  <c r="F673" i="1"/>
  <c r="F689" i="1"/>
  <c r="F705" i="1"/>
  <c r="F721" i="1"/>
  <c r="F737" i="1"/>
  <c r="F540" i="1"/>
  <c r="F741" i="1"/>
  <c r="F577" i="1"/>
  <c r="F521" i="1"/>
  <c r="F537" i="1"/>
  <c r="F553" i="1"/>
  <c r="F569" i="1"/>
  <c r="F585" i="1"/>
  <c r="F601" i="1"/>
  <c r="F674" i="1"/>
  <c r="F690" i="1"/>
  <c r="F706" i="1"/>
  <c r="F722" i="1"/>
  <c r="F738" i="1"/>
  <c r="F524" i="1"/>
  <c r="F677" i="1"/>
  <c r="F545" i="1"/>
  <c r="F522" i="1"/>
  <c r="F538" i="1"/>
  <c r="F554" i="1"/>
  <c r="F570" i="1"/>
  <c r="F586" i="1"/>
  <c r="F659" i="1"/>
  <c r="F675" i="1"/>
  <c r="F691" i="1"/>
  <c r="F707" i="1"/>
  <c r="F723" i="1"/>
  <c r="F739" i="1"/>
  <c r="F572" i="1"/>
  <c r="F529" i="1"/>
  <c r="F523" i="1"/>
  <c r="F539" i="1"/>
  <c r="F555" i="1"/>
  <c r="F571" i="1"/>
  <c r="F587" i="1"/>
  <c r="F660" i="1"/>
  <c r="F676" i="1"/>
  <c r="F692" i="1"/>
  <c r="F708" i="1"/>
  <c r="F724" i="1"/>
  <c r="F740" i="1"/>
  <c r="F693" i="1"/>
  <c r="F513" i="1"/>
  <c r="F556" i="1"/>
  <c r="F525" i="1"/>
  <c r="F541" i="1"/>
  <c r="F557" i="1"/>
  <c r="F573" i="1"/>
  <c r="F589" i="1"/>
  <c r="F662" i="1"/>
  <c r="F678" i="1"/>
  <c r="F694" i="1"/>
  <c r="F710" i="1"/>
  <c r="F726" i="1"/>
  <c r="F742" i="1"/>
  <c r="F696" i="1"/>
  <c r="F697" i="1"/>
  <c r="F682" i="1"/>
  <c r="F526" i="1"/>
  <c r="F542" i="1"/>
  <c r="F558" i="1"/>
  <c r="F574" i="1"/>
  <c r="F590" i="1"/>
  <c r="F663" i="1"/>
  <c r="F679" i="1"/>
  <c r="F695" i="1"/>
  <c r="F711" i="1"/>
  <c r="F727" i="1"/>
  <c r="F743" i="1"/>
  <c r="F664" i="1"/>
  <c r="F712" i="1"/>
  <c r="F744" i="1"/>
  <c r="F745" i="1"/>
  <c r="F561" i="1"/>
  <c r="F527" i="1"/>
  <c r="F543" i="1"/>
  <c r="F559" i="1"/>
  <c r="F575" i="1"/>
  <c r="F591" i="1"/>
  <c r="F680" i="1"/>
  <c r="F728" i="1"/>
  <c r="F713" i="1"/>
  <c r="F714" i="1"/>
  <c r="F528" i="1"/>
  <c r="F544" i="1"/>
  <c r="F560" i="1"/>
  <c r="F576" i="1"/>
  <c r="F592" i="1"/>
  <c r="F665" i="1"/>
  <c r="F681" i="1"/>
  <c r="F729" i="1"/>
  <c r="F514" i="1"/>
  <c r="F530" i="1"/>
  <c r="F546" i="1"/>
  <c r="F562" i="1"/>
  <c r="F578" i="1"/>
  <c r="F594" i="1"/>
  <c r="F667" i="1"/>
  <c r="F683" i="1"/>
  <c r="F699" i="1"/>
  <c r="F715" i="1"/>
  <c r="F731" i="1"/>
  <c r="F747" i="1"/>
  <c r="F532" i="1"/>
  <c r="F564" i="1"/>
  <c r="F669" i="1"/>
  <c r="F717" i="1"/>
  <c r="F720" i="1"/>
  <c r="F725" i="1"/>
  <c r="F698" i="1"/>
  <c r="D521" i="1"/>
  <c r="D537" i="1"/>
  <c r="D553" i="1"/>
  <c r="D569" i="1"/>
  <c r="D585" i="1"/>
  <c r="D601" i="1"/>
  <c r="D522" i="1"/>
  <c r="D538" i="1"/>
  <c r="D554" i="1"/>
  <c r="D570" i="1"/>
  <c r="D586" i="1"/>
  <c r="D523" i="1"/>
  <c r="D539" i="1"/>
  <c r="D555" i="1"/>
  <c r="D571" i="1"/>
  <c r="D587" i="1"/>
  <c r="D524" i="1"/>
  <c r="D540" i="1"/>
  <c r="D556" i="1"/>
  <c r="D572" i="1"/>
  <c r="D588" i="1"/>
  <c r="D526" i="1"/>
  <c r="D542" i="1"/>
  <c r="D558" i="1"/>
  <c r="D574" i="1"/>
  <c r="D590" i="1"/>
  <c r="D527" i="1"/>
  <c r="D543" i="1"/>
  <c r="D559" i="1"/>
  <c r="D575" i="1"/>
  <c r="D591" i="1"/>
  <c r="D528" i="1"/>
  <c r="D544" i="1"/>
  <c r="D560" i="1"/>
  <c r="D576" i="1"/>
  <c r="D592" i="1"/>
  <c r="D513" i="1"/>
  <c r="D529" i="1"/>
  <c r="D545" i="1"/>
  <c r="D561" i="1"/>
  <c r="D577" i="1"/>
  <c r="D593" i="1"/>
  <c r="D515" i="1"/>
  <c r="D531" i="1"/>
  <c r="D547" i="1"/>
  <c r="D563" i="1"/>
  <c r="D579" i="1"/>
  <c r="D595" i="1"/>
  <c r="D516" i="1"/>
  <c r="D532" i="1"/>
  <c r="D548" i="1"/>
  <c r="D564" i="1"/>
  <c r="D580" i="1"/>
  <c r="D596" i="1"/>
  <c r="D517" i="1"/>
  <c r="D533" i="1"/>
  <c r="D549" i="1"/>
  <c r="D565" i="1"/>
  <c r="D581" i="1"/>
  <c r="D597" i="1"/>
  <c r="D518" i="1"/>
  <c r="D534" i="1"/>
  <c r="D550" i="1"/>
  <c r="D566" i="1"/>
  <c r="D582" i="1"/>
  <c r="D598" i="1"/>
  <c r="D520" i="1"/>
  <c r="D536" i="1"/>
  <c r="D552" i="1"/>
  <c r="D568" i="1"/>
  <c r="D584" i="1"/>
  <c r="D600" i="1"/>
  <c r="D557" i="1"/>
  <c r="D562" i="1"/>
  <c r="D567" i="1"/>
  <c r="D573" i="1"/>
  <c r="D578" i="1"/>
  <c r="D583" i="1"/>
  <c r="D589" i="1"/>
  <c r="D594" i="1"/>
  <c r="D514" i="1"/>
  <c r="D599" i="1"/>
  <c r="D519" i="1"/>
  <c r="D525" i="1"/>
  <c r="D546" i="1"/>
  <c r="D530" i="1"/>
  <c r="D535" i="1"/>
  <c r="D541" i="1"/>
  <c r="D551" i="1"/>
  <c r="D605" i="1" l="1"/>
  <c r="D340" i="1"/>
  <c r="D170" i="1"/>
  <c r="D94" i="1"/>
  <c r="D377" i="1"/>
  <c r="D109" i="1"/>
  <c r="D232" i="1"/>
  <c r="D352" i="1"/>
  <c r="D77" i="1"/>
  <c r="D484" i="1"/>
  <c r="D26" i="1"/>
  <c r="D273" i="1"/>
  <c r="D83" i="1"/>
  <c r="D108" i="1"/>
  <c r="D406" i="1"/>
  <c r="D656" i="1"/>
  <c r="D101" i="1"/>
  <c r="D331" i="1"/>
  <c r="D435" i="1"/>
  <c r="D5" i="1"/>
  <c r="D189" i="1"/>
  <c r="D401" i="1"/>
  <c r="D44" i="1"/>
  <c r="D307" i="1"/>
  <c r="D136" i="1"/>
  <c r="D138" i="1"/>
  <c r="D112" i="1"/>
  <c r="D157" i="1"/>
  <c r="D399" i="1"/>
  <c r="D149" i="1"/>
  <c r="D47" i="1"/>
  <c r="D392" i="1"/>
  <c r="D426" i="1"/>
  <c r="D227" i="1"/>
  <c r="D137" i="1"/>
  <c r="D455" i="1"/>
  <c r="D419" i="1"/>
  <c r="D338" i="1"/>
  <c r="D332" i="1"/>
  <c r="D619" i="1"/>
  <c r="D380" i="1"/>
  <c r="D24" i="1"/>
  <c r="D505" i="1"/>
  <c r="D616" i="1"/>
  <c r="D75" i="1"/>
  <c r="D641" i="1"/>
  <c r="D649" i="1"/>
  <c r="D510" i="1"/>
  <c r="D608" i="1"/>
  <c r="D49" i="1"/>
  <c r="D68" i="1"/>
  <c r="D313" i="1"/>
  <c r="D604" i="1"/>
  <c r="D127" i="1"/>
  <c r="D187" i="1"/>
  <c r="D299" i="1"/>
  <c r="D417" i="1"/>
  <c r="D438" i="1"/>
  <c r="D297" i="1"/>
  <c r="D74" i="1"/>
  <c r="D13" i="1"/>
  <c r="D181" i="1"/>
  <c r="D76" i="1"/>
  <c r="D58" i="1"/>
  <c r="D91" i="1"/>
  <c r="D209" i="1"/>
  <c r="D349" i="1"/>
  <c r="D481" i="1"/>
  <c r="D182" i="1"/>
  <c r="D329" i="1"/>
  <c r="D268" i="1"/>
  <c r="D607" i="1"/>
  <c r="D4" i="1"/>
  <c r="D239" i="1"/>
  <c r="D35" i="1"/>
  <c r="D18" i="1"/>
  <c r="D359" i="1"/>
  <c r="D100" i="1"/>
  <c r="D372" i="1"/>
  <c r="D632" i="1"/>
  <c r="D420" i="1"/>
  <c r="D56" i="1"/>
  <c r="D250" i="1"/>
  <c r="D81" i="1"/>
  <c r="D439" i="1"/>
  <c r="D292" i="1"/>
  <c r="D363" i="1"/>
  <c r="D494" i="1"/>
  <c r="D218" i="1"/>
  <c r="D125" i="1"/>
  <c r="D222" i="1"/>
  <c r="D319" i="1"/>
  <c r="D183" i="1"/>
  <c r="D306" i="1"/>
  <c r="D52" i="1"/>
  <c r="D176" i="1"/>
  <c r="D177" i="1"/>
  <c r="D285" i="1"/>
  <c r="D102" i="1"/>
  <c r="D54" i="1"/>
  <c r="D46" i="1"/>
  <c r="D384" i="1"/>
  <c r="D116" i="1"/>
  <c r="D2" i="1"/>
  <c r="D78" i="1"/>
  <c r="D298" i="1"/>
  <c r="D50" i="1"/>
  <c r="D31" i="1"/>
  <c r="D445" i="1"/>
  <c r="D364" i="1"/>
  <c r="D370" i="1"/>
  <c r="D388" i="1"/>
  <c r="D219" i="1"/>
  <c r="D358" i="1"/>
  <c r="D623" i="1"/>
  <c r="D464" i="1"/>
  <c r="D506" i="1"/>
  <c r="D235" i="1"/>
  <c r="D124" i="1"/>
  <c r="D310" i="1"/>
  <c r="D362" i="1"/>
  <c r="D178" i="1"/>
  <c r="D202" i="1"/>
  <c r="D339" i="1"/>
  <c r="D360" i="1"/>
  <c r="D476" i="1"/>
  <c r="D322" i="1"/>
  <c r="D207" i="1"/>
  <c r="D107" i="1"/>
  <c r="D243" i="1"/>
  <c r="D284" i="1"/>
  <c r="D223" i="1"/>
  <c r="D212" i="1"/>
  <c r="D454" i="1"/>
  <c r="D488" i="1"/>
  <c r="D163" i="1"/>
  <c r="D16" i="1"/>
  <c r="D27" i="1"/>
  <c r="D70" i="1"/>
  <c r="D512" i="1"/>
  <c r="D430" i="1"/>
  <c r="D436" i="1"/>
  <c r="D345" i="1"/>
  <c r="D141" i="1"/>
  <c r="D240" i="1"/>
  <c r="D500" i="1"/>
  <c r="D200" i="1"/>
  <c r="D314" i="1"/>
  <c r="D457" i="1"/>
  <c r="D315" i="1"/>
  <c r="D317" i="1"/>
  <c r="D386" i="1"/>
  <c r="D155" i="1"/>
  <c r="D89" i="1"/>
  <c r="D195" i="1"/>
  <c r="D287" i="1"/>
  <c r="D328" i="1"/>
  <c r="D491" i="1"/>
  <c r="D154" i="1"/>
  <c r="D173" i="1"/>
  <c r="D204" i="1"/>
  <c r="D104" i="1"/>
  <c r="D57" i="1"/>
  <c r="D185" i="1"/>
  <c r="D269" i="1"/>
  <c r="D507" i="1"/>
  <c r="D38" i="1"/>
  <c r="D602" i="1"/>
  <c r="D613" i="1"/>
  <c r="D305" i="1"/>
  <c r="D425" i="1"/>
  <c r="D410" i="1"/>
  <c r="D450" i="1"/>
  <c r="D168" i="1"/>
  <c r="D249" i="1"/>
  <c r="D55" i="1"/>
  <c r="D462" i="1"/>
  <c r="D8" i="1"/>
  <c r="D485" i="1"/>
  <c r="D385" i="1"/>
  <c r="D496" i="1"/>
  <c r="D85" i="1"/>
  <c r="D51" i="1"/>
  <c r="D442" i="1"/>
  <c r="D215" i="1"/>
  <c r="D365" i="1"/>
  <c r="D371" i="1"/>
  <c r="D246" i="1"/>
  <c r="D73" i="1"/>
  <c r="D411" i="1"/>
  <c r="D39" i="1"/>
  <c r="D211" i="1"/>
  <c r="D230" i="1"/>
  <c r="D224" i="1"/>
  <c r="D126" i="1"/>
  <c r="D87" i="1"/>
  <c r="D15" i="1"/>
  <c r="D300" i="1"/>
  <c r="D612" i="1"/>
  <c r="D325" i="1"/>
  <c r="D156" i="1"/>
  <c r="D421" i="1"/>
  <c r="D615" i="1"/>
  <c r="D396" i="1"/>
  <c r="D621" i="1"/>
  <c r="D277" i="1"/>
  <c r="D416" i="1"/>
  <c r="D12" i="1"/>
  <c r="D639" i="1"/>
  <c r="D263" i="1"/>
  <c r="D361" i="1"/>
  <c r="D330" i="1"/>
  <c r="D433" i="1"/>
  <c r="D640" i="1"/>
  <c r="D368" i="1"/>
  <c r="D20" i="1"/>
  <c r="D475" i="1"/>
  <c r="D286" i="1"/>
  <c r="D3" i="1"/>
  <c r="D321" i="1"/>
  <c r="D61" i="1"/>
  <c r="D316" i="1"/>
  <c r="D21" i="1"/>
  <c r="D225" i="1"/>
  <c r="D409" i="1"/>
  <c r="D468" i="1"/>
  <c r="D191" i="1"/>
  <c r="D147" i="1"/>
  <c r="D96" i="1"/>
  <c r="D343" i="1"/>
  <c r="D264" i="1"/>
  <c r="D479" i="1"/>
  <c r="D394" i="1"/>
  <c r="D169" i="1"/>
  <c r="D461" i="1"/>
  <c r="D423" i="1"/>
  <c r="D658" i="1"/>
  <c r="D650" i="1"/>
  <c r="D653" i="1"/>
  <c r="D402" i="1"/>
  <c r="D184" i="1"/>
  <c r="D64" i="1"/>
  <c r="D62" i="1"/>
  <c r="D474" i="1"/>
  <c r="D196" i="1"/>
  <c r="D504" i="1"/>
  <c r="D312" i="1"/>
  <c r="D294" i="1"/>
  <c r="D79" i="1"/>
  <c r="D251" i="1"/>
  <c r="D311" i="1"/>
  <c r="D106" i="1"/>
  <c r="D376" i="1"/>
  <c r="D295" i="1"/>
  <c r="D397" i="1"/>
  <c r="D248" i="1"/>
  <c r="D472" i="1"/>
  <c r="D611" i="1"/>
  <c r="D9" i="1"/>
  <c r="D115" i="1"/>
  <c r="D440" i="1"/>
  <c r="D429" i="1"/>
  <c r="D203" i="1"/>
  <c r="D33" i="1"/>
  <c r="D443" i="1"/>
  <c r="D424" i="1"/>
  <c r="D626" i="1"/>
  <c r="D261" i="1"/>
  <c r="D134" i="1"/>
  <c r="D335" i="1"/>
  <c r="D121" i="1"/>
  <c r="D145" i="1"/>
  <c r="D375" i="1"/>
  <c r="D648" i="1"/>
  <c r="D164" i="1"/>
  <c r="D444" i="1"/>
  <c r="F377" i="1"/>
  <c r="F232" i="1"/>
  <c r="F72" i="1"/>
  <c r="F323" i="1"/>
  <c r="F352" i="1"/>
  <c r="F199" i="1"/>
  <c r="F497" i="1"/>
  <c r="F498" i="1"/>
  <c r="F389" i="1"/>
  <c r="F193" i="1"/>
  <c r="F466" i="1"/>
  <c r="F77" i="1"/>
  <c r="F489" i="1"/>
  <c r="F654" i="1"/>
  <c r="F257" i="1"/>
  <c r="F166" i="1"/>
  <c r="F427" i="1"/>
  <c r="F382" i="1"/>
  <c r="F651" i="1"/>
  <c r="F60" i="1"/>
  <c r="F637" i="1"/>
  <c r="F341" i="1"/>
  <c r="F484" i="1"/>
  <c r="F267" i="1"/>
  <c r="F459" i="1"/>
  <c r="F625" i="1"/>
  <c r="F260" i="1"/>
  <c r="F148" i="1"/>
  <c r="F40" i="1"/>
  <c r="F303" i="1"/>
  <c r="F26" i="1"/>
  <c r="F281" i="1"/>
  <c r="F273" i="1"/>
  <c r="F473" i="1"/>
  <c r="F128" i="1"/>
  <c r="F190" i="1"/>
  <c r="F150" i="1"/>
  <c r="F467" i="1"/>
  <c r="F236" i="1"/>
  <c r="F111" i="1"/>
  <c r="F83" i="1"/>
  <c r="F403" i="1"/>
  <c r="F159" i="1"/>
  <c r="F603" i="1"/>
  <c r="F153" i="1"/>
  <c r="F448" i="1"/>
  <c r="F214" i="1"/>
  <c r="F334" i="1"/>
  <c r="F108" i="1"/>
  <c r="F289" i="1"/>
  <c r="F139" i="1"/>
  <c r="F406" i="1"/>
  <c r="F614" i="1"/>
  <c r="F259" i="1"/>
  <c r="F255" i="1"/>
  <c r="F378" i="1"/>
  <c r="F656" i="1"/>
  <c r="F655" i="1"/>
  <c r="F271" i="1"/>
  <c r="F101" i="1"/>
  <c r="F142" i="1"/>
  <c r="F483" i="1"/>
  <c r="F37" i="1"/>
  <c r="F405" i="1"/>
  <c r="F331" i="1"/>
  <c r="F272" i="1"/>
  <c r="F374" i="1"/>
  <c r="F144" i="1"/>
  <c r="F118" i="1"/>
  <c r="F45" i="1"/>
  <c r="F92" i="1"/>
  <c r="F336" i="1"/>
  <c r="F435" i="1"/>
  <c r="F188" i="1"/>
  <c r="F135" i="1"/>
  <c r="F469" i="1"/>
  <c r="F160" i="1"/>
  <c r="F88" i="1"/>
  <c r="F415" i="1"/>
  <c r="F71" i="1"/>
  <c r="F5" i="1"/>
  <c r="F432" i="1"/>
  <c r="F146" i="1"/>
  <c r="F502" i="1"/>
  <c r="F63" i="1"/>
  <c r="F228" i="1"/>
  <c r="F105" i="1"/>
  <c r="F369" i="1"/>
  <c r="F189" i="1"/>
  <c r="F401" i="1"/>
  <c r="F44" i="1"/>
  <c r="F307" i="1"/>
  <c r="F354" i="1"/>
  <c r="F657" i="1"/>
  <c r="F179" i="1"/>
  <c r="F245" i="1"/>
  <c r="F136" i="1"/>
  <c r="F482" i="1"/>
  <c r="F66" i="1"/>
  <c r="F434" i="1"/>
  <c r="F327" i="1"/>
  <c r="F48" i="1"/>
  <c r="F86" i="1"/>
  <c r="F324" i="1"/>
  <c r="F624" i="1"/>
  <c r="F499" i="1"/>
  <c r="F486" i="1"/>
  <c r="F270" i="1"/>
  <c r="F206" i="1"/>
  <c r="F391" i="1"/>
  <c r="F130" i="1"/>
  <c r="F647" i="1"/>
  <c r="F30" i="1"/>
  <c r="F158" i="1"/>
  <c r="F437" i="1"/>
  <c r="F138" i="1"/>
  <c r="F320" i="1"/>
  <c r="F132" i="1"/>
  <c r="F112" i="1"/>
  <c r="F208" i="1"/>
  <c r="F418" i="1"/>
  <c r="F172" i="1"/>
  <c r="F7" i="1"/>
  <c r="F157" i="1"/>
  <c r="F213" i="1"/>
  <c r="F290" i="1"/>
  <c r="F617" i="1"/>
  <c r="F399" i="1"/>
  <c r="F414" i="1"/>
  <c r="F357" i="1"/>
  <c r="F283" i="1"/>
  <c r="F149" i="1"/>
  <c r="F47" i="1"/>
  <c r="F383" i="1"/>
  <c r="F441" i="1"/>
  <c r="F431" i="1"/>
  <c r="F631" i="1"/>
  <c r="F6" i="1"/>
  <c r="F82" i="1"/>
  <c r="F67" i="1"/>
  <c r="F69" i="1"/>
  <c r="F645" i="1"/>
  <c r="F233" i="1"/>
  <c r="F36" i="1"/>
  <c r="F192" i="1"/>
  <c r="F43" i="1"/>
  <c r="F19" i="1"/>
  <c r="F94" i="1"/>
  <c r="F392" i="1"/>
  <c r="F198" i="1"/>
  <c r="F426" i="1"/>
  <c r="F11" i="1"/>
  <c r="F275" i="1"/>
  <c r="F231" i="1"/>
  <c r="F97" i="1"/>
  <c r="F32" i="1"/>
  <c r="F227" i="1"/>
  <c r="F221" i="1"/>
  <c r="F22" i="1"/>
  <c r="F137" i="1"/>
  <c r="F14" i="1"/>
  <c r="F455" i="1"/>
  <c r="F379" i="1"/>
  <c r="F451" i="1"/>
  <c r="F493" i="1"/>
  <c r="F419" i="1"/>
  <c r="F161" i="1"/>
  <c r="F338" i="1"/>
  <c r="F167" i="1"/>
  <c r="F280" i="1"/>
  <c r="F98" i="1"/>
  <c r="F332" i="1"/>
  <c r="F619" i="1"/>
  <c r="F17" i="1"/>
  <c r="F470" i="1"/>
  <c r="F278" i="1"/>
  <c r="F408" i="1"/>
  <c r="F380" i="1"/>
  <c r="F337" i="1"/>
  <c r="F140" i="1"/>
  <c r="F93" i="1"/>
  <c r="F477" i="1"/>
  <c r="F24" i="1"/>
  <c r="F109" i="1"/>
  <c r="F390" i="1"/>
  <c r="F400" i="1"/>
  <c r="F308" i="1"/>
  <c r="F366" i="1"/>
  <c r="F505" i="1"/>
  <c r="F117" i="1"/>
  <c r="F162" i="1"/>
  <c r="F229" i="1"/>
  <c r="F508" i="1"/>
  <c r="F381" i="1"/>
  <c r="F511" i="1"/>
  <c r="F103" i="1"/>
  <c r="F449" i="1"/>
  <c r="F175" i="1"/>
  <c r="F616" i="1"/>
  <c r="F395" i="1"/>
  <c r="F347" i="1"/>
  <c r="F652" i="1"/>
  <c r="F220" i="1"/>
  <c r="F274" i="1"/>
  <c r="F23" i="1"/>
  <c r="F143" i="1"/>
  <c r="F487" i="1"/>
  <c r="F644" i="1"/>
  <c r="F119" i="1"/>
  <c r="F113" i="1"/>
  <c r="F75" i="1"/>
  <c r="F194" i="1"/>
  <c r="F180" i="1"/>
  <c r="F288" i="1"/>
  <c r="F387" i="1"/>
  <c r="F635" i="1"/>
  <c r="F241" i="1"/>
  <c r="F262" i="1"/>
  <c r="F258" i="1"/>
  <c r="F226" i="1"/>
  <c r="F326" i="1"/>
  <c r="F456" i="1"/>
  <c r="F609" i="1"/>
  <c r="F304" i="1"/>
  <c r="F642" i="1"/>
  <c r="F447" i="1"/>
  <c r="F28" i="1"/>
  <c r="F452" i="1"/>
  <c r="F346" i="1"/>
  <c r="F244" i="1"/>
  <c r="F356" i="1"/>
  <c r="F293" i="1"/>
  <c r="F422" i="1"/>
  <c r="F41" i="1"/>
  <c r="F344" i="1"/>
  <c r="F633" i="1"/>
  <c r="F480" i="1"/>
  <c r="F353" i="1"/>
  <c r="F276" i="1"/>
  <c r="F350" i="1"/>
  <c r="F629" i="1"/>
  <c r="F205" i="1"/>
  <c r="F465" i="1"/>
  <c r="F413" i="1"/>
  <c r="F342" i="1"/>
  <c r="F630" i="1"/>
  <c r="F641" i="1"/>
  <c r="F42" i="1"/>
  <c r="F495" i="1"/>
  <c r="F256" i="1"/>
  <c r="F151" i="1"/>
  <c r="F634" i="1"/>
  <c r="F252" i="1"/>
  <c r="F152" i="1"/>
  <c r="F253" i="1"/>
  <c r="F59" i="1"/>
  <c r="F460" i="1"/>
  <c r="F649" i="1"/>
  <c r="F238" i="1"/>
  <c r="F210" i="1"/>
  <c r="F197" i="1"/>
  <c r="F510" i="1"/>
  <c r="F446" i="1"/>
  <c r="F608" i="1"/>
  <c r="F29" i="1"/>
  <c r="F49" i="1"/>
  <c r="F68" i="1"/>
  <c r="F65" i="1"/>
  <c r="F313" i="1"/>
  <c r="F604" i="1"/>
  <c r="F127" i="1"/>
  <c r="F367" i="1"/>
  <c r="F503" i="1"/>
  <c r="F492" i="1"/>
  <c r="F620" i="1"/>
  <c r="F187" i="1"/>
  <c r="F299" i="1"/>
  <c r="F628" i="1"/>
  <c r="F254" i="1"/>
  <c r="F417" i="1"/>
  <c r="F438" i="1"/>
  <c r="F297" i="1"/>
  <c r="F302" i="1"/>
  <c r="F74" i="1"/>
  <c r="F122" i="1"/>
  <c r="F13" i="1"/>
  <c r="F181" i="1"/>
  <c r="F174" i="1"/>
  <c r="F76" i="1"/>
  <c r="F171" i="1"/>
  <c r="F58" i="1"/>
  <c r="F91" i="1"/>
  <c r="F170" i="1"/>
  <c r="F209" i="1"/>
  <c r="F349" i="1"/>
  <c r="F481" i="1"/>
  <c r="F182" i="1"/>
  <c r="F84" i="1"/>
  <c r="F329" i="1"/>
  <c r="F268" i="1"/>
  <c r="F607" i="1"/>
  <c r="F4" i="1"/>
  <c r="F239" i="1"/>
  <c r="F35" i="1"/>
  <c r="F133" i="1"/>
  <c r="F18" i="1"/>
  <c r="F359" i="1"/>
  <c r="F100" i="1"/>
  <c r="F372" i="1"/>
  <c r="F632" i="1"/>
  <c r="F420" i="1"/>
  <c r="F509" i="1"/>
  <c r="F56" i="1"/>
  <c r="F250" i="1"/>
  <c r="F81" i="1"/>
  <c r="F129" i="1"/>
  <c r="F439" i="1"/>
  <c r="F501" i="1"/>
  <c r="F292" i="1"/>
  <c r="F363" i="1"/>
  <c r="F494" i="1"/>
  <c r="F218" i="1"/>
  <c r="F125" i="1"/>
  <c r="F222" i="1"/>
  <c r="F319" i="1"/>
  <c r="F183" i="1"/>
  <c r="F618" i="1"/>
  <c r="F306" i="1"/>
  <c r="F52" i="1"/>
  <c r="F453" i="1"/>
  <c r="F114" i="1"/>
  <c r="F176" i="1"/>
  <c r="F177" i="1"/>
  <c r="F285" i="1"/>
  <c r="F102" i="1"/>
  <c r="F54" i="1"/>
  <c r="F46" i="1"/>
  <c r="F384" i="1"/>
  <c r="F116" i="1"/>
  <c r="F2" i="1"/>
  <c r="F247" i="1"/>
  <c r="F78" i="1"/>
  <c r="F298" i="1"/>
  <c r="F50" i="1"/>
  <c r="F291" i="1"/>
  <c r="F31" i="1"/>
  <c r="F445" i="1"/>
  <c r="F364" i="1"/>
  <c r="F370" i="1"/>
  <c r="F388" i="1"/>
  <c r="F219" i="1"/>
  <c r="F358" i="1"/>
  <c r="F623" i="1"/>
  <c r="F131" i="1"/>
  <c r="F464" i="1"/>
  <c r="F506" i="1"/>
  <c r="F235" i="1"/>
  <c r="F124" i="1"/>
  <c r="F310" i="1"/>
  <c r="F362" i="1"/>
  <c r="F309" i="1"/>
  <c r="F178" i="1"/>
  <c r="F202" i="1"/>
  <c r="F339" i="1"/>
  <c r="F360" i="1"/>
  <c r="F476" i="1"/>
  <c r="F322" i="1"/>
  <c r="F636" i="1"/>
  <c r="F34" i="1"/>
  <c r="F186" i="1"/>
  <c r="F610" i="1"/>
  <c r="F237" i="1"/>
  <c r="F99" i="1"/>
  <c r="F428" i="1"/>
  <c r="F333" i="1"/>
  <c r="F351" i="1"/>
  <c r="F638" i="1"/>
  <c r="F90" i="1"/>
  <c r="F207" i="1"/>
  <c r="F107" i="1"/>
  <c r="F123" i="1"/>
  <c r="F243" i="1"/>
  <c r="F284" i="1"/>
  <c r="F223" i="1"/>
  <c r="F212" i="1"/>
  <c r="F454" i="1"/>
  <c r="F488" i="1"/>
  <c r="F163" i="1"/>
  <c r="F16" i="1"/>
  <c r="F490" i="1"/>
  <c r="F27" i="1"/>
  <c r="F70" i="1"/>
  <c r="F512" i="1"/>
  <c r="F318" i="1"/>
  <c r="F430" i="1"/>
  <c r="F436" i="1"/>
  <c r="F345" i="1"/>
  <c r="F141" i="1"/>
  <c r="F240" i="1"/>
  <c r="F500" i="1"/>
  <c r="F200" i="1"/>
  <c r="F463" i="1"/>
  <c r="F314" i="1"/>
  <c r="F457" i="1"/>
  <c r="F315" i="1"/>
  <c r="F317" i="1"/>
  <c r="F386" i="1"/>
  <c r="F155" i="1"/>
  <c r="F89" i="1"/>
  <c r="F195" i="1"/>
  <c r="F53" i="1"/>
  <c r="F287" i="1"/>
  <c r="F328" i="1"/>
  <c r="F393" i="1"/>
  <c r="F605" i="1"/>
  <c r="F340" i="1"/>
  <c r="F491" i="1"/>
  <c r="F154" i="1"/>
  <c r="F173" i="1"/>
  <c r="F204" i="1"/>
  <c r="F104" i="1"/>
  <c r="F57" i="1"/>
  <c r="F185" i="1"/>
  <c r="F269" i="1"/>
  <c r="F507" i="1"/>
  <c r="F38" i="1"/>
  <c r="F602" i="1"/>
  <c r="F398" i="1"/>
  <c r="F613" i="1"/>
  <c r="F478" i="1"/>
  <c r="F305" i="1"/>
  <c r="F425" i="1"/>
  <c r="F410" i="1"/>
  <c r="F355" i="1"/>
  <c r="F450" i="1"/>
  <c r="F168" i="1"/>
  <c r="F249" i="1"/>
  <c r="F242" i="1"/>
  <c r="F55" i="1"/>
  <c r="F462" i="1"/>
  <c r="F643" i="1"/>
  <c r="F8" i="1"/>
  <c r="F266" i="1"/>
  <c r="F485" i="1"/>
  <c r="F385" i="1"/>
  <c r="F496" i="1"/>
  <c r="F85" i="1"/>
  <c r="F51" i="1"/>
  <c r="F442" i="1"/>
  <c r="F215" i="1"/>
  <c r="F365" i="1"/>
  <c r="F371" i="1"/>
  <c r="F201" i="1"/>
  <c r="F471" i="1"/>
  <c r="F646" i="1"/>
  <c r="F10" i="1"/>
  <c r="F246" i="1"/>
  <c r="F73" i="1"/>
  <c r="F411" i="1"/>
  <c r="F39" i="1"/>
  <c r="F211" i="1"/>
  <c r="F230" i="1"/>
  <c r="F224" i="1"/>
  <c r="F126" i="1"/>
  <c r="F87" i="1"/>
  <c r="F15" i="1"/>
  <c r="F300" i="1"/>
  <c r="F301" i="1"/>
  <c r="F612" i="1"/>
  <c r="F325" i="1"/>
  <c r="F156" i="1"/>
  <c r="F421" i="1"/>
  <c r="F615" i="1"/>
  <c r="F396" i="1"/>
  <c r="F621" i="1"/>
  <c r="F277" i="1"/>
  <c r="F416" i="1"/>
  <c r="F12" i="1"/>
  <c r="F639" i="1"/>
  <c r="F263" i="1"/>
  <c r="F361" i="1"/>
  <c r="F458" i="1"/>
  <c r="F330" i="1"/>
  <c r="F433" i="1"/>
  <c r="F640" i="1"/>
  <c r="F368" i="1"/>
  <c r="F627" i="1"/>
  <c r="F20" i="1"/>
  <c r="F475" i="1"/>
  <c r="F286" i="1"/>
  <c r="F348" i="1"/>
  <c r="F3" i="1"/>
  <c r="F282" i="1"/>
  <c r="F95" i="1"/>
  <c r="F321" i="1"/>
  <c r="F80" i="1"/>
  <c r="F120" i="1"/>
  <c r="F61" i="1"/>
  <c r="F316" i="1"/>
  <c r="F21" i="1"/>
  <c r="F225" i="1"/>
  <c r="F409" i="1"/>
  <c r="F216" i="1"/>
  <c r="F468" i="1"/>
  <c r="F279" i="1"/>
  <c r="F191" i="1"/>
  <c r="F622" i="1"/>
  <c r="F147" i="1"/>
  <c r="F96" i="1"/>
  <c r="F343" i="1"/>
  <c r="F264" i="1"/>
  <c r="F479" i="1"/>
  <c r="F394" i="1"/>
  <c r="F169" i="1"/>
  <c r="F25" i="1"/>
  <c r="F165" i="1"/>
  <c r="F296" i="1"/>
  <c r="F461" i="1"/>
  <c r="F423" i="1"/>
  <c r="F658" i="1"/>
  <c r="F650" i="1"/>
  <c r="F653" i="1"/>
  <c r="F402" i="1"/>
  <c r="F184" i="1"/>
  <c r="F64" i="1"/>
  <c r="F62" i="1"/>
  <c r="F474" i="1"/>
  <c r="F196" i="1"/>
  <c r="F110" i="1"/>
  <c r="F504" i="1"/>
  <c r="F234" i="1"/>
  <c r="F412" i="1"/>
  <c r="F265" i="1"/>
  <c r="F312" i="1"/>
  <c r="F294" i="1"/>
  <c r="F79" i="1"/>
  <c r="F251" i="1"/>
  <c r="F311" i="1"/>
  <c r="F106" i="1"/>
  <c r="F376" i="1"/>
  <c r="F295" i="1"/>
  <c r="F397" i="1"/>
  <c r="F248" i="1"/>
  <c r="F472" i="1"/>
  <c r="F611" i="1"/>
  <c r="F9" i="1"/>
  <c r="F115" i="1"/>
  <c r="F440" i="1"/>
  <c r="F407" i="1"/>
  <c r="F429" i="1"/>
  <c r="F203" i="1"/>
  <c r="F606" i="1"/>
  <c r="F33" i="1"/>
  <c r="F373" i="1"/>
  <c r="F443" i="1"/>
  <c r="F424" i="1"/>
  <c r="F626" i="1"/>
  <c r="F261" i="1"/>
  <c r="F134" i="1"/>
  <c r="F335" i="1"/>
  <c r="F121" i="1"/>
  <c r="F145" i="1"/>
  <c r="F375" i="1"/>
  <c r="F648" i="1"/>
  <c r="F404" i="1"/>
  <c r="F164" i="1"/>
  <c r="F217" i="1"/>
  <c r="F444" i="1"/>
  <c r="C321" i="1" l="1"/>
  <c r="C362" i="1"/>
  <c r="C307" i="1"/>
  <c r="C407" i="1"/>
  <c r="C385" i="1"/>
  <c r="C239" i="1"/>
  <c r="C373" i="1"/>
  <c r="C25" i="1"/>
  <c r="C316" i="1"/>
  <c r="C3" i="1"/>
  <c r="C277" i="1"/>
  <c r="C39" i="1"/>
  <c r="C365" i="1"/>
  <c r="C450" i="1"/>
  <c r="C173" i="1"/>
  <c r="C287" i="1"/>
  <c r="C436" i="1"/>
  <c r="C107" i="1"/>
  <c r="C339" i="1"/>
  <c r="C364" i="1"/>
  <c r="C176" i="1"/>
  <c r="C319" i="1"/>
  <c r="C372" i="1"/>
  <c r="C181" i="1"/>
  <c r="C127" i="1"/>
  <c r="C42" i="1"/>
  <c r="C293" i="1"/>
  <c r="C113" i="1"/>
  <c r="C381" i="1"/>
  <c r="C332" i="1"/>
  <c r="C32" i="1"/>
  <c r="C383" i="1"/>
  <c r="C132" i="1"/>
  <c r="C245" i="1"/>
  <c r="C71" i="1"/>
  <c r="C188" i="1"/>
  <c r="C655" i="1"/>
  <c r="C403" i="1"/>
  <c r="C273" i="1"/>
  <c r="C427" i="1"/>
  <c r="C170" i="1"/>
  <c r="C610" i="1"/>
  <c r="D110" i="1"/>
  <c r="D120" i="1"/>
  <c r="D398" i="1"/>
  <c r="D393" i="1"/>
  <c r="D131" i="1"/>
  <c r="D171" i="1"/>
  <c r="D65" i="1"/>
  <c r="D256" i="1"/>
  <c r="D41" i="1"/>
  <c r="D258" i="1"/>
  <c r="D288" i="1"/>
  <c r="D220" i="1"/>
  <c r="D308" i="1"/>
  <c r="D493" i="1"/>
  <c r="D631" i="1"/>
  <c r="D172" i="1"/>
  <c r="D391" i="1"/>
  <c r="D624" i="1"/>
  <c r="D502" i="1"/>
  <c r="D153" i="1"/>
  <c r="D625" i="1"/>
  <c r="D257" i="1"/>
  <c r="D111" i="1"/>
  <c r="D226" i="1"/>
  <c r="D114" i="1"/>
  <c r="D333" i="1"/>
  <c r="D610" i="1"/>
  <c r="C648" i="1"/>
  <c r="C292" i="1"/>
  <c r="C366" i="1"/>
  <c r="C401" i="1"/>
  <c r="C311" i="1"/>
  <c r="C33" i="1"/>
  <c r="C251" i="1"/>
  <c r="C504" i="1"/>
  <c r="C169" i="1"/>
  <c r="C61" i="1"/>
  <c r="C348" i="1"/>
  <c r="C621" i="1"/>
  <c r="C411" i="1"/>
  <c r="C215" i="1"/>
  <c r="C355" i="1"/>
  <c r="C154" i="1"/>
  <c r="C53" i="1"/>
  <c r="C430" i="1"/>
  <c r="C207" i="1"/>
  <c r="C202" i="1"/>
  <c r="C445" i="1"/>
  <c r="C222" i="1"/>
  <c r="C100" i="1"/>
  <c r="C13" i="1"/>
  <c r="C604" i="1"/>
  <c r="C641" i="1"/>
  <c r="C356" i="1"/>
  <c r="C119" i="1"/>
  <c r="C508" i="1"/>
  <c r="C98" i="1"/>
  <c r="C97" i="1"/>
  <c r="C47" i="1"/>
  <c r="C320" i="1"/>
  <c r="C130" i="1"/>
  <c r="C179" i="1"/>
  <c r="C415" i="1"/>
  <c r="C435" i="1"/>
  <c r="C656" i="1"/>
  <c r="C83" i="1"/>
  <c r="C281" i="1"/>
  <c r="C166" i="1"/>
  <c r="C226" i="1"/>
  <c r="C471" i="1"/>
  <c r="D606" i="1"/>
  <c r="D84" i="1"/>
  <c r="D253" i="1"/>
  <c r="D276" i="1"/>
  <c r="D609" i="1"/>
  <c r="D603" i="1"/>
  <c r="D471" i="1"/>
  <c r="D34" i="1"/>
  <c r="C20" i="1"/>
  <c r="C143" i="1"/>
  <c r="C45" i="1"/>
  <c r="C406" i="1"/>
  <c r="C606" i="1"/>
  <c r="C110" i="1"/>
  <c r="C394" i="1"/>
  <c r="C120" i="1"/>
  <c r="C286" i="1"/>
  <c r="C396" i="1"/>
  <c r="C73" i="1"/>
  <c r="C442" i="1"/>
  <c r="C410" i="1"/>
  <c r="C491" i="1"/>
  <c r="C195" i="1"/>
  <c r="C318" i="1"/>
  <c r="C178" i="1"/>
  <c r="C31" i="1"/>
  <c r="C125" i="1"/>
  <c r="C359" i="1"/>
  <c r="C122" i="1"/>
  <c r="C313" i="1"/>
  <c r="C630" i="1"/>
  <c r="C244" i="1"/>
  <c r="C644" i="1"/>
  <c r="C229" i="1"/>
  <c r="C280" i="1"/>
  <c r="C231" i="1"/>
  <c r="C149" i="1"/>
  <c r="C138" i="1"/>
  <c r="C391" i="1"/>
  <c r="C657" i="1"/>
  <c r="C88" i="1"/>
  <c r="C336" i="1"/>
  <c r="C378" i="1"/>
  <c r="C26" i="1"/>
  <c r="C257" i="1"/>
  <c r="C95" i="1"/>
  <c r="C186" i="1"/>
  <c r="C489" i="1"/>
  <c r="D217" i="1"/>
  <c r="D266" i="1"/>
  <c r="D242" i="1"/>
  <c r="D302" i="1"/>
  <c r="D628" i="1"/>
  <c r="D503" i="1"/>
  <c r="D413" i="1"/>
  <c r="D452" i="1"/>
  <c r="D644" i="1"/>
  <c r="D93" i="1"/>
  <c r="D280" i="1"/>
  <c r="D231" i="1"/>
  <c r="D290" i="1"/>
  <c r="D418" i="1"/>
  <c r="D657" i="1"/>
  <c r="D259" i="1"/>
  <c r="C70" i="1"/>
  <c r="C68" i="1"/>
  <c r="C11" i="1"/>
  <c r="C64" i="1"/>
  <c r="C317" i="1"/>
  <c r="C29" i="1"/>
  <c r="C144" i="1"/>
  <c r="C444" i="1"/>
  <c r="C79" i="1"/>
  <c r="C217" i="1"/>
  <c r="C203" i="1"/>
  <c r="C294" i="1"/>
  <c r="C196" i="1"/>
  <c r="C479" i="1"/>
  <c r="C80" i="1"/>
  <c r="C475" i="1"/>
  <c r="C615" i="1"/>
  <c r="C246" i="1"/>
  <c r="C51" i="1"/>
  <c r="C425" i="1"/>
  <c r="C89" i="1"/>
  <c r="C512" i="1"/>
  <c r="C309" i="1"/>
  <c r="C291" i="1"/>
  <c r="C218" i="1"/>
  <c r="C18" i="1"/>
  <c r="C74" i="1"/>
  <c r="C65" i="1"/>
  <c r="C342" i="1"/>
  <c r="C346" i="1"/>
  <c r="C487" i="1"/>
  <c r="C162" i="1"/>
  <c r="C167" i="1"/>
  <c r="C275" i="1"/>
  <c r="C19" i="1"/>
  <c r="C283" i="1"/>
  <c r="C437" i="1"/>
  <c r="C206" i="1"/>
  <c r="C354" i="1"/>
  <c r="C160" i="1"/>
  <c r="C92" i="1"/>
  <c r="C255" i="1"/>
  <c r="C303" i="1"/>
  <c r="C654" i="1"/>
  <c r="C90" i="1"/>
  <c r="C467" i="1"/>
  <c r="D622" i="1"/>
  <c r="D463" i="1"/>
  <c r="D367" i="1"/>
  <c r="D495" i="1"/>
  <c r="D262" i="1"/>
  <c r="D449" i="1"/>
  <c r="D229" i="1"/>
  <c r="D470" i="1"/>
  <c r="D22" i="1"/>
  <c r="D19" i="1"/>
  <c r="D645" i="1"/>
  <c r="D283" i="1"/>
  <c r="D206" i="1"/>
  <c r="D324" i="1"/>
  <c r="D66" i="1"/>
  <c r="D88" i="1"/>
  <c r="D135" i="1"/>
  <c r="D45" i="1"/>
  <c r="D271" i="1"/>
  <c r="D159" i="1"/>
  <c r="D190" i="1"/>
  <c r="D459" i="1"/>
  <c r="D60" i="1"/>
  <c r="D323" i="1"/>
  <c r="D95" i="1"/>
  <c r="D646" i="1"/>
  <c r="D236" i="1"/>
  <c r="D186" i="1"/>
  <c r="D282" i="1"/>
  <c r="D296" i="1"/>
  <c r="D123" i="1"/>
  <c r="D501" i="1"/>
  <c r="D152" i="1"/>
  <c r="D353" i="1"/>
  <c r="D456" i="1"/>
  <c r="D180" i="1"/>
  <c r="D487" i="1"/>
  <c r="D652" i="1"/>
  <c r="D162" i="1"/>
  <c r="D140" i="1"/>
  <c r="D379" i="1"/>
  <c r="D221" i="1"/>
  <c r="D69" i="1"/>
  <c r="D354" i="1"/>
  <c r="D160" i="1"/>
  <c r="D405" i="1"/>
  <c r="D334" i="1"/>
  <c r="D128" i="1"/>
  <c r="D90" i="1"/>
  <c r="D59" i="1"/>
  <c r="C312" i="1"/>
  <c r="C338" i="1"/>
  <c r="C77" i="1"/>
  <c r="C62" i="1"/>
  <c r="C343" i="1"/>
  <c r="C627" i="1"/>
  <c r="C156" i="1"/>
  <c r="C496" i="1"/>
  <c r="C478" i="1"/>
  <c r="C386" i="1"/>
  <c r="C27" i="1"/>
  <c r="C310" i="1"/>
  <c r="C298" i="1"/>
  <c r="C363" i="1"/>
  <c r="C35" i="1"/>
  <c r="C297" i="1"/>
  <c r="C49" i="1"/>
  <c r="C465" i="1"/>
  <c r="C28" i="1"/>
  <c r="C23" i="1"/>
  <c r="C505" i="1"/>
  <c r="C24" i="1"/>
  <c r="C161" i="1"/>
  <c r="C426" i="1"/>
  <c r="C192" i="1"/>
  <c r="C414" i="1"/>
  <c r="C30" i="1"/>
  <c r="C486" i="1"/>
  <c r="C44" i="1"/>
  <c r="C118" i="1"/>
  <c r="C614" i="1"/>
  <c r="C148" i="1"/>
  <c r="C466" i="1"/>
  <c r="C460" i="1"/>
  <c r="C453" i="1"/>
  <c r="D80" i="1"/>
  <c r="D458" i="1"/>
  <c r="D10" i="1"/>
  <c r="D174" i="1"/>
  <c r="D197" i="1"/>
  <c r="D465" i="1"/>
  <c r="D422" i="1"/>
  <c r="D28" i="1"/>
  <c r="D194" i="1"/>
  <c r="D400" i="1"/>
  <c r="D337" i="1"/>
  <c r="D17" i="1"/>
  <c r="D451" i="1"/>
  <c r="D431" i="1"/>
  <c r="D213" i="1"/>
  <c r="D437" i="1"/>
  <c r="D482" i="1"/>
  <c r="D369" i="1"/>
  <c r="D146" i="1"/>
  <c r="D118" i="1"/>
  <c r="D614" i="1"/>
  <c r="D651" i="1"/>
  <c r="D654" i="1"/>
  <c r="D389" i="1"/>
  <c r="D72" i="1"/>
  <c r="D647" i="1"/>
  <c r="D412" i="1"/>
  <c r="D627" i="1"/>
  <c r="D643" i="1"/>
  <c r="D42" i="1"/>
  <c r="D293" i="1"/>
  <c r="D347" i="1"/>
  <c r="D103" i="1"/>
  <c r="D441" i="1"/>
  <c r="D357" i="1"/>
  <c r="D208" i="1"/>
  <c r="D86" i="1"/>
  <c r="D432" i="1"/>
  <c r="D188" i="1"/>
  <c r="D655" i="1"/>
  <c r="D403" i="1"/>
  <c r="D303" i="1"/>
  <c r="D498" i="1"/>
  <c r="D469" i="1"/>
  <c r="D467" i="1"/>
  <c r="C429" i="1"/>
  <c r="C413" i="1"/>
  <c r="C78" i="1"/>
  <c r="C447" i="1"/>
  <c r="C399" i="1"/>
  <c r="C114" i="1"/>
  <c r="C115" i="1"/>
  <c r="C184" i="1"/>
  <c r="C147" i="1"/>
  <c r="C640" i="1"/>
  <c r="C612" i="1"/>
  <c r="C485" i="1"/>
  <c r="C398" i="1"/>
  <c r="C315" i="1"/>
  <c r="C16" i="1"/>
  <c r="C235" i="1"/>
  <c r="C247" i="1"/>
  <c r="C501" i="1"/>
  <c r="C4" i="1"/>
  <c r="C417" i="1"/>
  <c r="C608" i="1"/>
  <c r="C629" i="1"/>
  <c r="C642" i="1"/>
  <c r="C258" i="1"/>
  <c r="C220" i="1"/>
  <c r="C308" i="1"/>
  <c r="C93" i="1"/>
  <c r="C493" i="1"/>
  <c r="C392" i="1"/>
  <c r="C233" i="1"/>
  <c r="C617" i="1"/>
  <c r="C624" i="1"/>
  <c r="C189" i="1"/>
  <c r="C374" i="1"/>
  <c r="C139" i="1"/>
  <c r="C625" i="1"/>
  <c r="C389" i="1"/>
  <c r="C412" i="1"/>
  <c r="C59" i="1"/>
  <c r="D165" i="1"/>
  <c r="D279" i="1"/>
  <c r="D478" i="1"/>
  <c r="D210" i="1"/>
  <c r="D252" i="1"/>
  <c r="D480" i="1"/>
  <c r="D326" i="1"/>
  <c r="D511" i="1"/>
  <c r="D167" i="1"/>
  <c r="D275" i="1"/>
  <c r="D43" i="1"/>
  <c r="D67" i="1"/>
  <c r="D158" i="1"/>
  <c r="D270" i="1"/>
  <c r="D48" i="1"/>
  <c r="D105" i="1"/>
  <c r="D214" i="1"/>
  <c r="D40" i="1"/>
  <c r="D267" i="1"/>
  <c r="D428" i="1"/>
  <c r="D150" i="1"/>
  <c r="C305" i="1"/>
  <c r="C302" i="1"/>
  <c r="C158" i="1"/>
  <c r="C404" i="1"/>
  <c r="C325" i="1"/>
  <c r="C124" i="1"/>
  <c r="C36" i="1"/>
  <c r="C260" i="1"/>
  <c r="C145" i="1"/>
  <c r="C9" i="1"/>
  <c r="C402" i="1"/>
  <c r="C622" i="1"/>
  <c r="C433" i="1"/>
  <c r="C301" i="1"/>
  <c r="C266" i="1"/>
  <c r="C602" i="1"/>
  <c r="C457" i="1"/>
  <c r="C163" i="1"/>
  <c r="C506" i="1"/>
  <c r="C2" i="1"/>
  <c r="C439" i="1"/>
  <c r="C607" i="1"/>
  <c r="C254" i="1"/>
  <c r="C446" i="1"/>
  <c r="C350" i="1"/>
  <c r="C304" i="1"/>
  <c r="C262" i="1"/>
  <c r="C652" i="1"/>
  <c r="C400" i="1"/>
  <c r="C140" i="1"/>
  <c r="C451" i="1"/>
  <c r="C645" i="1"/>
  <c r="C290" i="1"/>
  <c r="C324" i="1"/>
  <c r="C369" i="1"/>
  <c r="C272" i="1"/>
  <c r="C289" i="1"/>
  <c r="C459" i="1"/>
  <c r="C498" i="1"/>
  <c r="C646" i="1"/>
  <c r="C150" i="1"/>
  <c r="D205" i="1"/>
  <c r="D447" i="1"/>
  <c r="D241" i="1"/>
  <c r="D390" i="1"/>
  <c r="D11" i="1"/>
  <c r="D192" i="1"/>
  <c r="D144" i="1"/>
  <c r="D37" i="1"/>
  <c r="D382" i="1"/>
  <c r="D489" i="1"/>
  <c r="D497" i="1"/>
  <c r="D638" i="1"/>
  <c r="D99" i="1"/>
  <c r="C421" i="1"/>
  <c r="C494" i="1"/>
  <c r="C357" i="1"/>
  <c r="C613" i="1"/>
  <c r="C477" i="1"/>
  <c r="C121" i="1"/>
  <c r="C611" i="1"/>
  <c r="C653" i="1"/>
  <c r="C191" i="1"/>
  <c r="C330" i="1"/>
  <c r="C300" i="1"/>
  <c r="C8" i="1"/>
  <c r="C38" i="1"/>
  <c r="C314" i="1"/>
  <c r="C488" i="1"/>
  <c r="C464" i="1"/>
  <c r="C116" i="1"/>
  <c r="C129" i="1"/>
  <c r="C268" i="1"/>
  <c r="C628" i="1"/>
  <c r="C510" i="1"/>
  <c r="C253" i="1"/>
  <c r="C276" i="1"/>
  <c r="C609" i="1"/>
  <c r="C241" i="1"/>
  <c r="C347" i="1"/>
  <c r="C390" i="1"/>
  <c r="C337" i="1"/>
  <c r="C379" i="1"/>
  <c r="C69" i="1"/>
  <c r="C213" i="1"/>
  <c r="C86" i="1"/>
  <c r="C105" i="1"/>
  <c r="C331" i="1"/>
  <c r="C108" i="1"/>
  <c r="C267" i="1"/>
  <c r="C497" i="1"/>
  <c r="C638" i="1"/>
  <c r="C605" i="1"/>
  <c r="D404" i="1"/>
  <c r="D265" i="1"/>
  <c r="D25" i="1"/>
  <c r="D53" i="1"/>
  <c r="D247" i="1"/>
  <c r="D509" i="1"/>
  <c r="D635" i="1"/>
  <c r="C50" i="1"/>
  <c r="C117" i="1"/>
  <c r="C490" i="1"/>
  <c r="C205" i="1"/>
  <c r="C34" i="1"/>
  <c r="C335" i="1"/>
  <c r="C472" i="1"/>
  <c r="C650" i="1"/>
  <c r="C279" i="1"/>
  <c r="C458" i="1"/>
  <c r="C15" i="1"/>
  <c r="C643" i="1"/>
  <c r="C507" i="1"/>
  <c r="C463" i="1"/>
  <c r="C454" i="1"/>
  <c r="C131" i="1"/>
  <c r="C384" i="1"/>
  <c r="C81" i="1"/>
  <c r="C329" i="1"/>
  <c r="C10" i="1"/>
  <c r="C299" i="1"/>
  <c r="C197" i="1"/>
  <c r="C152" i="1"/>
  <c r="C353" i="1"/>
  <c r="C456" i="1"/>
  <c r="C635" i="1"/>
  <c r="C395" i="1"/>
  <c r="C380" i="1"/>
  <c r="C455" i="1"/>
  <c r="C67" i="1"/>
  <c r="C157" i="1"/>
  <c r="C48" i="1"/>
  <c r="C228" i="1"/>
  <c r="C405" i="1"/>
  <c r="C334" i="1"/>
  <c r="C484" i="1"/>
  <c r="C199" i="1"/>
  <c r="C109" i="1"/>
  <c r="C351" i="1"/>
  <c r="C201" i="1"/>
  <c r="D407" i="1"/>
  <c r="D348" i="1"/>
  <c r="D490" i="1"/>
  <c r="D618" i="1"/>
  <c r="D620" i="1"/>
  <c r="D238" i="1"/>
  <c r="D30" i="1"/>
  <c r="D228" i="1"/>
  <c r="D148" i="1"/>
  <c r="D427" i="1"/>
  <c r="D237" i="1"/>
  <c r="D234" i="1"/>
  <c r="C264" i="1"/>
  <c r="C259" i="1"/>
  <c r="C234" i="1"/>
  <c r="C96" i="1"/>
  <c r="C274" i="1"/>
  <c r="C193" i="1"/>
  <c r="C375" i="1"/>
  <c r="C134" i="1"/>
  <c r="C248" i="1"/>
  <c r="C658" i="1"/>
  <c r="C468" i="1"/>
  <c r="C361" i="1"/>
  <c r="C87" i="1"/>
  <c r="C462" i="1"/>
  <c r="C269" i="1"/>
  <c r="C200" i="1"/>
  <c r="C212" i="1"/>
  <c r="C623" i="1"/>
  <c r="C46" i="1"/>
  <c r="C250" i="1"/>
  <c r="C84" i="1"/>
  <c r="C91" i="1"/>
  <c r="C187" i="1"/>
  <c r="C210" i="1"/>
  <c r="C252" i="1"/>
  <c r="C480" i="1"/>
  <c r="C326" i="1"/>
  <c r="C387" i="1"/>
  <c r="C616" i="1"/>
  <c r="C408" i="1"/>
  <c r="C14" i="1"/>
  <c r="C82" i="1"/>
  <c r="C7" i="1"/>
  <c r="C327" i="1"/>
  <c r="C63" i="1"/>
  <c r="C37" i="1"/>
  <c r="C214" i="1"/>
  <c r="C341" i="1"/>
  <c r="C352" i="1"/>
  <c r="C111" i="1"/>
  <c r="C333" i="1"/>
  <c r="C636" i="1"/>
  <c r="D309" i="1"/>
  <c r="D129" i="1"/>
  <c r="D29" i="1"/>
  <c r="D629" i="1"/>
  <c r="D633" i="1"/>
  <c r="D356" i="1"/>
  <c r="D143" i="1"/>
  <c r="D395" i="1"/>
  <c r="D381" i="1"/>
  <c r="D161" i="1"/>
  <c r="D32" i="1"/>
  <c r="D82" i="1"/>
  <c r="D383" i="1"/>
  <c r="D414" i="1"/>
  <c r="D7" i="1"/>
  <c r="D486" i="1"/>
  <c r="D245" i="1"/>
  <c r="D71" i="1"/>
  <c r="D448" i="1"/>
  <c r="D473" i="1"/>
  <c r="D260" i="1"/>
  <c r="D341" i="1"/>
  <c r="D199" i="1"/>
  <c r="D351" i="1"/>
  <c r="D201" i="1"/>
  <c r="C368" i="1"/>
  <c r="C261" i="1"/>
  <c r="C397" i="1"/>
  <c r="C423" i="1"/>
  <c r="C216" i="1"/>
  <c r="C263" i="1"/>
  <c r="C126" i="1"/>
  <c r="C55" i="1"/>
  <c r="C185" i="1"/>
  <c r="C500" i="1"/>
  <c r="C223" i="1"/>
  <c r="C358" i="1"/>
  <c r="C54" i="1"/>
  <c r="C52" i="1"/>
  <c r="C56" i="1"/>
  <c r="C182" i="1"/>
  <c r="C58" i="1"/>
  <c r="C620" i="1"/>
  <c r="C238" i="1"/>
  <c r="C634" i="1"/>
  <c r="C633" i="1"/>
  <c r="C288" i="1"/>
  <c r="C175" i="1"/>
  <c r="C278" i="1"/>
  <c r="C137" i="1"/>
  <c r="C6" i="1"/>
  <c r="C172" i="1"/>
  <c r="C434" i="1"/>
  <c r="C502" i="1"/>
  <c r="C483" i="1"/>
  <c r="C448" i="1"/>
  <c r="C637" i="1"/>
  <c r="C323" i="1"/>
  <c r="C377" i="1"/>
  <c r="C236" i="1"/>
  <c r="C282" i="1"/>
  <c r="D373" i="1"/>
  <c r="D318" i="1"/>
  <c r="D291" i="1"/>
  <c r="D133" i="1"/>
  <c r="D634" i="1"/>
  <c r="D387" i="1"/>
  <c r="D23" i="1"/>
  <c r="D117" i="1"/>
  <c r="D36" i="1"/>
  <c r="D132" i="1"/>
  <c r="D130" i="1"/>
  <c r="D327" i="1"/>
  <c r="D63" i="1"/>
  <c r="D336" i="1"/>
  <c r="D374" i="1"/>
  <c r="D483" i="1"/>
  <c r="D378" i="1"/>
  <c r="D139" i="1"/>
  <c r="D466" i="1"/>
  <c r="D460" i="1"/>
  <c r="C474" i="1"/>
  <c r="C452" i="1"/>
  <c r="C270" i="1"/>
  <c r="C340" i="1"/>
  <c r="C440" i="1"/>
  <c r="C438" i="1"/>
  <c r="C419" i="1"/>
  <c r="C626" i="1"/>
  <c r="C295" i="1"/>
  <c r="C461" i="1"/>
  <c r="C409" i="1"/>
  <c r="C639" i="1"/>
  <c r="C224" i="1"/>
  <c r="C242" i="1"/>
  <c r="C57" i="1"/>
  <c r="C240" i="1"/>
  <c r="C284" i="1"/>
  <c r="C322" i="1"/>
  <c r="C219" i="1"/>
  <c r="C102" i="1"/>
  <c r="C306" i="1"/>
  <c r="C509" i="1"/>
  <c r="C481" i="1"/>
  <c r="C171" i="1"/>
  <c r="C492" i="1"/>
  <c r="C649" i="1"/>
  <c r="C151" i="1"/>
  <c r="C344" i="1"/>
  <c r="C180" i="1"/>
  <c r="C449" i="1"/>
  <c r="C470" i="1"/>
  <c r="C22" i="1"/>
  <c r="C631" i="1"/>
  <c r="C418" i="1"/>
  <c r="C66" i="1"/>
  <c r="C146" i="1"/>
  <c r="C142" i="1"/>
  <c r="C153" i="1"/>
  <c r="C190" i="1"/>
  <c r="C60" i="1"/>
  <c r="C72" i="1"/>
  <c r="C647" i="1"/>
  <c r="C428" i="1"/>
  <c r="D355" i="1"/>
  <c r="D122" i="1"/>
  <c r="D344" i="1"/>
  <c r="D244" i="1"/>
  <c r="D642" i="1"/>
  <c r="D198" i="1"/>
  <c r="C164" i="1"/>
  <c r="C85" i="1"/>
  <c r="C133" i="1"/>
  <c r="C198" i="1"/>
  <c r="C424" i="1"/>
  <c r="C376" i="1"/>
  <c r="C296" i="1"/>
  <c r="C225" i="1"/>
  <c r="C12" i="1"/>
  <c r="C230" i="1"/>
  <c r="C249" i="1"/>
  <c r="C104" i="1"/>
  <c r="C393" i="1"/>
  <c r="C141" i="1"/>
  <c r="C243" i="1"/>
  <c r="C476" i="1"/>
  <c r="C388" i="1"/>
  <c r="C285" i="1"/>
  <c r="C618" i="1"/>
  <c r="C420" i="1"/>
  <c r="C349" i="1"/>
  <c r="C76" i="1"/>
  <c r="C503" i="1"/>
  <c r="C525" i="1"/>
  <c r="C541" i="1"/>
  <c r="C557" i="1"/>
  <c r="C573" i="1"/>
  <c r="C589" i="1"/>
  <c r="C526" i="1"/>
  <c r="C542" i="1"/>
  <c r="C558" i="1"/>
  <c r="C574" i="1"/>
  <c r="C590" i="1"/>
  <c r="C527" i="1"/>
  <c r="C543" i="1"/>
  <c r="C559" i="1"/>
  <c r="C575" i="1"/>
  <c r="C591" i="1"/>
  <c r="C528" i="1"/>
  <c r="C544" i="1"/>
  <c r="C560" i="1"/>
  <c r="C576" i="1"/>
  <c r="C592" i="1"/>
  <c r="C514" i="1"/>
  <c r="C530" i="1"/>
  <c r="C546" i="1"/>
  <c r="C562" i="1"/>
  <c r="C578" i="1"/>
  <c r="C594" i="1"/>
  <c r="C515" i="1"/>
  <c r="C531" i="1"/>
  <c r="C547" i="1"/>
  <c r="C563" i="1"/>
  <c r="C579" i="1"/>
  <c r="C595" i="1"/>
  <c r="C516" i="1"/>
  <c r="C532" i="1"/>
  <c r="C548" i="1"/>
  <c r="C564" i="1"/>
  <c r="C580" i="1"/>
  <c r="C596" i="1"/>
  <c r="C517" i="1"/>
  <c r="C533" i="1"/>
  <c r="C549" i="1"/>
  <c r="C565" i="1"/>
  <c r="C581" i="1"/>
  <c r="C597" i="1"/>
  <c r="C519" i="1"/>
  <c r="C535" i="1"/>
  <c r="C551" i="1"/>
  <c r="C567" i="1"/>
  <c r="C583" i="1"/>
  <c r="C599" i="1"/>
  <c r="C513" i="1"/>
  <c r="C552" i="1"/>
  <c r="C586" i="1"/>
  <c r="C518" i="1"/>
  <c r="C553" i="1"/>
  <c r="C587" i="1"/>
  <c r="C520" i="1"/>
  <c r="C554" i="1"/>
  <c r="C588" i="1"/>
  <c r="C521" i="1"/>
  <c r="C555" i="1"/>
  <c r="C593" i="1"/>
  <c r="C522" i="1"/>
  <c r="C556" i="1"/>
  <c r="C598" i="1"/>
  <c r="C523" i="1"/>
  <c r="C561" i="1"/>
  <c r="C600" i="1"/>
  <c r="C524" i="1"/>
  <c r="C566" i="1"/>
  <c r="C601" i="1"/>
  <c r="C529" i="1"/>
  <c r="C568" i="1"/>
  <c r="C534" i="1"/>
  <c r="C569" i="1"/>
  <c r="C536" i="1"/>
  <c r="C570" i="1"/>
  <c r="C537" i="1"/>
  <c r="C571" i="1"/>
  <c r="C584" i="1"/>
  <c r="C538" i="1"/>
  <c r="C572" i="1"/>
  <c r="C545" i="1"/>
  <c r="C539" i="1"/>
  <c r="C577" i="1"/>
  <c r="C540" i="1"/>
  <c r="C582" i="1"/>
  <c r="C550" i="1"/>
  <c r="C585" i="1"/>
  <c r="C256" i="1"/>
  <c r="C41" i="1"/>
  <c r="C194" i="1"/>
  <c r="C103" i="1"/>
  <c r="C17" i="1"/>
  <c r="C221" i="1"/>
  <c r="C431" i="1"/>
  <c r="C208" i="1"/>
  <c r="C482" i="1"/>
  <c r="C432" i="1"/>
  <c r="C101" i="1"/>
  <c r="C603" i="1"/>
  <c r="C128" i="1"/>
  <c r="C651" i="1"/>
  <c r="C232" i="1"/>
  <c r="C469" i="1"/>
  <c r="C99" i="1"/>
  <c r="D254" i="1"/>
  <c r="D492" i="1"/>
  <c r="D446" i="1"/>
  <c r="D151" i="1"/>
  <c r="D630" i="1"/>
  <c r="D350" i="1"/>
  <c r="D113" i="1"/>
  <c r="D119" i="1"/>
  <c r="D366" i="1"/>
  <c r="D477" i="1"/>
  <c r="D98" i="1"/>
  <c r="D14" i="1"/>
  <c r="D97" i="1"/>
  <c r="D6" i="1"/>
  <c r="D617" i="1"/>
  <c r="D320" i="1"/>
  <c r="D499" i="1"/>
  <c r="D179" i="1"/>
  <c r="D415" i="1"/>
  <c r="D289" i="1"/>
  <c r="D281" i="1"/>
  <c r="D637" i="1"/>
  <c r="D166" i="1"/>
  <c r="D453" i="1"/>
  <c r="D636" i="1"/>
  <c r="C155" i="1"/>
  <c r="C43" i="1"/>
  <c r="C40" i="1"/>
  <c r="C265" i="1"/>
  <c r="C499" i="1"/>
  <c r="C443" i="1"/>
  <c r="C106" i="1"/>
  <c r="C165" i="1"/>
  <c r="C21" i="1"/>
  <c r="C416" i="1"/>
  <c r="C211" i="1"/>
  <c r="C371" i="1"/>
  <c r="C168" i="1"/>
  <c r="C204" i="1"/>
  <c r="C328" i="1"/>
  <c r="C345" i="1"/>
  <c r="C123" i="1"/>
  <c r="C360" i="1"/>
  <c r="C370" i="1"/>
  <c r="C177" i="1"/>
  <c r="C183" i="1"/>
  <c r="C632" i="1"/>
  <c r="C209" i="1"/>
  <c r="C174" i="1"/>
  <c r="C367" i="1"/>
  <c r="C495" i="1"/>
  <c r="C422" i="1"/>
  <c r="C75" i="1"/>
  <c r="C511" i="1"/>
  <c r="C619" i="1"/>
  <c r="C227" i="1"/>
  <c r="C441" i="1"/>
  <c r="C112" i="1"/>
  <c r="C136" i="1"/>
  <c r="C5" i="1"/>
  <c r="C135" i="1"/>
  <c r="C271" i="1"/>
  <c r="C159" i="1"/>
  <c r="C473" i="1"/>
  <c r="C382" i="1"/>
  <c r="C94" i="1"/>
  <c r="C237" i="1"/>
  <c r="D216" i="1"/>
  <c r="D301" i="1"/>
  <c r="D342" i="1"/>
  <c r="D346" i="1"/>
  <c r="D304" i="1"/>
  <c r="D274" i="1"/>
  <c r="D175" i="1"/>
  <c r="D508" i="1"/>
  <c r="D408" i="1"/>
  <c r="D278" i="1"/>
  <c r="D233" i="1"/>
  <c r="D434" i="1"/>
  <c r="D92" i="1"/>
  <c r="D272" i="1"/>
  <c r="D142" i="1"/>
  <c r="D255" i="1"/>
  <c r="D193" i="1"/>
  <c r="X23" i="1" l="1"/>
  <c r="X27" i="1"/>
  <c r="X11" i="1"/>
  <c r="Y2" i="1" a="1"/>
  <c r="Y2" i="1" s="1"/>
  <c r="Y4" i="1"/>
  <c r="Y5" i="1"/>
  <c r="AB4" i="1"/>
  <c r="AB2" i="1"/>
  <c r="AB3" i="1"/>
  <c r="Y3" i="1"/>
  <c r="AB5" i="1"/>
  <c r="X21" i="1"/>
  <c r="X13" i="1"/>
  <c r="X26" i="1"/>
  <c r="X22" i="1"/>
  <c r="X12" i="1"/>
  <c r="X8" i="1"/>
  <c r="X18" i="1"/>
  <c r="X16" i="1"/>
  <c r="X17" i="1"/>
  <c r="X9" i="1"/>
  <c r="X19" i="1"/>
  <c r="X24" i="1"/>
  <c r="X25" i="1"/>
  <c r="X15" i="1"/>
  <c r="X14" i="1"/>
  <c r="X20" i="1"/>
  <c r="X10" i="1"/>
  <c r="B522" i="1" l="1"/>
  <c r="B576" i="1"/>
  <c r="B596" i="1"/>
  <c r="B572" i="1"/>
  <c r="B521" i="1"/>
  <c r="B538" i="1"/>
  <c r="B542" i="1"/>
  <c r="B546" i="1"/>
  <c r="B584" i="1"/>
  <c r="B535" i="1"/>
  <c r="B567" i="1"/>
  <c r="B558" i="1"/>
  <c r="B540" i="1"/>
  <c r="B517" i="1"/>
  <c r="B588" i="1"/>
  <c r="B554" i="1"/>
  <c r="B552" i="1"/>
  <c r="B599" i="1"/>
  <c r="B551" i="1"/>
  <c r="B570" i="1"/>
  <c r="B574" i="1"/>
  <c r="B537" i="1"/>
  <c r="B515" i="1"/>
  <c r="B595" i="1"/>
  <c r="B586" i="1"/>
  <c r="B590" i="1"/>
  <c r="B556" i="1"/>
  <c r="B531" i="1"/>
  <c r="B533" i="1"/>
  <c r="B524" i="1"/>
  <c r="B527" i="1"/>
  <c r="B513" i="1"/>
  <c r="B547" i="1"/>
  <c r="B549" i="1"/>
  <c r="B523" i="1"/>
  <c r="B559" i="1"/>
  <c r="B529" i="1"/>
  <c r="B563" i="1"/>
  <c r="B565" i="1"/>
  <c r="B583" i="1"/>
  <c r="B591" i="1"/>
  <c r="B545" i="1"/>
  <c r="B581" i="1"/>
  <c r="B539" i="1"/>
  <c r="B579" i="1"/>
  <c r="B569" i="1"/>
  <c r="B555" i="1"/>
  <c r="B560" i="1"/>
  <c r="B561" i="1"/>
  <c r="B597" i="1"/>
  <c r="B571" i="1"/>
  <c r="B543" i="1"/>
  <c r="B577" i="1"/>
  <c r="B519" i="1"/>
  <c r="B568" i="1"/>
  <c r="B516" i="1"/>
  <c r="B548" i="1"/>
  <c r="B564" i="1"/>
  <c r="B587" i="1"/>
  <c r="B575" i="1"/>
  <c r="B593" i="1"/>
  <c r="B536" i="1"/>
  <c r="B553" i="1"/>
  <c r="B544" i="1"/>
  <c r="B514" i="1"/>
  <c r="B518" i="1"/>
  <c r="B573" i="1"/>
  <c r="B566" i="1"/>
  <c r="B525" i="1"/>
  <c r="B534" i="1"/>
  <c r="B585" i="1"/>
  <c r="B541" i="1"/>
  <c r="B592" i="1"/>
  <c r="B578" i="1"/>
  <c r="B532" i="1"/>
  <c r="B601" i="1"/>
  <c r="B557" i="1"/>
  <c r="B562" i="1"/>
  <c r="B600" i="1"/>
  <c r="B550" i="1"/>
  <c r="B589" i="1"/>
  <c r="B528" i="1"/>
  <c r="B530" i="1"/>
  <c r="B580" i="1"/>
  <c r="B582" i="1"/>
  <c r="B526" i="1"/>
  <c r="B594" i="1"/>
  <c r="B598" i="1"/>
  <c r="B520" i="1"/>
  <c r="N601" i="1" l="1"/>
  <c r="P601" i="1"/>
  <c r="N575" i="1"/>
  <c r="P575" i="1"/>
  <c r="N539" i="1"/>
  <c r="P539" i="1"/>
  <c r="N531" i="1"/>
  <c r="P531" i="1"/>
  <c r="N558" i="1"/>
  <c r="P558" i="1"/>
  <c r="N532" i="1"/>
  <c r="P532" i="1"/>
  <c r="N587" i="1"/>
  <c r="P587" i="1"/>
  <c r="N581" i="1"/>
  <c r="P581" i="1"/>
  <c r="N556" i="1"/>
  <c r="P556" i="1"/>
  <c r="N567" i="1"/>
  <c r="P567" i="1"/>
  <c r="N578" i="1"/>
  <c r="P578" i="1"/>
  <c r="N564" i="1"/>
  <c r="P564" i="1"/>
  <c r="N545" i="1"/>
  <c r="P545" i="1"/>
  <c r="N590" i="1"/>
  <c r="P590" i="1"/>
  <c r="N535" i="1"/>
  <c r="P535" i="1"/>
  <c r="N520" i="1"/>
  <c r="P520" i="1"/>
  <c r="P592" i="1"/>
  <c r="N592" i="1"/>
  <c r="N548" i="1"/>
  <c r="P548" i="1"/>
  <c r="N591" i="1"/>
  <c r="P591" i="1"/>
  <c r="N586" i="1"/>
  <c r="P586" i="1"/>
  <c r="P584" i="1"/>
  <c r="N584" i="1"/>
  <c r="N598" i="1"/>
  <c r="P598" i="1"/>
  <c r="N541" i="1"/>
  <c r="P541" i="1"/>
  <c r="N516" i="1"/>
  <c r="P516" i="1"/>
  <c r="P583" i="1"/>
  <c r="N583" i="1"/>
  <c r="P595" i="1"/>
  <c r="N595" i="1"/>
  <c r="N546" i="1"/>
  <c r="P546" i="1"/>
  <c r="P594" i="1"/>
  <c r="N594" i="1"/>
  <c r="P585" i="1"/>
  <c r="N585" i="1"/>
  <c r="N568" i="1"/>
  <c r="P568" i="1"/>
  <c r="N565" i="1"/>
  <c r="P565" i="1"/>
  <c r="N515" i="1"/>
  <c r="P515" i="1"/>
  <c r="N542" i="1"/>
  <c r="P542" i="1"/>
  <c r="N526" i="1"/>
  <c r="P526" i="1"/>
  <c r="N534" i="1"/>
  <c r="P534" i="1"/>
  <c r="N519" i="1"/>
  <c r="P519" i="1"/>
  <c r="N563" i="1"/>
  <c r="P563" i="1"/>
  <c r="N537" i="1"/>
  <c r="P537" i="1"/>
  <c r="N538" i="1"/>
  <c r="P538" i="1"/>
  <c r="N582" i="1"/>
  <c r="P582" i="1"/>
  <c r="N525" i="1"/>
  <c r="P525" i="1"/>
  <c r="P577" i="1"/>
  <c r="N577" i="1"/>
  <c r="N529" i="1"/>
  <c r="P529" i="1"/>
  <c r="P574" i="1"/>
  <c r="N574" i="1"/>
  <c r="N521" i="1"/>
  <c r="P521" i="1"/>
  <c r="P580" i="1"/>
  <c r="N580" i="1"/>
  <c r="N566" i="1"/>
  <c r="P566" i="1"/>
  <c r="N543" i="1"/>
  <c r="P543" i="1"/>
  <c r="N559" i="1"/>
  <c r="P559" i="1"/>
  <c r="P570" i="1"/>
  <c r="N570" i="1"/>
  <c r="P572" i="1"/>
  <c r="N572" i="1"/>
  <c r="N530" i="1"/>
  <c r="P530" i="1"/>
  <c r="N573" i="1"/>
  <c r="P573" i="1"/>
  <c r="P571" i="1"/>
  <c r="N571" i="1"/>
  <c r="N523" i="1"/>
  <c r="P523" i="1"/>
  <c r="N551" i="1"/>
  <c r="P551" i="1"/>
  <c r="P596" i="1"/>
  <c r="N596" i="1"/>
  <c r="N528" i="1"/>
  <c r="P528" i="1"/>
  <c r="N518" i="1"/>
  <c r="P518" i="1"/>
  <c r="P597" i="1"/>
  <c r="N597" i="1"/>
  <c r="N549" i="1"/>
  <c r="P549" i="1"/>
  <c r="P599" i="1"/>
  <c r="N599" i="1"/>
  <c r="N576" i="1"/>
  <c r="P576" i="1"/>
  <c r="P589" i="1"/>
  <c r="N589" i="1"/>
  <c r="N514" i="1"/>
  <c r="P514" i="1"/>
  <c r="N561" i="1"/>
  <c r="P561" i="1"/>
  <c r="N547" i="1"/>
  <c r="P547" i="1"/>
  <c r="N552" i="1"/>
  <c r="P552" i="1"/>
  <c r="N522" i="1"/>
  <c r="P522" i="1"/>
  <c r="N550" i="1"/>
  <c r="P550" i="1"/>
  <c r="N544" i="1"/>
  <c r="P544" i="1"/>
  <c r="N560" i="1"/>
  <c r="P560" i="1"/>
  <c r="N513" i="1"/>
  <c r="P513" i="1"/>
  <c r="N554" i="1"/>
  <c r="P554" i="1"/>
  <c r="N600" i="1"/>
  <c r="P600" i="1"/>
  <c r="N553" i="1"/>
  <c r="P553" i="1"/>
  <c r="N555" i="1"/>
  <c r="P555" i="1"/>
  <c r="N527" i="1"/>
  <c r="P527" i="1"/>
  <c r="P588" i="1"/>
  <c r="N588" i="1"/>
  <c r="N562" i="1"/>
  <c r="P562" i="1"/>
  <c r="N536" i="1"/>
  <c r="P536" i="1"/>
  <c r="N569" i="1"/>
  <c r="P569" i="1"/>
  <c r="N524" i="1"/>
  <c r="P524" i="1"/>
  <c r="N517" i="1"/>
  <c r="P517" i="1"/>
  <c r="N557" i="1"/>
  <c r="P557" i="1"/>
  <c r="P593" i="1"/>
  <c r="N593" i="1"/>
  <c r="N579" i="1"/>
  <c r="P579" i="1"/>
  <c r="N533" i="1"/>
  <c r="P533" i="1"/>
  <c r="N540" i="1"/>
  <c r="P540" i="1"/>
  <c r="B625" i="1" l="1"/>
  <c r="B497" i="1"/>
  <c r="B621" i="1"/>
  <c r="B70" i="1"/>
  <c r="B264" i="1"/>
  <c r="B619" i="1"/>
  <c r="B76" i="1"/>
  <c r="B607" i="1"/>
  <c r="B635" i="1"/>
  <c r="B627" i="1"/>
  <c r="B608" i="1"/>
  <c r="B604" i="1"/>
  <c r="B629" i="1"/>
  <c r="B407" i="1"/>
  <c r="B10" i="1"/>
  <c r="B450" i="1"/>
  <c r="B508" i="1"/>
  <c r="B86" i="1"/>
  <c r="B71" i="1"/>
  <c r="B422" i="1"/>
  <c r="B624" i="1"/>
  <c r="B311" i="1"/>
  <c r="B239" i="1"/>
  <c r="B116" i="1"/>
  <c r="B391" i="1"/>
  <c r="B345" i="1"/>
  <c r="B634" i="1"/>
  <c r="B374" i="1"/>
  <c r="B255" i="1"/>
  <c r="B626" i="1"/>
  <c r="B359" i="1"/>
  <c r="B616" i="1"/>
  <c r="B69" i="1"/>
  <c r="B444" i="1"/>
  <c r="B623" i="1"/>
  <c r="B605" i="1"/>
  <c r="B49" i="1"/>
  <c r="B43" i="1"/>
  <c r="B352" i="1"/>
  <c r="B291" i="1"/>
  <c r="B346" i="1"/>
  <c r="B504" i="1"/>
  <c r="B388" i="1"/>
  <c r="B312" i="1"/>
  <c r="B59" i="1"/>
  <c r="B449" i="1"/>
  <c r="B615" i="1"/>
  <c r="B511" i="1"/>
  <c r="B65" i="1"/>
  <c r="B98" i="1"/>
  <c r="B617" i="1"/>
  <c r="B638" i="1"/>
  <c r="B603" i="1"/>
  <c r="B340" i="1"/>
  <c r="B637" i="1"/>
  <c r="B72" i="1"/>
  <c r="B356" i="1"/>
  <c r="B441" i="1"/>
  <c r="B64" i="1"/>
  <c r="N64" i="1" s="1"/>
  <c r="B81" i="1"/>
  <c r="B636" i="1"/>
  <c r="B101" i="1"/>
  <c r="B628" i="1"/>
  <c r="N65" i="1" l="1"/>
  <c r="P65" i="1"/>
  <c r="N69" i="1"/>
  <c r="P69" i="1"/>
  <c r="N508" i="1"/>
  <c r="P508" i="1"/>
  <c r="P607" i="1"/>
  <c r="N607" i="1"/>
  <c r="P511" i="1"/>
  <c r="N511" i="1"/>
  <c r="P616" i="1"/>
  <c r="N616" i="1"/>
  <c r="N450" i="1"/>
  <c r="P450" i="1"/>
  <c r="N76" i="1"/>
  <c r="P76" i="1"/>
  <c r="P628" i="1"/>
  <c r="N628" i="1"/>
  <c r="P615" i="1"/>
  <c r="N615" i="1"/>
  <c r="P359" i="1"/>
  <c r="N359" i="1"/>
  <c r="N10" i="1"/>
  <c r="N101" i="1"/>
  <c r="P101" i="1"/>
  <c r="N449" i="1"/>
  <c r="P449" i="1"/>
  <c r="P626" i="1"/>
  <c r="N626" i="1"/>
  <c r="N407" i="1"/>
  <c r="P407" i="1"/>
  <c r="P636" i="1"/>
  <c r="N636" i="1"/>
  <c r="N59" i="1"/>
  <c r="P59" i="1"/>
  <c r="N255" i="1"/>
  <c r="P255" i="1"/>
  <c r="P629" i="1"/>
  <c r="N629" i="1"/>
  <c r="N81" i="1"/>
  <c r="P81" i="1"/>
  <c r="N312" i="1"/>
  <c r="P312" i="1"/>
  <c r="N374" i="1"/>
  <c r="P374" i="1"/>
  <c r="P604" i="1"/>
  <c r="N604" i="1"/>
  <c r="N388" i="1"/>
  <c r="P388" i="1"/>
  <c r="P634" i="1"/>
  <c r="N634" i="1"/>
  <c r="P608" i="1"/>
  <c r="N608" i="1"/>
  <c r="N441" i="1"/>
  <c r="P441" i="1"/>
  <c r="N504" i="1"/>
  <c r="P504" i="1"/>
  <c r="N345" i="1"/>
  <c r="P345" i="1"/>
  <c r="P627" i="1"/>
  <c r="N627" i="1"/>
  <c r="N356" i="1"/>
  <c r="P356" i="1"/>
  <c r="N346" i="1"/>
  <c r="P346" i="1"/>
  <c r="N391" i="1"/>
  <c r="P391" i="1"/>
  <c r="P619" i="1"/>
  <c r="N619" i="1"/>
  <c r="N72" i="1"/>
  <c r="P72" i="1"/>
  <c r="N291" i="1"/>
  <c r="P291" i="1"/>
  <c r="N116" i="1"/>
  <c r="P116" i="1"/>
  <c r="N264" i="1"/>
  <c r="P264" i="1"/>
  <c r="P637" i="1"/>
  <c r="N637" i="1"/>
  <c r="N352" i="1"/>
  <c r="P352" i="1"/>
  <c r="N239" i="1"/>
  <c r="P239" i="1"/>
  <c r="N70" i="1"/>
  <c r="P70" i="1"/>
  <c r="N340" i="1"/>
  <c r="P340" i="1"/>
  <c r="N43" i="1"/>
  <c r="N311" i="1"/>
  <c r="P311" i="1"/>
  <c r="P621" i="1"/>
  <c r="N621" i="1"/>
  <c r="P603" i="1"/>
  <c r="N603" i="1"/>
  <c r="N49" i="1"/>
  <c r="P49" i="1"/>
  <c r="P624" i="1"/>
  <c r="N624" i="1"/>
  <c r="N497" i="1"/>
  <c r="P497" i="1"/>
  <c r="P638" i="1"/>
  <c r="N638" i="1"/>
  <c r="P605" i="1"/>
  <c r="N605" i="1"/>
  <c r="N422" i="1"/>
  <c r="P422" i="1"/>
  <c r="P617" i="1"/>
  <c r="N617" i="1"/>
  <c r="P623" i="1"/>
  <c r="N623" i="1"/>
  <c r="N71" i="1"/>
  <c r="P71" i="1"/>
  <c r="P625" i="1"/>
  <c r="N625" i="1"/>
  <c r="N98" i="1"/>
  <c r="P98" i="1"/>
  <c r="N444" i="1"/>
  <c r="P444" i="1"/>
  <c r="N86" i="1"/>
  <c r="P86" i="1"/>
  <c r="P635" i="1"/>
  <c r="N635" i="1"/>
  <c r="B7" i="1"/>
  <c r="B257" i="1"/>
  <c r="B460" i="1"/>
  <c r="B299" i="1"/>
  <c r="B175" i="1"/>
  <c r="B77" i="1"/>
  <c r="B341" i="1"/>
  <c r="B323" i="1"/>
  <c r="B457" i="1"/>
  <c r="B280" i="1"/>
  <c r="B378" i="1"/>
  <c r="B62" i="1"/>
  <c r="B252" i="1"/>
  <c r="B334" i="1"/>
  <c r="B284" i="1"/>
  <c r="B403" i="1"/>
  <c r="B493" i="1"/>
  <c r="B34" i="1"/>
  <c r="N34" i="1" s="1"/>
  <c r="B399" i="1"/>
  <c r="B224" i="1"/>
  <c r="B458" i="1"/>
  <c r="B333" i="1"/>
  <c r="B263" i="1"/>
  <c r="B602" i="1"/>
  <c r="B452" i="1"/>
  <c r="B297" i="1"/>
  <c r="B648" i="1"/>
  <c r="B338" i="1"/>
  <c r="B218" i="1"/>
  <c r="B290" i="1"/>
  <c r="B646" i="1"/>
  <c r="B453" i="1"/>
  <c r="B445" i="1"/>
  <c r="B87" i="1"/>
  <c r="B344" i="1"/>
  <c r="B413" i="1"/>
  <c r="B313" i="1"/>
  <c r="B418" i="1"/>
  <c r="B365" i="1"/>
  <c r="B414" i="1"/>
  <c r="B354" i="1"/>
  <c r="B259" i="1"/>
  <c r="B163" i="1"/>
  <c r="B97" i="1"/>
  <c r="B342" i="1"/>
  <c r="B160" i="1"/>
  <c r="B120" i="1"/>
  <c r="N120" i="1" s="1"/>
  <c r="B84" i="1"/>
  <c r="B287" i="1"/>
  <c r="B456" i="1"/>
  <c r="B412" i="1"/>
  <c r="B18" i="1"/>
  <c r="B173" i="1"/>
  <c r="B305" i="1"/>
  <c r="B320" i="1"/>
  <c r="B273" i="1"/>
  <c r="B140" i="1"/>
  <c r="B90" i="1"/>
  <c r="B301" i="1"/>
  <c r="B451" i="1"/>
  <c r="B298" i="1"/>
  <c r="B448" i="1"/>
  <c r="B203" i="1"/>
  <c r="B185" i="1"/>
  <c r="B415" i="1"/>
  <c r="B433" i="1"/>
  <c r="B21" i="1"/>
  <c r="B440" i="1"/>
  <c r="B296" i="1"/>
  <c r="B150" i="1"/>
  <c r="B270" i="1"/>
  <c r="B95" i="1"/>
  <c r="B649" i="1"/>
  <c r="B45" i="1"/>
  <c r="B243" i="1"/>
  <c r="B55" i="1"/>
  <c r="B138" i="1"/>
  <c r="B93" i="1"/>
  <c r="B360" i="1"/>
  <c r="B131" i="1"/>
  <c r="B467" i="1"/>
  <c r="B106" i="1"/>
  <c r="B486" i="1"/>
  <c r="B347" i="1"/>
  <c r="B397" i="1"/>
  <c r="B201" i="1"/>
  <c r="B383" i="1"/>
  <c r="B316" i="1"/>
  <c r="B283" i="1"/>
  <c r="B494" i="1"/>
  <c r="B83" i="1"/>
  <c r="B376" i="1"/>
  <c r="B105" i="1"/>
  <c r="B199" i="1"/>
  <c r="N199" i="1" s="1"/>
  <c r="B37" i="1"/>
  <c r="B258" i="1"/>
  <c r="B471" i="1"/>
  <c r="B268" i="1"/>
  <c r="B463" i="1"/>
  <c r="B656" i="1"/>
  <c r="B202" i="1"/>
  <c r="B489" i="1"/>
  <c r="B437" i="1"/>
  <c r="B58" i="1"/>
  <c r="B294" i="1"/>
  <c r="B420" i="1"/>
  <c r="B111" i="1"/>
  <c r="N111" i="1" s="1"/>
  <c r="B409" i="1"/>
  <c r="B217" i="1"/>
  <c r="B82" i="1"/>
  <c r="B498" i="1"/>
  <c r="B468" i="1"/>
  <c r="B3" i="1"/>
  <c r="N3" i="1" s="1"/>
  <c r="B651" i="1"/>
  <c r="B367" i="1"/>
  <c r="B47" i="1"/>
  <c r="B244" i="1"/>
  <c r="B483" i="1"/>
  <c r="B309" i="1"/>
  <c r="B88" i="1"/>
  <c r="B475" i="1"/>
  <c r="B179" i="1"/>
  <c r="N179" i="1" s="1"/>
  <c r="B411" i="1"/>
  <c r="B256" i="1"/>
  <c r="B426" i="1"/>
  <c r="B207" i="1"/>
  <c r="B370" i="1"/>
  <c r="B162" i="1"/>
  <c r="B632" i="1"/>
  <c r="B210" i="1"/>
  <c r="B464" i="1"/>
  <c r="B398" i="1"/>
  <c r="B158" i="1"/>
  <c r="B74" i="1"/>
  <c r="B248" i="1"/>
  <c r="B633" i="1"/>
  <c r="B12" i="1"/>
  <c r="B152" i="1"/>
  <c r="B137" i="1"/>
  <c r="N137" i="1" s="1"/>
  <c r="B115" i="1"/>
  <c r="B454" i="1"/>
  <c r="B265" i="1"/>
  <c r="B30" i="1"/>
  <c r="B215" i="1"/>
  <c r="B355" i="1"/>
  <c r="B339" i="1"/>
  <c r="B108" i="1"/>
  <c r="N108" i="1" s="1"/>
  <c r="B382" i="1"/>
  <c r="B154" i="1"/>
  <c r="B229" i="1"/>
  <c r="N229" i="1" s="1"/>
  <c r="B434" i="1"/>
  <c r="B161" i="1"/>
  <c r="B167" i="1"/>
  <c r="N167" i="1" s="1"/>
  <c r="B272" i="1"/>
  <c r="B191" i="1"/>
  <c r="B213" i="1"/>
  <c r="N213" i="1" s="1"/>
  <c r="B402" i="1"/>
  <c r="B314" i="1"/>
  <c r="B307" i="1"/>
  <c r="B262" i="1"/>
  <c r="B194" i="1"/>
  <c r="N194" i="1" s="1"/>
  <c r="B510" i="1"/>
  <c r="B332" i="1"/>
  <c r="B96" i="1"/>
  <c r="B31" i="1"/>
  <c r="B295" i="1"/>
  <c r="B645" i="1"/>
  <c r="B459" i="1"/>
  <c r="B11" i="1"/>
  <c r="B512" i="1"/>
  <c r="B643" i="1"/>
  <c r="B186" i="1"/>
  <c r="B650" i="1"/>
  <c r="B484" i="1"/>
  <c r="B180" i="1"/>
  <c r="B286" i="1"/>
  <c r="B326" i="1"/>
  <c r="B39" i="1"/>
  <c r="B622" i="1"/>
  <c r="B321" i="1"/>
  <c r="B614" i="1"/>
  <c r="B362" i="1"/>
  <c r="B507" i="1"/>
  <c r="B319" i="1"/>
  <c r="B67" i="1"/>
  <c r="B212" i="1"/>
  <c r="N212" i="1" s="1"/>
  <c r="B653" i="1"/>
  <c r="B143" i="1"/>
  <c r="B385" i="1"/>
  <c r="B238" i="1"/>
  <c r="B17" i="1"/>
  <c r="B63" i="1"/>
  <c r="B364" i="1"/>
  <c r="B129" i="1"/>
  <c r="B288" i="1"/>
  <c r="B107" i="1"/>
  <c r="B110" i="1"/>
  <c r="B410" i="1"/>
  <c r="B80" i="1"/>
  <c r="B501" i="1"/>
  <c r="B32" i="1"/>
  <c r="B228" i="1"/>
  <c r="B68" i="1"/>
  <c r="B304" i="1"/>
  <c r="B183" i="1"/>
  <c r="B118" i="1"/>
  <c r="N118" i="1" s="1"/>
  <c r="B170" i="1"/>
  <c r="B282" i="1"/>
  <c r="B479" i="1"/>
  <c r="B325" i="1"/>
  <c r="B223" i="1"/>
  <c r="B6" i="1"/>
  <c r="B132" i="1"/>
  <c r="B182" i="1"/>
  <c r="B336" i="1"/>
  <c r="B112" i="1"/>
  <c r="B461" i="1"/>
  <c r="B443" i="1"/>
  <c r="B358" i="1"/>
  <c r="B237" i="1"/>
  <c r="B300" i="1"/>
  <c r="B639" i="1"/>
  <c r="B2" i="1"/>
  <c r="B231" i="1"/>
  <c r="B465" i="1"/>
  <c r="B357" i="1"/>
  <c r="B128" i="1"/>
  <c r="N461" i="1" l="1"/>
  <c r="P461" i="1"/>
  <c r="N32" i="1"/>
  <c r="P31" i="1"/>
  <c r="N67" i="1"/>
  <c r="P67" i="1"/>
  <c r="N11" i="1"/>
  <c r="N272" i="1"/>
  <c r="P272" i="1"/>
  <c r="N370" i="1"/>
  <c r="P370" i="1"/>
  <c r="P498" i="1"/>
  <c r="N498" i="1"/>
  <c r="N37" i="1"/>
  <c r="N131" i="1"/>
  <c r="P131" i="1"/>
  <c r="N185" i="1"/>
  <c r="P185" i="1"/>
  <c r="N287" i="1"/>
  <c r="P287" i="1"/>
  <c r="N338" i="1"/>
  <c r="P338" i="1"/>
  <c r="N175" i="1"/>
  <c r="P175" i="1"/>
  <c r="P112" i="1"/>
  <c r="N112" i="1"/>
  <c r="N501" i="1"/>
  <c r="P501" i="1"/>
  <c r="P319" i="1"/>
  <c r="N319" i="1"/>
  <c r="N459" i="1"/>
  <c r="P459" i="1"/>
  <c r="N152" i="1"/>
  <c r="P152" i="1"/>
  <c r="N207" i="1"/>
  <c r="P207" i="1"/>
  <c r="N82" i="1"/>
  <c r="P82" i="1"/>
  <c r="P360" i="1"/>
  <c r="N360" i="1"/>
  <c r="P203" i="1"/>
  <c r="N203" i="1"/>
  <c r="P648" i="1"/>
  <c r="N648" i="1"/>
  <c r="N299" i="1"/>
  <c r="P299" i="1"/>
  <c r="P336" i="1"/>
  <c r="N336" i="1"/>
  <c r="N80" i="1"/>
  <c r="P80" i="1"/>
  <c r="N507" i="1"/>
  <c r="P507" i="1"/>
  <c r="P645" i="1"/>
  <c r="N645" i="1"/>
  <c r="N161" i="1"/>
  <c r="P161" i="1"/>
  <c r="N12" i="1"/>
  <c r="P426" i="1"/>
  <c r="N426" i="1"/>
  <c r="N217" i="1"/>
  <c r="P217" i="1"/>
  <c r="N105" i="1"/>
  <c r="P105" i="1"/>
  <c r="N93" i="1"/>
  <c r="P93" i="1"/>
  <c r="N448" i="1"/>
  <c r="P448" i="1"/>
  <c r="P418" i="1"/>
  <c r="N418" i="1"/>
  <c r="P403" i="1"/>
  <c r="N403" i="1"/>
  <c r="P182" i="1"/>
  <c r="N182" i="1"/>
  <c r="N410" i="1"/>
  <c r="P410" i="1"/>
  <c r="P362" i="1"/>
  <c r="N362" i="1"/>
  <c r="N295" i="1"/>
  <c r="P295" i="1"/>
  <c r="N434" i="1"/>
  <c r="P434" i="1"/>
  <c r="P633" i="1"/>
  <c r="N633" i="1"/>
  <c r="P256" i="1"/>
  <c r="N256" i="1"/>
  <c r="N409" i="1"/>
  <c r="P409" i="1"/>
  <c r="N376" i="1"/>
  <c r="P376" i="1"/>
  <c r="N138" i="1"/>
  <c r="P138" i="1"/>
  <c r="N298" i="1"/>
  <c r="P298" i="1"/>
  <c r="P313" i="1"/>
  <c r="N313" i="1"/>
  <c r="P297" i="1"/>
  <c r="N297" i="1"/>
  <c r="N284" i="1"/>
  <c r="P284" i="1"/>
  <c r="N132" i="1"/>
  <c r="P132" i="1"/>
  <c r="N110" i="1"/>
  <c r="P110" i="1"/>
  <c r="P614" i="1"/>
  <c r="N614" i="1"/>
  <c r="N31" i="1"/>
  <c r="P30" i="1"/>
  <c r="N248" i="1"/>
  <c r="P248" i="1"/>
  <c r="N411" i="1"/>
  <c r="P411" i="1"/>
  <c r="N83" i="1"/>
  <c r="P83" i="1"/>
  <c r="N55" i="1"/>
  <c r="P55" i="1"/>
  <c r="N451" i="1"/>
  <c r="P451" i="1"/>
  <c r="N84" i="1"/>
  <c r="P84" i="1"/>
  <c r="N413" i="1"/>
  <c r="P413" i="1"/>
  <c r="P452" i="1"/>
  <c r="N452" i="1"/>
  <c r="P334" i="1"/>
  <c r="N334" i="1"/>
  <c r="N6" i="1"/>
  <c r="P6" i="1"/>
  <c r="N107" i="1"/>
  <c r="P107" i="1"/>
  <c r="N321" i="1"/>
  <c r="P321" i="1"/>
  <c r="N96" i="1"/>
  <c r="P96" i="1"/>
  <c r="N154" i="1"/>
  <c r="P154" i="1"/>
  <c r="N74" i="1"/>
  <c r="P74" i="1"/>
  <c r="N420" i="1"/>
  <c r="P420" i="1"/>
  <c r="N494" i="1"/>
  <c r="P494" i="1"/>
  <c r="N243" i="1"/>
  <c r="P243" i="1"/>
  <c r="P301" i="1"/>
  <c r="N301" i="1"/>
  <c r="P344" i="1"/>
  <c r="N344" i="1"/>
  <c r="P602" i="1"/>
  <c r="N602" i="1"/>
  <c r="N252" i="1"/>
  <c r="P252" i="1"/>
  <c r="N223" i="1"/>
  <c r="P223" i="1"/>
  <c r="N288" i="1"/>
  <c r="P288" i="1"/>
  <c r="P622" i="1"/>
  <c r="N622" i="1"/>
  <c r="P332" i="1"/>
  <c r="N332" i="1"/>
  <c r="N382" i="1"/>
  <c r="P382" i="1"/>
  <c r="P158" i="1"/>
  <c r="N158" i="1"/>
  <c r="N475" i="1"/>
  <c r="P475" i="1"/>
  <c r="P294" i="1"/>
  <c r="N294" i="1"/>
  <c r="N45" i="1"/>
  <c r="P45" i="1"/>
  <c r="N90" i="1"/>
  <c r="P90" i="1"/>
  <c r="N160" i="1"/>
  <c r="P160" i="1"/>
  <c r="N87" i="1"/>
  <c r="P87" i="1"/>
  <c r="N263" i="1"/>
  <c r="P263" i="1"/>
  <c r="N62" i="1"/>
  <c r="P62" i="1"/>
  <c r="N357" i="1"/>
  <c r="P357" i="1"/>
  <c r="N325" i="1"/>
  <c r="P325" i="1"/>
  <c r="N129" i="1"/>
  <c r="P129" i="1"/>
  <c r="N39" i="1"/>
  <c r="N510" i="1"/>
  <c r="P510" i="1"/>
  <c r="N398" i="1"/>
  <c r="P398" i="1"/>
  <c r="N88" i="1"/>
  <c r="P88" i="1"/>
  <c r="N58" i="1"/>
  <c r="P58" i="1"/>
  <c r="N283" i="1"/>
  <c r="P283" i="1"/>
  <c r="P649" i="1"/>
  <c r="N649" i="1"/>
  <c r="N342" i="1"/>
  <c r="P342" i="1"/>
  <c r="N333" i="1"/>
  <c r="P333" i="1"/>
  <c r="N378" i="1"/>
  <c r="P378" i="1"/>
  <c r="N128" i="1"/>
  <c r="P128" i="1"/>
  <c r="N465" i="1"/>
  <c r="P465" i="1"/>
  <c r="N479" i="1"/>
  <c r="P479" i="1"/>
  <c r="P364" i="1"/>
  <c r="N364" i="1"/>
  <c r="N326" i="1"/>
  <c r="P326" i="1"/>
  <c r="P339" i="1"/>
  <c r="N339" i="1"/>
  <c r="N464" i="1"/>
  <c r="P464" i="1"/>
  <c r="P309" i="1"/>
  <c r="N309" i="1"/>
  <c r="P437" i="1"/>
  <c r="N437" i="1"/>
  <c r="N316" i="1"/>
  <c r="P316" i="1"/>
  <c r="N95" i="1"/>
  <c r="P95" i="1"/>
  <c r="N140" i="1"/>
  <c r="P140" i="1"/>
  <c r="N97" i="1"/>
  <c r="P97" i="1"/>
  <c r="P280" i="1"/>
  <c r="N280" i="1"/>
  <c r="N231" i="1"/>
  <c r="P231" i="1"/>
  <c r="N282" i="1"/>
  <c r="P282" i="1"/>
  <c r="N63" i="1"/>
  <c r="P63" i="1"/>
  <c r="N286" i="1"/>
  <c r="P286" i="1"/>
  <c r="N355" i="1"/>
  <c r="P355" i="1"/>
  <c r="N210" i="1"/>
  <c r="P210" i="1"/>
  <c r="P483" i="1"/>
  <c r="N483" i="1"/>
  <c r="N489" i="1"/>
  <c r="P489" i="1"/>
  <c r="N383" i="1"/>
  <c r="P383" i="1"/>
  <c r="N270" i="1"/>
  <c r="P270" i="1"/>
  <c r="N273" i="1"/>
  <c r="P273" i="1"/>
  <c r="N163" i="1"/>
  <c r="P163" i="1"/>
  <c r="P445" i="1"/>
  <c r="N445" i="1"/>
  <c r="P457" i="1"/>
  <c r="N457" i="1"/>
  <c r="P2" i="1"/>
  <c r="N2" i="1"/>
  <c r="N170" i="1"/>
  <c r="P170" i="1"/>
  <c r="N17" i="1"/>
  <c r="N180" i="1"/>
  <c r="P180" i="1"/>
  <c r="N262" i="1"/>
  <c r="P262" i="1"/>
  <c r="P632" i="1"/>
  <c r="N632" i="1"/>
  <c r="N244" i="1"/>
  <c r="P244" i="1"/>
  <c r="N202" i="1"/>
  <c r="P202" i="1"/>
  <c r="N201" i="1"/>
  <c r="P201" i="1"/>
  <c r="N150" i="1"/>
  <c r="P150" i="1"/>
  <c r="P320" i="1"/>
  <c r="N320" i="1"/>
  <c r="N259" i="1"/>
  <c r="P259" i="1"/>
  <c r="N453" i="1"/>
  <c r="P453" i="1"/>
  <c r="P458" i="1"/>
  <c r="N458" i="1"/>
  <c r="P639" i="1"/>
  <c r="N639" i="1"/>
  <c r="N238" i="1"/>
  <c r="P238" i="1"/>
  <c r="P484" i="1"/>
  <c r="N484" i="1"/>
  <c r="P307" i="1"/>
  <c r="N307" i="1"/>
  <c r="N215" i="1"/>
  <c r="P215" i="1"/>
  <c r="N47" i="1"/>
  <c r="P47" i="1"/>
  <c r="P656" i="1"/>
  <c r="N656" i="1"/>
  <c r="N397" i="1"/>
  <c r="P397" i="1"/>
  <c r="N296" i="1"/>
  <c r="P296" i="1"/>
  <c r="N305" i="1"/>
  <c r="P305" i="1"/>
  <c r="P354" i="1"/>
  <c r="N354" i="1"/>
  <c r="N224" i="1"/>
  <c r="P224" i="1"/>
  <c r="P300" i="1"/>
  <c r="N300" i="1"/>
  <c r="P183" i="1"/>
  <c r="N183" i="1"/>
  <c r="N385" i="1"/>
  <c r="P385" i="1"/>
  <c r="P650" i="1"/>
  <c r="N650" i="1"/>
  <c r="N314" i="1"/>
  <c r="P314" i="1"/>
  <c r="N30" i="1"/>
  <c r="N367" i="1"/>
  <c r="P367" i="1"/>
  <c r="N463" i="1"/>
  <c r="P463" i="1"/>
  <c r="N347" i="1"/>
  <c r="P347" i="1"/>
  <c r="N440" i="1"/>
  <c r="P440" i="1"/>
  <c r="N173" i="1"/>
  <c r="P173" i="1"/>
  <c r="N414" i="1"/>
  <c r="P414" i="1"/>
  <c r="P399" i="1"/>
  <c r="N399" i="1"/>
  <c r="N460" i="1"/>
  <c r="P460" i="1"/>
  <c r="N237" i="1"/>
  <c r="P237" i="1"/>
  <c r="N304" i="1"/>
  <c r="P304" i="1"/>
  <c r="N143" i="1"/>
  <c r="P143" i="1"/>
  <c r="N186" i="1"/>
  <c r="P186" i="1"/>
  <c r="N402" i="1"/>
  <c r="P402" i="1"/>
  <c r="N265" i="1"/>
  <c r="P265" i="1"/>
  <c r="P651" i="1"/>
  <c r="N651" i="1"/>
  <c r="N268" i="1"/>
  <c r="P268" i="1"/>
  <c r="N486" i="1"/>
  <c r="P486" i="1"/>
  <c r="N21" i="1"/>
  <c r="N18" i="1"/>
  <c r="N365" i="1"/>
  <c r="P365" i="1"/>
  <c r="P646" i="1"/>
  <c r="N646" i="1"/>
  <c r="P323" i="1"/>
  <c r="N323" i="1"/>
  <c r="P257" i="1"/>
  <c r="N257" i="1"/>
  <c r="N358" i="1"/>
  <c r="P358" i="1"/>
  <c r="N68" i="1"/>
  <c r="P68" i="1"/>
  <c r="P653" i="1"/>
  <c r="N653" i="1"/>
  <c r="P643" i="1"/>
  <c r="N643" i="1"/>
  <c r="N454" i="1"/>
  <c r="P454" i="1"/>
  <c r="N471" i="1"/>
  <c r="P471" i="1"/>
  <c r="N106" i="1"/>
  <c r="P106" i="1"/>
  <c r="N433" i="1"/>
  <c r="P433" i="1"/>
  <c r="N412" i="1"/>
  <c r="P412" i="1"/>
  <c r="N290" i="1"/>
  <c r="P290" i="1"/>
  <c r="N493" i="1"/>
  <c r="P493" i="1"/>
  <c r="N341" i="1"/>
  <c r="P341" i="1"/>
  <c r="N7" i="1"/>
  <c r="P7" i="1"/>
  <c r="N443" i="1"/>
  <c r="P443" i="1"/>
  <c r="N228" i="1"/>
  <c r="P228" i="1"/>
  <c r="P512" i="1"/>
  <c r="N512" i="1"/>
  <c r="N191" i="1"/>
  <c r="P191" i="1"/>
  <c r="N115" i="1"/>
  <c r="P115" i="1"/>
  <c r="N162" i="1"/>
  <c r="P162" i="1"/>
  <c r="N468" i="1"/>
  <c r="P468" i="1"/>
  <c r="P258" i="1"/>
  <c r="N258" i="1"/>
  <c r="N467" i="1"/>
  <c r="P467" i="1"/>
  <c r="P415" i="1"/>
  <c r="N415" i="1"/>
  <c r="P456" i="1"/>
  <c r="N456" i="1"/>
  <c r="N218" i="1"/>
  <c r="P218" i="1"/>
  <c r="N77" i="1"/>
  <c r="P77" i="1"/>
  <c r="B473" i="1"/>
  <c r="B192" i="1"/>
  <c r="B429" i="1"/>
  <c r="B302" i="1"/>
  <c r="B495" i="1"/>
  <c r="B349" i="1"/>
  <c r="B136" i="1"/>
  <c r="B477" i="1"/>
  <c r="B127" i="1"/>
  <c r="B292" i="1"/>
  <c r="B135" i="1"/>
  <c r="B387" i="1"/>
  <c r="B613" i="1"/>
  <c r="B396" i="1"/>
  <c r="B25" i="1"/>
  <c r="B482" i="1"/>
  <c r="B506" i="1"/>
  <c r="B609" i="1"/>
  <c r="B490" i="1"/>
  <c r="B612" i="1"/>
  <c r="B277" i="1"/>
  <c r="B220" i="1"/>
  <c r="B222" i="1"/>
  <c r="B324" i="1"/>
  <c r="B442" i="1"/>
  <c r="B146" i="1"/>
  <c r="B178" i="1"/>
  <c r="B211" i="1"/>
  <c r="B73" i="1"/>
  <c r="B23" i="1"/>
  <c r="B405" i="1"/>
  <c r="B480" i="1"/>
  <c r="B52" i="1"/>
  <c r="B169" i="1"/>
  <c r="B642" i="1"/>
  <c r="B109" i="1"/>
  <c r="B251" i="1"/>
  <c r="B235" i="1"/>
  <c r="B384" i="1"/>
  <c r="B147" i="1"/>
  <c r="B123" i="1"/>
  <c r="B56" i="1"/>
  <c r="B9" i="1"/>
  <c r="P9" i="1" s="1"/>
  <c r="B499" i="1"/>
  <c r="B247" i="1"/>
  <c r="B644" i="1"/>
  <c r="B393" i="1"/>
  <c r="B469" i="1"/>
  <c r="B204" i="1"/>
  <c r="B54" i="1"/>
  <c r="B197" i="1"/>
  <c r="B421" i="1"/>
  <c r="B327" i="1"/>
  <c r="B630" i="1"/>
  <c r="B406" i="1"/>
  <c r="B366" i="1"/>
  <c r="B379" i="1"/>
  <c r="B446" i="1"/>
  <c r="B432" i="1"/>
  <c r="B246" i="1"/>
  <c r="B436" i="1"/>
  <c r="B241" i="1"/>
  <c r="N241" i="1" s="1"/>
  <c r="B153" i="1"/>
  <c r="B102" i="1"/>
  <c r="B640" i="1"/>
  <c r="B166" i="1"/>
  <c r="B232" i="1"/>
  <c r="B276" i="1"/>
  <c r="B188" i="1"/>
  <c r="B240" i="1"/>
  <c r="B165" i="1"/>
  <c r="B219" i="1"/>
  <c r="B481" i="1"/>
  <c r="B657" i="1"/>
  <c r="B242" i="1"/>
  <c r="B389" i="1"/>
  <c r="B26" i="1"/>
  <c r="B303" i="1"/>
  <c r="B289" i="1"/>
  <c r="B133" i="1"/>
  <c r="B174" i="1"/>
  <c r="B172" i="1"/>
  <c r="B121" i="1"/>
  <c r="B164" i="1"/>
  <c r="B15" i="1"/>
  <c r="B317" i="1"/>
  <c r="B369" i="1"/>
  <c r="B126" i="1"/>
  <c r="B610" i="1"/>
  <c r="B249" i="1"/>
  <c r="B496" i="1"/>
  <c r="B318" i="1"/>
  <c r="B425" i="1"/>
  <c r="B233" i="1"/>
  <c r="B29" i="1"/>
  <c r="P29" i="1" s="1"/>
  <c r="B373" i="1"/>
  <c r="B181" i="1"/>
  <c r="B51" i="1"/>
  <c r="B655" i="1"/>
  <c r="B505" i="1"/>
  <c r="B435" i="1"/>
  <c r="B177" i="1"/>
  <c r="B353" i="1"/>
  <c r="B474" i="1"/>
  <c r="B16" i="1"/>
  <c r="P16" i="1" s="1"/>
  <c r="B408" i="1"/>
  <c r="B618" i="1"/>
  <c r="B329" i="1"/>
  <c r="B216" i="1"/>
  <c r="B50" i="1"/>
  <c r="B271" i="1"/>
  <c r="B234" i="1"/>
  <c r="B416" i="1"/>
  <c r="B144" i="1"/>
  <c r="B57" i="1"/>
  <c r="B221" i="1"/>
  <c r="B491" i="1"/>
  <c r="B19" i="1"/>
  <c r="B652" i="1"/>
  <c r="B503" i="1"/>
  <c r="B113" i="1"/>
  <c r="B200" i="1"/>
  <c r="B315" i="1"/>
  <c r="B293" i="1"/>
  <c r="B308" i="1"/>
  <c r="B75" i="1"/>
  <c r="B28" i="1"/>
  <c r="B343" i="1"/>
  <c r="B274" i="1"/>
  <c r="B476" i="1"/>
  <c r="B103" i="1"/>
  <c r="B125" i="1"/>
  <c r="B124" i="1"/>
  <c r="B455" i="1"/>
  <c r="B66" i="1"/>
  <c r="B60" i="1"/>
  <c r="B176" i="1"/>
  <c r="B46" i="1"/>
  <c r="B145" i="1"/>
  <c r="B24" i="1"/>
  <c r="B606" i="1"/>
  <c r="B654" i="1"/>
  <c r="B40" i="1"/>
  <c r="N40" i="1" s="1"/>
  <c r="B209" i="1"/>
  <c r="B8" i="1"/>
  <c r="B390" i="1"/>
  <c r="B447" i="1"/>
  <c r="B275" i="1"/>
  <c r="B117" i="1"/>
  <c r="B230" i="1"/>
  <c r="B184" i="1"/>
  <c r="B187" i="1"/>
  <c r="B42" i="1"/>
  <c r="P42" i="1" s="1"/>
  <c r="B371" i="1"/>
  <c r="B22" i="1"/>
  <c r="B392" i="1"/>
  <c r="B502" i="1"/>
  <c r="B134" i="1"/>
  <c r="B36" i="1"/>
  <c r="P36" i="1" s="1"/>
  <c r="B611" i="1"/>
  <c r="B328" i="1"/>
  <c r="B363" i="1"/>
  <c r="B310" i="1"/>
  <c r="B417" i="1"/>
  <c r="B130" i="1"/>
  <c r="B269" i="1"/>
  <c r="B348" i="1"/>
  <c r="B206" i="1"/>
  <c r="B196" i="1"/>
  <c r="N196" i="1" s="1"/>
  <c r="B260" i="1"/>
  <c r="B430" i="1"/>
  <c r="B139" i="1"/>
  <c r="B423" i="1"/>
  <c r="B155" i="1"/>
  <c r="B658" i="1"/>
  <c r="B631" i="1"/>
  <c r="B100" i="1"/>
  <c r="B278" i="1"/>
  <c r="B253" i="1"/>
  <c r="B641" i="1"/>
  <c r="B53" i="1"/>
  <c r="B78" i="1"/>
  <c r="B5" i="1"/>
  <c r="B351" i="1"/>
  <c r="B404" i="1"/>
  <c r="B61" i="1"/>
  <c r="B208" i="1"/>
  <c r="B168" i="1"/>
  <c r="B190" i="1"/>
  <c r="B380" i="1"/>
  <c r="B214" i="1"/>
  <c r="B193" i="1"/>
  <c r="B472" i="1"/>
  <c r="B119" i="1"/>
  <c r="B478" i="1"/>
  <c r="B488" i="1"/>
  <c r="B14" i="1"/>
  <c r="B492" i="1"/>
  <c r="B48" i="1"/>
  <c r="B149" i="1"/>
  <c r="B620" i="1"/>
  <c r="B92" i="1"/>
  <c r="B375" i="1"/>
  <c r="B485" i="1"/>
  <c r="B381" i="1"/>
  <c r="B205" i="1"/>
  <c r="N205" i="1" s="1"/>
  <c r="B189" i="1"/>
  <c r="B148" i="1"/>
  <c r="B330" i="1"/>
  <c r="B226" i="1"/>
  <c r="B386" i="1"/>
  <c r="B99" i="1"/>
  <c r="B261" i="1"/>
  <c r="B198" i="1"/>
  <c r="B38" i="1"/>
  <c r="P38" i="1" s="1"/>
  <c r="B427" i="1"/>
  <c r="B41" i="1"/>
  <c r="B439" i="1"/>
  <c r="B419" i="1"/>
  <c r="B20" i="1"/>
  <c r="P20" i="1" s="1"/>
  <c r="B151" i="1"/>
  <c r="B35" i="1"/>
  <c r="B361" i="1"/>
  <c r="B227" i="1"/>
  <c r="B394" i="1"/>
  <c r="B331" i="1"/>
  <c r="B647" i="1"/>
  <c r="B487" i="1"/>
  <c r="B254" i="1"/>
  <c r="B195" i="1"/>
  <c r="B85" i="1"/>
  <c r="B236" i="1"/>
  <c r="B250" i="1"/>
  <c r="B462" i="1"/>
  <c r="B89" i="1"/>
  <c r="B4" i="1"/>
  <c r="B428" i="1"/>
  <c r="B466" i="1"/>
  <c r="B27" i="1"/>
  <c r="B171" i="1"/>
  <c r="B438" i="1"/>
  <c r="B401" i="1"/>
  <c r="B350" i="1"/>
  <c r="B431" i="1"/>
  <c r="B500" i="1"/>
  <c r="B400" i="1"/>
  <c r="B424" i="1"/>
  <c r="B91" i="1"/>
  <c r="B281" i="1"/>
  <c r="B104" i="1"/>
  <c r="B245" i="1"/>
  <c r="B156" i="1"/>
  <c r="B159" i="1"/>
  <c r="B368" i="1"/>
  <c r="B279" i="1"/>
  <c r="B266" i="1"/>
  <c r="B322" i="1"/>
  <c r="B335" i="1"/>
  <c r="B285" i="1"/>
  <c r="B225" i="1"/>
  <c r="B509" i="1"/>
  <c r="B306" i="1"/>
  <c r="B157" i="1"/>
  <c r="B372" i="1"/>
  <c r="B337" i="1"/>
  <c r="B267" i="1"/>
  <c r="B395" i="1"/>
  <c r="B470" i="1"/>
  <c r="B122" i="1"/>
  <c r="B377" i="1"/>
  <c r="B44" i="1"/>
  <c r="P44" i="1" s="1"/>
  <c r="B79" i="1"/>
  <c r="B142" i="1"/>
  <c r="B33" i="1"/>
  <c r="B114" i="1"/>
  <c r="B13" i="1"/>
  <c r="P11" i="1" s="1"/>
  <c r="B94" i="1"/>
  <c r="B141" i="1"/>
  <c r="P15" i="1" l="1"/>
  <c r="N141" i="1"/>
  <c r="P141" i="1"/>
  <c r="P39" i="1"/>
  <c r="P306" i="1"/>
  <c r="N306" i="1"/>
  <c r="P400" i="1"/>
  <c r="N400" i="1"/>
  <c r="N85" i="1"/>
  <c r="P85" i="1"/>
  <c r="N38" i="1"/>
  <c r="P37" i="1"/>
  <c r="P48" i="1"/>
  <c r="N48" i="1"/>
  <c r="P5" i="1"/>
  <c r="N5" i="1"/>
  <c r="P33" i="1"/>
  <c r="N348" i="1"/>
  <c r="P348" i="1"/>
  <c r="N42" i="1"/>
  <c r="P41" i="1"/>
  <c r="P23" i="1"/>
  <c r="N24" i="1"/>
  <c r="P655" i="1"/>
  <c r="N655" i="1"/>
  <c r="P164" i="1"/>
  <c r="N164" i="1"/>
  <c r="P188" i="1"/>
  <c r="N188" i="1"/>
  <c r="P644" i="1"/>
  <c r="N644" i="1"/>
  <c r="P222" i="1"/>
  <c r="N222" i="1"/>
  <c r="N94" i="1"/>
  <c r="P94" i="1"/>
  <c r="P509" i="1"/>
  <c r="N509" i="1"/>
  <c r="N195" i="1"/>
  <c r="P195" i="1"/>
  <c r="P198" i="1"/>
  <c r="N198" i="1"/>
  <c r="P492" i="1"/>
  <c r="N492" i="1"/>
  <c r="N78" i="1"/>
  <c r="P78" i="1"/>
  <c r="P187" i="1"/>
  <c r="N187" i="1"/>
  <c r="N145" i="1"/>
  <c r="P145" i="1"/>
  <c r="P343" i="1"/>
  <c r="N343" i="1"/>
  <c r="P51" i="1"/>
  <c r="N51" i="1"/>
  <c r="P121" i="1"/>
  <c r="N121" i="1"/>
  <c r="P276" i="1"/>
  <c r="N276" i="1"/>
  <c r="P406" i="1"/>
  <c r="N406" i="1"/>
  <c r="P220" i="1"/>
  <c r="N220" i="1"/>
  <c r="P192" i="1"/>
  <c r="N192" i="1"/>
  <c r="P12" i="1"/>
  <c r="N13" i="1"/>
  <c r="N225" i="1"/>
  <c r="P225" i="1"/>
  <c r="P500" i="1"/>
  <c r="N500" i="1"/>
  <c r="N254" i="1"/>
  <c r="P254" i="1"/>
  <c r="P261" i="1"/>
  <c r="N261" i="1"/>
  <c r="N14" i="1"/>
  <c r="P17" i="1"/>
  <c r="N53" i="1"/>
  <c r="P53" i="1"/>
  <c r="P108" i="1"/>
  <c r="N184" i="1"/>
  <c r="P184" i="1"/>
  <c r="N46" i="1"/>
  <c r="P46" i="1"/>
  <c r="P27" i="1"/>
  <c r="N28" i="1"/>
  <c r="P416" i="1"/>
  <c r="N416" i="1"/>
  <c r="N181" i="1"/>
  <c r="P181" i="1"/>
  <c r="P172" i="1"/>
  <c r="N172" i="1"/>
  <c r="P232" i="1"/>
  <c r="N232" i="1"/>
  <c r="N630" i="1"/>
  <c r="P630" i="1"/>
  <c r="P169" i="1"/>
  <c r="N169" i="1"/>
  <c r="P277" i="1"/>
  <c r="N277" i="1"/>
  <c r="P387" i="1"/>
  <c r="N387" i="1"/>
  <c r="P213" i="1"/>
  <c r="P114" i="1"/>
  <c r="N114" i="1"/>
  <c r="P285" i="1"/>
  <c r="N285" i="1"/>
  <c r="P194" i="1"/>
  <c r="P431" i="1"/>
  <c r="N431" i="1"/>
  <c r="N487" i="1"/>
  <c r="P487" i="1"/>
  <c r="P99" i="1"/>
  <c r="N99" i="1"/>
  <c r="P488" i="1"/>
  <c r="N488" i="1"/>
  <c r="N641" i="1"/>
  <c r="P641" i="1"/>
  <c r="P269" i="1"/>
  <c r="N269" i="1"/>
  <c r="N230" i="1"/>
  <c r="P230" i="1"/>
  <c r="N176" i="1"/>
  <c r="P176" i="1"/>
  <c r="N75" i="1"/>
  <c r="P75" i="1"/>
  <c r="P234" i="1"/>
  <c r="N234" i="1"/>
  <c r="P229" i="1"/>
  <c r="P373" i="1"/>
  <c r="N373" i="1"/>
  <c r="N174" i="1"/>
  <c r="P174" i="1"/>
  <c r="P166" i="1"/>
  <c r="N166" i="1"/>
  <c r="P52" i="1"/>
  <c r="N52" i="1"/>
  <c r="P612" i="1"/>
  <c r="N612" i="1"/>
  <c r="P506" i="1"/>
  <c r="N506" i="1"/>
  <c r="N135" i="1"/>
  <c r="P135" i="1"/>
  <c r="N33" i="1"/>
  <c r="P32" i="1"/>
  <c r="P335" i="1"/>
  <c r="N335" i="1"/>
  <c r="P350" i="1"/>
  <c r="N350" i="1"/>
  <c r="P647" i="1"/>
  <c r="N647" i="1"/>
  <c r="P386" i="1"/>
  <c r="N386" i="1"/>
  <c r="P478" i="1"/>
  <c r="N478" i="1"/>
  <c r="P253" i="1"/>
  <c r="N253" i="1"/>
  <c r="N130" i="1"/>
  <c r="P130" i="1"/>
  <c r="P118" i="1"/>
  <c r="P117" i="1"/>
  <c r="N117" i="1"/>
  <c r="N60" i="1"/>
  <c r="P60" i="1"/>
  <c r="P308" i="1"/>
  <c r="N308" i="1"/>
  <c r="P271" i="1"/>
  <c r="N271" i="1"/>
  <c r="P28" i="1"/>
  <c r="N29" i="1"/>
  <c r="P133" i="1"/>
  <c r="N133" i="1"/>
  <c r="P640" i="1"/>
  <c r="N640" i="1"/>
  <c r="P480" i="1"/>
  <c r="N480" i="1"/>
  <c r="P490" i="1"/>
  <c r="N490" i="1"/>
  <c r="P292" i="1"/>
  <c r="N292" i="1"/>
  <c r="P241" i="1"/>
  <c r="N142" i="1"/>
  <c r="P142" i="1"/>
  <c r="P322" i="1"/>
  <c r="N322" i="1"/>
  <c r="P401" i="1"/>
  <c r="N401" i="1"/>
  <c r="P331" i="1"/>
  <c r="N331" i="1"/>
  <c r="P137" i="1"/>
  <c r="N226" i="1"/>
  <c r="P226" i="1"/>
  <c r="P120" i="1"/>
  <c r="N119" i="1"/>
  <c r="P119" i="1"/>
  <c r="P278" i="1"/>
  <c r="N278" i="1"/>
  <c r="P417" i="1"/>
  <c r="N417" i="1"/>
  <c r="P275" i="1"/>
  <c r="N275" i="1"/>
  <c r="P66" i="1"/>
  <c r="N66" i="1"/>
  <c r="N293" i="1"/>
  <c r="P293" i="1"/>
  <c r="P50" i="1"/>
  <c r="N50" i="1"/>
  <c r="N233" i="1"/>
  <c r="P233" i="1"/>
  <c r="P289" i="1"/>
  <c r="N289" i="1"/>
  <c r="P179" i="1"/>
  <c r="N327" i="1"/>
  <c r="P327" i="1"/>
  <c r="N247" i="1"/>
  <c r="P247" i="1"/>
  <c r="P196" i="1"/>
  <c r="P405" i="1"/>
  <c r="N405" i="1"/>
  <c r="P482" i="1"/>
  <c r="N482" i="1"/>
  <c r="P127" i="1"/>
  <c r="N127" i="1"/>
  <c r="P79" i="1"/>
  <c r="N79" i="1"/>
  <c r="P266" i="1"/>
  <c r="N266" i="1"/>
  <c r="P438" i="1"/>
  <c r="N438" i="1"/>
  <c r="P394" i="1"/>
  <c r="N394" i="1"/>
  <c r="P330" i="1"/>
  <c r="N330" i="1"/>
  <c r="P472" i="1"/>
  <c r="N472" i="1"/>
  <c r="N100" i="1"/>
  <c r="P100" i="1"/>
  <c r="P310" i="1"/>
  <c r="N310" i="1"/>
  <c r="P455" i="1"/>
  <c r="N455" i="1"/>
  <c r="P315" i="1"/>
  <c r="N315" i="1"/>
  <c r="P216" i="1"/>
  <c r="N216" i="1"/>
  <c r="P425" i="1"/>
  <c r="N425" i="1"/>
  <c r="N102" i="1"/>
  <c r="P102" i="1"/>
  <c r="P499" i="1"/>
  <c r="N499" i="1"/>
  <c r="P477" i="1"/>
  <c r="N477" i="1"/>
  <c r="P43" i="1"/>
  <c r="N44" i="1"/>
  <c r="P279" i="1"/>
  <c r="N279" i="1"/>
  <c r="P171" i="1"/>
  <c r="N171" i="1"/>
  <c r="P227" i="1"/>
  <c r="N227" i="1"/>
  <c r="P148" i="1"/>
  <c r="N148" i="1"/>
  <c r="P193" i="1"/>
  <c r="N193" i="1"/>
  <c r="P631" i="1"/>
  <c r="N631" i="1"/>
  <c r="N363" i="1"/>
  <c r="P363" i="1"/>
  <c r="N124" i="1"/>
  <c r="P124" i="1"/>
  <c r="P200" i="1"/>
  <c r="N200" i="1"/>
  <c r="N329" i="1"/>
  <c r="P329" i="1"/>
  <c r="P318" i="1"/>
  <c r="N318" i="1"/>
  <c r="P303" i="1"/>
  <c r="N303" i="1"/>
  <c r="P153" i="1"/>
  <c r="N153" i="1"/>
  <c r="N9" i="1"/>
  <c r="P10" i="1"/>
  <c r="P22" i="1"/>
  <c r="N23" i="1"/>
  <c r="N136" i="1"/>
  <c r="P136" i="1"/>
  <c r="P377" i="1"/>
  <c r="N377" i="1"/>
  <c r="P368" i="1"/>
  <c r="N368" i="1"/>
  <c r="P26" i="1"/>
  <c r="N27" i="1"/>
  <c r="P361" i="1"/>
  <c r="N361" i="1"/>
  <c r="P189" i="1"/>
  <c r="N189" i="1"/>
  <c r="P214" i="1"/>
  <c r="N214" i="1"/>
  <c r="P658" i="1"/>
  <c r="N658" i="1"/>
  <c r="P328" i="1"/>
  <c r="N328" i="1"/>
  <c r="N125" i="1"/>
  <c r="P125" i="1"/>
  <c r="N113" i="1"/>
  <c r="P113" i="1"/>
  <c r="P618" i="1"/>
  <c r="N618" i="1"/>
  <c r="N26" i="1"/>
  <c r="P25" i="1"/>
  <c r="N421" i="1"/>
  <c r="P421" i="1"/>
  <c r="P56" i="1"/>
  <c r="N56" i="1"/>
  <c r="P73" i="1"/>
  <c r="N73" i="1"/>
  <c r="P473" i="1"/>
  <c r="N473" i="1"/>
  <c r="N122" i="1"/>
  <c r="P122" i="1"/>
  <c r="N159" i="1"/>
  <c r="P159" i="1"/>
  <c r="P466" i="1"/>
  <c r="N466" i="1"/>
  <c r="N35" i="1"/>
  <c r="P34" i="1"/>
  <c r="N380" i="1"/>
  <c r="P380" i="1"/>
  <c r="P111" i="1"/>
  <c r="P155" i="1"/>
  <c r="N155" i="1"/>
  <c r="P611" i="1"/>
  <c r="N611" i="1"/>
  <c r="N447" i="1"/>
  <c r="P447" i="1"/>
  <c r="N103" i="1"/>
  <c r="P103" i="1"/>
  <c r="P503" i="1"/>
  <c r="N503" i="1"/>
  <c r="P408" i="1"/>
  <c r="N408" i="1"/>
  <c r="N496" i="1"/>
  <c r="P496" i="1"/>
  <c r="P389" i="1"/>
  <c r="N389" i="1"/>
  <c r="N123" i="1"/>
  <c r="P123" i="1"/>
  <c r="N211" i="1"/>
  <c r="P211" i="1"/>
  <c r="P349" i="1"/>
  <c r="N349" i="1"/>
  <c r="P470" i="1"/>
  <c r="N470" i="1"/>
  <c r="P156" i="1"/>
  <c r="N156" i="1"/>
  <c r="P428" i="1"/>
  <c r="N428" i="1"/>
  <c r="P151" i="1"/>
  <c r="N151" i="1"/>
  <c r="P381" i="1"/>
  <c r="N381" i="1"/>
  <c r="P190" i="1"/>
  <c r="N190" i="1"/>
  <c r="P423" i="1"/>
  <c r="N423" i="1"/>
  <c r="P35" i="1"/>
  <c r="N36" i="1"/>
  <c r="P390" i="1"/>
  <c r="N390" i="1"/>
  <c r="P476" i="1"/>
  <c r="N476" i="1"/>
  <c r="P652" i="1"/>
  <c r="N652" i="1"/>
  <c r="N16" i="1"/>
  <c r="P14" i="1"/>
  <c r="N249" i="1"/>
  <c r="P249" i="1"/>
  <c r="P242" i="1"/>
  <c r="N242" i="1"/>
  <c r="N436" i="1"/>
  <c r="P436" i="1"/>
  <c r="P147" i="1"/>
  <c r="N147" i="1"/>
  <c r="N178" i="1"/>
  <c r="P178" i="1"/>
  <c r="N25" i="1"/>
  <c r="P24" i="1"/>
  <c r="P495" i="1"/>
  <c r="N495" i="1"/>
  <c r="P395" i="1"/>
  <c r="N395" i="1"/>
  <c r="N245" i="1"/>
  <c r="P245" i="1"/>
  <c r="P4" i="1"/>
  <c r="N4" i="1"/>
  <c r="N20" i="1"/>
  <c r="P19" i="1"/>
  <c r="N485" i="1"/>
  <c r="P485" i="1"/>
  <c r="N168" i="1"/>
  <c r="P168" i="1"/>
  <c r="N139" i="1"/>
  <c r="P139" i="1"/>
  <c r="P134" i="1"/>
  <c r="N134" i="1"/>
  <c r="N8" i="1"/>
  <c r="P8" i="1"/>
  <c r="P274" i="1"/>
  <c r="N274" i="1"/>
  <c r="N19" i="1"/>
  <c r="P18" i="1"/>
  <c r="N474" i="1"/>
  <c r="P474" i="1"/>
  <c r="P610" i="1"/>
  <c r="N610" i="1"/>
  <c r="P657" i="1"/>
  <c r="N657" i="1"/>
  <c r="P246" i="1"/>
  <c r="N246" i="1"/>
  <c r="P197" i="1"/>
  <c r="N197" i="1"/>
  <c r="N384" i="1"/>
  <c r="P384" i="1"/>
  <c r="P146" i="1"/>
  <c r="N146" i="1"/>
  <c r="P396" i="1"/>
  <c r="N396" i="1"/>
  <c r="P302" i="1"/>
  <c r="N302" i="1"/>
  <c r="P212" i="1"/>
  <c r="N267" i="1"/>
  <c r="P267" i="1"/>
  <c r="P104" i="1"/>
  <c r="N104" i="1"/>
  <c r="P89" i="1"/>
  <c r="N89" i="1"/>
  <c r="P419" i="1"/>
  <c r="N419" i="1"/>
  <c r="N375" i="1"/>
  <c r="P375" i="1"/>
  <c r="P208" i="1"/>
  <c r="N208" i="1"/>
  <c r="P430" i="1"/>
  <c r="N430" i="1"/>
  <c r="N502" i="1"/>
  <c r="P502" i="1"/>
  <c r="N209" i="1"/>
  <c r="P209" i="1"/>
  <c r="P491" i="1"/>
  <c r="N491" i="1"/>
  <c r="P353" i="1"/>
  <c r="N353" i="1"/>
  <c r="N126" i="1"/>
  <c r="P126" i="1"/>
  <c r="P481" i="1"/>
  <c r="N481" i="1"/>
  <c r="P432" i="1"/>
  <c r="N432" i="1"/>
  <c r="N54" i="1"/>
  <c r="P54" i="1"/>
  <c r="P235" i="1"/>
  <c r="N235" i="1"/>
  <c r="P613" i="1"/>
  <c r="N613" i="1"/>
  <c r="P429" i="1"/>
  <c r="N429" i="1"/>
  <c r="N337" i="1"/>
  <c r="P337" i="1"/>
  <c r="N281" i="1"/>
  <c r="P281" i="1"/>
  <c r="P462" i="1"/>
  <c r="N462" i="1"/>
  <c r="P205" i="1"/>
  <c r="N439" i="1"/>
  <c r="P439" i="1"/>
  <c r="P92" i="1"/>
  <c r="N92" i="1"/>
  <c r="P61" i="1"/>
  <c r="N61" i="1"/>
  <c r="P167" i="1"/>
  <c r="P260" i="1"/>
  <c r="N260" i="1"/>
  <c r="P392" i="1"/>
  <c r="N392" i="1"/>
  <c r="P221" i="1"/>
  <c r="N221" i="1"/>
  <c r="P177" i="1"/>
  <c r="N177" i="1"/>
  <c r="P369" i="1"/>
  <c r="N369" i="1"/>
  <c r="N219" i="1"/>
  <c r="P219" i="1"/>
  <c r="P446" i="1"/>
  <c r="N446" i="1"/>
  <c r="P204" i="1"/>
  <c r="N204" i="1"/>
  <c r="N251" i="1"/>
  <c r="P251" i="1"/>
  <c r="P372" i="1"/>
  <c r="N372" i="1"/>
  <c r="N91" i="1"/>
  <c r="P91" i="1"/>
  <c r="P250" i="1"/>
  <c r="N250" i="1"/>
  <c r="P40" i="1"/>
  <c r="N41" i="1"/>
  <c r="P620" i="1"/>
  <c r="N620" i="1"/>
  <c r="P64" i="1"/>
  <c r="N404" i="1"/>
  <c r="P404" i="1"/>
  <c r="N22" i="1"/>
  <c r="P21" i="1"/>
  <c r="P654" i="1"/>
  <c r="N654" i="1"/>
  <c r="P57" i="1"/>
  <c r="N57" i="1"/>
  <c r="P435" i="1"/>
  <c r="N435" i="1"/>
  <c r="P317" i="1"/>
  <c r="N317" i="1"/>
  <c r="P165" i="1"/>
  <c r="N165" i="1"/>
  <c r="P379" i="1"/>
  <c r="N379" i="1"/>
  <c r="N469" i="1"/>
  <c r="P469" i="1"/>
  <c r="N109" i="1"/>
  <c r="P109" i="1"/>
  <c r="P442" i="1"/>
  <c r="N442" i="1"/>
  <c r="P609" i="1"/>
  <c r="N609" i="1"/>
  <c r="P157" i="1"/>
  <c r="N157" i="1"/>
  <c r="P199" i="1"/>
  <c r="P424" i="1"/>
  <c r="N424" i="1"/>
  <c r="N236" i="1"/>
  <c r="P236" i="1"/>
  <c r="P427" i="1"/>
  <c r="N427" i="1"/>
  <c r="P149" i="1"/>
  <c r="N149" i="1"/>
  <c r="P351" i="1"/>
  <c r="N351" i="1"/>
  <c r="P206" i="1"/>
  <c r="N206" i="1"/>
  <c r="P371" i="1"/>
  <c r="N371" i="1"/>
  <c r="P606" i="1"/>
  <c r="N606" i="1"/>
  <c r="P144" i="1"/>
  <c r="N144" i="1"/>
  <c r="P505" i="1"/>
  <c r="N505" i="1"/>
  <c r="P3" i="1"/>
  <c r="N15" i="1"/>
  <c r="P13" i="1"/>
  <c r="N240" i="1"/>
  <c r="P240" i="1"/>
  <c r="P366" i="1"/>
  <c r="N366" i="1"/>
  <c r="N393" i="1"/>
  <c r="P393" i="1"/>
  <c r="P642" i="1"/>
  <c r="N642" i="1"/>
  <c r="P324" i="1"/>
  <c r="N324" i="1"/>
  <c r="S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<sst xmlns="http://schemas.openxmlformats.org/spreadsheetml/2006/main" count="2137" uniqueCount="1927">
  <si>
    <t>Pts</t>
  </si>
  <si>
    <t>POS</t>
  </si>
  <si>
    <t>TEAM</t>
  </si>
  <si>
    <t>MID</t>
  </si>
  <si>
    <t>LIV</t>
  </si>
  <si>
    <t>CHE</t>
  </si>
  <si>
    <t>FWD</t>
  </si>
  <si>
    <t>NEW</t>
  </si>
  <si>
    <t>BRE</t>
  </si>
  <si>
    <t>MCI</t>
  </si>
  <si>
    <t>MUN</t>
  </si>
  <si>
    <t>ARS</t>
  </si>
  <si>
    <t>NFO</t>
  </si>
  <si>
    <t>DEF</t>
  </si>
  <si>
    <t>EVE</t>
  </si>
  <si>
    <t>CRY</t>
  </si>
  <si>
    <t>BOU</t>
  </si>
  <si>
    <t>AVL</t>
  </si>
  <si>
    <t>GK</t>
  </si>
  <si>
    <t>TOT</t>
  </si>
  <si>
    <t>FUL</t>
  </si>
  <si>
    <t>BHA</t>
  </si>
  <si>
    <t>LEE</t>
  </si>
  <si>
    <t>SUN</t>
  </si>
  <si>
    <t>Pick-Lineup</t>
  </si>
  <si>
    <t>Pick-LU</t>
  </si>
  <si>
    <t>Cost-LU</t>
  </si>
  <si>
    <t>Picked-Ever</t>
  </si>
  <si>
    <t>Total Pts</t>
  </si>
  <si>
    <t>Total Cost</t>
  </si>
  <si>
    <t>Budget</t>
  </si>
  <si>
    <t>Pick-Bench</t>
  </si>
  <si>
    <t>Pick-Cap</t>
  </si>
  <si>
    <t>Cost-Bench</t>
  </si>
  <si>
    <t>Squad</t>
  </si>
  <si>
    <t>Bench Weight</t>
  </si>
  <si>
    <t>Positions</t>
  </si>
  <si>
    <t>Picked</t>
  </si>
  <si>
    <t>Teams</t>
  </si>
  <si>
    <t>Picked-Team</t>
  </si>
  <si>
    <t>Lineup-Count</t>
  </si>
  <si>
    <t>Bench-Count</t>
  </si>
  <si>
    <t>Limits</t>
  </si>
  <si>
    <t>Captain?</t>
  </si>
  <si>
    <t>Value</t>
  </si>
  <si>
    <t>GWs</t>
  </si>
  <si>
    <t>PRICE</t>
  </si>
  <si>
    <t>TRUE TOTAL</t>
  </si>
  <si>
    <t>CODE</t>
  </si>
  <si>
    <t>lineup-low</t>
  </si>
  <si>
    <t>lineup-hi</t>
  </si>
  <si>
    <t>OpenSolver Sensitivity Report - CBC</t>
  </si>
  <si>
    <t>Decision Variables</t>
  </si>
  <si>
    <t>Cells</t>
  </si>
  <si>
    <t>Name</t>
  </si>
  <si>
    <t>Final Value</t>
  </si>
  <si>
    <t>Reduced Costs</t>
  </si>
  <si>
    <t>Objective Value</t>
  </si>
  <si>
    <t>Allowable Increase</t>
  </si>
  <si>
    <t>Allowable Decrease</t>
  </si>
  <si>
    <t>G2</t>
  </si>
  <si>
    <t>H2</t>
  </si>
  <si>
    <t>I2</t>
  </si>
  <si>
    <t>G3</t>
  </si>
  <si>
    <t>H3</t>
  </si>
  <si>
    <t>I3</t>
  </si>
  <si>
    <t>G4</t>
  </si>
  <si>
    <t>H4</t>
  </si>
  <si>
    <t>I4</t>
  </si>
  <si>
    <t>G5</t>
  </si>
  <si>
    <t>H5</t>
  </si>
  <si>
    <t>I5</t>
  </si>
  <si>
    <t>G6</t>
  </si>
  <si>
    <t>H6</t>
  </si>
  <si>
    <t>I6</t>
  </si>
  <si>
    <t>G7</t>
  </si>
  <si>
    <t>H7</t>
  </si>
  <si>
    <t>I7</t>
  </si>
  <si>
    <t>G8</t>
  </si>
  <si>
    <t>H8</t>
  </si>
  <si>
    <t>I8</t>
  </si>
  <si>
    <t>G9</t>
  </si>
  <si>
    <t>H9</t>
  </si>
  <si>
    <t>I9</t>
  </si>
  <si>
    <t>G10</t>
  </si>
  <si>
    <t>H10</t>
  </si>
  <si>
    <t>I10</t>
  </si>
  <si>
    <t>G11</t>
  </si>
  <si>
    <t>H11</t>
  </si>
  <si>
    <t>I11</t>
  </si>
  <si>
    <t>G12</t>
  </si>
  <si>
    <t>H12</t>
  </si>
  <si>
    <t>I12</t>
  </si>
  <si>
    <t>G13</t>
  </si>
  <si>
    <t>H13</t>
  </si>
  <si>
    <t>I13</t>
  </si>
  <si>
    <t>G14</t>
  </si>
  <si>
    <t>H14</t>
  </si>
  <si>
    <t>I14</t>
  </si>
  <si>
    <t>G15</t>
  </si>
  <si>
    <t>H15</t>
  </si>
  <si>
    <t>I15</t>
  </si>
  <si>
    <t>G16</t>
  </si>
  <si>
    <t>H16</t>
  </si>
  <si>
    <t>I16</t>
  </si>
  <si>
    <t>G17</t>
  </si>
  <si>
    <t>H17</t>
  </si>
  <si>
    <t>I17</t>
  </si>
  <si>
    <t>G18</t>
  </si>
  <si>
    <t>H18</t>
  </si>
  <si>
    <t>I18</t>
  </si>
  <si>
    <t>G19</t>
  </si>
  <si>
    <t>H19</t>
  </si>
  <si>
    <t>I19</t>
  </si>
  <si>
    <t>G20</t>
  </si>
  <si>
    <t>H20</t>
  </si>
  <si>
    <t>I20</t>
  </si>
  <si>
    <t>G21</t>
  </si>
  <si>
    <t>H21</t>
  </si>
  <si>
    <t>I21</t>
  </si>
  <si>
    <t>G22</t>
  </si>
  <si>
    <t>H22</t>
  </si>
  <si>
    <t>I22</t>
  </si>
  <si>
    <t>G23</t>
  </si>
  <si>
    <t>H23</t>
  </si>
  <si>
    <t>I23</t>
  </si>
  <si>
    <t>G24</t>
  </si>
  <si>
    <t>H24</t>
  </si>
  <si>
    <t>I24</t>
  </si>
  <si>
    <t>G25</t>
  </si>
  <si>
    <t>H25</t>
  </si>
  <si>
    <t>I25</t>
  </si>
  <si>
    <t>G26</t>
  </si>
  <si>
    <t>H26</t>
  </si>
  <si>
    <t>I26</t>
  </si>
  <si>
    <t>G27</t>
  </si>
  <si>
    <t>H27</t>
  </si>
  <si>
    <t>I27</t>
  </si>
  <si>
    <t>G28</t>
  </si>
  <si>
    <t>H28</t>
  </si>
  <si>
    <t>I28</t>
  </si>
  <si>
    <t>G29</t>
  </si>
  <si>
    <t>H29</t>
  </si>
  <si>
    <t>I29</t>
  </si>
  <si>
    <t>G30</t>
  </si>
  <si>
    <t>H30</t>
  </si>
  <si>
    <t>I30</t>
  </si>
  <si>
    <t>G31</t>
  </si>
  <si>
    <t>H31</t>
  </si>
  <si>
    <t>I31</t>
  </si>
  <si>
    <t>G32</t>
  </si>
  <si>
    <t>H32</t>
  </si>
  <si>
    <t>I32</t>
  </si>
  <si>
    <t>G33</t>
  </si>
  <si>
    <t>H33</t>
  </si>
  <si>
    <t>I33</t>
  </si>
  <si>
    <t>G34</t>
  </si>
  <si>
    <t>H34</t>
  </si>
  <si>
    <t>I34</t>
  </si>
  <si>
    <t>G35</t>
  </si>
  <si>
    <t>H35</t>
  </si>
  <si>
    <t>I35</t>
  </si>
  <si>
    <t>G36</t>
  </si>
  <si>
    <t>H36</t>
  </si>
  <si>
    <t>I36</t>
  </si>
  <si>
    <t>G37</t>
  </si>
  <si>
    <t>H37</t>
  </si>
  <si>
    <t>I37</t>
  </si>
  <si>
    <t>G38</t>
  </si>
  <si>
    <t>H38</t>
  </si>
  <si>
    <t>I38</t>
  </si>
  <si>
    <t>G39</t>
  </si>
  <si>
    <t>H39</t>
  </si>
  <si>
    <t>I39</t>
  </si>
  <si>
    <t>G40</t>
  </si>
  <si>
    <t>H40</t>
  </si>
  <si>
    <t>I40</t>
  </si>
  <si>
    <t>G41</t>
  </si>
  <si>
    <t>H41</t>
  </si>
  <si>
    <t>I41</t>
  </si>
  <si>
    <t>G42</t>
  </si>
  <si>
    <t>H42</t>
  </si>
  <si>
    <t>I42</t>
  </si>
  <si>
    <t>G43</t>
  </si>
  <si>
    <t>H43</t>
  </si>
  <si>
    <t>I43</t>
  </si>
  <si>
    <t>G44</t>
  </si>
  <si>
    <t>H44</t>
  </si>
  <si>
    <t>I44</t>
  </si>
  <si>
    <t>G45</t>
  </si>
  <si>
    <t>H45</t>
  </si>
  <si>
    <t>I45</t>
  </si>
  <si>
    <t>G46</t>
  </si>
  <si>
    <t>H46</t>
  </si>
  <si>
    <t>I46</t>
  </si>
  <si>
    <t>G47</t>
  </si>
  <si>
    <t>H47</t>
  </si>
  <si>
    <t>I47</t>
  </si>
  <si>
    <t>G48</t>
  </si>
  <si>
    <t>H48</t>
  </si>
  <si>
    <t>I48</t>
  </si>
  <si>
    <t>G49</t>
  </si>
  <si>
    <t>H49</t>
  </si>
  <si>
    <t>I49</t>
  </si>
  <si>
    <t>G50</t>
  </si>
  <si>
    <t>H50</t>
  </si>
  <si>
    <t>I50</t>
  </si>
  <si>
    <t>G51</t>
  </si>
  <si>
    <t>H51</t>
  </si>
  <si>
    <t>I51</t>
  </si>
  <si>
    <t>G52</t>
  </si>
  <si>
    <t>H52</t>
  </si>
  <si>
    <t>I52</t>
  </si>
  <si>
    <t>G53</t>
  </si>
  <si>
    <t>H53</t>
  </si>
  <si>
    <t>I53</t>
  </si>
  <si>
    <t>G54</t>
  </si>
  <si>
    <t>H54</t>
  </si>
  <si>
    <t>I54</t>
  </si>
  <si>
    <t>G55</t>
  </si>
  <si>
    <t>H55</t>
  </si>
  <si>
    <t>I55</t>
  </si>
  <si>
    <t>G56</t>
  </si>
  <si>
    <t>H56</t>
  </si>
  <si>
    <t>I56</t>
  </si>
  <si>
    <t>G57</t>
  </si>
  <si>
    <t>H57</t>
  </si>
  <si>
    <t>I57</t>
  </si>
  <si>
    <t>G58</t>
  </si>
  <si>
    <t>H58</t>
  </si>
  <si>
    <t>I58</t>
  </si>
  <si>
    <t>G59</t>
  </si>
  <si>
    <t>H59</t>
  </si>
  <si>
    <t>I59</t>
  </si>
  <si>
    <t>G60</t>
  </si>
  <si>
    <t>H60</t>
  </si>
  <si>
    <t>I60</t>
  </si>
  <si>
    <t>G61</t>
  </si>
  <si>
    <t>H61</t>
  </si>
  <si>
    <t>I61</t>
  </si>
  <si>
    <t>G62</t>
  </si>
  <si>
    <t>H62</t>
  </si>
  <si>
    <t>I62</t>
  </si>
  <si>
    <t>G63</t>
  </si>
  <si>
    <t>H63</t>
  </si>
  <si>
    <t>I63</t>
  </si>
  <si>
    <t>G64</t>
  </si>
  <si>
    <t>H64</t>
  </si>
  <si>
    <t>I64</t>
  </si>
  <si>
    <t>G65</t>
  </si>
  <si>
    <t>H65</t>
  </si>
  <si>
    <t>I65</t>
  </si>
  <si>
    <t>G66</t>
  </si>
  <si>
    <t>H66</t>
  </si>
  <si>
    <t>I66</t>
  </si>
  <si>
    <t>G67</t>
  </si>
  <si>
    <t>H67</t>
  </si>
  <si>
    <t>I67</t>
  </si>
  <si>
    <t>G68</t>
  </si>
  <si>
    <t>H68</t>
  </si>
  <si>
    <t>I68</t>
  </si>
  <si>
    <t>G69</t>
  </si>
  <si>
    <t>H69</t>
  </si>
  <si>
    <t>I69</t>
  </si>
  <si>
    <t>G70</t>
  </si>
  <si>
    <t>H70</t>
  </si>
  <si>
    <t>I70</t>
  </si>
  <si>
    <t>G71</t>
  </si>
  <si>
    <t>H71</t>
  </si>
  <si>
    <t>I71</t>
  </si>
  <si>
    <t>G72</t>
  </si>
  <si>
    <t>H72</t>
  </si>
  <si>
    <t>I72</t>
  </si>
  <si>
    <t>G73</t>
  </si>
  <si>
    <t>H73</t>
  </si>
  <si>
    <t>I73</t>
  </si>
  <si>
    <t>G74</t>
  </si>
  <si>
    <t>H74</t>
  </si>
  <si>
    <t>I74</t>
  </si>
  <si>
    <t>G75</t>
  </si>
  <si>
    <t>H75</t>
  </si>
  <si>
    <t>I75</t>
  </si>
  <si>
    <t>G76</t>
  </si>
  <si>
    <t>H76</t>
  </si>
  <si>
    <t>I76</t>
  </si>
  <si>
    <t>G77</t>
  </si>
  <si>
    <t>H77</t>
  </si>
  <si>
    <t>I77</t>
  </si>
  <si>
    <t>G78</t>
  </si>
  <si>
    <t>H78</t>
  </si>
  <si>
    <t>I78</t>
  </si>
  <si>
    <t>G79</t>
  </si>
  <si>
    <t>H79</t>
  </si>
  <si>
    <t>I79</t>
  </si>
  <si>
    <t>G80</t>
  </si>
  <si>
    <t>H80</t>
  </si>
  <si>
    <t>I80</t>
  </si>
  <si>
    <t>G81</t>
  </si>
  <si>
    <t>H81</t>
  </si>
  <si>
    <t>I81</t>
  </si>
  <si>
    <t>G82</t>
  </si>
  <si>
    <t>H82</t>
  </si>
  <si>
    <t>I82</t>
  </si>
  <si>
    <t>G83</t>
  </si>
  <si>
    <t>H83</t>
  </si>
  <si>
    <t>I83</t>
  </si>
  <si>
    <t>G84</t>
  </si>
  <si>
    <t>H84</t>
  </si>
  <si>
    <t>I84</t>
  </si>
  <si>
    <t>G85</t>
  </si>
  <si>
    <t>H85</t>
  </si>
  <si>
    <t>I85</t>
  </si>
  <si>
    <t>G86</t>
  </si>
  <si>
    <t>H86</t>
  </si>
  <si>
    <t>I86</t>
  </si>
  <si>
    <t>G87</t>
  </si>
  <si>
    <t>H87</t>
  </si>
  <si>
    <t>I87</t>
  </si>
  <si>
    <t>G88</t>
  </si>
  <si>
    <t>H88</t>
  </si>
  <si>
    <t>I88</t>
  </si>
  <si>
    <t>G89</t>
  </si>
  <si>
    <t>H89</t>
  </si>
  <si>
    <t>I89</t>
  </si>
  <si>
    <t>G90</t>
  </si>
  <si>
    <t>H90</t>
  </si>
  <si>
    <t>I90</t>
  </si>
  <si>
    <t>G91</t>
  </si>
  <si>
    <t>H91</t>
  </si>
  <si>
    <t>I91</t>
  </si>
  <si>
    <t>G92</t>
  </si>
  <si>
    <t>H92</t>
  </si>
  <si>
    <t>I92</t>
  </si>
  <si>
    <t>G93</t>
  </si>
  <si>
    <t>H93</t>
  </si>
  <si>
    <t>I93</t>
  </si>
  <si>
    <t>G94</t>
  </si>
  <si>
    <t>H94</t>
  </si>
  <si>
    <t>I94</t>
  </si>
  <si>
    <t>G95</t>
  </si>
  <si>
    <t>H95</t>
  </si>
  <si>
    <t>I95</t>
  </si>
  <si>
    <t>G96</t>
  </si>
  <si>
    <t>H96</t>
  </si>
  <si>
    <t>I96</t>
  </si>
  <si>
    <t>G97</t>
  </si>
  <si>
    <t>H97</t>
  </si>
  <si>
    <t>I97</t>
  </si>
  <si>
    <t>G98</t>
  </si>
  <si>
    <t>H98</t>
  </si>
  <si>
    <t>I98</t>
  </si>
  <si>
    <t>G99</t>
  </si>
  <si>
    <t>H99</t>
  </si>
  <si>
    <t>I99</t>
  </si>
  <si>
    <t>G100</t>
  </si>
  <si>
    <t>H100</t>
  </si>
  <si>
    <t>I100</t>
  </si>
  <si>
    <t>G101</t>
  </si>
  <si>
    <t>H101</t>
  </si>
  <si>
    <t>I101</t>
  </si>
  <si>
    <t>G102</t>
  </si>
  <si>
    <t>H102</t>
  </si>
  <si>
    <t>I102</t>
  </si>
  <si>
    <t>G103</t>
  </si>
  <si>
    <t>H103</t>
  </si>
  <si>
    <t>I103</t>
  </si>
  <si>
    <t>G104</t>
  </si>
  <si>
    <t>H104</t>
  </si>
  <si>
    <t>I104</t>
  </si>
  <si>
    <t>G105</t>
  </si>
  <si>
    <t>H105</t>
  </si>
  <si>
    <t>I105</t>
  </si>
  <si>
    <t>G106</t>
  </si>
  <si>
    <t>H106</t>
  </si>
  <si>
    <t>I106</t>
  </si>
  <si>
    <t>G107</t>
  </si>
  <si>
    <t>H107</t>
  </si>
  <si>
    <t>I107</t>
  </si>
  <si>
    <t>G108</t>
  </si>
  <si>
    <t>H108</t>
  </si>
  <si>
    <t>I108</t>
  </si>
  <si>
    <t>G109</t>
  </si>
  <si>
    <t>H109</t>
  </si>
  <si>
    <t>I109</t>
  </si>
  <si>
    <t>G110</t>
  </si>
  <si>
    <t>H110</t>
  </si>
  <si>
    <t>I110</t>
  </si>
  <si>
    <t>G111</t>
  </si>
  <si>
    <t>H111</t>
  </si>
  <si>
    <t>I111</t>
  </si>
  <si>
    <t>G112</t>
  </si>
  <si>
    <t>H112</t>
  </si>
  <si>
    <t>I112</t>
  </si>
  <si>
    <t>G113</t>
  </si>
  <si>
    <t>H113</t>
  </si>
  <si>
    <t>I113</t>
  </si>
  <si>
    <t>G114</t>
  </si>
  <si>
    <t>H114</t>
  </si>
  <si>
    <t>I114</t>
  </si>
  <si>
    <t>G115</t>
  </si>
  <si>
    <t>H115</t>
  </si>
  <si>
    <t>I115</t>
  </si>
  <si>
    <t>G116</t>
  </si>
  <si>
    <t>H116</t>
  </si>
  <si>
    <t>I116</t>
  </si>
  <si>
    <t>G117</t>
  </si>
  <si>
    <t>H117</t>
  </si>
  <si>
    <t>I117</t>
  </si>
  <si>
    <t>G118</t>
  </si>
  <si>
    <t>H118</t>
  </si>
  <si>
    <t>I118</t>
  </si>
  <si>
    <t>G119</t>
  </si>
  <si>
    <t>H119</t>
  </si>
  <si>
    <t>I119</t>
  </si>
  <si>
    <t>G120</t>
  </si>
  <si>
    <t>H120</t>
  </si>
  <si>
    <t>I120</t>
  </si>
  <si>
    <t>G121</t>
  </si>
  <si>
    <t>H121</t>
  </si>
  <si>
    <t>I121</t>
  </si>
  <si>
    <t>G122</t>
  </si>
  <si>
    <t>H122</t>
  </si>
  <si>
    <t>I122</t>
  </si>
  <si>
    <t>G123</t>
  </si>
  <si>
    <t>H123</t>
  </si>
  <si>
    <t>I123</t>
  </si>
  <si>
    <t>G124</t>
  </si>
  <si>
    <t>H124</t>
  </si>
  <si>
    <t>I124</t>
  </si>
  <si>
    <t>G125</t>
  </si>
  <si>
    <t>H125</t>
  </si>
  <si>
    <t>I125</t>
  </si>
  <si>
    <t>G126</t>
  </si>
  <si>
    <t>H126</t>
  </si>
  <si>
    <t>I126</t>
  </si>
  <si>
    <t>G127</t>
  </si>
  <si>
    <t>H127</t>
  </si>
  <si>
    <t>I127</t>
  </si>
  <si>
    <t>G128</t>
  </si>
  <si>
    <t>H128</t>
  </si>
  <si>
    <t>I128</t>
  </si>
  <si>
    <t>G129</t>
  </si>
  <si>
    <t>H129</t>
  </si>
  <si>
    <t>I129</t>
  </si>
  <si>
    <t>G130</t>
  </si>
  <si>
    <t>H130</t>
  </si>
  <si>
    <t>I130</t>
  </si>
  <si>
    <t>G131</t>
  </si>
  <si>
    <t>H131</t>
  </si>
  <si>
    <t>I131</t>
  </si>
  <si>
    <t>G132</t>
  </si>
  <si>
    <t>H132</t>
  </si>
  <si>
    <t>I132</t>
  </si>
  <si>
    <t>G133</t>
  </si>
  <si>
    <t>H133</t>
  </si>
  <si>
    <t>I133</t>
  </si>
  <si>
    <t>G134</t>
  </si>
  <si>
    <t>H134</t>
  </si>
  <si>
    <t>I134</t>
  </si>
  <si>
    <t>G135</t>
  </si>
  <si>
    <t>H135</t>
  </si>
  <si>
    <t>I135</t>
  </si>
  <si>
    <t>G136</t>
  </si>
  <si>
    <t>H136</t>
  </si>
  <si>
    <t>I136</t>
  </si>
  <si>
    <t>G137</t>
  </si>
  <si>
    <t>H137</t>
  </si>
  <si>
    <t>I137</t>
  </si>
  <si>
    <t>G138</t>
  </si>
  <si>
    <t>H138</t>
  </si>
  <si>
    <t>I138</t>
  </si>
  <si>
    <t>G139</t>
  </si>
  <si>
    <t>H139</t>
  </si>
  <si>
    <t>I139</t>
  </si>
  <si>
    <t>G140</t>
  </si>
  <si>
    <t>H140</t>
  </si>
  <si>
    <t>I140</t>
  </si>
  <si>
    <t>G141</t>
  </si>
  <si>
    <t>H141</t>
  </si>
  <si>
    <t>I141</t>
  </si>
  <si>
    <t>G142</t>
  </si>
  <si>
    <t>H142</t>
  </si>
  <si>
    <t>I142</t>
  </si>
  <si>
    <t>G143</t>
  </si>
  <si>
    <t>H143</t>
  </si>
  <si>
    <t>I143</t>
  </si>
  <si>
    <t>G144</t>
  </si>
  <si>
    <t>H144</t>
  </si>
  <si>
    <t>I144</t>
  </si>
  <si>
    <t>G145</t>
  </si>
  <si>
    <t>H145</t>
  </si>
  <si>
    <t>I145</t>
  </si>
  <si>
    <t>G146</t>
  </si>
  <si>
    <t>H146</t>
  </si>
  <si>
    <t>I146</t>
  </si>
  <si>
    <t>G147</t>
  </si>
  <si>
    <t>H147</t>
  </si>
  <si>
    <t>I147</t>
  </si>
  <si>
    <t>G148</t>
  </si>
  <si>
    <t>H148</t>
  </si>
  <si>
    <t>I148</t>
  </si>
  <si>
    <t>G149</t>
  </si>
  <si>
    <t>H149</t>
  </si>
  <si>
    <t>I149</t>
  </si>
  <si>
    <t>G150</t>
  </si>
  <si>
    <t>H150</t>
  </si>
  <si>
    <t>I150</t>
  </si>
  <si>
    <t>G151</t>
  </si>
  <si>
    <t>H151</t>
  </si>
  <si>
    <t>I151</t>
  </si>
  <si>
    <t>G152</t>
  </si>
  <si>
    <t>H152</t>
  </si>
  <si>
    <t>I152</t>
  </si>
  <si>
    <t>G153</t>
  </si>
  <si>
    <t>H153</t>
  </si>
  <si>
    <t>I153</t>
  </si>
  <si>
    <t>G154</t>
  </si>
  <si>
    <t>H154</t>
  </si>
  <si>
    <t>I154</t>
  </si>
  <si>
    <t>G155</t>
  </si>
  <si>
    <t>H155</t>
  </si>
  <si>
    <t>I155</t>
  </si>
  <si>
    <t>G156</t>
  </si>
  <si>
    <t>H156</t>
  </si>
  <si>
    <t>I156</t>
  </si>
  <si>
    <t>G157</t>
  </si>
  <si>
    <t>H157</t>
  </si>
  <si>
    <t>I157</t>
  </si>
  <si>
    <t>G158</t>
  </si>
  <si>
    <t>H158</t>
  </si>
  <si>
    <t>I158</t>
  </si>
  <si>
    <t>G159</t>
  </si>
  <si>
    <t>H159</t>
  </si>
  <si>
    <t>I159</t>
  </si>
  <si>
    <t>G160</t>
  </si>
  <si>
    <t>H160</t>
  </si>
  <si>
    <t>I160</t>
  </si>
  <si>
    <t>G161</t>
  </si>
  <si>
    <t>H161</t>
  </si>
  <si>
    <t>I161</t>
  </si>
  <si>
    <t>G162</t>
  </si>
  <si>
    <t>H162</t>
  </si>
  <si>
    <t>I162</t>
  </si>
  <si>
    <t>G163</t>
  </si>
  <si>
    <t>H163</t>
  </si>
  <si>
    <t>I163</t>
  </si>
  <si>
    <t>G164</t>
  </si>
  <si>
    <t>H164</t>
  </si>
  <si>
    <t>I164</t>
  </si>
  <si>
    <t>G165</t>
  </si>
  <si>
    <t>H165</t>
  </si>
  <si>
    <t>I165</t>
  </si>
  <si>
    <t>G166</t>
  </si>
  <si>
    <t>H166</t>
  </si>
  <si>
    <t>I166</t>
  </si>
  <si>
    <t>G167</t>
  </si>
  <si>
    <t>H167</t>
  </si>
  <si>
    <t>I167</t>
  </si>
  <si>
    <t>G168</t>
  </si>
  <si>
    <t>H168</t>
  </si>
  <si>
    <t>I168</t>
  </si>
  <si>
    <t>G169</t>
  </si>
  <si>
    <t>H169</t>
  </si>
  <si>
    <t>I169</t>
  </si>
  <si>
    <t>G170</t>
  </si>
  <si>
    <t>H170</t>
  </si>
  <si>
    <t>I170</t>
  </si>
  <si>
    <t>G171</t>
  </si>
  <si>
    <t>H171</t>
  </si>
  <si>
    <t>I171</t>
  </si>
  <si>
    <t>G172</t>
  </si>
  <si>
    <t>H172</t>
  </si>
  <si>
    <t>I172</t>
  </si>
  <si>
    <t>G173</t>
  </si>
  <si>
    <t>H173</t>
  </si>
  <si>
    <t>I173</t>
  </si>
  <si>
    <t>G174</t>
  </si>
  <si>
    <t>H174</t>
  </si>
  <si>
    <t>I174</t>
  </si>
  <si>
    <t>G175</t>
  </si>
  <si>
    <t>H175</t>
  </si>
  <si>
    <t>I175</t>
  </si>
  <si>
    <t>G176</t>
  </si>
  <si>
    <t>H176</t>
  </si>
  <si>
    <t>I176</t>
  </si>
  <si>
    <t>G177</t>
  </si>
  <si>
    <t>H177</t>
  </si>
  <si>
    <t>I177</t>
  </si>
  <si>
    <t>G178</t>
  </si>
  <si>
    <t>H178</t>
  </si>
  <si>
    <t>I178</t>
  </si>
  <si>
    <t>G179</t>
  </si>
  <si>
    <t>H179</t>
  </si>
  <si>
    <t>I179</t>
  </si>
  <si>
    <t>G180</t>
  </si>
  <si>
    <t>H180</t>
  </si>
  <si>
    <t>I180</t>
  </si>
  <si>
    <t>G181</t>
  </si>
  <si>
    <t>H181</t>
  </si>
  <si>
    <t>I181</t>
  </si>
  <si>
    <t>G182</t>
  </si>
  <si>
    <t>H182</t>
  </si>
  <si>
    <t>I182</t>
  </si>
  <si>
    <t>G183</t>
  </si>
  <si>
    <t>H183</t>
  </si>
  <si>
    <t>I183</t>
  </si>
  <si>
    <t>G184</t>
  </si>
  <si>
    <t>H184</t>
  </si>
  <si>
    <t>I184</t>
  </si>
  <si>
    <t>G185</t>
  </si>
  <si>
    <t>H185</t>
  </si>
  <si>
    <t>I185</t>
  </si>
  <si>
    <t>G186</t>
  </si>
  <si>
    <t>H186</t>
  </si>
  <si>
    <t>I186</t>
  </si>
  <si>
    <t>G187</t>
  </si>
  <si>
    <t>H187</t>
  </si>
  <si>
    <t>I187</t>
  </si>
  <si>
    <t>G188</t>
  </si>
  <si>
    <t>H188</t>
  </si>
  <si>
    <t>I188</t>
  </si>
  <si>
    <t>G189</t>
  </si>
  <si>
    <t>H189</t>
  </si>
  <si>
    <t>I189</t>
  </si>
  <si>
    <t>G190</t>
  </si>
  <si>
    <t>H190</t>
  </si>
  <si>
    <t>I190</t>
  </si>
  <si>
    <t>G191</t>
  </si>
  <si>
    <t>H191</t>
  </si>
  <si>
    <t>I191</t>
  </si>
  <si>
    <t>G192</t>
  </si>
  <si>
    <t>H192</t>
  </si>
  <si>
    <t>I192</t>
  </si>
  <si>
    <t>G193</t>
  </si>
  <si>
    <t>H193</t>
  </si>
  <si>
    <t>I193</t>
  </si>
  <si>
    <t>G194</t>
  </si>
  <si>
    <t>H194</t>
  </si>
  <si>
    <t>I194</t>
  </si>
  <si>
    <t>G195</t>
  </si>
  <si>
    <t>H195</t>
  </si>
  <si>
    <t>I195</t>
  </si>
  <si>
    <t>G196</t>
  </si>
  <si>
    <t>H196</t>
  </si>
  <si>
    <t>I196</t>
  </si>
  <si>
    <t>G197</t>
  </si>
  <si>
    <t>H197</t>
  </si>
  <si>
    <t>I197</t>
  </si>
  <si>
    <t>G198</t>
  </si>
  <si>
    <t>H198</t>
  </si>
  <si>
    <t>I198</t>
  </si>
  <si>
    <t>G199</t>
  </si>
  <si>
    <t>H199</t>
  </si>
  <si>
    <t>I199</t>
  </si>
  <si>
    <t>G200</t>
  </si>
  <si>
    <t>H200</t>
  </si>
  <si>
    <t>I200</t>
  </si>
  <si>
    <t>Constraints</t>
  </si>
  <si>
    <t>Shadow Price</t>
  </si>
  <si>
    <t>RHS Value</t>
  </si>
  <si>
    <t>Z8=Z10</t>
  </si>
  <si>
    <t>ARS Lineup-Count</t>
  </si>
  <si>
    <t>AA8=AA10</t>
  </si>
  <si>
    <t>ARS Bench-Count</t>
  </si>
  <si>
    <t>X8&lt;=3</t>
  </si>
  <si>
    <t>ARS Picked-Team</t>
  </si>
  <si>
    <t>X9&lt;=3</t>
  </si>
  <si>
    <t>AVL Picked-Team</t>
  </si>
  <si>
    <t>X10&lt;=3</t>
  </si>
  <si>
    <t>X11&lt;=3</t>
  </si>
  <si>
    <t>BOU Picked-Team</t>
  </si>
  <si>
    <t>X12&lt;=3</t>
  </si>
  <si>
    <t>BRE Picked-Team</t>
  </si>
  <si>
    <t>X13&lt;=3</t>
  </si>
  <si>
    <t>BHA Picked-Team</t>
  </si>
  <si>
    <t>X14&lt;=3</t>
  </si>
  <si>
    <t>CHE Picked-Team</t>
  </si>
  <si>
    <t>X15&lt;=3</t>
  </si>
  <si>
    <t>CRY Picked-Team</t>
  </si>
  <si>
    <t>X16&lt;=3</t>
  </si>
  <si>
    <t>EVE Picked-Team</t>
  </si>
  <si>
    <t>X17&lt;=3</t>
  </si>
  <si>
    <t>FUL Picked-Team</t>
  </si>
  <si>
    <t>X18&lt;=3</t>
  </si>
  <si>
    <t>LEE Picked-Team</t>
  </si>
  <si>
    <t>X19&lt;=3</t>
  </si>
  <si>
    <t>LIV Picked-Team</t>
  </si>
  <si>
    <t>X20&lt;=3</t>
  </si>
  <si>
    <t>MCI Picked-Team</t>
  </si>
  <si>
    <t>X21&lt;=3</t>
  </si>
  <si>
    <t>MUN Picked-Team</t>
  </si>
  <si>
    <t>X22&lt;=3</t>
  </si>
  <si>
    <t>NEW Picked-Team</t>
  </si>
  <si>
    <t>X23&lt;=3</t>
  </si>
  <si>
    <t>NFO Picked-Team</t>
  </si>
  <si>
    <t>X24&lt;=3</t>
  </si>
  <si>
    <t>SUN Picked-Team</t>
  </si>
  <si>
    <t>X25&lt;=3</t>
  </si>
  <si>
    <t>TOT Picked-Team</t>
  </si>
  <si>
    <t>X26&lt;=3</t>
  </si>
  <si>
    <t>X27&lt;=3</t>
  </si>
  <si>
    <t>S5&lt;=T5</t>
  </si>
  <si>
    <t>S8=1</t>
  </si>
  <si>
    <t>Y2=X2</t>
  </si>
  <si>
    <t>GK Picked</t>
  </si>
  <si>
    <t>Y3=X3</t>
  </si>
  <si>
    <t>DEF Picked</t>
  </si>
  <si>
    <t>Y4=X4</t>
  </si>
  <si>
    <t>MID Picked</t>
  </si>
  <si>
    <t>Y5=X5</t>
  </si>
  <si>
    <t>FWD Picked</t>
  </si>
  <si>
    <t>AB2&gt;=Z2</t>
  </si>
  <si>
    <t>GK Pick-Lineup</t>
  </si>
  <si>
    <t>AB3&gt;=Z3</t>
  </si>
  <si>
    <t>DEF Pick-Lineup</t>
  </si>
  <si>
    <t>AB4&gt;=Z4</t>
  </si>
  <si>
    <t>MID Pick-Lineup</t>
  </si>
  <si>
    <t>AB5&gt;=Z5</t>
  </si>
  <si>
    <t>FWD Pick-Lineup</t>
  </si>
  <si>
    <t>AB2&lt;=AA2</t>
  </si>
  <si>
    <t>AB3&lt;=AA3</t>
  </si>
  <si>
    <t>AB4&lt;=AA4</t>
  </si>
  <si>
    <t>AB5&lt;=AA5</t>
  </si>
  <si>
    <t>I2&lt;=G2</t>
  </si>
  <si>
    <t>I3&lt;=G3</t>
  </si>
  <si>
    <t>I4&lt;=G4</t>
  </si>
  <si>
    <t>I5&lt;=G5</t>
  </si>
  <si>
    <t>I6&lt;=G6</t>
  </si>
  <si>
    <t>I7&lt;=G7</t>
  </si>
  <si>
    <t>I8&lt;=G8</t>
  </si>
  <si>
    <t>I9&lt;=G9</t>
  </si>
  <si>
    <t>I10&lt;=G10</t>
  </si>
  <si>
    <t>I11&lt;=G11</t>
  </si>
  <si>
    <t>I12&lt;=G12</t>
  </si>
  <si>
    <t>I13&lt;=G13</t>
  </si>
  <si>
    <t>I14&lt;=G14</t>
  </si>
  <si>
    <t>I15&lt;=G15</t>
  </si>
  <si>
    <t>I16&lt;=G16</t>
  </si>
  <si>
    <t>I17&lt;=G17</t>
  </si>
  <si>
    <t>I18&lt;=G18</t>
  </si>
  <si>
    <t>I19&lt;=G19</t>
  </si>
  <si>
    <t>I20&lt;=G20</t>
  </si>
  <si>
    <t>I21&lt;=G21</t>
  </si>
  <si>
    <t>I22&lt;=G22</t>
  </si>
  <si>
    <t>I23&lt;=G23</t>
  </si>
  <si>
    <t>I24&lt;=G24</t>
  </si>
  <si>
    <t>I25&lt;=G25</t>
  </si>
  <si>
    <t>I26&lt;=G26</t>
  </si>
  <si>
    <t>I27&lt;=G27</t>
  </si>
  <si>
    <t>I28&lt;=G28</t>
  </si>
  <si>
    <t>I29&lt;=G29</t>
  </si>
  <si>
    <t>I30&lt;=G30</t>
  </si>
  <si>
    <t>I31&lt;=G31</t>
  </si>
  <si>
    <t>I32&lt;=G32</t>
  </si>
  <si>
    <t>I33&lt;=G33</t>
  </si>
  <si>
    <t>I34&lt;=G34</t>
  </si>
  <si>
    <t>I35&lt;=G35</t>
  </si>
  <si>
    <t>I36&lt;=G36</t>
  </si>
  <si>
    <t>I37&lt;=G37</t>
  </si>
  <si>
    <t>I38&lt;=G38</t>
  </si>
  <si>
    <t>I39&lt;=G39</t>
  </si>
  <si>
    <t>I40&lt;=G40</t>
  </si>
  <si>
    <t>I41&lt;=G41</t>
  </si>
  <si>
    <t>I42&lt;=G42</t>
  </si>
  <si>
    <t>I43&lt;=G43</t>
  </si>
  <si>
    <t>I44&lt;=G44</t>
  </si>
  <si>
    <t>I45&lt;=G45</t>
  </si>
  <si>
    <t>I46&lt;=G46</t>
  </si>
  <si>
    <t>I47&lt;=G47</t>
  </si>
  <si>
    <t>I48&lt;=G48</t>
  </si>
  <si>
    <t>I49&lt;=G49</t>
  </si>
  <si>
    <t>I50&lt;=G50</t>
  </si>
  <si>
    <t>I51&lt;=G51</t>
  </si>
  <si>
    <t>I52&lt;=G52</t>
  </si>
  <si>
    <t>I53&lt;=G53</t>
  </si>
  <si>
    <t>I54&lt;=G54</t>
  </si>
  <si>
    <t>I55&lt;=G55</t>
  </si>
  <si>
    <t>I56&lt;=G56</t>
  </si>
  <si>
    <t>I57&lt;=G57</t>
  </si>
  <si>
    <t>I58&lt;=G58</t>
  </si>
  <si>
    <t>I59&lt;=G59</t>
  </si>
  <si>
    <t>I60&lt;=G60</t>
  </si>
  <si>
    <t>I61&lt;=G61</t>
  </si>
  <si>
    <t>I62&lt;=G62</t>
  </si>
  <si>
    <t>I63&lt;=G63</t>
  </si>
  <si>
    <t>I64&lt;=G64</t>
  </si>
  <si>
    <t>I65&lt;=G65</t>
  </si>
  <si>
    <t>I66&lt;=G66</t>
  </si>
  <si>
    <t>I67&lt;=G67</t>
  </si>
  <si>
    <t>I68&lt;=G68</t>
  </si>
  <si>
    <t>I69&lt;=G69</t>
  </si>
  <si>
    <t>I70&lt;=G70</t>
  </si>
  <si>
    <t>I71&lt;=G71</t>
  </si>
  <si>
    <t>I72&lt;=G72</t>
  </si>
  <si>
    <t>I73&lt;=G73</t>
  </si>
  <si>
    <t>I74&lt;=G74</t>
  </si>
  <si>
    <t>I75&lt;=G75</t>
  </si>
  <si>
    <t>I76&lt;=G76</t>
  </si>
  <si>
    <t>I77&lt;=G77</t>
  </si>
  <si>
    <t>I78&lt;=G78</t>
  </si>
  <si>
    <t>I79&lt;=G79</t>
  </si>
  <si>
    <t>I80&lt;=G80</t>
  </si>
  <si>
    <t>I81&lt;=G81</t>
  </si>
  <si>
    <t>I82&lt;=G82</t>
  </si>
  <si>
    <t>I83&lt;=G83</t>
  </si>
  <si>
    <t>I84&lt;=G84</t>
  </si>
  <si>
    <t>I85&lt;=G85</t>
  </si>
  <si>
    <t>I86&lt;=G86</t>
  </si>
  <si>
    <t>I87&lt;=G87</t>
  </si>
  <si>
    <t>I88&lt;=G88</t>
  </si>
  <si>
    <t>I89&lt;=G89</t>
  </si>
  <si>
    <t>I90&lt;=G90</t>
  </si>
  <si>
    <t>I91&lt;=G91</t>
  </si>
  <si>
    <t>I92&lt;=G92</t>
  </si>
  <si>
    <t>I93&lt;=G93</t>
  </si>
  <si>
    <t>I94&lt;=G94</t>
  </si>
  <si>
    <t>I95&lt;=G95</t>
  </si>
  <si>
    <t>I96&lt;=G96</t>
  </si>
  <si>
    <t>I97&lt;=G97</t>
  </si>
  <si>
    <t>I98&lt;=G98</t>
  </si>
  <si>
    <t>I99&lt;=G99</t>
  </si>
  <si>
    <t>I100&lt;=G100</t>
  </si>
  <si>
    <t>I101&lt;=G101</t>
  </si>
  <si>
    <t>I102&lt;=G102</t>
  </si>
  <si>
    <t>I103&lt;=G103</t>
  </si>
  <si>
    <t>I104&lt;=G104</t>
  </si>
  <si>
    <t>I105&lt;=G105</t>
  </si>
  <si>
    <t>I106&lt;=G106</t>
  </si>
  <si>
    <t>I107&lt;=G107</t>
  </si>
  <si>
    <t>I108&lt;=G108</t>
  </si>
  <si>
    <t>I109&lt;=G109</t>
  </si>
  <si>
    <t>I110&lt;=G110</t>
  </si>
  <si>
    <t>I111&lt;=G111</t>
  </si>
  <si>
    <t>I112&lt;=G112</t>
  </si>
  <si>
    <t>I113&lt;=G113</t>
  </si>
  <si>
    <t>I114&lt;=G114</t>
  </si>
  <si>
    <t>I115&lt;=G115</t>
  </si>
  <si>
    <t>I116&lt;=G116</t>
  </si>
  <si>
    <t>I117&lt;=G117</t>
  </si>
  <si>
    <t>I118&lt;=G118</t>
  </si>
  <si>
    <t>I119&lt;=G119</t>
  </si>
  <si>
    <t>I120&lt;=G120</t>
  </si>
  <si>
    <t>I121&lt;=G121</t>
  </si>
  <si>
    <t>I122&lt;=G122</t>
  </si>
  <si>
    <t>I123&lt;=G123</t>
  </si>
  <si>
    <t>I124&lt;=G124</t>
  </si>
  <si>
    <t>I125&lt;=G125</t>
  </si>
  <si>
    <t>I126&lt;=G126</t>
  </si>
  <si>
    <t>I127&lt;=G127</t>
  </si>
  <si>
    <t>I128&lt;=G128</t>
  </si>
  <si>
    <t>I129&lt;=G129</t>
  </si>
  <si>
    <t>I130&lt;=G130</t>
  </si>
  <si>
    <t>I131&lt;=G131</t>
  </si>
  <si>
    <t>I132&lt;=G132</t>
  </si>
  <si>
    <t>I133&lt;=G133</t>
  </si>
  <si>
    <t>I134&lt;=G134</t>
  </si>
  <si>
    <t>I135&lt;=G135</t>
  </si>
  <si>
    <t>I136&lt;=G136</t>
  </si>
  <si>
    <t>I137&lt;=G137</t>
  </si>
  <si>
    <t>I138&lt;=G138</t>
  </si>
  <si>
    <t>I139&lt;=G139</t>
  </si>
  <si>
    <t>I140&lt;=G140</t>
  </si>
  <si>
    <t>I141&lt;=G141</t>
  </si>
  <si>
    <t>I142&lt;=G142</t>
  </si>
  <si>
    <t>I143&lt;=G143</t>
  </si>
  <si>
    <t>I144&lt;=G144</t>
  </si>
  <si>
    <t>I145&lt;=G145</t>
  </si>
  <si>
    <t>I146&lt;=G146</t>
  </si>
  <si>
    <t>I147&lt;=G147</t>
  </si>
  <si>
    <t>I148&lt;=G148</t>
  </si>
  <si>
    <t>I149&lt;=G149</t>
  </si>
  <si>
    <t>I150&lt;=G150</t>
  </si>
  <si>
    <t>I151&lt;=G151</t>
  </si>
  <si>
    <t>I152&lt;=G152</t>
  </si>
  <si>
    <t>I153&lt;=G153</t>
  </si>
  <si>
    <t>I154&lt;=G154</t>
  </si>
  <si>
    <t>I155&lt;=G155</t>
  </si>
  <si>
    <t>I156&lt;=G156</t>
  </si>
  <si>
    <t>I157&lt;=G157</t>
  </si>
  <si>
    <t>I158&lt;=G158</t>
  </si>
  <si>
    <t>I159&lt;=G159</t>
  </si>
  <si>
    <t>I160&lt;=G160</t>
  </si>
  <si>
    <t>I161&lt;=G161</t>
  </si>
  <si>
    <t>I162&lt;=G162</t>
  </si>
  <si>
    <t>I163&lt;=G163</t>
  </si>
  <si>
    <t>I164&lt;=G164</t>
  </si>
  <si>
    <t>I165&lt;=G165</t>
  </si>
  <si>
    <t>I166&lt;=G166</t>
  </si>
  <si>
    <t>I167&lt;=G167</t>
  </si>
  <si>
    <t>I168&lt;=G168</t>
  </si>
  <si>
    <t>I169&lt;=G169</t>
  </si>
  <si>
    <t>I170&lt;=G170</t>
  </si>
  <si>
    <t>I171&lt;=G171</t>
  </si>
  <si>
    <t>I172&lt;=G172</t>
  </si>
  <si>
    <t>I173&lt;=G173</t>
  </si>
  <si>
    <t>I174&lt;=G174</t>
  </si>
  <si>
    <t>I175&lt;=G175</t>
  </si>
  <si>
    <t>I176&lt;=G176</t>
  </si>
  <si>
    <t>I177&lt;=G177</t>
  </si>
  <si>
    <t>I178&lt;=G178</t>
  </si>
  <si>
    <t>I179&lt;=G179</t>
  </si>
  <si>
    <t>I180&lt;=G180</t>
  </si>
  <si>
    <t>I181&lt;=G181</t>
  </si>
  <si>
    <t>I182&lt;=G182</t>
  </si>
  <si>
    <t>I183&lt;=G183</t>
  </si>
  <si>
    <t>I184&lt;=G184</t>
  </si>
  <si>
    <t>I185&lt;=G185</t>
  </si>
  <si>
    <t>I186&lt;=G186</t>
  </si>
  <si>
    <t>I187&lt;=G187</t>
  </si>
  <si>
    <t>I188&lt;=G188</t>
  </si>
  <si>
    <t>I189&lt;=G189</t>
  </si>
  <si>
    <t>I190&lt;=G190</t>
  </si>
  <si>
    <t>I191&lt;=G191</t>
  </si>
  <si>
    <t>I192&lt;=G192</t>
  </si>
  <si>
    <t>I193&lt;=G193</t>
  </si>
  <si>
    <t>I194&lt;=G194</t>
  </si>
  <si>
    <t>I195&lt;=G195</t>
  </si>
  <si>
    <t>I196&lt;=G196</t>
  </si>
  <si>
    <t>I197&lt;=G197</t>
  </si>
  <si>
    <t>I198&lt;=G198</t>
  </si>
  <si>
    <t>I199&lt;=G199</t>
  </si>
  <si>
    <t>I200&lt;=G200</t>
  </si>
  <si>
    <t>J2&lt;=1</t>
  </si>
  <si>
    <t>J3&lt;=1</t>
  </si>
  <si>
    <t>J4&lt;=1</t>
  </si>
  <si>
    <t>J5&lt;=1</t>
  </si>
  <si>
    <t>J6&lt;=1</t>
  </si>
  <si>
    <t>J7&lt;=1</t>
  </si>
  <si>
    <t>J8&lt;=1</t>
  </si>
  <si>
    <t>J9&lt;=1</t>
  </si>
  <si>
    <t>J10&lt;=1</t>
  </si>
  <si>
    <t>J11&lt;=1</t>
  </si>
  <si>
    <t>J12&lt;=1</t>
  </si>
  <si>
    <t>J13&lt;=1</t>
  </si>
  <si>
    <t>J14&lt;=1</t>
  </si>
  <si>
    <t>J15&lt;=1</t>
  </si>
  <si>
    <t>J16&lt;=1</t>
  </si>
  <si>
    <t>J17&lt;=1</t>
  </si>
  <si>
    <t>J18&lt;=1</t>
  </si>
  <si>
    <t>J19&lt;=1</t>
  </si>
  <si>
    <t>J20&lt;=1</t>
  </si>
  <si>
    <t>J21&lt;=1</t>
  </si>
  <si>
    <t>J22&lt;=1</t>
  </si>
  <si>
    <t>J23&lt;=1</t>
  </si>
  <si>
    <t>J24&lt;=1</t>
  </si>
  <si>
    <t>J25&lt;=1</t>
  </si>
  <si>
    <t>J26&lt;=1</t>
  </si>
  <si>
    <t>J27&lt;=1</t>
  </si>
  <si>
    <t>J28&lt;=1</t>
  </si>
  <si>
    <t>J29&lt;=1</t>
  </si>
  <si>
    <t>J30&lt;=1</t>
  </si>
  <si>
    <t>J31&lt;=1</t>
  </si>
  <si>
    <t>J32&lt;=1</t>
  </si>
  <si>
    <t>J33&lt;=1</t>
  </si>
  <si>
    <t>J34&lt;=1</t>
  </si>
  <si>
    <t>J35&lt;=1</t>
  </si>
  <si>
    <t>J36&lt;=1</t>
  </si>
  <si>
    <t>J37&lt;=1</t>
  </si>
  <si>
    <t>J38&lt;=1</t>
  </si>
  <si>
    <t>J39&lt;=1</t>
  </si>
  <si>
    <t>J40&lt;=1</t>
  </si>
  <si>
    <t>J41&lt;=1</t>
  </si>
  <si>
    <t>J42&lt;=1</t>
  </si>
  <si>
    <t>J43&lt;=1</t>
  </si>
  <si>
    <t>J44&lt;=1</t>
  </si>
  <si>
    <t>J45&lt;=1</t>
  </si>
  <si>
    <t>J46&lt;=1</t>
  </si>
  <si>
    <t>J47&lt;=1</t>
  </si>
  <si>
    <t>J48&lt;=1</t>
  </si>
  <si>
    <t>J49&lt;=1</t>
  </si>
  <si>
    <t>J50&lt;=1</t>
  </si>
  <si>
    <t>J51&lt;=1</t>
  </si>
  <si>
    <t>J52&lt;=1</t>
  </si>
  <si>
    <t>J53&lt;=1</t>
  </si>
  <si>
    <t>J54&lt;=1</t>
  </si>
  <si>
    <t>J55&lt;=1</t>
  </si>
  <si>
    <t>J56&lt;=1</t>
  </si>
  <si>
    <t>J57&lt;=1</t>
  </si>
  <si>
    <t>J58&lt;=1</t>
  </si>
  <si>
    <t>J59&lt;=1</t>
  </si>
  <si>
    <t>J60&lt;=1</t>
  </si>
  <si>
    <t>J61&lt;=1</t>
  </si>
  <si>
    <t>J62&lt;=1</t>
  </si>
  <si>
    <t>J63&lt;=1</t>
  </si>
  <si>
    <t>J64&lt;=1</t>
  </si>
  <si>
    <t>J65&lt;=1</t>
  </si>
  <si>
    <t>J66&lt;=1</t>
  </si>
  <si>
    <t>J67&lt;=1</t>
  </si>
  <si>
    <t>J68&lt;=1</t>
  </si>
  <si>
    <t>J69&lt;=1</t>
  </si>
  <si>
    <t>J70&lt;=1</t>
  </si>
  <si>
    <t>J71&lt;=1</t>
  </si>
  <si>
    <t>J72&lt;=1</t>
  </si>
  <si>
    <t>J73&lt;=1</t>
  </si>
  <si>
    <t>J74&lt;=1</t>
  </si>
  <si>
    <t>J75&lt;=1</t>
  </si>
  <si>
    <t>J76&lt;=1</t>
  </si>
  <si>
    <t>J77&lt;=1</t>
  </si>
  <si>
    <t>J78&lt;=1</t>
  </si>
  <si>
    <t>J79&lt;=1</t>
  </si>
  <si>
    <t>J80&lt;=1</t>
  </si>
  <si>
    <t>J81&lt;=1</t>
  </si>
  <si>
    <t>J82&lt;=1</t>
  </si>
  <si>
    <t>J83&lt;=1</t>
  </si>
  <si>
    <t>J84&lt;=1</t>
  </si>
  <si>
    <t>J85&lt;=1</t>
  </si>
  <si>
    <t>J86&lt;=1</t>
  </si>
  <si>
    <t>J87&lt;=1</t>
  </si>
  <si>
    <t>J88&lt;=1</t>
  </si>
  <si>
    <t>J89&lt;=1</t>
  </si>
  <si>
    <t>J90&lt;=1</t>
  </si>
  <si>
    <t>J91&lt;=1</t>
  </si>
  <si>
    <t>J92&lt;=1</t>
  </si>
  <si>
    <t>J93&lt;=1</t>
  </si>
  <si>
    <t>J94&lt;=1</t>
  </si>
  <si>
    <t>J95&lt;=1</t>
  </si>
  <si>
    <t>J96&lt;=1</t>
  </si>
  <si>
    <t>J97&lt;=1</t>
  </si>
  <si>
    <t>J98&lt;=1</t>
  </si>
  <si>
    <t>J99&lt;=1</t>
  </si>
  <si>
    <t>J100&lt;=1</t>
  </si>
  <si>
    <t>J101&lt;=1</t>
  </si>
  <si>
    <t>J102&lt;=1</t>
  </si>
  <si>
    <t>J103&lt;=1</t>
  </si>
  <si>
    <t>J104&lt;=1</t>
  </si>
  <si>
    <t>J105&lt;=1</t>
  </si>
  <si>
    <t>J106&lt;=1</t>
  </si>
  <si>
    <t>J107&lt;=1</t>
  </si>
  <si>
    <t>J108&lt;=1</t>
  </si>
  <si>
    <t>J109&lt;=1</t>
  </si>
  <si>
    <t>J110&lt;=1</t>
  </si>
  <si>
    <t>J111&lt;=1</t>
  </si>
  <si>
    <t>J112&lt;=1</t>
  </si>
  <si>
    <t>J113&lt;=1</t>
  </si>
  <si>
    <t>J114&lt;=1</t>
  </si>
  <si>
    <t>J115&lt;=1</t>
  </si>
  <si>
    <t>J116&lt;=1</t>
  </si>
  <si>
    <t>J117&lt;=1</t>
  </si>
  <si>
    <t>J118&lt;=1</t>
  </si>
  <si>
    <t>J119&lt;=1</t>
  </si>
  <si>
    <t>J120&lt;=1</t>
  </si>
  <si>
    <t>J121&lt;=1</t>
  </si>
  <si>
    <t>J122&lt;=1</t>
  </si>
  <si>
    <t>J123&lt;=1</t>
  </si>
  <si>
    <t>J124&lt;=1</t>
  </si>
  <si>
    <t>J125&lt;=1</t>
  </si>
  <si>
    <t>J126&lt;=1</t>
  </si>
  <si>
    <t>J127&lt;=1</t>
  </si>
  <si>
    <t>J128&lt;=1</t>
  </si>
  <si>
    <t>J129&lt;=1</t>
  </si>
  <si>
    <t>J130&lt;=1</t>
  </si>
  <si>
    <t>J131&lt;=1</t>
  </si>
  <si>
    <t>J132&lt;=1</t>
  </si>
  <si>
    <t>J133&lt;=1</t>
  </si>
  <si>
    <t>J134&lt;=1</t>
  </si>
  <si>
    <t>J135&lt;=1</t>
  </si>
  <si>
    <t>J136&lt;=1</t>
  </si>
  <si>
    <t>J137&lt;=1</t>
  </si>
  <si>
    <t>J138&lt;=1</t>
  </si>
  <si>
    <t>J139&lt;=1</t>
  </si>
  <si>
    <t>J140&lt;=1</t>
  </si>
  <si>
    <t>J141&lt;=1</t>
  </si>
  <si>
    <t>J142&lt;=1</t>
  </si>
  <si>
    <t>J143&lt;=1</t>
  </si>
  <si>
    <t>J144&lt;=1</t>
  </si>
  <si>
    <t>J145&lt;=1</t>
  </si>
  <si>
    <t>J146&lt;=1</t>
  </si>
  <si>
    <t>J147&lt;=1</t>
  </si>
  <si>
    <t>J148&lt;=1</t>
  </si>
  <si>
    <t>J149&lt;=1</t>
  </si>
  <si>
    <t>J150&lt;=1</t>
  </si>
  <si>
    <t>J151&lt;=1</t>
  </si>
  <si>
    <t>J152&lt;=1</t>
  </si>
  <si>
    <t>J153&lt;=1</t>
  </si>
  <si>
    <t>J154&lt;=1</t>
  </si>
  <si>
    <t>J155&lt;=1</t>
  </si>
  <si>
    <t>J156&lt;=1</t>
  </si>
  <si>
    <t>J157&lt;=1</t>
  </si>
  <si>
    <t>J158&lt;=1</t>
  </si>
  <si>
    <t>J159&lt;=1</t>
  </si>
  <si>
    <t>J160&lt;=1</t>
  </si>
  <si>
    <t>J161&lt;=1</t>
  </si>
  <si>
    <t>J162&lt;=1</t>
  </si>
  <si>
    <t>J163&lt;=1</t>
  </si>
  <si>
    <t>J164&lt;=1</t>
  </si>
  <si>
    <t>J165&lt;=1</t>
  </si>
  <si>
    <t>J166&lt;=1</t>
  </si>
  <si>
    <t>J167&lt;=1</t>
  </si>
  <si>
    <t>J168&lt;=1</t>
  </si>
  <si>
    <t>J169&lt;=1</t>
  </si>
  <si>
    <t>J170&lt;=1</t>
  </si>
  <si>
    <t>J171&lt;=1</t>
  </si>
  <si>
    <t>J172&lt;=1</t>
  </si>
  <si>
    <t>J173&lt;=1</t>
  </si>
  <si>
    <t>J174&lt;=1</t>
  </si>
  <si>
    <t>J175&lt;=1</t>
  </si>
  <si>
    <t>J176&lt;=1</t>
  </si>
  <si>
    <t>J177&lt;=1</t>
  </si>
  <si>
    <t>J178&lt;=1</t>
  </si>
  <si>
    <t>J179&lt;=1</t>
  </si>
  <si>
    <t>J180&lt;=1</t>
  </si>
  <si>
    <t>J181&lt;=1</t>
  </si>
  <si>
    <t>J182&lt;=1</t>
  </si>
  <si>
    <t>J183&lt;=1</t>
  </si>
  <si>
    <t>J184&lt;=1</t>
  </si>
  <si>
    <t>J185&lt;=1</t>
  </si>
  <si>
    <t>J186&lt;=1</t>
  </si>
  <si>
    <t>J187&lt;=1</t>
  </si>
  <si>
    <t>J188&lt;=1</t>
  </si>
  <si>
    <t>J189&lt;=1</t>
  </si>
  <si>
    <t>J190&lt;=1</t>
  </si>
  <si>
    <t>J191&lt;=1</t>
  </si>
  <si>
    <t>J192&lt;=1</t>
  </si>
  <si>
    <t>J193&lt;=1</t>
  </si>
  <si>
    <t>J194&lt;=1</t>
  </si>
  <si>
    <t>J195&lt;=1</t>
  </si>
  <si>
    <t>J196&lt;=1</t>
  </si>
  <si>
    <t>J197&lt;=1</t>
  </si>
  <si>
    <t>J198&lt;=1</t>
  </si>
  <si>
    <t>J199&lt;=1</t>
  </si>
  <si>
    <t>J200&lt;=1</t>
  </si>
  <si>
    <t>COV</t>
  </si>
  <si>
    <t>HUL</t>
  </si>
  <si>
    <t>IPS</t>
  </si>
  <si>
    <t>Worksheet: [SOLVER.xlsx] SOLVER Sensitivity 1</t>
  </si>
  <si>
    <t>Report Created: 13/08/2026 21:36:14</t>
  </si>
  <si>
    <t>Bruno Borges Fernandes Pick-LU</t>
  </si>
  <si>
    <t>Bruno Borges Fernandes Pick-Bench</t>
  </si>
  <si>
    <t>Bruno Borges Fernandes Pick-Cap</t>
  </si>
  <si>
    <t>Gabriel dos Santos Magalhães Pick-LU</t>
  </si>
  <si>
    <t>Gabriel dos Santos Magalhães Pick-Bench</t>
  </si>
  <si>
    <t>Gabriel dos Santos Magalhães Pick-Cap</t>
  </si>
  <si>
    <t>Bryan Mbeumo Pick-LU</t>
  </si>
  <si>
    <t>Bryan Mbeumo Pick-Bench</t>
  </si>
  <si>
    <t>Bryan Mbeumo Pick-Cap</t>
  </si>
  <si>
    <t>Morgan Gibbs-White Pick-LU</t>
  </si>
  <si>
    <t>Morgan Gibbs-White Pick-Bench</t>
  </si>
  <si>
    <t>Morgan Gibbs-White Pick-Cap</t>
  </si>
  <si>
    <t>Enzo Fernández Pick-LU</t>
  </si>
  <si>
    <t>Enzo Fernández Pick-Bench</t>
  </si>
  <si>
    <t>Enzo Fernández Pick-Cap</t>
  </si>
  <si>
    <t>Marc Guéhi Pick-LU</t>
  </si>
  <si>
    <t>Marc Guéhi Pick-Bench</t>
  </si>
  <si>
    <t>Marc Guéhi Pick-Cap</t>
  </si>
  <si>
    <t>João Pedro Junqueira de Jesus Pick-LU</t>
  </si>
  <si>
    <t>João Pedro Junqueira de Jesus Pick-Bench</t>
  </si>
  <si>
    <t>João Pedro Junqueira de Jesus Pick-Cap</t>
  </si>
  <si>
    <t>Jan Paul van Hecke Pick-LU</t>
  </si>
  <si>
    <t>Jan Paul van Hecke Pick-Bench</t>
  </si>
  <si>
    <t>Jan Paul van Hecke Pick-Cap</t>
  </si>
  <si>
    <t>Dominic Calvert-Lewin Pick-LU</t>
  </si>
  <si>
    <t>Dominic Calvert-Lewin Pick-Bench</t>
  </si>
  <si>
    <t>Dominic Calvert-Lewin Pick-Cap</t>
  </si>
  <si>
    <t>David Raya Martín Pick-LU</t>
  </si>
  <si>
    <t>David Raya Martín Pick-Bench</t>
  </si>
  <si>
    <t>David Raya Martín Pick-Cap</t>
  </si>
  <si>
    <t>Igor Thiago Nascimento Rodrigues Pick-LU</t>
  </si>
  <si>
    <t>Igor Thiago Nascimento Rodrigues Pick-Bench</t>
  </si>
  <si>
    <t>Igor Thiago Nascimento Rodrigues Pick-Cap</t>
  </si>
  <si>
    <t>Erling Haaland Pick-LU</t>
  </si>
  <si>
    <t>Erling Haaland Pick-Bench</t>
  </si>
  <si>
    <t>Erling Haaland Pick-Cap</t>
  </si>
  <si>
    <t>Antoine Semenyo Pick-LU</t>
  </si>
  <si>
    <t>Antoine Semenyo Pick-Bench</t>
  </si>
  <si>
    <t>Antoine Semenyo Pick-Cap</t>
  </si>
  <si>
    <t>Cole Palmer Pick-LU</t>
  </si>
  <si>
    <t>Cole Palmer Pick-Bench</t>
  </si>
  <si>
    <t>Cole Palmer Pick-Cap</t>
  </si>
  <si>
    <t>Dominik Szoboszlai Pick-LU</t>
  </si>
  <si>
    <t>Dominik Szoboszlai Pick-Bench</t>
  </si>
  <si>
    <t>Dominik Szoboszlai Pick-Cap</t>
  </si>
  <si>
    <t>Virgil van Dijk Pick-LU</t>
  </si>
  <si>
    <t>Virgil van Dijk Pick-Bench</t>
  </si>
  <si>
    <t>Virgil van Dijk Pick-Cap</t>
  </si>
  <si>
    <t>Declan Rice Pick-LU</t>
  </si>
  <si>
    <t>Declan Rice Pick-Bench</t>
  </si>
  <si>
    <t>Declan Rice Pick-Cap</t>
  </si>
  <si>
    <t>Marcus Tavernier Pick-LU</t>
  </si>
  <si>
    <t>Marcus Tavernier Pick-Bench</t>
  </si>
  <si>
    <t>Marcus Tavernier Pick-Cap</t>
  </si>
  <si>
    <t>Neco Williams Pick-LU</t>
  </si>
  <si>
    <t>Neco Williams Pick-Bench</t>
  </si>
  <si>
    <t>Neco Williams Pick-Cap</t>
  </si>
  <si>
    <t>Nico O'Reilly Pick-LU</t>
  </si>
  <si>
    <t>Nico O'Reilly Pick-Bench</t>
  </si>
  <si>
    <t>Nico O'Reilly Pick-Cap</t>
  </si>
  <si>
    <t>James Tarkowski Pick-LU</t>
  </si>
  <si>
    <t>James Tarkowski Pick-Bench</t>
  </si>
  <si>
    <t>James Tarkowski Pick-Cap</t>
  </si>
  <si>
    <t>Bukayo Saka Pick-LU</t>
  </si>
  <si>
    <t>Bukayo Saka Pick-Bench</t>
  </si>
  <si>
    <t>Bukayo Saka Pick-Cap</t>
  </si>
  <si>
    <t>Iliman Ndiaye Pick-LU</t>
  </si>
  <si>
    <t>Iliman Ndiaye Pick-Bench</t>
  </si>
  <si>
    <t>Iliman Ndiaye Pick-Cap</t>
  </si>
  <si>
    <t>Dango Ouattara Pick-LU</t>
  </si>
  <si>
    <t>Dango Ouattara Pick-Bench</t>
  </si>
  <si>
    <t>Dango Ouattara Pick-Cap</t>
  </si>
  <si>
    <t>Florian Wirtz Pick-LU</t>
  </si>
  <si>
    <t>Florian Wirtz Pick-Bench</t>
  </si>
  <si>
    <t>Florian Wirtz Pick-Cap</t>
  </si>
  <si>
    <t>Malick Thiaw Pick-LU</t>
  </si>
  <si>
    <t>Malick Thiaw Pick-Bench</t>
  </si>
  <si>
    <t>Malick Thiaw Pick-Cap</t>
  </si>
  <si>
    <t>Matheus Santos Carneiro da Cunha Pick-LU</t>
  </si>
  <si>
    <t>Matheus Santos Carneiro da Cunha Pick-Bench</t>
  </si>
  <si>
    <t>Matheus Santos Carneiro da Cunha Pick-Cap</t>
  </si>
  <si>
    <t>Enzo Le Fée Pick-LU</t>
  </si>
  <si>
    <t>Enzo Le Fée Pick-Bench</t>
  </si>
  <si>
    <t>Enzo Le Fée Pick-Cap</t>
  </si>
  <si>
    <t>Anton Stach Pick-LU</t>
  </si>
  <si>
    <t>Anton Stach Pick-Bench</t>
  </si>
  <si>
    <t>Anton Stach Pick-Cap</t>
  </si>
  <si>
    <t>Amad Diallo Pick-LU</t>
  </si>
  <si>
    <t>Amad Diallo Pick-Bench</t>
  </si>
  <si>
    <t>Amad Diallo Pick-Cap</t>
  </si>
  <si>
    <t>Kiernan Dewsbury-Hall Pick-LU</t>
  </si>
  <si>
    <t>Kiernan Dewsbury-Hall Pick-Bench</t>
  </si>
  <si>
    <t>Kiernan Dewsbury-Hall Pick-Cap</t>
  </si>
  <si>
    <t>Bruno Guimarães Rodriguez Moura Pick-LU</t>
  </si>
  <si>
    <t>Bruno Guimarães Rodriguez Moura Pick-Bench</t>
  </si>
  <si>
    <t>Bruno Guimarães Rodriguez Moura Pick-Cap</t>
  </si>
  <si>
    <t>Rayan Cherki Pick-LU</t>
  </si>
  <si>
    <t>Rayan Cherki Pick-Bench</t>
  </si>
  <si>
    <t>Rayan Cherki Pick-Cap</t>
  </si>
  <si>
    <t>Adrien Truffert Pick-LU</t>
  </si>
  <si>
    <t>Adrien Truffert Pick-Bench</t>
  </si>
  <si>
    <t>Adrien Truffert Pick-Cap</t>
  </si>
  <si>
    <t>Chris Richards Pick-LU</t>
  </si>
  <si>
    <t>Chris Richards Pick-Bench</t>
  </si>
  <si>
    <t>Chris Richards Pick-Cap</t>
  </si>
  <si>
    <t>Elliot Anderson Pick-LU</t>
  </si>
  <si>
    <t>Elliot Anderson Pick-Bench</t>
  </si>
  <si>
    <t>Elliot Anderson Pick-Cap</t>
  </si>
  <si>
    <t>Cristian Romero Pick-LU</t>
  </si>
  <si>
    <t>Cristian Romero Pick-Bench</t>
  </si>
  <si>
    <t>Cristian Romero Pick-Cap</t>
  </si>
  <si>
    <t>Mats Wieffer Pick-LU</t>
  </si>
  <si>
    <t>Mats Wieffer Pick-Bench</t>
  </si>
  <si>
    <t>Mats Wieffer Pick-Cap</t>
  </si>
  <si>
    <t>Ethan Ampadu Pick-LU</t>
  </si>
  <si>
    <t>Ethan Ampadu Pick-Bench</t>
  </si>
  <si>
    <t>Ethan Ampadu Pick-Cap</t>
  </si>
  <si>
    <t>Pascal Groß Pick-LU</t>
  </si>
  <si>
    <t>Pascal Groß Pick-Bench</t>
  </si>
  <si>
    <t>Pascal Groß Pick-Cap</t>
  </si>
  <si>
    <t>Emiliano Martínez Romero Pick-LU</t>
  </si>
  <si>
    <t>Emiliano Martínez Romero Pick-Bench</t>
  </si>
  <si>
    <t>Emiliano Martínez Romero Pick-Cap</t>
  </si>
  <si>
    <t>Harry Wilson Pick-LU</t>
  </si>
  <si>
    <t>Harry Wilson Pick-Bench</t>
  </si>
  <si>
    <t>Harry Wilson Pick-Cap</t>
  </si>
  <si>
    <t>Jean-Philippe Mateta Pick-LU</t>
  </si>
  <si>
    <t>Jean-Philippe Mateta Pick-Bench</t>
  </si>
  <si>
    <t>Jean-Philippe Mateta Pick-Cap</t>
  </si>
  <si>
    <t>Kevin Schade Pick-LU</t>
  </si>
  <si>
    <t>Kevin Schade Pick-Bench</t>
  </si>
  <si>
    <t>Kevin Schade Pick-Cap</t>
  </si>
  <si>
    <t>Ola Aina Pick-LU</t>
  </si>
  <si>
    <t>Ola Aina Pick-Bench</t>
  </si>
  <si>
    <t>Ola Aina Pick-Cap</t>
  </si>
  <si>
    <t>Michael Keane Pick-LU</t>
  </si>
  <si>
    <t>Michael Keane Pick-Bench</t>
  </si>
  <si>
    <t>Michael Keane Pick-Cap</t>
  </si>
  <si>
    <t>Pedro Lomba Neto Pick-LU</t>
  </si>
  <si>
    <t>Pedro Lomba Neto Pick-Bench</t>
  </si>
  <si>
    <t>Pedro Lomba Neto Pick-Cap</t>
  </si>
  <si>
    <t>Senne Lammens Pick-LU</t>
  </si>
  <si>
    <t>Senne Lammens Pick-Bench</t>
  </si>
  <si>
    <t>Senne Lammens Pick-Cap</t>
  </si>
  <si>
    <t>Cody Gakpo Pick-LU</t>
  </si>
  <si>
    <t>Cody Gakpo Pick-Bench</t>
  </si>
  <si>
    <t>Cody Gakpo Pick-Cap</t>
  </si>
  <si>
    <t>Alex Scott Pick-LU</t>
  </si>
  <si>
    <t>Alex Scott Pick-Bench</t>
  </si>
  <si>
    <t>Alex Scott Pick-Cap</t>
  </si>
  <si>
    <t>Riccardo Calafiori Pick-LU</t>
  </si>
  <si>
    <t>Riccardo Calafiori Pick-Bench</t>
  </si>
  <si>
    <t>Riccardo Calafiori Pick-Cap</t>
  </si>
  <si>
    <t>Ollie Watkins Pick-LU</t>
  </si>
  <si>
    <t>Ollie Watkins Pick-Bench</t>
  </si>
  <si>
    <t>Ollie Watkins Pick-Cap</t>
  </si>
  <si>
    <t>Chris Wood Pick-LU</t>
  </si>
  <si>
    <t>Chris Wood Pick-Bench</t>
  </si>
  <si>
    <t>Chris Wood Pick-Cap</t>
  </si>
  <si>
    <t>Ismaïla Sarr Pick-LU</t>
  </si>
  <si>
    <t>Ismaïla Sarr Pick-Bench</t>
  </si>
  <si>
    <t>Ismaïla Sarr Pick-Cap</t>
  </si>
  <si>
    <t>Alex Iwobi Pick-LU</t>
  </si>
  <si>
    <t>Alex Iwobi Pick-Bench</t>
  </si>
  <si>
    <t>Alex Iwobi Pick-Cap</t>
  </si>
  <si>
    <t>Nikola Milenković Pick-LU</t>
  </si>
  <si>
    <t>Nikola Milenković Pick-Bench</t>
  </si>
  <si>
    <t>Nikola Milenković Pick-Cap</t>
  </si>
  <si>
    <t>Viktor Gyökeres Pick-LU</t>
  </si>
  <si>
    <t>Viktor Gyökeres Pick-Bench</t>
  </si>
  <si>
    <t>Viktor Gyökeres Pick-Cap</t>
  </si>
  <si>
    <t>Matz Sels Pick-LU</t>
  </si>
  <si>
    <t>Matz Sels Pick-Bench</t>
  </si>
  <si>
    <t>Matz Sels Pick-Cap</t>
  </si>
  <si>
    <t>Ryan Sessegnon Pick-LU</t>
  </si>
  <si>
    <t>Ryan Sessegnon Pick-Bench</t>
  </si>
  <si>
    <t>Ryan Sessegnon Pick-Cap</t>
  </si>
  <si>
    <t>Pedro Porro Sauceda Pick-LU</t>
  </si>
  <si>
    <t>Pedro Porro Sauceda Pick-Bench</t>
  </si>
  <si>
    <t>Pedro Porro Sauceda Pick-Cap</t>
  </si>
  <si>
    <t>Rayan Vitor Simplício Rocha Pick-LU</t>
  </si>
  <si>
    <t>Rayan Vitor Simplício Rocha Pick-Bench</t>
  </si>
  <si>
    <t>Rayan Vitor Simplício Rocha Pick-Cap</t>
  </si>
  <si>
    <t>Diogo Dalot Teixeira Pick-LU</t>
  </si>
  <si>
    <t>Diogo Dalot Teixeira Pick-Bench</t>
  </si>
  <si>
    <t>Diogo Dalot Teixeira Pick-Cap</t>
  </si>
  <si>
    <t>Caoimhín Kelleher Pick-LU</t>
  </si>
  <si>
    <t>Caoimhín Kelleher Pick-Bench</t>
  </si>
  <si>
    <t>Caoimhín Kelleher Pick-Cap</t>
  </si>
  <si>
    <t>Gianluigi Donnarumma Pick-LU</t>
  </si>
  <si>
    <t>Gianluigi Donnarumma Pick-Bench</t>
  </si>
  <si>
    <t>Gianluigi Donnarumma Pick-Cap</t>
  </si>
  <si>
    <t>Daniel Muñoz Mejía Pick-LU</t>
  </si>
  <si>
    <t>Daniel Muñoz Mejía Pick-Bench</t>
  </si>
  <si>
    <t>Daniel Muñoz Mejía Pick-Cap</t>
  </si>
  <si>
    <t>Diego Gómez Amarilla Pick-LU</t>
  </si>
  <si>
    <t>Diego Gómez Amarilla Pick-Bench</t>
  </si>
  <si>
    <t>Diego Gómez Amarilla Pick-Cap</t>
  </si>
  <si>
    <t>Jérémy Doku Pick-LU</t>
  </si>
  <si>
    <t>Jérémy Doku Pick-Bench</t>
  </si>
  <si>
    <t>Jérémy Doku Pick-Cap</t>
  </si>
  <si>
    <t>Bart Verbruggen Pick-LU</t>
  </si>
  <si>
    <t>Bart Verbruggen Pick-Bench</t>
  </si>
  <si>
    <t>Bart Verbruggen Pick-Cap</t>
  </si>
  <si>
    <t>Alisson Becker Pick-LU</t>
  </si>
  <si>
    <t>Alisson Becker Pick-Bench</t>
  </si>
  <si>
    <t>Alisson Becker Pick-Cap</t>
  </si>
  <si>
    <t>Guglielmo Vicario Pick-LU</t>
  </si>
  <si>
    <t>Guglielmo Vicario Pick-Bench</t>
  </si>
  <si>
    <t>Guglielmo Vicario Pick-Cap</t>
  </si>
  <si>
    <t>Robin Roefs Pick-LU</t>
  </si>
  <si>
    <t>Robin Roefs Pick-Bench</t>
  </si>
  <si>
    <t>Robin Roefs Pick-Cap</t>
  </si>
  <si>
    <t>Nordi Mukiele Pick-LU</t>
  </si>
  <si>
    <t>Nordi Mukiele Pick-Bench</t>
  </si>
  <si>
    <t>Nordi Mukiele Pick-Cap</t>
  </si>
  <si>
    <t>Pascal Struijk Pick-LU</t>
  </si>
  <si>
    <t>Pascal Struijk Pick-Bench</t>
  </si>
  <si>
    <t>Pascal Struijk Pick-Cap</t>
  </si>
  <si>
    <t>Morgan Rogers Pick-LU</t>
  </si>
  <si>
    <t>Morgan Rogers Pick-Bench</t>
  </si>
  <si>
    <t>Morgan Rogers Pick-Cap</t>
  </si>
  <si>
    <t>Đorđe Petrović Pick-LU</t>
  </si>
  <si>
    <t>Đorđe Petrović Pick-Bench</t>
  </si>
  <si>
    <t>Đorđe Petrović Pick-Cap</t>
  </si>
  <si>
    <t>Joško Gvardiol Pick-LU</t>
  </si>
  <si>
    <t>Joško Gvardiol Pick-Bench</t>
  </si>
  <si>
    <t>Joško Gvardiol Pick-Cap</t>
  </si>
  <si>
    <t>Phil Foden Pick-LU</t>
  </si>
  <si>
    <t>Phil Foden Pick-Bench</t>
  </si>
  <si>
    <t>Phil Foden Pick-Cap</t>
  </si>
  <si>
    <t>Marcos Senesi Barón Pick-LU</t>
  </si>
  <si>
    <t>Marcos Senesi Barón Pick-Bench</t>
  </si>
  <si>
    <t>Marcos Senesi Barón Pick-Cap</t>
  </si>
  <si>
    <t>Daniel Ballard Pick-LU</t>
  </si>
  <si>
    <t>Daniel Ballard Pick-Bench</t>
  </si>
  <si>
    <t>Daniel Ballard Pick-Cap</t>
  </si>
  <si>
    <t>Jordan Pickford Pick-LU</t>
  </si>
  <si>
    <t>Jordan Pickford Pick-Bench</t>
  </si>
  <si>
    <t>Jordan Pickford Pick-Cap</t>
  </si>
  <si>
    <t>Danny Welbeck Pick-LU</t>
  </si>
  <si>
    <t>Danny Welbeck Pick-Bench</t>
  </si>
  <si>
    <t>Danny Welbeck Pick-Cap</t>
  </si>
  <si>
    <t>Granit Xhaka Pick-LU</t>
  </si>
  <si>
    <t>Granit Xhaka Pick-Bench</t>
  </si>
  <si>
    <t>Granit Xhaka Pick-Cap</t>
  </si>
  <si>
    <t>Igor Jesus Maciel da Cruz Pick-LU</t>
  </si>
  <si>
    <t>Igor Jesus Maciel da Cruz Pick-Bench</t>
  </si>
  <si>
    <t>Igor Jesus Maciel da Cruz Pick-Cap</t>
  </si>
  <si>
    <t>Nathan Collins Pick-LU</t>
  </si>
  <si>
    <t>Nathan Collins Pick-Bench</t>
  </si>
  <si>
    <t>Nathan Collins Pick-Cap</t>
  </si>
  <si>
    <t>Robert Lynch Sánchez Pick-LU</t>
  </si>
  <si>
    <t>Robert Lynch Sánchez Pick-Bench</t>
  </si>
  <si>
    <t>Robert Lynch Sánchez Pick-Cap</t>
  </si>
  <si>
    <t>Luke Shaw Pick-LU</t>
  </si>
  <si>
    <t>Luke Shaw Pick-Bench</t>
  </si>
  <si>
    <t>Luke Shaw Pick-Cap</t>
  </si>
  <si>
    <t>Richarlison de Andrade Pick-LU</t>
  </si>
  <si>
    <t>Richarlison de Andrade Pick-Bench</t>
  </si>
  <si>
    <t>Richarlison de Andrade Pick-Cap</t>
  </si>
  <si>
    <t>Sepp van den Berg Pick-LU</t>
  </si>
  <si>
    <t>Sepp van den Berg Pick-Bench</t>
  </si>
  <si>
    <t>Sepp van den Berg Pick-Cap</t>
  </si>
  <si>
    <t>Moisés Caicedo Corozo Pick-LU</t>
  </si>
  <si>
    <t>Moisés Caicedo Corozo Pick-Bench</t>
  </si>
  <si>
    <t>Moisés Caicedo Corozo Pick-Cap</t>
  </si>
  <si>
    <t>Piero Hincapié Pick-LU</t>
  </si>
  <si>
    <t>Piero Hincapié Pick-Bench</t>
  </si>
  <si>
    <t>Piero Hincapié Pick-Cap</t>
  </si>
  <si>
    <t>Francisco Evanilson de Lima Barbosa Pick-LU</t>
  </si>
  <si>
    <t>Francisco Evanilson de Lima Barbosa Pick-Bench</t>
  </si>
  <si>
    <t>Francisco Evanilson de Lima Barbosa Pick-Cap</t>
  </si>
  <si>
    <t>John McGinn Pick-LU</t>
  </si>
  <si>
    <t>John McGinn Pick-Bench</t>
  </si>
  <si>
    <t>John McGinn Pick-Cap</t>
  </si>
  <si>
    <t>Mikkel Damsgaard Pick-LU</t>
  </si>
  <si>
    <t>Mikkel Damsgaard Pick-Bench</t>
  </si>
  <si>
    <t>Mikkel Damsgaard Pick-Cap</t>
  </si>
  <si>
    <t>Trevoh Chalobah Pick-LU</t>
  </si>
  <si>
    <t>Trevoh Chalobah Pick-Bench</t>
  </si>
  <si>
    <t>Trevoh Chalobah Pick-Cap</t>
  </si>
  <si>
    <t>Gabriel Gudmundsson Pick-LU</t>
  </si>
  <si>
    <t>Gabriel Gudmundsson Pick-Bench</t>
  </si>
  <si>
    <t>Gabriel Gudmundsson Pick-Cap</t>
  </si>
  <si>
    <t>Sven Botman Pick-LU</t>
  </si>
  <si>
    <t>Sven Botman Pick-Bench</t>
  </si>
  <si>
    <t>Sven Botman Pick-Cap</t>
  </si>
  <si>
    <t>Dean Henderson Pick-LU</t>
  </si>
  <si>
    <t>Dean Henderson Pick-Bench</t>
  </si>
  <si>
    <t>Dean Henderson Pick-Cap</t>
  </si>
  <si>
    <t>Joe Rodon Pick-LU</t>
  </si>
  <si>
    <t>Joe Rodon Pick-Bench</t>
  </si>
  <si>
    <t>Joe Rodon Pick-Cap</t>
  </si>
  <si>
    <t>Noah Okafor Pick-LU</t>
  </si>
  <si>
    <t>Noah Okafor Pick-Bench</t>
  </si>
  <si>
    <t>Noah Okafor Pick-Cap</t>
  </si>
  <si>
    <t>Bernd Leno Pick-LU</t>
  </si>
  <si>
    <t>Bernd Leno Pick-Bench</t>
  </si>
  <si>
    <t>Bernd Leno Pick-Cap</t>
  </si>
  <si>
    <t>Micky van de Ven Pick-LU</t>
  </si>
  <si>
    <t>Micky van de Ven Pick-Bench</t>
  </si>
  <si>
    <t>Micky van de Ven Pick-Cap</t>
  </si>
  <si>
    <t>Ryan Gravenberch Pick-LU</t>
  </si>
  <si>
    <t>Ryan Gravenberch Pick-Bench</t>
  </si>
  <si>
    <t>Ryan Gravenberch Pick-Cap</t>
  </si>
  <si>
    <t>Ibrahim Sangaré Pick-LU</t>
  </si>
  <si>
    <t>Ibrahim Sangaré Pick-Bench</t>
  </si>
  <si>
    <t>Ibrahim Sangaré Pick-Cap</t>
  </si>
  <si>
    <t>Matheus Nunes Pick-LU</t>
  </si>
  <si>
    <t>Matheus Nunes Pick-Bench</t>
  </si>
  <si>
    <t>Matheus Nunes Pick-Cap</t>
  </si>
  <si>
    <t>Harvey Barnes Pick-LU</t>
  </si>
  <si>
    <t>Harvey Barnes Pick-Bench</t>
  </si>
  <si>
    <t>Harvey Barnes Pick-Cap</t>
  </si>
  <si>
    <t>Omar Alderete Pick-LU</t>
  </si>
  <si>
    <t>Omar Alderete Pick-Bench</t>
  </si>
  <si>
    <t>Omar Alderete Pick-Cap</t>
  </si>
  <si>
    <t>Harry Maguire Pick-LU</t>
  </si>
  <si>
    <t>Harry Maguire Pick-Bench</t>
  </si>
  <si>
    <t>Harry Maguire Pick-Cap</t>
  </si>
  <si>
    <t>Mikel Merino Zazón Pick-LU</t>
  </si>
  <si>
    <t>Mikel Merino Zazón Pick-Bench</t>
  </si>
  <si>
    <t>Mikel Merino Zazón Pick-Cap</t>
  </si>
  <si>
    <t>Martín Zubimendi Ibáñez Pick-LU</t>
  </si>
  <si>
    <t>Martín Zubimendi Ibáñez Pick-Bench</t>
  </si>
  <si>
    <t>Martín Zubimendi Ibáñez Pick-Cap</t>
  </si>
  <si>
    <t>Matty Cash Pick-LU</t>
  </si>
  <si>
    <t>Matty Cash Pick-Bench</t>
  </si>
  <si>
    <t>Matty Cash Pick-Cap</t>
  </si>
  <si>
    <t>Dan Burn Pick-LU</t>
  </si>
  <si>
    <t>Dan Burn Pick-Bench</t>
  </si>
  <si>
    <t>Dan Burn Pick-Cap</t>
  </si>
  <si>
    <t>Axel Disasi Pick-LU</t>
  </si>
  <si>
    <t>Axel Disasi Pick-Bench</t>
  </si>
  <si>
    <t>Axel Disasi Pick-Cap</t>
  </si>
  <si>
    <t>Tyrick Mitchell Pick-LU</t>
  </si>
  <si>
    <t>Tyrick Mitchell Pick-Bench</t>
  </si>
  <si>
    <t>Tyrick Mitchell Pick-Cap</t>
  </si>
  <si>
    <t>Jayden Bogle Pick-LU</t>
  </si>
  <si>
    <t>Jayden Bogle Pick-Bench</t>
  </si>
  <si>
    <t>Jayden Bogle Pick-Cap</t>
  </si>
  <si>
    <t>Nick Pope Pick-LU</t>
  </si>
  <si>
    <t>Nick Pope Pick-Bench</t>
  </si>
  <si>
    <t>Nick Pope Pick-Cap</t>
  </si>
  <si>
    <t>Nick Woltemade Pick-LU</t>
  </si>
  <si>
    <t>Nick Woltemade Pick-Bench</t>
  </si>
  <si>
    <t>Nick Woltemade Pick-Cap</t>
  </si>
  <si>
    <t>Ferdi Kadıoğlu Pick-LU</t>
  </si>
  <si>
    <t>Ferdi Kadıoğlu Pick-Bench</t>
  </si>
  <si>
    <t>Ferdi Kadıoğlu Pick-Cap</t>
  </si>
  <si>
    <t>Maxence Lacroix Pick-LU</t>
  </si>
  <si>
    <t>Maxence Lacroix Pick-Bench</t>
  </si>
  <si>
    <t>Maxence Lacroix Pick-Cap</t>
  </si>
  <si>
    <t>Rodrigo Bentancur Pick-LU</t>
  </si>
  <si>
    <t>Rodrigo Bentancur Pick-Bench</t>
  </si>
  <si>
    <t>Rodrigo Bentancur Pick-Cap</t>
  </si>
  <si>
    <t>Lewis Dunk Pick-LU</t>
  </si>
  <si>
    <t>Lewis Dunk Pick-Bench</t>
  </si>
  <si>
    <t>Lewis Dunk Pick-Cap</t>
  </si>
  <si>
    <t>Jack Hinshelwood Pick-LU</t>
  </si>
  <si>
    <t>Jack Hinshelwood Pick-Bench</t>
  </si>
  <si>
    <t>Jack Hinshelwood Pick-Cap</t>
  </si>
  <si>
    <t>Conor Gallagher Pick-LU</t>
  </si>
  <si>
    <t>Conor Gallagher Pick-Bench</t>
  </si>
  <si>
    <t>Conor Gallagher Pick-Cap</t>
  </si>
  <si>
    <t>Levi Samuels Colwill Pick-LU</t>
  </si>
  <si>
    <t>Levi Samuels Colwill Pick-Bench</t>
  </si>
  <si>
    <t>Levi Samuels Colwill Pick-Cap</t>
  </si>
  <si>
    <t>Jaidon Anthony Pick-LU</t>
  </si>
  <si>
    <t>Jaidon Anthony Pick-Bench</t>
  </si>
  <si>
    <t>Jaidon Anthony Pick-Cap</t>
  </si>
  <si>
    <t>Benjamin Sesko Pick-LU</t>
  </si>
  <si>
    <t>Benjamin Sesko Pick-Bench</t>
  </si>
  <si>
    <t>Benjamin Sesko Pick-Cap</t>
  </si>
  <si>
    <t>Brenden Aaronson Pick-LU</t>
  </si>
  <si>
    <t>Brenden Aaronson Pick-Bench</t>
  </si>
  <si>
    <t>Brenden Aaronson Pick-Cap</t>
  </si>
  <si>
    <t>Ezri Konsa Ngoyo Pick-LU</t>
  </si>
  <si>
    <t>Ezri Konsa Ngoyo Pick-Bench</t>
  </si>
  <si>
    <t>Ezri Konsa Ngoyo Pick-Cap</t>
  </si>
  <si>
    <t>Yéremy Pino Santos Pick-LU</t>
  </si>
  <si>
    <t>Yéremy Pino Santos Pick-Bench</t>
  </si>
  <si>
    <t>Yéremy Pino Santos Pick-Cap</t>
  </si>
  <si>
    <t>Eberechi Eze Pick-LU</t>
  </si>
  <si>
    <t>Eberechi Eze Pick-Bench</t>
  </si>
  <si>
    <t>Eberechi Eze Pick-Cap</t>
  </si>
  <si>
    <t>Adam Wharton Pick-LU</t>
  </si>
  <si>
    <t>Adam Wharton Pick-Bench</t>
  </si>
  <si>
    <t>Adam Wharton Pick-Cap</t>
  </si>
  <si>
    <t>William Osula Pick-LU</t>
  </si>
  <si>
    <t>William Osula Pick-Bench</t>
  </si>
  <si>
    <t>William Osula Pick-Cap</t>
  </si>
  <si>
    <t>Jack Grealish Pick-LU</t>
  </si>
  <si>
    <t>Jack Grealish Pick-Bench</t>
  </si>
  <si>
    <t>Jack Grealish Pick-Cap</t>
  </si>
  <si>
    <t>Malo Gusto Pick-LU</t>
  </si>
  <si>
    <t>Malo Gusto Pick-Bench</t>
  </si>
  <si>
    <t>Malo Gusto Pick-Cap</t>
  </si>
  <si>
    <t>Martin Ødegaard Pick-LU</t>
  </si>
  <si>
    <t>Martin Ødegaard Pick-Bench</t>
  </si>
  <si>
    <t>Martin Ødegaard Pick-Cap</t>
  </si>
  <si>
    <t>Jake O'Brien Pick-LU</t>
  </si>
  <si>
    <t>Jake O'Brien Pick-Bench</t>
  </si>
  <si>
    <t>Jake O'Brien Pick-Cap</t>
  </si>
  <si>
    <t>Alexis Mac Allister Pick-LU</t>
  </si>
  <si>
    <t>Alexis Mac Allister Pick-Bench</t>
  </si>
  <si>
    <t>Alexis Mac Allister Pick-Cap</t>
  </si>
  <si>
    <t>Sandro Tonali Pick-LU</t>
  </si>
  <si>
    <t>Sandro Tonali Pick-Bench</t>
  </si>
  <si>
    <t>Sandro Tonali Pick-Cap</t>
  </si>
  <si>
    <t>Rúben dos Santos Gato Alves Dias Pick-LU</t>
  </si>
  <si>
    <t>Rúben dos Santos Gato Alves Dias Pick-Bench</t>
  </si>
  <si>
    <t>Rúben dos Santos Gato Alves Dias Pick-Cap</t>
  </si>
  <si>
    <t>James Hill Pick-LU</t>
  </si>
  <si>
    <t>James Hill Pick-Bench</t>
  </si>
  <si>
    <t>James Hill Pick-Cap</t>
  </si>
  <si>
    <t>Calvin Bassey Pick-LU</t>
  </si>
  <si>
    <t>Calvin Bassey Pick-Bench</t>
  </si>
  <si>
    <t>Calvin Bassey Pick-Cap</t>
  </si>
  <si>
    <t>Vitalii Mykolenko Pick-LU</t>
  </si>
  <si>
    <t>Vitalii Mykolenko Pick-Bench</t>
  </si>
  <si>
    <t>Vitalii Mykolenko Pick-Cap</t>
  </si>
  <si>
    <t>Daichi Kamada Pick-LU</t>
  </si>
  <si>
    <t>Daichi Kamada Pick-Bench</t>
  </si>
  <si>
    <t>Daichi Kamada Pick-Cap</t>
  </si>
  <si>
    <t>Yasin Ayari Pick-LU</t>
  </si>
  <si>
    <t>Yasin Ayari Pick-Bench</t>
  </si>
  <si>
    <t>Yasin Ayari Pick-Cap</t>
  </si>
  <si>
    <t>Mathias Jensen Pick-LU</t>
  </si>
  <si>
    <t>Mathias Jensen Pick-Bench</t>
  </si>
  <si>
    <t>Mathias Jensen Pick-Cap</t>
  </si>
  <si>
    <t>Lewis Hall Pick-LU</t>
  </si>
  <si>
    <t>Lewis Hall Pick-Bench</t>
  </si>
  <si>
    <t>Lewis Hall Pick-Cap</t>
  </si>
  <si>
    <t>Lukas Nmecha Pick-LU</t>
  </si>
  <si>
    <t>Lukas Nmecha Pick-Bench</t>
  </si>
  <si>
    <t>Lukas Nmecha Pick-Cap</t>
  </si>
  <si>
    <t>Reece James Pick-LU</t>
  </si>
  <si>
    <t>Reece James Pick-Bench</t>
  </si>
  <si>
    <t>Reece James Pick-Cap</t>
  </si>
  <si>
    <t>Norberto Bercique Gomes Betuncal Pick-LU</t>
  </si>
  <si>
    <t>Norberto Bercique Gomes Betuncal Pick-Bench</t>
  </si>
  <si>
    <t>Norberto Bercique Gomes Betuncal Pick-Cap</t>
  </si>
  <si>
    <t>Omari Hutchinson Pick-LU</t>
  </si>
  <si>
    <t>Omari Hutchinson Pick-Bench</t>
  </si>
  <si>
    <t>Omari Hutchinson Pick-Cap</t>
  </si>
  <si>
    <t>David Brooks Pick-LU</t>
  </si>
  <si>
    <t>David Brooks Pick-Bench</t>
  </si>
  <si>
    <t>David Brooks Pick-Cap</t>
  </si>
  <si>
    <t>Kai Havertz Pick-LU</t>
  </si>
  <si>
    <t>Kai Havertz Pick-Bench</t>
  </si>
  <si>
    <t>Kai Havertz Pick-Cap</t>
  </si>
  <si>
    <t>Callum Hudson-Odoi Pick-LU</t>
  </si>
  <si>
    <t>Callum Hudson-Odoi Pick-Bench</t>
  </si>
  <si>
    <t>Callum Hudson-Odoi Pick-Cap</t>
  </si>
  <si>
    <t>Trai Hume Pick-LU</t>
  </si>
  <si>
    <t>Trai Hume Pick-Bench</t>
  </si>
  <si>
    <t>Trai Hume Pick-Cap</t>
  </si>
  <si>
    <t>Yehor Yarmoliuk Pick-LU</t>
  </si>
  <si>
    <t>Yehor Yarmoliuk Pick-Bench</t>
  </si>
  <si>
    <t>Yehor Yarmoliuk Pick-Cap</t>
  </si>
  <si>
    <t>James Justin Pick-LU</t>
  </si>
  <si>
    <t>James Justin Pick-Bench</t>
  </si>
  <si>
    <t>James Justin Pick-Cap</t>
  </si>
  <si>
    <t>Curtis Jones Pick-LU</t>
  </si>
  <si>
    <t>Curtis Jones Pick-Bench</t>
  </si>
  <si>
    <t>Curtis Jones Pick-Cap</t>
  </si>
  <si>
    <t>Dominic Solanke-Mitchell Pick-LU</t>
  </si>
  <si>
    <t>Dominic Solanke-Mitchell Pick-Bench</t>
  </si>
  <si>
    <t>Dominic Solanke-Mitchell Pick-Cap</t>
  </si>
  <si>
    <t>Mohammed Kudus Pick-LU</t>
  </si>
  <si>
    <t>Mohammed Kudus Pick-Bench</t>
  </si>
  <si>
    <t>Mohammed Kudus Pick-Cap</t>
  </si>
  <si>
    <t>Habib Diarra Pick-LU</t>
  </si>
  <si>
    <t>Habib Diarra Pick-Bench</t>
  </si>
  <si>
    <t>Habib Diarra Pick-Cap</t>
  </si>
  <si>
    <t>Sander Berge Pick-LU</t>
  </si>
  <si>
    <t>Sander Berge Pick-Bench</t>
  </si>
  <si>
    <t>Sander Berge Pick-Cap</t>
  </si>
  <si>
    <t>Fabian Schär Pick-LU</t>
  </si>
  <si>
    <t>Fabian Schär Pick-Bench</t>
  </si>
  <si>
    <t>Fabian Schär Pick-Cap</t>
  </si>
  <si>
    <t>Youri Tielemans Pick-LU</t>
  </si>
  <si>
    <t>Youri Tielemans Pick-Bench</t>
  </si>
  <si>
    <t>Youri Tielemans Pick-Cap</t>
  </si>
  <si>
    <t>Tyrone Mings Pick-LU</t>
  </si>
  <si>
    <t>Tyrone Mings Pick-Bench</t>
  </si>
  <si>
    <t>Tyrone Mings Pick-Cap</t>
  </si>
  <si>
    <t>Jørgen Strand Larsen Pick-LU</t>
  </si>
  <si>
    <t>Jørgen Strand Larsen Pick-Bench</t>
  </si>
  <si>
    <t>Jørgen Strand Larsen Pick-Cap</t>
  </si>
  <si>
    <t>Jaka Bijol Pick-LU</t>
  </si>
  <si>
    <t>Jaka Bijol Pick-Bench</t>
  </si>
  <si>
    <t>Jaka Bijol Pick-Cap</t>
  </si>
  <si>
    <t>Jarrad Branthwaite Pick-LU</t>
  </si>
  <si>
    <t>Jarrad Branthwaite Pick-Bench</t>
  </si>
  <si>
    <t>Jarrad Branthwaite Pick-Cap</t>
  </si>
  <si>
    <t>Kenny Tete Pick-LU</t>
  </si>
  <si>
    <t>Kenny Tete Pick-Bench</t>
  </si>
  <si>
    <t>Kenny Tete Pick-Cap</t>
  </si>
  <si>
    <t>Antonee Robinson Pick-LU</t>
  </si>
  <si>
    <t>Antonee Robinson Pick-Bench</t>
  </si>
  <si>
    <t>Antonee Robinson Pick-Cap</t>
  </si>
  <si>
    <t>Maxim De Cuyper Pick-LU</t>
  </si>
  <si>
    <t>Maxim De Cuyper Pick-Bench</t>
  </si>
  <si>
    <t>Maxim De Cuyper Pick-Cap</t>
  </si>
  <si>
    <t>Emiliano Buendía Stati Pick-LU</t>
  </si>
  <si>
    <t>Emiliano Buendía Stati Pick-Bench</t>
  </si>
  <si>
    <t>Emiliano Buendía Stati Pick-Cap</t>
  </si>
  <si>
    <t>Tijjani Reijnders Pick-LU</t>
  </si>
  <si>
    <t>Tijjani Reijnders Pick-Bench</t>
  </si>
  <si>
    <t>Tijjani Reijnders Pick-Cap</t>
  </si>
  <si>
    <t>Pape Matar Sarr Pick-LU</t>
  </si>
  <si>
    <t>Pape Matar Sarr Pick-Bench</t>
  </si>
  <si>
    <t>Pape Matar Sarr Pick-Cap</t>
  </si>
  <si>
    <t>Tyler Adams Pick-LU</t>
  </si>
  <si>
    <t>Tyler Adams Pick-Bench</t>
  </si>
  <si>
    <t>Tyler Adams Pick-Cap</t>
  </si>
  <si>
    <t>Sean Longstaff Pick-LU</t>
  </si>
  <si>
    <t>Sean Longstaff Pick-Bench</t>
  </si>
  <si>
    <t>Sean Longstaff Pick-Cap</t>
  </si>
  <si>
    <t>Brian Brobbey Pick-LU</t>
  </si>
  <si>
    <t>Brian Brobbey Pick-Bench</t>
  </si>
  <si>
    <t>Brian Brobbey Pick-Cap</t>
  </si>
  <si>
    <t>Reinildo Mandava Pick-LU</t>
  </si>
  <si>
    <t>Reinildo Mandava Pick-Bench</t>
  </si>
  <si>
    <t>Reinildo Mandava Pick-Cap</t>
  </si>
  <si>
    <t>Keane Lewis-Potter Pick-LU</t>
  </si>
  <si>
    <t>Keane Lewis-Potter Pick-Bench</t>
  </si>
  <si>
    <t>Keane Lewis-Potter Pick-Cap</t>
  </si>
  <si>
    <t>Saša Lukić Pick-LU</t>
  </si>
  <si>
    <t>Saša Lukić Pick-Bench</t>
  </si>
  <si>
    <t>Saša Lukić Pick-Cap</t>
  </si>
  <si>
    <t>Callum Wilson Pick-LU</t>
  </si>
  <si>
    <t>Callum Wilson Pick-Bench</t>
  </si>
  <si>
    <t>Callum Wilson Pick-Cap</t>
  </si>
  <si>
    <t>Michael Kayode Pick-LU</t>
  </si>
  <si>
    <t>Michael Kayode Pick-Bench</t>
  </si>
  <si>
    <t>Michael Kayode Pick-Cap</t>
  </si>
  <si>
    <t>Djed Spence Pick-LU</t>
  </si>
  <si>
    <t>Djed Spence Pick-Bench</t>
  </si>
  <si>
    <t>Djed Spence Pick-Cap</t>
  </si>
  <si>
    <t>Alejandro Garnacho Ferreyra Pick-LU</t>
  </si>
  <si>
    <t>Alejandro Garnacho Ferreyra Pick-Bench</t>
  </si>
  <si>
    <t>Alejandro Garnacho Ferreyra Pick-Cap</t>
  </si>
  <si>
    <t>Vitaly Janelt Pick-LU</t>
  </si>
  <si>
    <t>Vitaly Janelt Pick-Bench</t>
  </si>
  <si>
    <t>Vitaly Janelt Pick-Cap</t>
  </si>
  <si>
    <t>Jacob Murphy Pick-LU</t>
  </si>
  <si>
    <t>Jacob Murphy Pick-Bench</t>
  </si>
  <si>
    <t>Jacob Murphy Pick-Cap</t>
  </si>
  <si>
    <t>Rayan Aït-Nouri Pick-LU</t>
  </si>
  <si>
    <t>Rayan Aït-Nouri Pick-Bench</t>
  </si>
  <si>
    <t>Rayan Aït-Nouri Pick-Cap</t>
  </si>
  <si>
    <t>Emile Smith Rowe Pick-LU</t>
  </si>
  <si>
    <t>Emile Smith Rowe Pick-Bench</t>
  </si>
  <si>
    <t>Emile Smith Rowe Pick-Cap</t>
  </si>
  <si>
    <t>Lucas Digne Pick-LU</t>
  </si>
  <si>
    <t>Lucas Digne Pick-Bench</t>
  </si>
  <si>
    <t>Lucas Digne Pick-Cap</t>
  </si>
  <si>
    <t>Milos Kerkez Pick-LU</t>
  </si>
  <si>
    <t>Milos Kerkez Pick-Bench</t>
  </si>
  <si>
    <t>Milos Kerkez Pick-Cap</t>
  </si>
  <si>
    <t>Noni Madueke Pick-LU</t>
  </si>
  <si>
    <t>Noni Madueke Pick-Bench</t>
  </si>
  <si>
    <t>Noni Madueke Pick-Cap</t>
  </si>
  <si>
    <t>Alexander Isak Pick-LU</t>
  </si>
  <si>
    <t>Alexander Isak Pick-Bench</t>
  </si>
  <si>
    <t>Alexander Isak Pick-Cap</t>
  </si>
  <si>
    <t>Ross Barkley Pick-LU</t>
  </si>
  <si>
    <t>Ross Barkley Pick-Bench</t>
  </si>
  <si>
    <t>Ross Barkley Pick-Cap</t>
  </si>
  <si>
    <t>Lisandro Martínez Pick-LU</t>
  </si>
  <si>
    <t>Lisandro Martínez Pick-Bench</t>
  </si>
  <si>
    <t>Lisandro Martínez Pick-Cap</t>
  </si>
  <si>
    <t>Georginio Rutter Pick-LU</t>
  </si>
  <si>
    <t>Georginio Rutter Pick-Bench</t>
  </si>
  <si>
    <t>Georginio Rutter Pick-Cap</t>
  </si>
  <si>
    <t>Justin Kluivert Pick-LU</t>
  </si>
  <si>
    <t>Justin Kluivert Pick-Bench</t>
  </si>
  <si>
    <t>Justin Kluivert Pick-Cap</t>
  </si>
  <si>
    <t>Pau Torres Pick-LU</t>
  </si>
  <si>
    <t>Pau Torres Pick-Bench</t>
  </si>
  <si>
    <t>Pau Torres Pick-Cap</t>
  </si>
  <si>
    <t>Taiwo Awoniyi Pick-LU</t>
  </si>
  <si>
    <t>Taiwo Awoniyi Pick-Bench</t>
  </si>
  <si>
    <t>Taiwo Awoniyi Pick-Cap</t>
  </si>
  <si>
    <t>Mateus Fernandes Pick-LU</t>
  </si>
  <si>
    <t>Mateus Fernandes Pick-Bench</t>
  </si>
  <si>
    <t>Mateus Fernandes Pick-Cap</t>
  </si>
  <si>
    <t>Dan Ndoye Pick-LU</t>
  </si>
  <si>
    <t>Dan Ndoye Pick-Bench</t>
  </si>
  <si>
    <t>Dan Ndoye Pick-Cap</t>
  </si>
  <si>
    <t>Brennan Johnson Pick-LU</t>
  </si>
  <si>
    <t>Brennan Johnson Pick-Bench</t>
  </si>
  <si>
    <t>Brennan Johnson Pick-Cap</t>
  </si>
  <si>
    <t>COV Picked-Team</t>
  </si>
  <si>
    <t>HUL Picked-Team</t>
  </si>
  <si>
    <t>IPS Picked-Team</t>
  </si>
  <si>
    <t>Morgan Gibbs-White Total Cost</t>
  </si>
  <si>
    <t>João Pedro Junqueira de Jesus Captain?</t>
  </si>
  <si>
    <t>Bruno Borges Fernandes Squad</t>
  </si>
  <si>
    <t>Gabriel dos Santos Magalhães Squad</t>
  </si>
  <si>
    <t>Bryan Mbeumo Squad</t>
  </si>
  <si>
    <t>Morgan Gibbs-White Squad</t>
  </si>
  <si>
    <t>Enzo Fernández Squad</t>
  </si>
  <si>
    <t>Marc Guéhi Squad</t>
  </si>
  <si>
    <t>João Pedro Junqueira de Jesus Squad</t>
  </si>
  <si>
    <t>Jan Paul van Hecke Squad</t>
  </si>
  <si>
    <t>Dominic Calvert-Lewin Squad</t>
  </si>
  <si>
    <t>David Raya Martín Squad</t>
  </si>
  <si>
    <t>Igor Thiago Nascimento Rodrigues Squad</t>
  </si>
  <si>
    <t>Erling Haaland Squad</t>
  </si>
  <si>
    <t>Antoine Semenyo Squad</t>
  </si>
  <si>
    <t>Cole Palmer Squad</t>
  </si>
  <si>
    <t>Dominik Szoboszlai Squad</t>
  </si>
  <si>
    <t>Virgil van Dijk Squad</t>
  </si>
  <si>
    <t>Declan Rice Squad</t>
  </si>
  <si>
    <t>Marcus Tavernier Squad</t>
  </si>
  <si>
    <t>Neco Williams Squad</t>
  </si>
  <si>
    <t>Nico O'Reilly Squad</t>
  </si>
  <si>
    <t>James Tarkowski Squad</t>
  </si>
  <si>
    <t>Bukayo Saka Squad</t>
  </si>
  <si>
    <t>Iliman Ndiaye Squad</t>
  </si>
  <si>
    <t>Dango Ouattara Squad</t>
  </si>
  <si>
    <t>Florian Wirtz Squad</t>
  </si>
  <si>
    <t>Malick Thiaw Squad</t>
  </si>
  <si>
    <t>Matheus Santos Carneiro da Cunha Squad</t>
  </si>
  <si>
    <t>Enzo Le Fée Squad</t>
  </si>
  <si>
    <t>Anton Stach Squad</t>
  </si>
  <si>
    <t>Amad Diallo Squad</t>
  </si>
  <si>
    <t>Kiernan Dewsbury-Hall Squad</t>
  </si>
  <si>
    <t>Bruno Guimarães Rodriguez Moura Squad</t>
  </si>
  <si>
    <t>Rayan Cherki Squad</t>
  </si>
  <si>
    <t>Adrien Truffert Squad</t>
  </si>
  <si>
    <t>Chris Richards Squad</t>
  </si>
  <si>
    <t>Elliot Anderson Squad</t>
  </si>
  <si>
    <t>Cristian Romero Squad</t>
  </si>
  <si>
    <t>Mats Wieffer Squad</t>
  </si>
  <si>
    <t>Ethan Ampadu Squad</t>
  </si>
  <si>
    <t>Pascal Groß Squad</t>
  </si>
  <si>
    <t>Emiliano Martínez Romero Squad</t>
  </si>
  <si>
    <t>Harry Wilson Squad</t>
  </si>
  <si>
    <t>Jean-Philippe Mateta Squad</t>
  </si>
  <si>
    <t>Kevin Schade Squad</t>
  </si>
  <si>
    <t>Ola Aina Squad</t>
  </si>
  <si>
    <t>Michael Keane Squad</t>
  </si>
  <si>
    <t>Pedro Lomba Neto Squad</t>
  </si>
  <si>
    <t>Senne Lammens Squad</t>
  </si>
  <si>
    <t>Cody Gakpo Squad</t>
  </si>
  <si>
    <t>Alex Scott Squad</t>
  </si>
  <si>
    <t>Riccardo Calafiori Squad</t>
  </si>
  <si>
    <t>Ollie Watkins Squad</t>
  </si>
  <si>
    <t>Chris Wood Squad</t>
  </si>
  <si>
    <t>Ismaïla Sarr Squad</t>
  </si>
  <si>
    <t>Alex Iwobi Squad</t>
  </si>
  <si>
    <t>Nikola Milenković Squad</t>
  </si>
  <si>
    <t>Viktor Gyökeres Squad</t>
  </si>
  <si>
    <t>Matz Sels Squad</t>
  </si>
  <si>
    <t>Ryan Sessegnon Squad</t>
  </si>
  <si>
    <t>Pedro Porro Sauceda Squad</t>
  </si>
  <si>
    <t>Rayan Vitor Simplício Rocha Squad</t>
  </si>
  <si>
    <t>Diogo Dalot Teixeira Squad</t>
  </si>
  <si>
    <t>Caoimhín Kelleher Squad</t>
  </si>
  <si>
    <t>Gianluigi Donnarumma Squad</t>
  </si>
  <si>
    <t>Daniel Muñoz Mejía Squad</t>
  </si>
  <si>
    <t>Diego Gómez Amarilla Squad</t>
  </si>
  <si>
    <t>Jérémy Doku Squad</t>
  </si>
  <si>
    <t>Bart Verbruggen Squad</t>
  </si>
  <si>
    <t>Alisson Becker Squad</t>
  </si>
  <si>
    <t>Guglielmo Vicario Squad</t>
  </si>
  <si>
    <t>Robin Roefs Squad</t>
  </si>
  <si>
    <t>Nordi Mukiele Squad</t>
  </si>
  <si>
    <t>Pascal Struijk Squad</t>
  </si>
  <si>
    <t>Morgan Rogers Squad</t>
  </si>
  <si>
    <t>Đorđe Petrović Squad</t>
  </si>
  <si>
    <t>Joško Gvardiol Squad</t>
  </si>
  <si>
    <t>Phil Foden Squad</t>
  </si>
  <si>
    <t>Marcos Senesi Barón Squad</t>
  </si>
  <si>
    <t>Daniel Ballard Squad</t>
  </si>
  <si>
    <t>Jordan Pickford Squad</t>
  </si>
  <si>
    <t>Danny Welbeck Squad</t>
  </si>
  <si>
    <t>Granit Xhaka Squad</t>
  </si>
  <si>
    <t>Igor Jesus Maciel da Cruz Squad</t>
  </si>
  <si>
    <t>Nathan Collins Squad</t>
  </si>
  <si>
    <t>Robert Lynch Sánchez Squad</t>
  </si>
  <si>
    <t>Luke Shaw Squad</t>
  </si>
  <si>
    <t>Richarlison de Andrade Squad</t>
  </si>
  <si>
    <t>Sepp van den Berg Squad</t>
  </si>
  <si>
    <t>Moisés Caicedo Corozo Squad</t>
  </si>
  <si>
    <t>Piero Hincapié Squad</t>
  </si>
  <si>
    <t>Francisco Evanilson de Lima Barbosa Squad</t>
  </si>
  <si>
    <t>John McGinn Squad</t>
  </si>
  <si>
    <t>Mikkel Damsgaard Squad</t>
  </si>
  <si>
    <t>Trevoh Chalobah Squad</t>
  </si>
  <si>
    <t>Gabriel Gudmundsson Squad</t>
  </si>
  <si>
    <t>Sven Botman Squad</t>
  </si>
  <si>
    <t>Dean Henderson Squad</t>
  </si>
  <si>
    <t>Joe Rodon Squad</t>
  </si>
  <si>
    <t>Noah Okafor Squad</t>
  </si>
  <si>
    <t>Bernd Leno Squad</t>
  </si>
  <si>
    <t>Micky van de Ven Squad</t>
  </si>
  <si>
    <t>Ryan Gravenberch Squad</t>
  </si>
  <si>
    <t>Ibrahim Sangaré Squad</t>
  </si>
  <si>
    <t>Matheus Nunes Squad</t>
  </si>
  <si>
    <t>Harvey Barnes Squad</t>
  </si>
  <si>
    <t>Omar Alderete Squad</t>
  </si>
  <si>
    <t>Harry Maguire Squad</t>
  </si>
  <si>
    <t>Mikel Merino Zazón Squad</t>
  </si>
  <si>
    <t>Martín Zubimendi Ibáñez Squad</t>
  </si>
  <si>
    <t>Matty Cash Squad</t>
  </si>
  <si>
    <t>Dan Burn Squad</t>
  </si>
  <si>
    <t>Axel Disasi Squad</t>
  </si>
  <si>
    <t>Tyrick Mitchell Squad</t>
  </si>
  <si>
    <t>Jayden Bogle Squad</t>
  </si>
  <si>
    <t>Nick Pope Squad</t>
  </si>
  <si>
    <t>Nick Woltemade Squad</t>
  </si>
  <si>
    <t>Ferdi Kadıoğlu Squad</t>
  </si>
  <si>
    <t>Maxence Lacroix Squad</t>
  </si>
  <si>
    <t>Rodrigo Bentancur Squad</t>
  </si>
  <si>
    <t>Lewis Dunk Squad</t>
  </si>
  <si>
    <t>Jack Hinshelwood Squad</t>
  </si>
  <si>
    <t>Conor Gallagher Squad</t>
  </si>
  <si>
    <t>Levi Samuels Colwill Squad</t>
  </si>
  <si>
    <t>Jaidon Anthony Squad</t>
  </si>
  <si>
    <t>Benjamin Sesko Squad</t>
  </si>
  <si>
    <t>Brenden Aaronson Squad</t>
  </si>
  <si>
    <t>Ezri Konsa Ngoyo Squad</t>
  </si>
  <si>
    <t>Yéremy Pino Santos Squad</t>
  </si>
  <si>
    <t>Eberechi Eze Squad</t>
  </si>
  <si>
    <t>Adam Wharton Squad</t>
  </si>
  <si>
    <t>William Osula Squad</t>
  </si>
  <si>
    <t>Jack Grealish Squad</t>
  </si>
  <si>
    <t>Malo Gusto Squad</t>
  </si>
  <si>
    <t>Martin Ødegaard Squad</t>
  </si>
  <si>
    <t>Jake O'Brien Squad</t>
  </si>
  <si>
    <t>Alexis Mac Allister Squad</t>
  </si>
  <si>
    <t>Sandro Tonali Squad</t>
  </si>
  <si>
    <t>Rúben dos Santos Gato Alves Dias Squad</t>
  </si>
  <si>
    <t>James Hill Squad</t>
  </si>
  <si>
    <t>Calvin Bassey Squad</t>
  </si>
  <si>
    <t>Vitalii Mykolenko Squad</t>
  </si>
  <si>
    <t>Daichi Kamada Squad</t>
  </si>
  <si>
    <t>Yasin Ayari Squad</t>
  </si>
  <si>
    <t>Mathias Jensen Squad</t>
  </si>
  <si>
    <t>Lewis Hall Squad</t>
  </si>
  <si>
    <t>Lukas Nmecha Squad</t>
  </si>
  <si>
    <t>Reece James Squad</t>
  </si>
  <si>
    <t>Norberto Bercique Gomes Betuncal Squad</t>
  </si>
  <si>
    <t>Omari Hutchinson Squad</t>
  </si>
  <si>
    <t>David Brooks Squad</t>
  </si>
  <si>
    <t>Kai Havertz Squad</t>
  </si>
  <si>
    <t>Callum Hudson-Odoi Squad</t>
  </si>
  <si>
    <t>Trai Hume Squad</t>
  </si>
  <si>
    <t>Yehor Yarmoliuk Squad</t>
  </si>
  <si>
    <t>James Justin Squad</t>
  </si>
  <si>
    <t>Curtis Jones Squad</t>
  </si>
  <si>
    <t>Dominic Solanke-Mitchell Squad</t>
  </si>
  <si>
    <t>Mohammed Kudus Squad</t>
  </si>
  <si>
    <t>Habib Diarra Squad</t>
  </si>
  <si>
    <t>Sander Berge Squad</t>
  </si>
  <si>
    <t>Fabian Schär Squad</t>
  </si>
  <si>
    <t>Youri Tielemans Squad</t>
  </si>
  <si>
    <t>Tyrone Mings Squad</t>
  </si>
  <si>
    <t>Jørgen Strand Larsen Squad</t>
  </si>
  <si>
    <t>Jaka Bijol Squad</t>
  </si>
  <si>
    <t>Jarrad Branthwaite Squad</t>
  </si>
  <si>
    <t>Kenny Tete Squad</t>
  </si>
  <si>
    <t>Antonee Robinson Squad</t>
  </si>
  <si>
    <t>Maxim De Cuyper Squad</t>
  </si>
  <si>
    <t>Emiliano Buendía Stati Squad</t>
  </si>
  <si>
    <t>Tijjani Reijnders Squad</t>
  </si>
  <si>
    <t>Pape Matar Sarr Squad</t>
  </si>
  <si>
    <t>Tyler Adams Squad</t>
  </si>
  <si>
    <t>Sean Longstaff Squad</t>
  </si>
  <si>
    <t>Brian Brobbey Squad</t>
  </si>
  <si>
    <t>Reinildo Mandava Squad</t>
  </si>
  <si>
    <t>Keane Lewis-Potter Squad</t>
  </si>
  <si>
    <t>Saša Lukić Squad</t>
  </si>
  <si>
    <t>Callum Wilson Squad</t>
  </si>
  <si>
    <t>Michael Kayode Squad</t>
  </si>
  <si>
    <t>Djed Spence Squad</t>
  </si>
  <si>
    <t>Alejandro Garnacho Ferreyra Squad</t>
  </si>
  <si>
    <t>Vitaly Janelt Squad</t>
  </si>
  <si>
    <t>Jacob Murphy Squad</t>
  </si>
  <si>
    <t>Rayan Aït-Nouri Squad</t>
  </si>
  <si>
    <t>Emile Smith Rowe Squad</t>
  </si>
  <si>
    <t>Lucas Digne Squad</t>
  </si>
  <si>
    <t>Milos Kerkez Squad</t>
  </si>
  <si>
    <t>Noni Madueke Squad</t>
  </si>
  <si>
    <t>Alexander Isak Squad</t>
  </si>
  <si>
    <t>Ross Barkley Squad</t>
  </si>
  <si>
    <t>Lisandro Martínez Squad</t>
  </si>
  <si>
    <t>Georginio Rutter Squad</t>
  </si>
  <si>
    <t>Justin Kluivert Squad</t>
  </si>
  <si>
    <t>Pau Torres Squad</t>
  </si>
  <si>
    <t>Taiwo Awoniyi Squad</t>
  </si>
  <si>
    <t>Mateus Fernandes Squad</t>
  </si>
  <si>
    <t>Dan Ndoye Squad</t>
  </si>
  <si>
    <t>Brennan Johnson Squad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</si>
</sst>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onsolas"/>
      <family val="2"/>
    </font>
    <font>
      <b/>
      <sz val="11"/>
      <color rgb="FF000000"/>
      <name val="Consolas"/>
      <family val="3"/>
    </font>
    <font>
      <sz val="11"/>
      <color rgb="FF000000"/>
      <name val="Consolas"/>
      <family val="3"/>
    </font>
    <font>
      <b/>
      <u/>
      <sz val="11"/>
      <color rgb="FF000000"/>
      <name val="Consolas"/>
      <family val="3"/>
    </font>
    <font>
      <sz val="8"/>
      <color theme="1"/>
      <name val="Consolas"/>
      <family val="2"/>
    </font>
    <font>
      <b/>
      <sz val="11"/>
      <color theme="1"/>
      <name val="Consolas"/>
      <family val="3"/>
    </font>
    <font>
      <b/>
      <sz val="11"/>
      <color theme="3"/>
      <name val="Consolas"/>
      <family val="3"/>
    </font>
    <font>
      <b/>
      <sz val="8"/>
      <color theme="1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99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 wrapText="1"/>
    </xf>
    <xf numFmtId="2" fontId="1" fillId="3" borderId="1" xfId="0" applyNumberFormat="1" applyFont="1" applyFill="1" applyBorder="1" applyAlignment="1">
      <alignment horizontal="center" wrapText="1"/>
    </xf>
    <xf numFmtId="0" fontId="2" fillId="2" borderId="0" xfId="0" applyFont="1" applyFill="1"/>
    <xf numFmtId="2" fontId="1" fillId="3" borderId="2" xfId="0" applyNumberFormat="1" applyFont="1" applyFill="1" applyBorder="1" applyAlignment="1">
      <alignment horizontal="center"/>
    </xf>
    <xf numFmtId="2" fontId="3" fillId="4" borderId="0" xfId="0" applyNumberFormat="1" applyFont="1" applyFill="1" applyAlignment="1">
      <alignment horizontal="center" wrapText="1"/>
    </xf>
    <xf numFmtId="0" fontId="3" fillId="4" borderId="0" xfId="0" applyFont="1" applyFill="1" applyAlignment="1">
      <alignment horizontal="center"/>
    </xf>
    <xf numFmtId="2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3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5" fillId="8" borderId="6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8" borderId="8" xfId="0" applyFont="1" applyFill="1" applyBorder="1" applyAlignment="1">
      <alignment horizontal="center"/>
    </xf>
    <xf numFmtId="0" fontId="5" fillId="8" borderId="9" xfId="0" applyFont="1" applyFill="1" applyBorder="1" applyAlignment="1">
      <alignment horizontal="center"/>
    </xf>
    <xf numFmtId="0" fontId="5" fillId="8" borderId="10" xfId="0" applyFont="1" applyFill="1" applyBorder="1" applyAlignment="1">
      <alignment horizontal="center"/>
    </xf>
    <xf numFmtId="0" fontId="5" fillId="8" borderId="11" xfId="0" applyFont="1" applyFill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4">
    <dxf>
      <fill>
        <patternFill>
          <bgColor rgb="FF8CF0EE"/>
        </patternFill>
      </fill>
    </dxf>
    <dxf>
      <fill>
        <patternFill>
          <bgColor rgb="FF99FF99"/>
        </patternFill>
      </fill>
    </dxf>
    <dxf>
      <fill>
        <patternFill>
          <bgColor rgb="FFECF4BA"/>
        </patternFill>
      </fill>
    </dxf>
    <dxf>
      <fill>
        <patternFill>
          <bgColor rgb="FFE3A7C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PL\MODEL%202.1\MODEL.xlsx" TargetMode="External"/><Relationship Id="rId1" Type="http://schemas.openxmlformats.org/officeDocument/2006/relationships/externalLinkPath" Target="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"/>
      <sheetName val="PREDICT"/>
      <sheetName val="MODEL"/>
      <sheetName val="PPts"/>
      <sheetName val="TABLES"/>
      <sheetName val="DATABANK"/>
      <sheetName val="API"/>
      <sheetName val="PT"/>
      <sheetName val="CS"/>
      <sheetName val="TABLE"/>
      <sheetName val="DBFORM"/>
      <sheetName val="PSAPI"/>
      <sheetName val="PSPT"/>
      <sheetName val="PSTABLE"/>
      <sheetName val="TEAMS"/>
      <sheetName val="FIXTURES"/>
      <sheetName val="MINS"/>
      <sheetName val="xG"/>
      <sheetName val="xA"/>
      <sheetName val="xGC"/>
      <sheetName val="PTS"/>
      <sheetName val="PL"/>
      <sheetName val="DC"/>
      <sheetName val="FDRDC"/>
    </sheetNames>
    <sheetDataSet>
      <sheetData sheetId="0"/>
      <sheetData sheetId="1">
        <row r="2">
          <cell r="BB2">
            <v>1</v>
          </cell>
          <cell r="BC2">
            <v>5</v>
          </cell>
        </row>
        <row r="3">
          <cell r="B3">
            <v>141746</v>
          </cell>
          <cell r="M3">
            <v>12</v>
          </cell>
        </row>
        <row r="4">
          <cell r="B4">
            <v>223094</v>
          </cell>
          <cell r="M4">
            <v>15.5</v>
          </cell>
        </row>
        <row r="5">
          <cell r="B5">
            <v>226597</v>
          </cell>
          <cell r="M5">
            <v>8</v>
          </cell>
        </row>
        <row r="6">
          <cell r="B6">
            <v>446008</v>
          </cell>
          <cell r="M6">
            <v>8</v>
          </cell>
        </row>
        <row r="7">
          <cell r="B7">
            <v>222531</v>
          </cell>
          <cell r="M7">
            <v>8</v>
          </cell>
        </row>
        <row r="8">
          <cell r="B8">
            <v>448047</v>
          </cell>
          <cell r="M8">
            <v>7</v>
          </cell>
        </row>
        <row r="9">
          <cell r="B9">
            <v>437730</v>
          </cell>
          <cell r="M9">
            <v>8.5</v>
          </cell>
        </row>
        <row r="10">
          <cell r="B10">
            <v>209036</v>
          </cell>
          <cell r="M10">
            <v>6</v>
          </cell>
        </row>
        <row r="11">
          <cell r="B11">
            <v>244851</v>
          </cell>
          <cell r="M11">
            <v>9.5</v>
          </cell>
        </row>
        <row r="12">
          <cell r="B12">
            <v>424876</v>
          </cell>
          <cell r="M12">
            <v>7</v>
          </cell>
        </row>
        <row r="13">
          <cell r="B13">
            <v>475168</v>
          </cell>
          <cell r="M13">
            <v>7.5</v>
          </cell>
        </row>
        <row r="14">
          <cell r="B14">
            <v>97032</v>
          </cell>
          <cell r="M14">
            <v>6.5</v>
          </cell>
        </row>
        <row r="15">
          <cell r="B15">
            <v>204480</v>
          </cell>
          <cell r="M15">
            <v>7.5</v>
          </cell>
        </row>
        <row r="16">
          <cell r="B16">
            <v>201658</v>
          </cell>
          <cell r="M16">
            <v>6</v>
          </cell>
        </row>
        <row r="17">
          <cell r="B17">
            <v>502500</v>
          </cell>
          <cell r="M17">
            <v>8</v>
          </cell>
        </row>
        <row r="18">
          <cell r="B18">
            <v>469142</v>
          </cell>
          <cell r="M18">
            <v>5</v>
          </cell>
        </row>
        <row r="19">
          <cell r="B19">
            <v>177815</v>
          </cell>
          <cell r="M19">
            <v>6</v>
          </cell>
        </row>
        <row r="20">
          <cell r="B20">
            <v>215136</v>
          </cell>
          <cell r="M20">
            <v>5</v>
          </cell>
        </row>
        <row r="21">
          <cell r="B21">
            <v>154561</v>
          </cell>
          <cell r="M21">
            <v>6</v>
          </cell>
        </row>
        <row r="22">
          <cell r="B22">
            <v>472769</v>
          </cell>
          <cell r="M22">
            <v>6.5</v>
          </cell>
        </row>
        <row r="23">
          <cell r="B23">
            <v>17761</v>
          </cell>
          <cell r="M23">
            <v>6</v>
          </cell>
        </row>
        <row r="24">
          <cell r="B24">
            <v>223340</v>
          </cell>
          <cell r="M24">
            <v>9.5</v>
          </cell>
        </row>
        <row r="25">
          <cell r="B25">
            <v>440993</v>
          </cell>
          <cell r="M25">
            <v>6</v>
          </cell>
        </row>
        <row r="26">
          <cell r="B26">
            <v>533463</v>
          </cell>
          <cell r="M26">
            <v>6.5</v>
          </cell>
        </row>
        <row r="27">
          <cell r="B27">
            <v>494595</v>
          </cell>
          <cell r="M27">
            <v>7.5</v>
          </cell>
        </row>
        <row r="28">
          <cell r="B28">
            <v>465642</v>
          </cell>
          <cell r="M28">
            <v>5</v>
          </cell>
        </row>
        <row r="29">
          <cell r="B29">
            <v>430871</v>
          </cell>
          <cell r="M29">
            <v>8</v>
          </cell>
        </row>
        <row r="30">
          <cell r="B30">
            <v>484420</v>
          </cell>
          <cell r="M30">
            <v>6</v>
          </cell>
        </row>
        <row r="31">
          <cell r="B31">
            <v>466525</v>
          </cell>
          <cell r="M31">
            <v>6</v>
          </cell>
        </row>
        <row r="32">
          <cell r="B32">
            <v>493250</v>
          </cell>
          <cell r="M32">
            <v>6</v>
          </cell>
        </row>
        <row r="33">
          <cell r="B33">
            <v>215413</v>
          </cell>
          <cell r="M33">
            <v>6.5</v>
          </cell>
        </row>
        <row r="34">
          <cell r="B34">
            <v>208706</v>
          </cell>
          <cell r="M34">
            <v>7</v>
          </cell>
        </row>
        <row r="35">
          <cell r="B35">
            <v>466052</v>
          </cell>
          <cell r="M35">
            <v>7.5</v>
          </cell>
        </row>
        <row r="36">
          <cell r="B36">
            <v>494521</v>
          </cell>
          <cell r="M36">
            <v>5.5</v>
          </cell>
        </row>
        <row r="37">
          <cell r="B37">
            <v>427623</v>
          </cell>
          <cell r="M37">
            <v>5</v>
          </cell>
        </row>
        <row r="38">
          <cell r="B38">
            <v>215379</v>
          </cell>
          <cell r="M38">
            <v>6.5</v>
          </cell>
        </row>
        <row r="39">
          <cell r="B39">
            <v>221632</v>
          </cell>
          <cell r="M39">
            <v>5</v>
          </cell>
        </row>
        <row r="40">
          <cell r="B40">
            <v>467779</v>
          </cell>
          <cell r="M40">
            <v>5</v>
          </cell>
        </row>
        <row r="41">
          <cell r="B41">
            <v>199598</v>
          </cell>
          <cell r="M41">
            <v>5.5</v>
          </cell>
        </row>
        <row r="42">
          <cell r="B42">
            <v>60307</v>
          </cell>
          <cell r="M42">
            <v>5.5</v>
          </cell>
        </row>
        <row r="43">
          <cell r="B43">
            <v>98980</v>
          </cell>
          <cell r="M43">
            <v>5</v>
          </cell>
        </row>
        <row r="44">
          <cell r="B44">
            <v>153682</v>
          </cell>
          <cell r="M44">
            <v>6.5</v>
          </cell>
        </row>
        <row r="45">
          <cell r="B45">
            <v>231747</v>
          </cell>
          <cell r="M45">
            <v>6.5</v>
          </cell>
        </row>
        <row r="46">
          <cell r="B46">
            <v>513418</v>
          </cell>
          <cell r="M46">
            <v>6</v>
          </cell>
        </row>
        <row r="47">
          <cell r="B47">
            <v>159506</v>
          </cell>
          <cell r="M47">
            <v>4.5</v>
          </cell>
        </row>
        <row r="48">
          <cell r="B48">
            <v>106611</v>
          </cell>
          <cell r="M48">
            <v>5</v>
          </cell>
        </row>
        <row r="49">
          <cell r="B49">
            <v>247632</v>
          </cell>
          <cell r="M49">
            <v>6.5</v>
          </cell>
        </row>
        <row r="50">
          <cell r="B50">
            <v>465247</v>
          </cell>
          <cell r="M50">
            <v>5</v>
          </cell>
        </row>
        <row r="51">
          <cell r="B51">
            <v>243298</v>
          </cell>
          <cell r="M51">
            <v>7</v>
          </cell>
        </row>
        <row r="52">
          <cell r="B52">
            <v>503139</v>
          </cell>
          <cell r="M52">
            <v>6</v>
          </cell>
        </row>
        <row r="53">
          <cell r="B53">
            <v>466075</v>
          </cell>
          <cell r="M53">
            <v>5.5</v>
          </cell>
        </row>
        <row r="54">
          <cell r="B54">
            <v>178301</v>
          </cell>
          <cell r="M54">
            <v>8</v>
          </cell>
        </row>
        <row r="55">
          <cell r="B55">
            <v>60689</v>
          </cell>
          <cell r="M55">
            <v>6</v>
          </cell>
        </row>
        <row r="56">
          <cell r="B56">
            <v>232185</v>
          </cell>
          <cell r="M56">
            <v>6.5</v>
          </cell>
        </row>
        <row r="57">
          <cell r="B57">
            <v>153133</v>
          </cell>
          <cell r="M57">
            <v>5.5</v>
          </cell>
        </row>
        <row r="58">
          <cell r="B58">
            <v>227444</v>
          </cell>
          <cell r="M58">
            <v>5.5</v>
          </cell>
        </row>
        <row r="59">
          <cell r="B59">
            <v>224117</v>
          </cell>
          <cell r="M59">
            <v>7.5</v>
          </cell>
        </row>
        <row r="60">
          <cell r="B60">
            <v>85633</v>
          </cell>
          <cell r="M60">
            <v>5</v>
          </cell>
        </row>
        <row r="61">
          <cell r="B61">
            <v>184349</v>
          </cell>
          <cell r="M61">
            <v>4.5</v>
          </cell>
        </row>
        <row r="62">
          <cell r="B62">
            <v>441164</v>
          </cell>
          <cell r="M62">
            <v>5.5</v>
          </cell>
        </row>
        <row r="63">
          <cell r="B63">
            <v>499604</v>
          </cell>
          <cell r="M63">
            <v>6.5</v>
          </cell>
        </row>
        <row r="64">
          <cell r="B64">
            <v>216051</v>
          </cell>
          <cell r="M64">
            <v>5</v>
          </cell>
        </row>
        <row r="65">
          <cell r="B65">
            <v>200720</v>
          </cell>
          <cell r="M65">
            <v>5</v>
          </cell>
        </row>
        <row r="66">
          <cell r="B66">
            <v>204936</v>
          </cell>
          <cell r="M66">
            <v>5.5</v>
          </cell>
        </row>
        <row r="67">
          <cell r="B67">
            <v>247348</v>
          </cell>
          <cell r="M67">
            <v>5.5</v>
          </cell>
        </row>
        <row r="68">
          <cell r="B68">
            <v>514254</v>
          </cell>
          <cell r="M68">
            <v>5</v>
          </cell>
        </row>
        <row r="69">
          <cell r="B69">
            <v>248875</v>
          </cell>
          <cell r="M69">
            <v>7.5</v>
          </cell>
        </row>
        <row r="70">
          <cell r="B70">
            <v>489639</v>
          </cell>
          <cell r="M70">
            <v>4.5</v>
          </cell>
        </row>
        <row r="71">
          <cell r="B71">
            <v>116535</v>
          </cell>
          <cell r="M71">
            <v>5.5</v>
          </cell>
        </row>
        <row r="72">
          <cell r="B72">
            <v>184254</v>
          </cell>
          <cell r="M72">
            <v>4.5</v>
          </cell>
        </row>
        <row r="73">
          <cell r="B73">
            <v>498016</v>
          </cell>
          <cell r="M73">
            <v>5</v>
          </cell>
        </row>
        <row r="74">
          <cell r="B74">
            <v>200834</v>
          </cell>
          <cell r="M74">
            <v>5.5</v>
          </cell>
        </row>
        <row r="75">
          <cell r="B75">
            <v>222694</v>
          </cell>
          <cell r="M75">
            <v>5</v>
          </cell>
        </row>
        <row r="76">
          <cell r="B76">
            <v>244850</v>
          </cell>
          <cell r="M76">
            <v>7.5</v>
          </cell>
        </row>
        <row r="77">
          <cell r="B77">
            <v>457569</v>
          </cell>
          <cell r="M77">
            <v>4.5</v>
          </cell>
        </row>
        <row r="78">
          <cell r="B78">
            <v>477424</v>
          </cell>
          <cell r="M78">
            <v>5.5</v>
          </cell>
        </row>
        <row r="79">
          <cell r="B79">
            <v>209244</v>
          </cell>
          <cell r="M79">
            <v>7</v>
          </cell>
        </row>
        <row r="80">
          <cell r="B80">
            <v>221466</v>
          </cell>
          <cell r="M80">
            <v>6</v>
          </cell>
        </row>
        <row r="81">
          <cell r="B81">
            <v>223827</v>
          </cell>
          <cell r="M81">
            <v>5</v>
          </cell>
        </row>
        <row r="82">
          <cell r="B82">
            <v>111234</v>
          </cell>
          <cell r="M82">
            <v>5.5</v>
          </cell>
        </row>
        <row r="83">
          <cell r="B83">
            <v>50175</v>
          </cell>
          <cell r="M83">
            <v>6</v>
          </cell>
        </row>
        <row r="84">
          <cell r="B84">
            <v>84450</v>
          </cell>
          <cell r="M84">
            <v>5.5</v>
          </cell>
        </row>
        <row r="85">
          <cell r="B85">
            <v>482973</v>
          </cell>
          <cell r="M85">
            <v>6</v>
          </cell>
        </row>
        <row r="86">
          <cell r="B86">
            <v>432830</v>
          </cell>
          <cell r="M86">
            <v>5.5</v>
          </cell>
        </row>
        <row r="87">
          <cell r="B87">
            <v>215059</v>
          </cell>
          <cell r="M87">
            <v>5</v>
          </cell>
        </row>
        <row r="88">
          <cell r="B88">
            <v>106760</v>
          </cell>
          <cell r="M88">
            <v>4.5</v>
          </cell>
        </row>
        <row r="89">
          <cell r="B89">
            <v>212319</v>
          </cell>
          <cell r="M89">
            <v>6</v>
          </cell>
        </row>
        <row r="90">
          <cell r="B90">
            <v>444765</v>
          </cell>
          <cell r="M90">
            <v>5</v>
          </cell>
        </row>
        <row r="91">
          <cell r="B91">
            <v>486672</v>
          </cell>
          <cell r="M91">
            <v>5.5</v>
          </cell>
        </row>
        <row r="92">
          <cell r="B92">
            <v>448104</v>
          </cell>
          <cell r="M92">
            <v>5.5</v>
          </cell>
        </row>
        <row r="93">
          <cell r="B93">
            <v>444102</v>
          </cell>
          <cell r="M93">
            <v>6</v>
          </cell>
        </row>
        <row r="94">
          <cell r="B94">
            <v>216616</v>
          </cell>
          <cell r="M94">
            <v>4</v>
          </cell>
        </row>
        <row r="95">
          <cell r="B95">
            <v>122806</v>
          </cell>
          <cell r="M95">
            <v>5.5</v>
          </cell>
        </row>
        <row r="96">
          <cell r="B96">
            <v>440089</v>
          </cell>
          <cell r="M96">
            <v>5.5</v>
          </cell>
        </row>
        <row r="97">
          <cell r="B97">
            <v>180736</v>
          </cell>
          <cell r="M97">
            <v>5.5</v>
          </cell>
        </row>
        <row r="98">
          <cell r="B98">
            <v>243526</v>
          </cell>
          <cell r="M98">
            <v>4.5</v>
          </cell>
        </row>
        <row r="99">
          <cell r="B99">
            <v>220237</v>
          </cell>
          <cell r="M99">
            <v>5</v>
          </cell>
        </row>
        <row r="100">
          <cell r="B100">
            <v>172649</v>
          </cell>
          <cell r="M100">
            <v>5</v>
          </cell>
        </row>
        <row r="101">
          <cell r="B101">
            <v>214225</v>
          </cell>
          <cell r="M101">
            <v>4.5</v>
          </cell>
        </row>
        <row r="102">
          <cell r="B102">
            <v>435997</v>
          </cell>
          <cell r="M102">
            <v>6</v>
          </cell>
        </row>
        <row r="103">
          <cell r="B103">
            <v>80201</v>
          </cell>
          <cell r="M103">
            <v>4.5</v>
          </cell>
        </row>
        <row r="104">
          <cell r="B104">
            <v>491279</v>
          </cell>
          <cell r="M104">
            <v>5</v>
          </cell>
        </row>
        <row r="105">
          <cell r="B105">
            <v>441266</v>
          </cell>
          <cell r="M105">
            <v>6</v>
          </cell>
        </row>
        <row r="106">
          <cell r="B106">
            <v>210462</v>
          </cell>
          <cell r="M106">
            <v>5</v>
          </cell>
        </row>
        <row r="107">
          <cell r="B107">
            <v>465351</v>
          </cell>
          <cell r="M107">
            <v>6</v>
          </cell>
        </row>
        <row r="108">
          <cell r="B108">
            <v>201666</v>
          </cell>
          <cell r="M108">
            <v>6</v>
          </cell>
        </row>
        <row r="109">
          <cell r="B109">
            <v>455084</v>
          </cell>
          <cell r="M109">
            <v>4</v>
          </cell>
        </row>
        <row r="110">
          <cell r="B110">
            <v>201895</v>
          </cell>
          <cell r="M110">
            <v>5</v>
          </cell>
        </row>
        <row r="111">
          <cell r="B111">
            <v>95658</v>
          </cell>
          <cell r="M111">
            <v>5</v>
          </cell>
        </row>
        <row r="112">
          <cell r="B112">
            <v>195384</v>
          </cell>
          <cell r="M112">
            <v>6</v>
          </cell>
        </row>
        <row r="113">
          <cell r="B113">
            <v>481655</v>
          </cell>
          <cell r="M113">
            <v>5.5</v>
          </cell>
        </row>
        <row r="114">
          <cell r="B114">
            <v>199796</v>
          </cell>
          <cell r="M114">
            <v>4.5</v>
          </cell>
        </row>
        <row r="115">
          <cell r="B115">
            <v>176420</v>
          </cell>
          <cell r="M115">
            <v>4</v>
          </cell>
        </row>
        <row r="116">
          <cell r="B116">
            <v>78916</v>
          </cell>
          <cell r="M116">
            <v>5</v>
          </cell>
        </row>
        <row r="117">
          <cell r="B117">
            <v>244723</v>
          </cell>
          <cell r="M117">
            <v>4.5</v>
          </cell>
        </row>
        <row r="118">
          <cell r="B118">
            <v>607464</v>
          </cell>
          <cell r="M118">
            <v>4.5</v>
          </cell>
        </row>
        <row r="119">
          <cell r="B119">
            <v>226182</v>
          </cell>
          <cell r="M119">
            <v>4.5</v>
          </cell>
        </row>
        <row r="120">
          <cell r="B120">
            <v>98747</v>
          </cell>
          <cell r="M120">
            <v>5</v>
          </cell>
        </row>
        <row r="121">
          <cell r="B121">
            <v>470313</v>
          </cell>
          <cell r="M121">
            <v>6</v>
          </cell>
        </row>
        <row r="122">
          <cell r="B122">
            <v>231416</v>
          </cell>
          <cell r="M122">
            <v>4.5</v>
          </cell>
        </row>
        <row r="123">
          <cell r="B123">
            <v>437499</v>
          </cell>
          <cell r="M123">
            <v>6</v>
          </cell>
        </row>
        <row r="124">
          <cell r="B124">
            <v>209400</v>
          </cell>
          <cell r="M124">
            <v>5</v>
          </cell>
        </row>
        <row r="125">
          <cell r="B125">
            <v>592031</v>
          </cell>
          <cell r="M125">
            <v>6</v>
          </cell>
        </row>
        <row r="126">
          <cell r="B126">
            <v>202993</v>
          </cell>
          <cell r="M126">
            <v>5.5</v>
          </cell>
        </row>
        <row r="127">
          <cell r="B127">
            <v>83299</v>
          </cell>
          <cell r="M127">
            <v>4.5</v>
          </cell>
        </row>
        <row r="128">
          <cell r="B128">
            <v>532529</v>
          </cell>
          <cell r="M128">
            <v>6</v>
          </cell>
        </row>
        <row r="129">
          <cell r="B129">
            <v>596777</v>
          </cell>
          <cell r="M129">
            <v>6</v>
          </cell>
        </row>
        <row r="130">
          <cell r="B130">
            <v>232787</v>
          </cell>
          <cell r="M130">
            <v>5.5</v>
          </cell>
        </row>
        <row r="131">
          <cell r="B131">
            <v>460028</v>
          </cell>
          <cell r="M131">
            <v>5</v>
          </cell>
        </row>
        <row r="132">
          <cell r="B132">
            <v>444180</v>
          </cell>
          <cell r="M132">
            <v>6</v>
          </cell>
        </row>
        <row r="133">
          <cell r="B133">
            <v>485711</v>
          </cell>
          <cell r="M133">
            <v>7</v>
          </cell>
        </row>
        <row r="134">
          <cell r="B134">
            <v>427637</v>
          </cell>
          <cell r="M134">
            <v>5.5</v>
          </cell>
        </row>
        <row r="135">
          <cell r="B135">
            <v>199798</v>
          </cell>
          <cell r="M135">
            <v>4.5</v>
          </cell>
        </row>
        <row r="136">
          <cell r="B136">
            <v>488024</v>
          </cell>
          <cell r="M136">
            <v>5.5</v>
          </cell>
        </row>
        <row r="137">
          <cell r="B137">
            <v>232413</v>
          </cell>
          <cell r="M137">
            <v>6.5</v>
          </cell>
        </row>
        <row r="138">
          <cell r="B138">
            <v>496221</v>
          </cell>
          <cell r="M138">
            <v>5.5</v>
          </cell>
        </row>
        <row r="139">
          <cell r="B139">
            <v>538207</v>
          </cell>
          <cell r="M139">
            <v>6</v>
          </cell>
        </row>
        <row r="140">
          <cell r="B140">
            <v>114283</v>
          </cell>
          <cell r="M140">
            <v>6.5</v>
          </cell>
        </row>
        <row r="141">
          <cell r="B141">
            <v>482609</v>
          </cell>
          <cell r="M141">
            <v>5</v>
          </cell>
        </row>
        <row r="142">
          <cell r="B142">
            <v>184029</v>
          </cell>
          <cell r="M142">
            <v>6.5</v>
          </cell>
        </row>
        <row r="143">
          <cell r="B143">
            <v>512462</v>
          </cell>
          <cell r="M143">
            <v>5</v>
          </cell>
        </row>
        <row r="144">
          <cell r="B144">
            <v>243016</v>
          </cell>
          <cell r="M144">
            <v>5.5</v>
          </cell>
        </row>
        <row r="145">
          <cell r="B145">
            <v>432422</v>
          </cell>
          <cell r="M145">
            <v>5.5</v>
          </cell>
        </row>
        <row r="146">
          <cell r="B146">
            <v>575476</v>
          </cell>
          <cell r="M146">
            <v>5.5</v>
          </cell>
        </row>
        <row r="147">
          <cell r="B147">
            <v>171314</v>
          </cell>
          <cell r="M147">
            <v>5.5</v>
          </cell>
        </row>
        <row r="148">
          <cell r="B148">
            <v>119471</v>
          </cell>
          <cell r="M148">
            <v>5</v>
          </cell>
        </row>
        <row r="149">
          <cell r="B149">
            <v>463981</v>
          </cell>
          <cell r="M149">
            <v>5.5</v>
          </cell>
        </row>
        <row r="150">
          <cell r="B150">
            <v>232892</v>
          </cell>
          <cell r="M150">
            <v>4.5</v>
          </cell>
        </row>
        <row r="151">
          <cell r="B151">
            <v>224967</v>
          </cell>
          <cell r="M151">
            <v>4.5</v>
          </cell>
        </row>
        <row r="152">
          <cell r="B152">
            <v>509416</v>
          </cell>
          <cell r="M152">
            <v>5.5</v>
          </cell>
        </row>
        <row r="153">
          <cell r="B153">
            <v>207283</v>
          </cell>
          <cell r="M153">
            <v>5.5</v>
          </cell>
        </row>
        <row r="154">
          <cell r="B154">
            <v>480455</v>
          </cell>
          <cell r="M154">
            <v>5.5</v>
          </cell>
        </row>
        <row r="155">
          <cell r="B155">
            <v>487838</v>
          </cell>
          <cell r="M155">
            <v>5</v>
          </cell>
        </row>
        <row r="156">
          <cell r="B156">
            <v>174594</v>
          </cell>
          <cell r="M156">
            <v>5.5</v>
          </cell>
        </row>
        <row r="157">
          <cell r="B157">
            <v>225796</v>
          </cell>
          <cell r="M157">
            <v>5.5</v>
          </cell>
        </row>
        <row r="158">
          <cell r="B158">
            <v>577669</v>
          </cell>
          <cell r="M158">
            <v>5</v>
          </cell>
        </row>
        <row r="159">
          <cell r="B159">
            <v>486385</v>
          </cell>
          <cell r="M159">
            <v>5.5</v>
          </cell>
        </row>
        <row r="160">
          <cell r="B160">
            <v>586309</v>
          </cell>
          <cell r="M160">
            <v>5.5</v>
          </cell>
        </row>
        <row r="161">
          <cell r="B161">
            <v>503301</v>
          </cell>
          <cell r="M161">
            <v>5.5</v>
          </cell>
        </row>
        <row r="162">
          <cell r="B162">
            <v>111317</v>
          </cell>
          <cell r="M162">
            <v>5</v>
          </cell>
        </row>
        <row r="163">
          <cell r="B163">
            <v>219847</v>
          </cell>
          <cell r="M163">
            <v>7.5</v>
          </cell>
        </row>
        <row r="164">
          <cell r="B164">
            <v>209046</v>
          </cell>
          <cell r="M164">
            <v>6</v>
          </cell>
        </row>
        <row r="165">
          <cell r="B165">
            <v>487676</v>
          </cell>
          <cell r="M165">
            <v>4.5</v>
          </cell>
        </row>
        <row r="166">
          <cell r="B166">
            <v>508395</v>
          </cell>
          <cell r="M166">
            <v>5</v>
          </cell>
        </row>
        <row r="167">
          <cell r="B167">
            <v>220627</v>
          </cell>
          <cell r="M167">
            <v>4.5</v>
          </cell>
        </row>
        <row r="168">
          <cell r="B168">
            <v>206915</v>
          </cell>
          <cell r="M168">
            <v>5.5</v>
          </cell>
        </row>
        <row r="169">
          <cell r="B169">
            <v>108813</v>
          </cell>
          <cell r="M169">
            <v>4.5</v>
          </cell>
        </row>
        <row r="170">
          <cell r="B170">
            <v>472739</v>
          </cell>
          <cell r="M170">
            <v>4.5</v>
          </cell>
        </row>
        <row r="171">
          <cell r="B171">
            <v>154566</v>
          </cell>
          <cell r="M171">
            <v>6</v>
          </cell>
        </row>
        <row r="172">
          <cell r="B172">
            <v>460842</v>
          </cell>
          <cell r="M172">
            <v>6.5</v>
          </cell>
        </row>
        <row r="173">
          <cell r="B173">
            <v>547027</v>
          </cell>
          <cell r="M173">
            <v>5.5</v>
          </cell>
        </row>
        <row r="174">
          <cell r="B174">
            <v>207189</v>
          </cell>
          <cell r="M174">
            <v>5</v>
          </cell>
        </row>
        <row r="175">
          <cell r="B175">
            <v>451284</v>
          </cell>
          <cell r="M175">
            <v>4</v>
          </cell>
        </row>
        <row r="176">
          <cell r="B176">
            <v>173878</v>
          </cell>
          <cell r="M176">
            <v>4</v>
          </cell>
        </row>
        <row r="177">
          <cell r="B177">
            <v>166989</v>
          </cell>
          <cell r="M177">
            <v>6</v>
          </cell>
        </row>
        <row r="178">
          <cell r="B178">
            <v>149484</v>
          </cell>
          <cell r="M178">
            <v>4.5</v>
          </cell>
        </row>
        <row r="179">
          <cell r="B179">
            <v>247412</v>
          </cell>
          <cell r="M179">
            <v>6</v>
          </cell>
        </row>
        <row r="180">
          <cell r="B180">
            <v>434752</v>
          </cell>
          <cell r="M180">
            <v>5</v>
          </cell>
        </row>
        <row r="181">
          <cell r="B181">
            <v>167074</v>
          </cell>
          <cell r="M181">
            <v>4.5</v>
          </cell>
        </row>
        <row r="182">
          <cell r="B182">
            <v>169528</v>
          </cell>
          <cell r="M182">
            <v>4.5</v>
          </cell>
        </row>
        <row r="183">
          <cell r="B183">
            <v>465730</v>
          </cell>
          <cell r="M183">
            <v>4.5</v>
          </cell>
        </row>
        <row r="184">
          <cell r="B184">
            <v>195546</v>
          </cell>
          <cell r="M184">
            <v>6</v>
          </cell>
        </row>
        <row r="185">
          <cell r="B185">
            <v>433036</v>
          </cell>
          <cell r="M185">
            <v>6</v>
          </cell>
        </row>
        <row r="186">
          <cell r="B186">
            <v>482442</v>
          </cell>
          <cell r="M186">
            <v>5</v>
          </cell>
        </row>
        <row r="187">
          <cell r="B187">
            <v>200785</v>
          </cell>
          <cell r="M187">
            <v>5</v>
          </cell>
        </row>
        <row r="188">
          <cell r="B188">
            <v>180135</v>
          </cell>
          <cell r="M188">
            <v>5</v>
          </cell>
        </row>
        <row r="189">
          <cell r="B189">
            <v>168144</v>
          </cell>
          <cell r="M189">
            <v>5</v>
          </cell>
        </row>
        <row r="190">
          <cell r="B190">
            <v>441264</v>
          </cell>
          <cell r="M190">
            <v>6</v>
          </cell>
        </row>
        <row r="191">
          <cell r="B191">
            <v>434399</v>
          </cell>
          <cell r="M191">
            <v>4.5</v>
          </cell>
        </row>
        <row r="192">
          <cell r="B192">
            <v>461102</v>
          </cell>
          <cell r="M192">
            <v>4</v>
          </cell>
        </row>
        <row r="193">
          <cell r="B193">
            <v>249231</v>
          </cell>
          <cell r="M193">
            <v>5.5</v>
          </cell>
        </row>
        <row r="194">
          <cell r="B194">
            <v>212314</v>
          </cell>
          <cell r="M194">
            <v>5</v>
          </cell>
        </row>
        <row r="195">
          <cell r="B195">
            <v>232859</v>
          </cell>
          <cell r="M195">
            <v>4.5</v>
          </cell>
        </row>
        <row r="196">
          <cell r="B196">
            <v>624773</v>
          </cell>
          <cell r="M196">
            <v>6.5</v>
          </cell>
        </row>
        <row r="197">
          <cell r="B197">
            <v>493105</v>
          </cell>
          <cell r="M197">
            <v>6</v>
          </cell>
        </row>
        <row r="198">
          <cell r="B198">
            <v>204580</v>
          </cell>
          <cell r="M198">
            <v>5</v>
          </cell>
        </row>
        <row r="199">
          <cell r="B199">
            <v>114243</v>
          </cell>
          <cell r="M199">
            <v>6</v>
          </cell>
        </row>
        <row r="200">
          <cell r="B200">
            <v>501390</v>
          </cell>
          <cell r="M200">
            <v>5</v>
          </cell>
        </row>
        <row r="201">
          <cell r="B201">
            <v>155408</v>
          </cell>
          <cell r="M201">
            <v>5</v>
          </cell>
        </row>
        <row r="202">
          <cell r="B202">
            <v>448514</v>
          </cell>
          <cell r="M202">
            <v>5.5</v>
          </cell>
        </row>
        <row r="203">
          <cell r="B203">
            <v>209289</v>
          </cell>
          <cell r="M203">
            <v>5.5</v>
          </cell>
        </row>
        <row r="204">
          <cell r="B204">
            <v>462635</v>
          </cell>
          <cell r="M204">
            <v>5</v>
          </cell>
        </row>
        <row r="205">
          <cell r="B205">
            <v>183015</v>
          </cell>
          <cell r="M205">
            <v>4</v>
          </cell>
        </row>
        <row r="206">
          <cell r="B206">
            <v>101188</v>
          </cell>
          <cell r="M206">
            <v>4.5</v>
          </cell>
        </row>
        <row r="207">
          <cell r="B207">
            <v>544877</v>
          </cell>
          <cell r="M207">
            <v>5.5</v>
          </cell>
        </row>
        <row r="208">
          <cell r="B208">
            <v>248857</v>
          </cell>
          <cell r="M208">
            <v>6.5</v>
          </cell>
        </row>
        <row r="209">
          <cell r="B209">
            <v>219168</v>
          </cell>
          <cell r="M209">
            <v>9</v>
          </cell>
        </row>
        <row r="210">
          <cell r="B210">
            <v>550864</v>
          </cell>
          <cell r="M210">
            <v>5</v>
          </cell>
        </row>
        <row r="211">
          <cell r="B211">
            <v>88894</v>
          </cell>
          <cell r="M211">
            <v>5</v>
          </cell>
        </row>
        <row r="212">
          <cell r="B212">
            <v>578153</v>
          </cell>
          <cell r="M212">
            <v>5.5</v>
          </cell>
        </row>
        <row r="213">
          <cell r="B213">
            <v>221820</v>
          </cell>
          <cell r="M213">
            <v>5</v>
          </cell>
        </row>
        <row r="214">
          <cell r="B214">
            <v>463067</v>
          </cell>
          <cell r="M214">
            <v>5.5</v>
          </cell>
        </row>
        <row r="215">
          <cell r="B215">
            <v>222683</v>
          </cell>
          <cell r="M215">
            <v>6</v>
          </cell>
        </row>
        <row r="216">
          <cell r="B216">
            <v>244954</v>
          </cell>
          <cell r="M216">
            <v>4.5</v>
          </cell>
        </row>
        <row r="217">
          <cell r="B217">
            <v>210156</v>
          </cell>
          <cell r="M217">
            <v>5.5</v>
          </cell>
        </row>
        <row r="218">
          <cell r="B218">
            <v>456512</v>
          </cell>
          <cell r="M218">
            <v>5.5</v>
          </cell>
        </row>
        <row r="219">
          <cell r="B219">
            <v>242898</v>
          </cell>
          <cell r="M219">
            <v>6</v>
          </cell>
        </row>
        <row r="220">
          <cell r="B220">
            <v>511499</v>
          </cell>
          <cell r="M220">
            <v>6</v>
          </cell>
        </row>
        <row r="221">
          <cell r="B221">
            <v>436761</v>
          </cell>
          <cell r="M221">
            <v>4</v>
          </cell>
        </row>
        <row r="222">
          <cell r="B222">
            <v>244042</v>
          </cell>
          <cell r="M222">
            <v>5.5</v>
          </cell>
        </row>
        <row r="223">
          <cell r="B223">
            <v>651426</v>
          </cell>
          <cell r="M223">
            <v>5</v>
          </cell>
        </row>
        <row r="224">
          <cell r="B224">
            <v>135720</v>
          </cell>
          <cell r="M224">
            <v>5</v>
          </cell>
        </row>
        <row r="225">
          <cell r="B225">
            <v>241293</v>
          </cell>
          <cell r="M225">
            <v>5.5</v>
          </cell>
        </row>
        <row r="226">
          <cell r="B226">
            <v>152551</v>
          </cell>
          <cell r="M226">
            <v>5</v>
          </cell>
        </row>
        <row r="227">
          <cell r="B227">
            <v>477555</v>
          </cell>
          <cell r="M227">
            <v>5.5</v>
          </cell>
        </row>
        <row r="228">
          <cell r="B228">
            <v>226944</v>
          </cell>
          <cell r="M228">
            <v>5</v>
          </cell>
        </row>
        <row r="229">
          <cell r="B229">
            <v>232457</v>
          </cell>
          <cell r="M229">
            <v>5</v>
          </cell>
        </row>
        <row r="230">
          <cell r="B230">
            <v>535301</v>
          </cell>
          <cell r="M230">
            <v>5</v>
          </cell>
        </row>
        <row r="231">
          <cell r="B231">
            <v>536661</v>
          </cell>
          <cell r="M231">
            <v>5</v>
          </cell>
        </row>
        <row r="232">
          <cell r="B232">
            <v>501459</v>
          </cell>
          <cell r="M232">
            <v>5</v>
          </cell>
        </row>
        <row r="233">
          <cell r="B233">
            <v>449434</v>
          </cell>
          <cell r="M233">
            <v>6</v>
          </cell>
        </row>
        <row r="234">
          <cell r="B234">
            <v>516895</v>
          </cell>
          <cell r="M234">
            <v>5.5</v>
          </cell>
        </row>
        <row r="235">
          <cell r="B235">
            <v>549912</v>
          </cell>
          <cell r="M235">
            <v>5.5</v>
          </cell>
        </row>
        <row r="236">
          <cell r="B236">
            <v>437505</v>
          </cell>
          <cell r="M236">
            <v>5.5</v>
          </cell>
        </row>
        <row r="237">
          <cell r="B237">
            <v>487053</v>
          </cell>
          <cell r="M237">
            <v>4.5</v>
          </cell>
        </row>
        <row r="238">
          <cell r="B238">
            <v>443261</v>
          </cell>
          <cell r="M238">
            <v>5.5</v>
          </cell>
        </row>
        <row r="239">
          <cell r="B239">
            <v>250199</v>
          </cell>
          <cell r="M239">
            <v>5</v>
          </cell>
        </row>
        <row r="240">
          <cell r="B240">
            <v>180974</v>
          </cell>
          <cell r="M240">
            <v>5.5</v>
          </cell>
        </row>
        <row r="241">
          <cell r="B241">
            <v>243413</v>
          </cell>
          <cell r="M241">
            <v>4.5</v>
          </cell>
        </row>
        <row r="242">
          <cell r="B242">
            <v>216094</v>
          </cell>
          <cell r="M242">
            <v>5.5</v>
          </cell>
        </row>
        <row r="243">
          <cell r="B243">
            <v>441191</v>
          </cell>
          <cell r="M243">
            <v>5</v>
          </cell>
        </row>
        <row r="244">
          <cell r="B244">
            <v>441302</v>
          </cell>
          <cell r="M244">
            <v>4.5</v>
          </cell>
        </row>
        <row r="245">
          <cell r="B245">
            <v>101282</v>
          </cell>
          <cell r="M245">
            <v>4.5</v>
          </cell>
        </row>
        <row r="246">
          <cell r="B246">
            <v>169432</v>
          </cell>
          <cell r="M246">
            <v>5.5</v>
          </cell>
        </row>
        <row r="247">
          <cell r="B247">
            <v>222625</v>
          </cell>
          <cell r="M247">
            <v>5</v>
          </cell>
        </row>
        <row r="248">
          <cell r="B248">
            <v>230001</v>
          </cell>
          <cell r="M248">
            <v>4.5</v>
          </cell>
        </row>
        <row r="249">
          <cell r="B249">
            <v>444145</v>
          </cell>
          <cell r="M249">
            <v>6.5</v>
          </cell>
        </row>
        <row r="250">
          <cell r="B250">
            <v>166477</v>
          </cell>
          <cell r="M250">
            <v>4.5</v>
          </cell>
        </row>
        <row r="251">
          <cell r="B251">
            <v>510281</v>
          </cell>
          <cell r="M251">
            <v>6.5</v>
          </cell>
        </row>
        <row r="252">
          <cell r="B252">
            <v>149929</v>
          </cell>
          <cell r="M252">
            <v>5</v>
          </cell>
        </row>
        <row r="253">
          <cell r="B253">
            <v>191866</v>
          </cell>
          <cell r="M253">
            <v>4.5</v>
          </cell>
        </row>
        <row r="254">
          <cell r="B254">
            <v>232653</v>
          </cell>
          <cell r="M254">
            <v>5</v>
          </cell>
        </row>
        <row r="255">
          <cell r="B255">
            <v>465694</v>
          </cell>
          <cell r="M255">
            <v>5.5</v>
          </cell>
        </row>
        <row r="256">
          <cell r="B256">
            <v>184341</v>
          </cell>
          <cell r="M256">
            <v>5.5</v>
          </cell>
        </row>
        <row r="257">
          <cell r="B257">
            <v>485047</v>
          </cell>
          <cell r="M257">
            <v>5</v>
          </cell>
        </row>
        <row r="258">
          <cell r="B258">
            <v>216646</v>
          </cell>
          <cell r="M258">
            <v>6</v>
          </cell>
        </row>
        <row r="259">
          <cell r="B259">
            <v>489888</v>
          </cell>
          <cell r="M259">
            <v>5</v>
          </cell>
        </row>
        <row r="260">
          <cell r="B260">
            <v>560552</v>
          </cell>
          <cell r="M260">
            <v>5.5</v>
          </cell>
        </row>
        <row r="261">
          <cell r="B261">
            <v>176412</v>
          </cell>
          <cell r="M261">
            <v>5.5</v>
          </cell>
        </row>
        <row r="262">
          <cell r="B262">
            <v>226965</v>
          </cell>
          <cell r="M262">
            <v>5.5</v>
          </cell>
        </row>
        <row r="263">
          <cell r="B263">
            <v>230730</v>
          </cell>
          <cell r="M263">
            <v>5</v>
          </cell>
        </row>
        <row r="264">
          <cell r="B264">
            <v>463034</v>
          </cell>
          <cell r="M264">
            <v>5.5</v>
          </cell>
        </row>
        <row r="265">
          <cell r="B265">
            <v>219924</v>
          </cell>
          <cell r="M265">
            <v>4</v>
          </cell>
        </row>
        <row r="266">
          <cell r="B266">
            <v>248056</v>
          </cell>
          <cell r="M266">
            <v>5</v>
          </cell>
        </row>
        <row r="267">
          <cell r="B267">
            <v>547701</v>
          </cell>
          <cell r="M267">
            <v>5</v>
          </cell>
        </row>
        <row r="268">
          <cell r="B268">
            <v>59735</v>
          </cell>
          <cell r="M268">
            <v>4.5</v>
          </cell>
        </row>
        <row r="269">
          <cell r="B269">
            <v>485337</v>
          </cell>
          <cell r="M269">
            <v>5.5</v>
          </cell>
        </row>
        <row r="270">
          <cell r="B270">
            <v>449429</v>
          </cell>
          <cell r="M270">
            <v>4</v>
          </cell>
        </row>
        <row r="271">
          <cell r="B271">
            <v>232905</v>
          </cell>
          <cell r="M271">
            <v>5</v>
          </cell>
        </row>
        <row r="272">
          <cell r="B272">
            <v>108413</v>
          </cell>
          <cell r="M272">
            <v>4.5</v>
          </cell>
        </row>
        <row r="273">
          <cell r="B273">
            <v>577725</v>
          </cell>
          <cell r="M273">
            <v>5.5</v>
          </cell>
        </row>
        <row r="274">
          <cell r="B274">
            <v>433154</v>
          </cell>
          <cell r="M274">
            <v>5.5</v>
          </cell>
        </row>
        <row r="275">
          <cell r="B275">
            <v>502697</v>
          </cell>
          <cell r="M275">
            <v>5</v>
          </cell>
        </row>
        <row r="276">
          <cell r="B276">
            <v>215711</v>
          </cell>
          <cell r="M276">
            <v>5.5</v>
          </cell>
        </row>
        <row r="277">
          <cell r="B277">
            <v>205533</v>
          </cell>
          <cell r="M277">
            <v>5.5</v>
          </cell>
        </row>
        <row r="278">
          <cell r="B278">
            <v>122798</v>
          </cell>
          <cell r="M278">
            <v>4.5</v>
          </cell>
        </row>
        <row r="279">
          <cell r="B279">
            <v>438234</v>
          </cell>
          <cell r="M279">
            <v>7</v>
          </cell>
        </row>
        <row r="280">
          <cell r="B280">
            <v>532605</v>
          </cell>
          <cell r="M280">
            <v>5</v>
          </cell>
        </row>
        <row r="281">
          <cell r="B281">
            <v>490161</v>
          </cell>
          <cell r="M281">
            <v>5</v>
          </cell>
        </row>
        <row r="282">
          <cell r="B282">
            <v>194010</v>
          </cell>
          <cell r="M282">
            <v>4.5</v>
          </cell>
        </row>
        <row r="283">
          <cell r="B283">
            <v>480457</v>
          </cell>
          <cell r="M283">
            <v>5</v>
          </cell>
        </row>
        <row r="284">
          <cell r="B284">
            <v>232351</v>
          </cell>
          <cell r="M284">
            <v>4</v>
          </cell>
        </row>
        <row r="285">
          <cell r="B285">
            <v>570526</v>
          </cell>
          <cell r="M285">
            <v>5.5</v>
          </cell>
        </row>
        <row r="286">
          <cell r="B286">
            <v>490094</v>
          </cell>
          <cell r="M286">
            <v>5</v>
          </cell>
        </row>
        <row r="287">
          <cell r="B287">
            <v>476887</v>
          </cell>
          <cell r="M287">
            <v>5.5</v>
          </cell>
        </row>
        <row r="288">
          <cell r="B288">
            <v>198869</v>
          </cell>
          <cell r="M288">
            <v>5.5</v>
          </cell>
        </row>
        <row r="289">
          <cell r="B289">
            <v>201595</v>
          </cell>
          <cell r="M289">
            <v>4.5</v>
          </cell>
        </row>
        <row r="290">
          <cell r="B290">
            <v>200617</v>
          </cell>
          <cell r="M290">
            <v>5</v>
          </cell>
        </row>
        <row r="291">
          <cell r="B291">
            <v>469272</v>
          </cell>
          <cell r="M291">
            <v>5.5</v>
          </cell>
        </row>
        <row r="292">
          <cell r="B292">
            <v>550615</v>
          </cell>
          <cell r="M292">
            <v>5.5</v>
          </cell>
        </row>
        <row r="293">
          <cell r="B293">
            <v>108416</v>
          </cell>
          <cell r="M293">
            <v>4</v>
          </cell>
        </row>
        <row r="294">
          <cell r="B294">
            <v>193278</v>
          </cell>
          <cell r="M294">
            <v>4</v>
          </cell>
        </row>
        <row r="295">
          <cell r="B295">
            <v>486520</v>
          </cell>
          <cell r="M295">
            <v>5</v>
          </cell>
        </row>
        <row r="296">
          <cell r="B296">
            <v>200089</v>
          </cell>
          <cell r="M296">
            <v>5</v>
          </cell>
        </row>
        <row r="297">
          <cell r="B297">
            <v>439668</v>
          </cell>
          <cell r="M297">
            <v>5</v>
          </cell>
        </row>
        <row r="298">
          <cell r="B298">
            <v>500040</v>
          </cell>
          <cell r="M298">
            <v>5.5</v>
          </cell>
        </row>
        <row r="299">
          <cell r="B299">
            <v>616077</v>
          </cell>
          <cell r="M299">
            <v>5.5</v>
          </cell>
        </row>
        <row r="300">
          <cell r="B300">
            <v>514514</v>
          </cell>
          <cell r="M300">
            <v>5</v>
          </cell>
        </row>
        <row r="301">
          <cell r="B301">
            <v>463936</v>
          </cell>
          <cell r="M301">
            <v>6</v>
          </cell>
        </row>
        <row r="302">
          <cell r="B302">
            <v>514356</v>
          </cell>
          <cell r="M302">
            <v>5</v>
          </cell>
        </row>
        <row r="303">
          <cell r="B303">
            <v>205651</v>
          </cell>
          <cell r="M303">
            <v>6</v>
          </cell>
        </row>
        <row r="304">
          <cell r="B304">
            <v>609873</v>
          </cell>
          <cell r="M304">
            <v>5</v>
          </cell>
        </row>
        <row r="305">
          <cell r="B305">
            <v>461587</v>
          </cell>
          <cell r="M305">
            <v>4.5</v>
          </cell>
        </row>
        <row r="306">
          <cell r="B306">
            <v>218997</v>
          </cell>
          <cell r="M306">
            <v>5</v>
          </cell>
        </row>
        <row r="307">
          <cell r="B307">
            <v>229164</v>
          </cell>
          <cell r="M307">
            <v>5</v>
          </cell>
        </row>
        <row r="308">
          <cell r="B308">
            <v>611922</v>
          </cell>
          <cell r="M308">
            <v>6</v>
          </cell>
        </row>
        <row r="309">
          <cell r="B309">
            <v>461199</v>
          </cell>
          <cell r="M309">
            <v>5</v>
          </cell>
        </row>
        <row r="310">
          <cell r="B310">
            <v>647850</v>
          </cell>
          <cell r="M310">
            <v>5.5</v>
          </cell>
        </row>
        <row r="311">
          <cell r="B311">
            <v>109646</v>
          </cell>
          <cell r="M311">
            <v>4.5</v>
          </cell>
        </row>
        <row r="312">
          <cell r="B312">
            <v>489706</v>
          </cell>
          <cell r="M312">
            <v>5</v>
          </cell>
        </row>
        <row r="313">
          <cell r="B313">
            <v>606745</v>
          </cell>
          <cell r="M313">
            <v>4.5</v>
          </cell>
        </row>
        <row r="314">
          <cell r="B314">
            <v>458249</v>
          </cell>
          <cell r="M314">
            <v>5.5</v>
          </cell>
        </row>
        <row r="315">
          <cell r="B315">
            <v>242882</v>
          </cell>
          <cell r="M315">
            <v>5</v>
          </cell>
        </row>
        <row r="316">
          <cell r="B316">
            <v>54469</v>
          </cell>
          <cell r="M316">
            <v>4.5</v>
          </cell>
        </row>
        <row r="317">
          <cell r="B317">
            <v>513466</v>
          </cell>
          <cell r="M317">
            <v>5</v>
          </cell>
        </row>
        <row r="318">
          <cell r="B318">
            <v>470315</v>
          </cell>
          <cell r="M318">
            <v>4.5</v>
          </cell>
        </row>
        <row r="319">
          <cell r="B319">
            <v>146426</v>
          </cell>
          <cell r="M319">
            <v>4</v>
          </cell>
        </row>
        <row r="320">
          <cell r="B320">
            <v>462387</v>
          </cell>
          <cell r="M320">
            <v>5</v>
          </cell>
        </row>
        <row r="321">
          <cell r="B321">
            <v>246301</v>
          </cell>
          <cell r="M321">
            <v>4.5</v>
          </cell>
        </row>
        <row r="322">
          <cell r="B322">
            <v>219249</v>
          </cell>
          <cell r="M322">
            <v>5.5</v>
          </cell>
        </row>
        <row r="323">
          <cell r="B323">
            <v>494307</v>
          </cell>
          <cell r="M323">
            <v>5</v>
          </cell>
        </row>
        <row r="324">
          <cell r="B324">
            <v>168636</v>
          </cell>
          <cell r="M324">
            <v>5.5</v>
          </cell>
        </row>
        <row r="325">
          <cell r="B325">
            <v>184667</v>
          </cell>
          <cell r="M325">
            <v>4.5</v>
          </cell>
        </row>
        <row r="326">
          <cell r="B326">
            <v>472713</v>
          </cell>
          <cell r="M326">
            <v>4.5</v>
          </cell>
        </row>
        <row r="327">
          <cell r="B327">
            <v>500957</v>
          </cell>
          <cell r="M327">
            <v>4.5</v>
          </cell>
        </row>
        <row r="328">
          <cell r="B328">
            <v>535818</v>
          </cell>
          <cell r="M328">
            <v>5</v>
          </cell>
        </row>
        <row r="329">
          <cell r="B329">
            <v>551210</v>
          </cell>
          <cell r="M329">
            <v>4.5</v>
          </cell>
        </row>
        <row r="330">
          <cell r="B330">
            <v>204813</v>
          </cell>
          <cell r="M330">
            <v>4</v>
          </cell>
        </row>
        <row r="331">
          <cell r="B331">
            <v>76357</v>
          </cell>
          <cell r="M331">
            <v>5</v>
          </cell>
        </row>
        <row r="332">
          <cell r="B332">
            <v>515621</v>
          </cell>
          <cell r="M332">
            <v>4.5</v>
          </cell>
        </row>
        <row r="333">
          <cell r="B333">
            <v>575458</v>
          </cell>
          <cell r="M333">
            <v>4.5</v>
          </cell>
        </row>
        <row r="334">
          <cell r="B334">
            <v>204968</v>
          </cell>
          <cell r="M334">
            <v>4.5</v>
          </cell>
        </row>
        <row r="335">
          <cell r="B335">
            <v>147675</v>
          </cell>
          <cell r="M335">
            <v>5</v>
          </cell>
        </row>
        <row r="336">
          <cell r="B336">
            <v>515597</v>
          </cell>
          <cell r="M336">
            <v>5</v>
          </cell>
        </row>
        <row r="337">
          <cell r="B337">
            <v>577016</v>
          </cell>
          <cell r="M337">
            <v>4.5</v>
          </cell>
        </row>
        <row r="338">
          <cell r="B338">
            <v>91651</v>
          </cell>
          <cell r="M338">
            <v>5.5</v>
          </cell>
        </row>
        <row r="339">
          <cell r="B339">
            <v>492859</v>
          </cell>
          <cell r="M339">
            <v>5</v>
          </cell>
        </row>
        <row r="340">
          <cell r="B340">
            <v>449027</v>
          </cell>
          <cell r="M340">
            <v>5</v>
          </cell>
        </row>
        <row r="341">
          <cell r="B341">
            <v>499309</v>
          </cell>
          <cell r="M341">
            <v>5</v>
          </cell>
        </row>
        <row r="342">
          <cell r="B342">
            <v>223541</v>
          </cell>
          <cell r="M342">
            <v>5.5</v>
          </cell>
        </row>
        <row r="343">
          <cell r="B343">
            <v>172780</v>
          </cell>
          <cell r="M343">
            <v>6.5</v>
          </cell>
        </row>
        <row r="344">
          <cell r="B344">
            <v>222018</v>
          </cell>
          <cell r="M344">
            <v>4</v>
          </cell>
        </row>
        <row r="345">
          <cell r="B345">
            <v>433590</v>
          </cell>
          <cell r="M345">
            <v>4</v>
          </cell>
        </row>
        <row r="346">
          <cell r="B346">
            <v>567119</v>
          </cell>
          <cell r="M346">
            <v>4.5</v>
          </cell>
        </row>
        <row r="347">
          <cell r="B347">
            <v>444884</v>
          </cell>
          <cell r="M347">
            <v>5.5</v>
          </cell>
        </row>
        <row r="348">
          <cell r="B348">
            <v>554197</v>
          </cell>
          <cell r="M348">
            <v>5</v>
          </cell>
        </row>
        <row r="349">
          <cell r="B349">
            <v>608181</v>
          </cell>
          <cell r="M349">
            <v>5.5</v>
          </cell>
        </row>
        <row r="350">
          <cell r="B350">
            <v>477064</v>
          </cell>
          <cell r="M350">
            <v>4.5</v>
          </cell>
        </row>
        <row r="351">
          <cell r="B351">
            <v>510663</v>
          </cell>
          <cell r="M351">
            <v>7.5</v>
          </cell>
        </row>
        <row r="352">
          <cell r="B352">
            <v>490881</v>
          </cell>
          <cell r="M352">
            <v>5</v>
          </cell>
        </row>
        <row r="353">
          <cell r="B353">
            <v>204120</v>
          </cell>
          <cell r="M353">
            <v>4.5</v>
          </cell>
        </row>
        <row r="354">
          <cell r="B354">
            <v>465680</v>
          </cell>
          <cell r="M354">
            <v>5.5</v>
          </cell>
        </row>
        <row r="355">
          <cell r="B355">
            <v>112520</v>
          </cell>
          <cell r="M355">
            <v>4</v>
          </cell>
        </row>
        <row r="356">
          <cell r="B356">
            <v>620487</v>
          </cell>
          <cell r="M356">
            <v>5</v>
          </cell>
        </row>
        <row r="357">
          <cell r="B357">
            <v>220583</v>
          </cell>
          <cell r="M357">
            <v>4</v>
          </cell>
        </row>
        <row r="358">
          <cell r="B358">
            <v>242880</v>
          </cell>
          <cell r="M358">
            <v>4.5</v>
          </cell>
        </row>
        <row r="359">
          <cell r="B359">
            <v>437738</v>
          </cell>
          <cell r="M359">
            <v>4.5</v>
          </cell>
        </row>
        <row r="360">
          <cell r="B360">
            <v>200641</v>
          </cell>
          <cell r="M360">
            <v>5.5</v>
          </cell>
        </row>
        <row r="361">
          <cell r="B361">
            <v>171270</v>
          </cell>
          <cell r="M361">
            <v>4.5</v>
          </cell>
        </row>
        <row r="362">
          <cell r="B362">
            <v>115556</v>
          </cell>
          <cell r="M362">
            <v>4</v>
          </cell>
        </row>
        <row r="363">
          <cell r="B363">
            <v>183656</v>
          </cell>
          <cell r="M363">
            <v>5</v>
          </cell>
        </row>
        <row r="364">
          <cell r="B364">
            <v>221389</v>
          </cell>
          <cell r="M364">
            <v>4.5</v>
          </cell>
        </row>
        <row r="365">
          <cell r="B365">
            <v>515046</v>
          </cell>
          <cell r="M365">
            <v>4.5</v>
          </cell>
        </row>
        <row r="366">
          <cell r="B366">
            <v>465390</v>
          </cell>
          <cell r="M366">
            <v>4</v>
          </cell>
        </row>
        <row r="367">
          <cell r="B367">
            <v>614574</v>
          </cell>
          <cell r="M367">
            <v>5</v>
          </cell>
        </row>
        <row r="368">
          <cell r="B368">
            <v>432714</v>
          </cell>
          <cell r="M368">
            <v>5.5</v>
          </cell>
        </row>
        <row r="369">
          <cell r="B369">
            <v>496208</v>
          </cell>
          <cell r="M369">
            <v>5</v>
          </cell>
        </row>
        <row r="370">
          <cell r="B370">
            <v>160817</v>
          </cell>
          <cell r="M370">
            <v>4</v>
          </cell>
        </row>
        <row r="371">
          <cell r="B371">
            <v>499169</v>
          </cell>
          <cell r="M371">
            <v>5.5</v>
          </cell>
        </row>
        <row r="372">
          <cell r="B372">
            <v>574458</v>
          </cell>
          <cell r="M372">
            <v>4.5</v>
          </cell>
        </row>
        <row r="373">
          <cell r="B373">
            <v>493362</v>
          </cell>
          <cell r="M373">
            <v>6</v>
          </cell>
        </row>
        <row r="374">
          <cell r="B374">
            <v>536916</v>
          </cell>
          <cell r="M374">
            <v>5</v>
          </cell>
        </row>
        <row r="375">
          <cell r="B375">
            <v>235826</v>
          </cell>
          <cell r="M375">
            <v>5</v>
          </cell>
        </row>
        <row r="376">
          <cell r="B376">
            <v>167512</v>
          </cell>
          <cell r="M376">
            <v>4</v>
          </cell>
        </row>
        <row r="377">
          <cell r="B377">
            <v>499175</v>
          </cell>
          <cell r="M377">
            <v>5.5</v>
          </cell>
        </row>
        <row r="378">
          <cell r="B378">
            <v>551262</v>
          </cell>
          <cell r="M378">
            <v>5</v>
          </cell>
        </row>
        <row r="379">
          <cell r="B379">
            <v>428580</v>
          </cell>
          <cell r="M379">
            <v>5</v>
          </cell>
        </row>
        <row r="380">
          <cell r="B380">
            <v>590039</v>
          </cell>
          <cell r="M380">
            <v>4.5</v>
          </cell>
        </row>
        <row r="381">
          <cell r="B381">
            <v>597320</v>
          </cell>
          <cell r="M381">
            <v>4.5</v>
          </cell>
        </row>
        <row r="382">
          <cell r="B382">
            <v>451302</v>
          </cell>
          <cell r="M382">
            <v>4.5</v>
          </cell>
        </row>
        <row r="383">
          <cell r="B383">
            <v>547037</v>
          </cell>
          <cell r="M383">
            <v>5</v>
          </cell>
        </row>
        <row r="384">
          <cell r="B384">
            <v>485055</v>
          </cell>
          <cell r="M384">
            <v>4.5</v>
          </cell>
        </row>
        <row r="385">
          <cell r="B385">
            <v>173879</v>
          </cell>
          <cell r="M385">
            <v>5.5</v>
          </cell>
        </row>
        <row r="386">
          <cell r="B386">
            <v>492498</v>
          </cell>
          <cell r="M386">
            <v>4.5</v>
          </cell>
        </row>
        <row r="387">
          <cell r="B387">
            <v>75115</v>
          </cell>
          <cell r="M387">
            <v>5.5</v>
          </cell>
        </row>
        <row r="388">
          <cell r="B388">
            <v>243571</v>
          </cell>
          <cell r="M388">
            <v>4.5</v>
          </cell>
        </row>
        <row r="389">
          <cell r="B389">
            <v>560262</v>
          </cell>
          <cell r="M389">
            <v>7.5</v>
          </cell>
        </row>
        <row r="390">
          <cell r="B390">
            <v>519634</v>
          </cell>
          <cell r="M390">
            <v>4.5</v>
          </cell>
        </row>
        <row r="391">
          <cell r="B391">
            <v>591386</v>
          </cell>
          <cell r="M391">
            <v>5</v>
          </cell>
        </row>
        <row r="392">
          <cell r="B392">
            <v>496661</v>
          </cell>
          <cell r="M392">
            <v>5.5</v>
          </cell>
        </row>
        <row r="393">
          <cell r="B393">
            <v>153366</v>
          </cell>
          <cell r="M393">
            <v>4.5</v>
          </cell>
        </row>
        <row r="394">
          <cell r="B394">
            <v>465525</v>
          </cell>
          <cell r="M394">
            <v>4.5</v>
          </cell>
        </row>
        <row r="395">
          <cell r="B395">
            <v>550839</v>
          </cell>
          <cell r="M395">
            <v>5.5</v>
          </cell>
        </row>
        <row r="396">
          <cell r="B396">
            <v>576628</v>
          </cell>
          <cell r="M396">
            <v>5</v>
          </cell>
        </row>
        <row r="397">
          <cell r="B397">
            <v>432720</v>
          </cell>
          <cell r="M397">
            <v>5</v>
          </cell>
        </row>
        <row r="398">
          <cell r="B398">
            <v>155503</v>
          </cell>
          <cell r="M398">
            <v>4</v>
          </cell>
        </row>
        <row r="399">
          <cell r="B399">
            <v>72147</v>
          </cell>
          <cell r="M399">
            <v>4.5</v>
          </cell>
        </row>
        <row r="400">
          <cell r="B400">
            <v>606798</v>
          </cell>
          <cell r="M400">
            <v>4</v>
          </cell>
        </row>
        <row r="401">
          <cell r="B401">
            <v>451340</v>
          </cell>
          <cell r="M401">
            <v>6</v>
          </cell>
        </row>
        <row r="402">
          <cell r="B402">
            <v>590014</v>
          </cell>
          <cell r="M402">
            <v>4.5</v>
          </cell>
        </row>
        <row r="403">
          <cell r="B403">
            <v>577411</v>
          </cell>
          <cell r="M403">
            <v>4</v>
          </cell>
        </row>
        <row r="404">
          <cell r="B404">
            <v>128295</v>
          </cell>
          <cell r="M404">
            <v>5</v>
          </cell>
        </row>
        <row r="405">
          <cell r="B405">
            <v>616221</v>
          </cell>
          <cell r="M405">
            <v>4</v>
          </cell>
        </row>
        <row r="406">
          <cell r="B406">
            <v>543295</v>
          </cell>
          <cell r="M406">
            <v>5</v>
          </cell>
        </row>
        <row r="407">
          <cell r="B407">
            <v>158983</v>
          </cell>
          <cell r="M407">
            <v>5</v>
          </cell>
        </row>
        <row r="408">
          <cell r="B408">
            <v>576620</v>
          </cell>
          <cell r="M408">
            <v>4.5</v>
          </cell>
        </row>
        <row r="409">
          <cell r="B409">
            <v>445122</v>
          </cell>
          <cell r="M409">
            <v>6.5</v>
          </cell>
        </row>
        <row r="410">
          <cell r="B410">
            <v>672492</v>
          </cell>
          <cell r="M410">
            <v>4.5</v>
          </cell>
        </row>
        <row r="411">
          <cell r="B411">
            <v>606921</v>
          </cell>
          <cell r="M411">
            <v>5</v>
          </cell>
        </row>
        <row r="412">
          <cell r="B412">
            <v>577285</v>
          </cell>
          <cell r="M412">
            <v>4.5</v>
          </cell>
        </row>
        <row r="413">
          <cell r="B413">
            <v>508479</v>
          </cell>
          <cell r="M413">
            <v>5</v>
          </cell>
        </row>
        <row r="414">
          <cell r="B414">
            <v>645618</v>
          </cell>
          <cell r="M414">
            <v>4.5</v>
          </cell>
        </row>
        <row r="415">
          <cell r="B415">
            <v>231065</v>
          </cell>
          <cell r="M415">
            <v>4.5</v>
          </cell>
        </row>
        <row r="416">
          <cell r="B416">
            <v>220566</v>
          </cell>
          <cell r="M416">
            <v>6.5</v>
          </cell>
        </row>
        <row r="417">
          <cell r="B417">
            <v>547719</v>
          </cell>
          <cell r="M417">
            <v>5.5</v>
          </cell>
        </row>
        <row r="418">
          <cell r="B418">
            <v>449428</v>
          </cell>
          <cell r="M418">
            <v>4</v>
          </cell>
        </row>
        <row r="419">
          <cell r="B419">
            <v>631786</v>
          </cell>
          <cell r="M419">
            <v>4.5</v>
          </cell>
        </row>
        <row r="420">
          <cell r="B420">
            <v>158499</v>
          </cell>
          <cell r="M420">
            <v>5</v>
          </cell>
        </row>
        <row r="421">
          <cell r="B421">
            <v>80178</v>
          </cell>
          <cell r="M421">
            <v>4</v>
          </cell>
        </row>
        <row r="422">
          <cell r="B422">
            <v>599303</v>
          </cell>
          <cell r="M422">
            <v>4.5</v>
          </cell>
        </row>
        <row r="423">
          <cell r="B423">
            <v>550090</v>
          </cell>
          <cell r="M423">
            <v>4.5</v>
          </cell>
        </row>
        <row r="424">
          <cell r="B424">
            <v>105717</v>
          </cell>
          <cell r="M424">
            <v>4</v>
          </cell>
        </row>
        <row r="425">
          <cell r="B425">
            <v>462424</v>
          </cell>
          <cell r="M425">
            <v>6</v>
          </cell>
        </row>
        <row r="426">
          <cell r="B426">
            <v>499726</v>
          </cell>
          <cell r="M426">
            <v>4.5</v>
          </cell>
        </row>
        <row r="427">
          <cell r="B427">
            <v>653481</v>
          </cell>
          <cell r="M427">
            <v>5</v>
          </cell>
        </row>
        <row r="428">
          <cell r="B428">
            <v>221399</v>
          </cell>
          <cell r="M428">
            <v>5</v>
          </cell>
        </row>
        <row r="429">
          <cell r="B429">
            <v>490145</v>
          </cell>
          <cell r="M429">
            <v>4.5</v>
          </cell>
        </row>
        <row r="430">
          <cell r="B430">
            <v>551226</v>
          </cell>
          <cell r="M430">
            <v>6</v>
          </cell>
        </row>
        <row r="431">
          <cell r="B431">
            <v>519913</v>
          </cell>
          <cell r="M431">
            <v>4.5</v>
          </cell>
        </row>
        <row r="432">
          <cell r="B432">
            <v>232928</v>
          </cell>
          <cell r="M432">
            <v>6</v>
          </cell>
        </row>
        <row r="433">
          <cell r="B433">
            <v>209365</v>
          </cell>
          <cell r="M433">
            <v>5</v>
          </cell>
        </row>
        <row r="434">
          <cell r="B434">
            <v>660392</v>
          </cell>
          <cell r="M434">
            <v>5</v>
          </cell>
        </row>
        <row r="435">
          <cell r="B435">
            <v>640419</v>
          </cell>
          <cell r="M435">
            <v>4</v>
          </cell>
        </row>
        <row r="436">
          <cell r="B436">
            <v>500151</v>
          </cell>
          <cell r="M436">
            <v>4.5</v>
          </cell>
        </row>
        <row r="437">
          <cell r="B437">
            <v>556637</v>
          </cell>
          <cell r="M437">
            <v>4.5</v>
          </cell>
        </row>
        <row r="438">
          <cell r="B438">
            <v>449871</v>
          </cell>
          <cell r="M438">
            <v>5</v>
          </cell>
        </row>
        <row r="439">
          <cell r="B439">
            <v>699989</v>
          </cell>
          <cell r="M439">
            <v>5</v>
          </cell>
        </row>
        <row r="440">
          <cell r="B440">
            <v>499716</v>
          </cell>
          <cell r="M440">
            <v>4</v>
          </cell>
        </row>
        <row r="441">
          <cell r="B441">
            <v>121709</v>
          </cell>
          <cell r="M441">
            <v>4.5</v>
          </cell>
        </row>
        <row r="442">
          <cell r="B442">
            <v>448089</v>
          </cell>
          <cell r="M442">
            <v>5.5</v>
          </cell>
        </row>
        <row r="443">
          <cell r="B443">
            <v>218364</v>
          </cell>
          <cell r="M443">
            <v>4.5</v>
          </cell>
        </row>
        <row r="444">
          <cell r="B444">
            <v>109745</v>
          </cell>
          <cell r="M444">
            <v>5</v>
          </cell>
        </row>
        <row r="445">
          <cell r="B445">
            <v>232112</v>
          </cell>
          <cell r="M445">
            <v>5</v>
          </cell>
        </row>
        <row r="446">
          <cell r="B446">
            <v>204561</v>
          </cell>
          <cell r="M446">
            <v>5</v>
          </cell>
        </row>
        <row r="447">
          <cell r="B447">
            <v>442967</v>
          </cell>
          <cell r="M447">
            <v>5.5</v>
          </cell>
        </row>
        <row r="448">
          <cell r="B448">
            <v>481624</v>
          </cell>
          <cell r="M448">
            <v>5.5</v>
          </cell>
        </row>
        <row r="449">
          <cell r="B449">
            <v>172453</v>
          </cell>
          <cell r="M449">
            <v>5</v>
          </cell>
        </row>
        <row r="450">
          <cell r="B450">
            <v>531442</v>
          </cell>
          <cell r="M450">
            <v>5.5</v>
          </cell>
        </row>
        <row r="451">
          <cell r="B451">
            <v>543968</v>
          </cell>
          <cell r="M451">
            <v>5.5</v>
          </cell>
        </row>
        <row r="452">
          <cell r="B452">
            <v>557012</v>
          </cell>
          <cell r="M452">
            <v>4.5</v>
          </cell>
        </row>
        <row r="453">
          <cell r="B453">
            <v>611665</v>
          </cell>
          <cell r="M453">
            <v>6</v>
          </cell>
        </row>
        <row r="454">
          <cell r="B454">
            <v>636852</v>
          </cell>
          <cell r="M454">
            <v>5</v>
          </cell>
        </row>
        <row r="455">
          <cell r="B455">
            <v>632794</v>
          </cell>
          <cell r="M455">
            <v>5</v>
          </cell>
        </row>
        <row r="456">
          <cell r="B456">
            <v>176297</v>
          </cell>
          <cell r="M456">
            <v>7</v>
          </cell>
        </row>
        <row r="457">
          <cell r="B457">
            <v>596047</v>
          </cell>
          <cell r="M457">
            <v>4.5</v>
          </cell>
        </row>
        <row r="458">
          <cell r="B458">
            <v>499721</v>
          </cell>
          <cell r="M458">
            <v>5</v>
          </cell>
        </row>
        <row r="459">
          <cell r="B459">
            <v>543158</v>
          </cell>
          <cell r="M459">
            <v>5.5</v>
          </cell>
        </row>
        <row r="460">
          <cell r="B460">
            <v>517052</v>
          </cell>
          <cell r="M460">
            <v>6.5</v>
          </cell>
        </row>
        <row r="461">
          <cell r="B461">
            <v>503037</v>
          </cell>
          <cell r="M461">
            <v>5</v>
          </cell>
        </row>
        <row r="462">
          <cell r="B462">
            <v>593117</v>
          </cell>
          <cell r="M462">
            <v>5.5</v>
          </cell>
        </row>
        <row r="463">
          <cell r="B463">
            <v>684268</v>
          </cell>
          <cell r="M463">
            <v>4.5</v>
          </cell>
        </row>
        <row r="464">
          <cell r="B464">
            <v>629397</v>
          </cell>
          <cell r="M464">
            <v>4.5</v>
          </cell>
        </row>
        <row r="465">
          <cell r="B465">
            <v>575204</v>
          </cell>
          <cell r="M465">
            <v>5</v>
          </cell>
        </row>
        <row r="466">
          <cell r="B466">
            <v>155405</v>
          </cell>
          <cell r="M466">
            <v>5</v>
          </cell>
        </row>
        <row r="467">
          <cell r="B467">
            <v>649208</v>
          </cell>
          <cell r="M467">
            <v>5</v>
          </cell>
        </row>
        <row r="468">
          <cell r="B468">
            <v>561245</v>
          </cell>
          <cell r="M468">
            <v>6</v>
          </cell>
        </row>
        <row r="469">
          <cell r="B469">
            <v>56979</v>
          </cell>
          <cell r="M469">
            <v>5</v>
          </cell>
        </row>
        <row r="470">
          <cell r="B470">
            <v>551499</v>
          </cell>
          <cell r="M470">
            <v>6.5</v>
          </cell>
        </row>
        <row r="471">
          <cell r="B471">
            <v>491501</v>
          </cell>
          <cell r="M471">
            <v>4.5</v>
          </cell>
        </row>
        <row r="472">
          <cell r="B472">
            <v>469247</v>
          </cell>
          <cell r="M472">
            <v>5</v>
          </cell>
        </row>
        <row r="473">
          <cell r="B473">
            <v>614071</v>
          </cell>
          <cell r="M473">
            <v>6</v>
          </cell>
        </row>
        <row r="474">
          <cell r="B474">
            <v>513545</v>
          </cell>
          <cell r="M474">
            <v>5.5</v>
          </cell>
        </row>
        <row r="475">
          <cell r="B475">
            <v>438098</v>
          </cell>
          <cell r="M475">
            <v>5.5</v>
          </cell>
        </row>
        <row r="476">
          <cell r="B476">
            <v>439509</v>
          </cell>
          <cell r="M476">
            <v>6.5</v>
          </cell>
        </row>
        <row r="477">
          <cell r="B477">
            <v>244860</v>
          </cell>
          <cell r="M477">
            <v>5.5</v>
          </cell>
        </row>
        <row r="478">
          <cell r="B478">
            <v>231899</v>
          </cell>
          <cell r="M478">
            <v>4.5</v>
          </cell>
        </row>
        <row r="479">
          <cell r="B479">
            <v>565297</v>
          </cell>
          <cell r="M479">
            <v>4.5</v>
          </cell>
        </row>
        <row r="480">
          <cell r="B480">
            <v>540324</v>
          </cell>
          <cell r="M480">
            <v>5</v>
          </cell>
        </row>
        <row r="481">
          <cell r="B481">
            <v>213292</v>
          </cell>
          <cell r="M481">
            <v>5</v>
          </cell>
        </row>
        <row r="482">
          <cell r="B482">
            <v>208481</v>
          </cell>
          <cell r="M482">
            <v>5</v>
          </cell>
        </row>
        <row r="483">
          <cell r="B483">
            <v>445028</v>
          </cell>
          <cell r="M483">
            <v>5</v>
          </cell>
        </row>
        <row r="484">
          <cell r="B484">
            <v>445044</v>
          </cell>
          <cell r="M484">
            <v>6.5</v>
          </cell>
        </row>
        <row r="485">
          <cell r="B485">
            <v>536694</v>
          </cell>
          <cell r="M485">
            <v>5</v>
          </cell>
        </row>
        <row r="486">
          <cell r="B486">
            <v>438464</v>
          </cell>
          <cell r="M486">
            <v>5</v>
          </cell>
        </row>
        <row r="487">
          <cell r="B487">
            <v>450542</v>
          </cell>
          <cell r="M487">
            <v>5</v>
          </cell>
        </row>
        <row r="488">
          <cell r="B488">
            <v>700308</v>
          </cell>
          <cell r="M488">
            <v>5</v>
          </cell>
        </row>
        <row r="489">
          <cell r="B489">
            <v>549653</v>
          </cell>
          <cell r="M489">
            <v>4.5</v>
          </cell>
        </row>
        <row r="490">
          <cell r="B490">
            <v>547676</v>
          </cell>
          <cell r="M490">
            <v>4</v>
          </cell>
        </row>
        <row r="491">
          <cell r="B491">
            <v>535928</v>
          </cell>
          <cell r="M491">
            <v>5</v>
          </cell>
        </row>
        <row r="492">
          <cell r="B492">
            <v>500058</v>
          </cell>
          <cell r="M492">
            <v>4.5</v>
          </cell>
        </row>
        <row r="493">
          <cell r="B493">
            <v>534392</v>
          </cell>
          <cell r="M493">
            <v>4.5</v>
          </cell>
        </row>
        <row r="494">
          <cell r="B494">
            <v>553783</v>
          </cell>
          <cell r="M494">
            <v>4.5</v>
          </cell>
        </row>
        <row r="495">
          <cell r="B495">
            <v>487117</v>
          </cell>
          <cell r="M495">
            <v>5</v>
          </cell>
        </row>
        <row r="496">
          <cell r="B496">
            <v>593174</v>
          </cell>
          <cell r="M496">
            <v>4.5</v>
          </cell>
        </row>
        <row r="497">
          <cell r="B497">
            <v>244858</v>
          </cell>
          <cell r="M497">
            <v>5</v>
          </cell>
        </row>
        <row r="498">
          <cell r="B498">
            <v>241117</v>
          </cell>
          <cell r="M498">
            <v>5</v>
          </cell>
        </row>
        <row r="499">
          <cell r="B499">
            <v>470294</v>
          </cell>
          <cell r="M499">
            <v>4.5</v>
          </cell>
        </row>
        <row r="500">
          <cell r="B500">
            <v>545477</v>
          </cell>
          <cell r="M500">
            <v>4</v>
          </cell>
        </row>
        <row r="501">
          <cell r="B501">
            <v>661800</v>
          </cell>
          <cell r="M501">
            <v>4</v>
          </cell>
        </row>
        <row r="502">
          <cell r="B502">
            <v>220362</v>
          </cell>
          <cell r="M502">
            <v>4.5</v>
          </cell>
        </row>
        <row r="503">
          <cell r="B503">
            <v>437495</v>
          </cell>
          <cell r="M503">
            <v>5</v>
          </cell>
        </row>
        <row r="504">
          <cell r="B504">
            <v>549067</v>
          </cell>
          <cell r="M504">
            <v>4</v>
          </cell>
        </row>
        <row r="505">
          <cell r="B505">
            <v>577974</v>
          </cell>
          <cell r="M505">
            <v>4</v>
          </cell>
        </row>
        <row r="506">
          <cell r="B506">
            <v>21205</v>
          </cell>
          <cell r="M506">
            <v>4</v>
          </cell>
        </row>
        <row r="507">
          <cell r="B507">
            <v>122074</v>
          </cell>
          <cell r="M507">
            <v>4.5</v>
          </cell>
        </row>
        <row r="508">
          <cell r="B508">
            <v>0</v>
          </cell>
          <cell r="M508">
            <v>0</v>
          </cell>
        </row>
        <row r="509">
          <cell r="B509">
            <v>0</v>
          </cell>
          <cell r="M509">
            <v>0</v>
          </cell>
        </row>
        <row r="510">
          <cell r="B510">
            <v>0</v>
          </cell>
          <cell r="M510">
            <v>0</v>
          </cell>
        </row>
        <row r="511">
          <cell r="B511">
            <v>0</v>
          </cell>
          <cell r="M511">
            <v>0</v>
          </cell>
        </row>
        <row r="512">
          <cell r="B512">
            <v>0</v>
          </cell>
          <cell r="M512">
            <v>0</v>
          </cell>
        </row>
        <row r="513">
          <cell r="B513">
            <v>0</v>
          </cell>
          <cell r="M513">
            <v>0</v>
          </cell>
        </row>
        <row r="514">
          <cell r="B514">
            <v>0</v>
          </cell>
          <cell r="M514">
            <v>0</v>
          </cell>
        </row>
        <row r="515">
          <cell r="B515">
            <v>0</v>
          </cell>
          <cell r="M515">
            <v>0</v>
          </cell>
        </row>
        <row r="516">
          <cell r="B516">
            <v>0</v>
          </cell>
          <cell r="M516">
            <v>0</v>
          </cell>
        </row>
        <row r="517">
          <cell r="B517">
            <v>0</v>
          </cell>
          <cell r="M517">
            <v>0</v>
          </cell>
        </row>
        <row r="518">
          <cell r="B518">
            <v>0</v>
          </cell>
          <cell r="M518">
            <v>0</v>
          </cell>
        </row>
        <row r="519">
          <cell r="B519">
            <v>0</v>
          </cell>
          <cell r="M519">
            <v>0</v>
          </cell>
        </row>
        <row r="520">
          <cell r="B520">
            <v>0</v>
          </cell>
          <cell r="M520">
            <v>0</v>
          </cell>
        </row>
        <row r="521">
          <cell r="B521">
            <v>0</v>
          </cell>
          <cell r="M521">
            <v>0</v>
          </cell>
        </row>
        <row r="522">
          <cell r="B522">
            <v>0</v>
          </cell>
          <cell r="M522">
            <v>0</v>
          </cell>
        </row>
        <row r="523">
          <cell r="B523">
            <v>0</v>
          </cell>
          <cell r="M523">
            <v>0</v>
          </cell>
        </row>
        <row r="524">
          <cell r="B524">
            <v>0</v>
          </cell>
          <cell r="M524">
            <v>0</v>
          </cell>
        </row>
        <row r="525">
          <cell r="B525">
            <v>0</v>
          </cell>
          <cell r="M525">
            <v>0</v>
          </cell>
        </row>
        <row r="526">
          <cell r="B526">
            <v>0</v>
          </cell>
          <cell r="M526">
            <v>0</v>
          </cell>
        </row>
        <row r="527">
          <cell r="B527">
            <v>0</v>
          </cell>
          <cell r="M527">
            <v>0</v>
          </cell>
        </row>
        <row r="528">
          <cell r="B528">
            <v>0</v>
          </cell>
          <cell r="M528">
            <v>0</v>
          </cell>
        </row>
        <row r="529">
          <cell r="B529">
            <v>0</v>
          </cell>
          <cell r="M529">
            <v>0</v>
          </cell>
        </row>
        <row r="530">
          <cell r="B530">
            <v>0</v>
          </cell>
          <cell r="M530">
            <v>0</v>
          </cell>
        </row>
        <row r="531">
          <cell r="B531">
            <v>0</v>
          </cell>
          <cell r="M531">
            <v>0</v>
          </cell>
        </row>
        <row r="532">
          <cell r="B532">
            <v>0</v>
          </cell>
          <cell r="M532">
            <v>0</v>
          </cell>
        </row>
        <row r="533">
          <cell r="B533">
            <v>0</v>
          </cell>
          <cell r="M533">
            <v>0</v>
          </cell>
        </row>
        <row r="534">
          <cell r="B534">
            <v>0</v>
          </cell>
          <cell r="M534">
            <v>0</v>
          </cell>
        </row>
        <row r="535">
          <cell r="B535">
            <v>0</v>
          </cell>
          <cell r="M535">
            <v>0</v>
          </cell>
        </row>
        <row r="536">
          <cell r="B536">
            <v>0</v>
          </cell>
          <cell r="M536">
            <v>0</v>
          </cell>
        </row>
        <row r="537">
          <cell r="B537">
            <v>0</v>
          </cell>
          <cell r="M537">
            <v>0</v>
          </cell>
        </row>
        <row r="538">
          <cell r="B538">
            <v>0</v>
          </cell>
          <cell r="M538">
            <v>0</v>
          </cell>
        </row>
        <row r="539">
          <cell r="B539">
            <v>0</v>
          </cell>
          <cell r="M539">
            <v>0</v>
          </cell>
        </row>
        <row r="540">
          <cell r="B540">
            <v>0</v>
          </cell>
          <cell r="M540">
            <v>0</v>
          </cell>
        </row>
        <row r="541">
          <cell r="B541">
            <v>0</v>
          </cell>
          <cell r="M541">
            <v>0</v>
          </cell>
        </row>
        <row r="542">
          <cell r="B542">
            <v>0</v>
          </cell>
          <cell r="M542">
            <v>0</v>
          </cell>
        </row>
        <row r="543">
          <cell r="B543">
            <v>0</v>
          </cell>
          <cell r="M543">
            <v>0</v>
          </cell>
        </row>
        <row r="544">
          <cell r="B544">
            <v>0</v>
          </cell>
          <cell r="M544">
            <v>0</v>
          </cell>
        </row>
        <row r="545">
          <cell r="B545">
            <v>0</v>
          </cell>
          <cell r="M545">
            <v>0</v>
          </cell>
        </row>
        <row r="546">
          <cell r="B546">
            <v>0</v>
          </cell>
          <cell r="M546">
            <v>0</v>
          </cell>
        </row>
        <row r="547">
          <cell r="B547">
            <v>0</v>
          </cell>
          <cell r="M547">
            <v>0</v>
          </cell>
        </row>
        <row r="548">
          <cell r="B548">
            <v>0</v>
          </cell>
          <cell r="M548">
            <v>0</v>
          </cell>
        </row>
        <row r="549">
          <cell r="B549">
            <v>0</v>
          </cell>
          <cell r="M549">
            <v>0</v>
          </cell>
        </row>
        <row r="550">
          <cell r="B550">
            <v>0</v>
          </cell>
          <cell r="M550">
            <v>0</v>
          </cell>
        </row>
        <row r="551">
          <cell r="B551">
            <v>0</v>
          </cell>
          <cell r="M551">
            <v>0</v>
          </cell>
        </row>
        <row r="552">
          <cell r="B552">
            <v>0</v>
          </cell>
          <cell r="M552">
            <v>0</v>
          </cell>
        </row>
        <row r="553">
          <cell r="B553">
            <v>0</v>
          </cell>
          <cell r="M553">
            <v>0</v>
          </cell>
        </row>
        <row r="554">
          <cell r="B554">
            <v>0</v>
          </cell>
          <cell r="M554">
            <v>0</v>
          </cell>
        </row>
        <row r="555">
          <cell r="B555">
            <v>0</v>
          </cell>
          <cell r="M555">
            <v>0</v>
          </cell>
        </row>
        <row r="556">
          <cell r="B556">
            <v>0</v>
          </cell>
          <cell r="M556">
            <v>0</v>
          </cell>
        </row>
        <row r="557">
          <cell r="B557">
            <v>0</v>
          </cell>
          <cell r="M557">
            <v>0</v>
          </cell>
        </row>
        <row r="558">
          <cell r="B558">
            <v>0</v>
          </cell>
          <cell r="M558">
            <v>0</v>
          </cell>
        </row>
        <row r="559">
          <cell r="B559">
            <v>0</v>
          </cell>
          <cell r="M559">
            <v>0</v>
          </cell>
        </row>
        <row r="560">
          <cell r="B560">
            <v>0</v>
          </cell>
          <cell r="M560">
            <v>0</v>
          </cell>
        </row>
        <row r="561">
          <cell r="B561">
            <v>0</v>
          </cell>
          <cell r="M561">
            <v>0</v>
          </cell>
        </row>
        <row r="562">
          <cell r="B562">
            <v>0</v>
          </cell>
          <cell r="M562">
            <v>0</v>
          </cell>
        </row>
        <row r="563">
          <cell r="B563">
            <v>0</v>
          </cell>
          <cell r="M563">
            <v>0</v>
          </cell>
        </row>
        <row r="564">
          <cell r="B564">
            <v>0</v>
          </cell>
          <cell r="M564">
            <v>0</v>
          </cell>
        </row>
        <row r="565">
          <cell r="B565">
            <v>0</v>
          </cell>
          <cell r="M565">
            <v>0</v>
          </cell>
        </row>
        <row r="566">
          <cell r="B566">
            <v>0</v>
          </cell>
          <cell r="M566">
            <v>0</v>
          </cell>
        </row>
        <row r="567">
          <cell r="B567">
            <v>0</v>
          </cell>
          <cell r="M567">
            <v>0</v>
          </cell>
        </row>
        <row r="568">
          <cell r="B568">
            <v>0</v>
          </cell>
          <cell r="M568">
            <v>0</v>
          </cell>
        </row>
        <row r="569">
          <cell r="B569">
            <v>0</v>
          </cell>
          <cell r="M569">
            <v>0</v>
          </cell>
        </row>
        <row r="570">
          <cell r="B570">
            <v>0</v>
          </cell>
          <cell r="M570">
            <v>0</v>
          </cell>
        </row>
        <row r="571">
          <cell r="B571">
            <v>0</v>
          </cell>
          <cell r="M571">
            <v>0</v>
          </cell>
        </row>
        <row r="572">
          <cell r="B572">
            <v>0</v>
          </cell>
          <cell r="M572">
            <v>0</v>
          </cell>
        </row>
        <row r="573">
          <cell r="B573">
            <v>0</v>
          </cell>
          <cell r="M573">
            <v>0</v>
          </cell>
        </row>
        <row r="574">
          <cell r="B574">
            <v>0</v>
          </cell>
          <cell r="M574">
            <v>0</v>
          </cell>
        </row>
        <row r="575">
          <cell r="B575">
            <v>0</v>
          </cell>
          <cell r="M575">
            <v>0</v>
          </cell>
        </row>
        <row r="576">
          <cell r="B576">
            <v>0</v>
          </cell>
          <cell r="M576">
            <v>0</v>
          </cell>
        </row>
        <row r="577">
          <cell r="B577">
            <v>0</v>
          </cell>
          <cell r="M577">
            <v>0</v>
          </cell>
        </row>
        <row r="578">
          <cell r="B578">
            <v>0</v>
          </cell>
          <cell r="M578">
            <v>0</v>
          </cell>
        </row>
        <row r="579">
          <cell r="B579">
            <v>0</v>
          </cell>
          <cell r="M579">
            <v>0</v>
          </cell>
        </row>
        <row r="580">
          <cell r="B580">
            <v>0</v>
          </cell>
          <cell r="M580">
            <v>0</v>
          </cell>
        </row>
        <row r="581">
          <cell r="B581">
            <v>0</v>
          </cell>
          <cell r="M581">
            <v>0</v>
          </cell>
        </row>
        <row r="582">
          <cell r="B582">
            <v>0</v>
          </cell>
          <cell r="M582">
            <v>0</v>
          </cell>
        </row>
        <row r="583">
          <cell r="B583">
            <v>0</v>
          </cell>
          <cell r="M583">
            <v>0</v>
          </cell>
        </row>
        <row r="584">
          <cell r="B584">
            <v>0</v>
          </cell>
          <cell r="M584">
            <v>0</v>
          </cell>
        </row>
        <row r="585">
          <cell r="B585">
            <v>0</v>
          </cell>
          <cell r="M585">
            <v>0</v>
          </cell>
        </row>
        <row r="586">
          <cell r="B586">
            <v>0</v>
          </cell>
          <cell r="M586">
            <v>0</v>
          </cell>
        </row>
        <row r="587">
          <cell r="B587">
            <v>0</v>
          </cell>
          <cell r="M587">
            <v>0</v>
          </cell>
        </row>
        <row r="588">
          <cell r="B588">
            <v>0</v>
          </cell>
          <cell r="M588">
            <v>0</v>
          </cell>
        </row>
        <row r="589">
          <cell r="B589">
            <v>0</v>
          </cell>
          <cell r="M589">
            <v>0</v>
          </cell>
        </row>
        <row r="590">
          <cell r="B590">
            <v>0</v>
          </cell>
          <cell r="M590">
            <v>0</v>
          </cell>
        </row>
        <row r="591">
          <cell r="B591">
            <v>0</v>
          </cell>
          <cell r="M591">
            <v>0</v>
          </cell>
        </row>
        <row r="592">
          <cell r="B592">
            <v>0</v>
          </cell>
          <cell r="M592">
            <v>0</v>
          </cell>
        </row>
        <row r="593">
          <cell r="B593">
            <v>0</v>
          </cell>
          <cell r="M593">
            <v>0</v>
          </cell>
        </row>
        <row r="594">
          <cell r="B594">
            <v>0</v>
          </cell>
          <cell r="M594">
            <v>0</v>
          </cell>
        </row>
        <row r="595">
          <cell r="B595">
            <v>0</v>
          </cell>
          <cell r="M595">
            <v>0</v>
          </cell>
        </row>
        <row r="596">
          <cell r="B596">
            <v>0</v>
          </cell>
          <cell r="M596">
            <v>0</v>
          </cell>
        </row>
        <row r="597">
          <cell r="B597">
            <v>0</v>
          </cell>
          <cell r="M597">
            <v>0</v>
          </cell>
        </row>
        <row r="598">
          <cell r="B598">
            <v>0</v>
          </cell>
          <cell r="M598">
            <v>0</v>
          </cell>
        </row>
        <row r="599">
          <cell r="B599">
            <v>0</v>
          </cell>
          <cell r="M599">
            <v>0</v>
          </cell>
        </row>
        <row r="600">
          <cell r="B600">
            <v>0</v>
          </cell>
          <cell r="M600">
            <v>0</v>
          </cell>
        </row>
        <row r="601">
          <cell r="B601">
            <v>0</v>
          </cell>
          <cell r="M601">
            <v>0</v>
          </cell>
        </row>
        <row r="602">
          <cell r="B602">
            <v>0</v>
          </cell>
          <cell r="M602">
            <v>0</v>
          </cell>
        </row>
        <row r="603">
          <cell r="B603">
            <v>0</v>
          </cell>
          <cell r="M603">
            <v>0</v>
          </cell>
        </row>
        <row r="604">
          <cell r="B604">
            <v>0</v>
          </cell>
          <cell r="M604">
            <v>0</v>
          </cell>
        </row>
        <row r="605">
          <cell r="B605">
            <v>0</v>
          </cell>
          <cell r="M605">
            <v>0</v>
          </cell>
        </row>
        <row r="606">
          <cell r="B606">
            <v>0</v>
          </cell>
          <cell r="M606">
            <v>0</v>
          </cell>
        </row>
        <row r="607">
          <cell r="B607">
            <v>0</v>
          </cell>
          <cell r="M607">
            <v>0</v>
          </cell>
        </row>
        <row r="608">
          <cell r="B608">
            <v>0</v>
          </cell>
          <cell r="M608">
            <v>0</v>
          </cell>
        </row>
        <row r="609">
          <cell r="B609">
            <v>0</v>
          </cell>
          <cell r="M609">
            <v>0</v>
          </cell>
        </row>
        <row r="610">
          <cell r="B610">
            <v>0</v>
          </cell>
          <cell r="M610">
            <v>0</v>
          </cell>
        </row>
        <row r="611">
          <cell r="B611">
            <v>0</v>
          </cell>
          <cell r="M611">
            <v>0</v>
          </cell>
        </row>
        <row r="612">
          <cell r="B612">
            <v>0</v>
          </cell>
          <cell r="M612">
            <v>0</v>
          </cell>
        </row>
        <row r="613">
          <cell r="B613">
            <v>0</v>
          </cell>
          <cell r="M613">
            <v>0</v>
          </cell>
        </row>
        <row r="614">
          <cell r="B614">
            <v>0</v>
          </cell>
          <cell r="M614">
            <v>0</v>
          </cell>
        </row>
        <row r="615">
          <cell r="B615">
            <v>0</v>
          </cell>
          <cell r="M615">
            <v>0</v>
          </cell>
        </row>
        <row r="616">
          <cell r="B616">
            <v>0</v>
          </cell>
          <cell r="M616">
            <v>0</v>
          </cell>
        </row>
        <row r="617">
          <cell r="B617">
            <v>0</v>
          </cell>
          <cell r="M617">
            <v>0</v>
          </cell>
        </row>
        <row r="618">
          <cell r="B618">
            <v>0</v>
          </cell>
          <cell r="M618">
            <v>0</v>
          </cell>
        </row>
        <row r="619">
          <cell r="B619">
            <v>0</v>
          </cell>
          <cell r="M619">
            <v>0</v>
          </cell>
        </row>
        <row r="620">
          <cell r="B620">
            <v>0</v>
          </cell>
          <cell r="M620">
            <v>0</v>
          </cell>
        </row>
        <row r="621">
          <cell r="B621">
            <v>0</v>
          </cell>
          <cell r="M621">
            <v>0</v>
          </cell>
        </row>
        <row r="622">
          <cell r="B622">
            <v>0</v>
          </cell>
          <cell r="M622">
            <v>0</v>
          </cell>
        </row>
        <row r="623">
          <cell r="B623">
            <v>0</v>
          </cell>
          <cell r="M623">
            <v>0</v>
          </cell>
        </row>
        <row r="624">
          <cell r="B624">
            <v>0</v>
          </cell>
          <cell r="M624">
            <v>0</v>
          </cell>
        </row>
        <row r="625">
          <cell r="B625">
            <v>0</v>
          </cell>
          <cell r="M625">
            <v>0</v>
          </cell>
        </row>
        <row r="626">
          <cell r="B626">
            <v>0</v>
          </cell>
          <cell r="M626">
            <v>0</v>
          </cell>
        </row>
        <row r="627">
          <cell r="B627">
            <v>0</v>
          </cell>
          <cell r="M627">
            <v>0</v>
          </cell>
        </row>
        <row r="628">
          <cell r="B628">
            <v>0</v>
          </cell>
          <cell r="M628">
            <v>0</v>
          </cell>
        </row>
        <row r="629">
          <cell r="B629">
            <v>0</v>
          </cell>
          <cell r="M629">
            <v>0</v>
          </cell>
        </row>
        <row r="630">
          <cell r="B630">
            <v>0</v>
          </cell>
          <cell r="M630">
            <v>0</v>
          </cell>
        </row>
        <row r="631">
          <cell r="B631">
            <v>0</v>
          </cell>
          <cell r="M631">
            <v>0</v>
          </cell>
        </row>
        <row r="632">
          <cell r="B632">
            <v>0</v>
          </cell>
          <cell r="M632">
            <v>0</v>
          </cell>
        </row>
        <row r="633">
          <cell r="B633">
            <v>0</v>
          </cell>
          <cell r="M633">
            <v>0</v>
          </cell>
        </row>
        <row r="634">
          <cell r="B634">
            <v>0</v>
          </cell>
          <cell r="M634">
            <v>0</v>
          </cell>
        </row>
        <row r="635">
          <cell r="B635">
            <v>0</v>
          </cell>
          <cell r="M635">
            <v>0</v>
          </cell>
        </row>
        <row r="636">
          <cell r="B636">
            <v>0</v>
          </cell>
          <cell r="M636">
            <v>0</v>
          </cell>
        </row>
        <row r="637">
          <cell r="B637">
            <v>0</v>
          </cell>
          <cell r="M637">
            <v>0</v>
          </cell>
        </row>
        <row r="638">
          <cell r="B638">
            <v>0</v>
          </cell>
          <cell r="M638">
            <v>0</v>
          </cell>
        </row>
        <row r="639">
          <cell r="B639">
            <v>0</v>
          </cell>
          <cell r="M639">
            <v>0</v>
          </cell>
        </row>
        <row r="640">
          <cell r="B640">
            <v>0</v>
          </cell>
          <cell r="M640">
            <v>0</v>
          </cell>
        </row>
        <row r="641">
          <cell r="B641">
            <v>0</v>
          </cell>
          <cell r="M641">
            <v>0</v>
          </cell>
        </row>
        <row r="642">
          <cell r="B642">
            <v>0</v>
          </cell>
          <cell r="M642">
            <v>0</v>
          </cell>
        </row>
        <row r="643">
          <cell r="B643">
            <v>0</v>
          </cell>
          <cell r="M643">
            <v>0</v>
          </cell>
        </row>
        <row r="644">
          <cell r="B644">
            <v>0</v>
          </cell>
          <cell r="M644">
            <v>0</v>
          </cell>
        </row>
        <row r="645">
          <cell r="B645">
            <v>0</v>
          </cell>
          <cell r="M645">
            <v>0</v>
          </cell>
        </row>
        <row r="646">
          <cell r="B646">
            <v>0</v>
          </cell>
          <cell r="M646">
            <v>0</v>
          </cell>
        </row>
        <row r="647">
          <cell r="B647">
            <v>0</v>
          </cell>
          <cell r="M647">
            <v>0</v>
          </cell>
        </row>
        <row r="648">
          <cell r="B648">
            <v>0</v>
          </cell>
          <cell r="M648">
            <v>0</v>
          </cell>
        </row>
        <row r="649">
          <cell r="B649">
            <v>0</v>
          </cell>
          <cell r="M649">
            <v>0</v>
          </cell>
        </row>
        <row r="650">
          <cell r="B650">
            <v>0</v>
          </cell>
          <cell r="M650">
            <v>0</v>
          </cell>
        </row>
        <row r="651">
          <cell r="B651">
            <v>0</v>
          </cell>
          <cell r="M651">
            <v>0</v>
          </cell>
        </row>
        <row r="652">
          <cell r="B652">
            <v>0</v>
          </cell>
          <cell r="M652">
            <v>0</v>
          </cell>
        </row>
        <row r="653">
          <cell r="B653">
            <v>0</v>
          </cell>
          <cell r="M653">
            <v>0</v>
          </cell>
        </row>
        <row r="654">
          <cell r="B654">
            <v>0</v>
          </cell>
          <cell r="M654">
            <v>0</v>
          </cell>
        </row>
        <row r="655">
          <cell r="B655">
            <v>0</v>
          </cell>
          <cell r="M655">
            <v>0</v>
          </cell>
        </row>
        <row r="656">
          <cell r="B656">
            <v>0</v>
          </cell>
          <cell r="M656">
            <v>0</v>
          </cell>
        </row>
        <row r="657">
          <cell r="B657">
            <v>0</v>
          </cell>
          <cell r="M657">
            <v>0</v>
          </cell>
        </row>
        <row r="658">
          <cell r="B658">
            <v>0</v>
          </cell>
          <cell r="M658">
            <v>0</v>
          </cell>
        </row>
        <row r="659">
          <cell r="B659">
            <v>0</v>
          </cell>
          <cell r="M659">
            <v>0</v>
          </cell>
        </row>
        <row r="660">
          <cell r="B660">
            <v>0</v>
          </cell>
          <cell r="M660">
            <v>0</v>
          </cell>
        </row>
        <row r="661">
          <cell r="B661">
            <v>0</v>
          </cell>
          <cell r="M661">
            <v>0</v>
          </cell>
        </row>
        <row r="662">
          <cell r="B662">
            <v>0</v>
          </cell>
          <cell r="M662">
            <v>0</v>
          </cell>
        </row>
        <row r="663">
          <cell r="B663">
            <v>0</v>
          </cell>
          <cell r="M663">
            <v>0</v>
          </cell>
        </row>
        <row r="664">
          <cell r="B664">
            <v>0</v>
          </cell>
          <cell r="M664">
            <v>0</v>
          </cell>
        </row>
        <row r="665">
          <cell r="B665">
            <v>0</v>
          </cell>
          <cell r="M665">
            <v>0</v>
          </cell>
        </row>
        <row r="666">
          <cell r="B666">
            <v>0</v>
          </cell>
          <cell r="M666">
            <v>0</v>
          </cell>
        </row>
        <row r="667">
          <cell r="B667">
            <v>0</v>
          </cell>
          <cell r="M667">
            <v>0</v>
          </cell>
        </row>
        <row r="668">
          <cell r="B668">
            <v>0</v>
          </cell>
          <cell r="M668">
            <v>0</v>
          </cell>
        </row>
        <row r="669">
          <cell r="B669">
            <v>0</v>
          </cell>
          <cell r="M669">
            <v>0</v>
          </cell>
        </row>
        <row r="670">
          <cell r="B670">
            <v>0</v>
          </cell>
          <cell r="M670">
            <v>0</v>
          </cell>
        </row>
        <row r="671">
          <cell r="B671">
            <v>0</v>
          </cell>
          <cell r="M671">
            <v>0</v>
          </cell>
        </row>
        <row r="672">
          <cell r="B672">
            <v>0</v>
          </cell>
          <cell r="M672">
            <v>0</v>
          </cell>
        </row>
        <row r="673">
          <cell r="B673">
            <v>0</v>
          </cell>
          <cell r="M673">
            <v>0</v>
          </cell>
        </row>
        <row r="674">
          <cell r="B674">
            <v>0</v>
          </cell>
          <cell r="M674">
            <v>0</v>
          </cell>
        </row>
        <row r="675">
          <cell r="B675">
            <v>0</v>
          </cell>
          <cell r="M675">
            <v>0</v>
          </cell>
        </row>
        <row r="676">
          <cell r="B676">
            <v>0</v>
          </cell>
          <cell r="M676">
            <v>0</v>
          </cell>
        </row>
        <row r="677">
          <cell r="B677">
            <v>0</v>
          </cell>
          <cell r="M677">
            <v>0</v>
          </cell>
        </row>
        <row r="678">
          <cell r="B678">
            <v>0</v>
          </cell>
          <cell r="M678">
            <v>0</v>
          </cell>
        </row>
        <row r="679">
          <cell r="B679">
            <v>0</v>
          </cell>
          <cell r="M679">
            <v>0</v>
          </cell>
        </row>
        <row r="680">
          <cell r="B680">
            <v>0</v>
          </cell>
          <cell r="M680">
            <v>0</v>
          </cell>
        </row>
        <row r="681">
          <cell r="B681">
            <v>0</v>
          </cell>
          <cell r="M681">
            <v>0</v>
          </cell>
        </row>
        <row r="682">
          <cell r="B682">
            <v>0</v>
          </cell>
          <cell r="M682">
            <v>0</v>
          </cell>
        </row>
        <row r="683">
          <cell r="B683">
            <v>0</v>
          </cell>
          <cell r="M683">
            <v>0</v>
          </cell>
        </row>
        <row r="684">
          <cell r="B684">
            <v>0</v>
          </cell>
          <cell r="M684">
            <v>0</v>
          </cell>
        </row>
        <row r="685">
          <cell r="B685">
            <v>0</v>
          </cell>
          <cell r="M685">
            <v>0</v>
          </cell>
        </row>
        <row r="686">
          <cell r="B686">
            <v>0</v>
          </cell>
          <cell r="M686">
            <v>0</v>
          </cell>
        </row>
        <row r="687">
          <cell r="B687">
            <v>0</v>
          </cell>
          <cell r="M687">
            <v>0</v>
          </cell>
        </row>
        <row r="688">
          <cell r="B688">
            <v>0</v>
          </cell>
          <cell r="M688">
            <v>0</v>
          </cell>
        </row>
        <row r="689">
          <cell r="B689">
            <v>0</v>
          </cell>
          <cell r="M689">
            <v>0</v>
          </cell>
        </row>
        <row r="690">
          <cell r="B690">
            <v>0</v>
          </cell>
          <cell r="M690">
            <v>0</v>
          </cell>
        </row>
        <row r="691">
          <cell r="B691">
            <v>0</v>
          </cell>
          <cell r="M691">
            <v>0</v>
          </cell>
        </row>
        <row r="692">
          <cell r="B692">
            <v>0</v>
          </cell>
          <cell r="M692">
            <v>0</v>
          </cell>
        </row>
        <row r="693">
          <cell r="B693">
            <v>0</v>
          </cell>
          <cell r="M693">
            <v>0</v>
          </cell>
        </row>
        <row r="694">
          <cell r="B694">
            <v>0</v>
          </cell>
          <cell r="M694">
            <v>0</v>
          </cell>
        </row>
        <row r="695">
          <cell r="B695">
            <v>0</v>
          </cell>
          <cell r="M695">
            <v>0</v>
          </cell>
        </row>
        <row r="696">
          <cell r="B696">
            <v>0</v>
          </cell>
          <cell r="M696">
            <v>0</v>
          </cell>
        </row>
        <row r="697">
          <cell r="B697">
            <v>0</v>
          </cell>
          <cell r="M697">
            <v>0</v>
          </cell>
        </row>
        <row r="698">
          <cell r="B698">
            <v>0</v>
          </cell>
          <cell r="M698">
            <v>0</v>
          </cell>
        </row>
        <row r="699">
          <cell r="B699">
            <v>0</v>
          </cell>
          <cell r="M699">
            <v>0</v>
          </cell>
        </row>
        <row r="700">
          <cell r="B700">
            <v>0</v>
          </cell>
          <cell r="M700">
            <v>0</v>
          </cell>
        </row>
        <row r="701">
          <cell r="B701">
            <v>0</v>
          </cell>
          <cell r="M701">
            <v>0</v>
          </cell>
        </row>
        <row r="702">
          <cell r="B702">
            <v>0</v>
          </cell>
          <cell r="M702">
            <v>0</v>
          </cell>
        </row>
        <row r="703">
          <cell r="B703">
            <v>0</v>
          </cell>
          <cell r="M703">
            <v>0</v>
          </cell>
        </row>
        <row r="704">
          <cell r="B704">
            <v>0</v>
          </cell>
          <cell r="M704">
            <v>0</v>
          </cell>
        </row>
        <row r="705">
          <cell r="B705">
            <v>0</v>
          </cell>
          <cell r="M705">
            <v>0</v>
          </cell>
        </row>
        <row r="706">
          <cell r="B706">
            <v>0</v>
          </cell>
          <cell r="M706">
            <v>0</v>
          </cell>
        </row>
        <row r="707">
          <cell r="B707">
            <v>0</v>
          </cell>
          <cell r="M707">
            <v>0</v>
          </cell>
        </row>
        <row r="708">
          <cell r="B708">
            <v>0</v>
          </cell>
          <cell r="M708">
            <v>0</v>
          </cell>
        </row>
        <row r="709">
          <cell r="B709">
            <v>0</v>
          </cell>
          <cell r="M709">
            <v>0</v>
          </cell>
        </row>
        <row r="710">
          <cell r="B710">
            <v>0</v>
          </cell>
          <cell r="M710">
            <v>0</v>
          </cell>
        </row>
        <row r="711">
          <cell r="B711">
            <v>0</v>
          </cell>
          <cell r="M711">
            <v>0</v>
          </cell>
        </row>
        <row r="712">
          <cell r="B712">
            <v>0</v>
          </cell>
          <cell r="M712">
            <v>0</v>
          </cell>
        </row>
        <row r="713">
          <cell r="B713">
            <v>0</v>
          </cell>
          <cell r="M713">
            <v>0</v>
          </cell>
        </row>
        <row r="714">
          <cell r="B714">
            <v>0</v>
          </cell>
          <cell r="M714">
            <v>0</v>
          </cell>
        </row>
        <row r="715">
          <cell r="B715">
            <v>0</v>
          </cell>
          <cell r="M715">
            <v>0</v>
          </cell>
        </row>
        <row r="716">
          <cell r="B716">
            <v>0</v>
          </cell>
          <cell r="M716">
            <v>0</v>
          </cell>
        </row>
        <row r="717">
          <cell r="B717">
            <v>0</v>
          </cell>
          <cell r="M717">
            <v>0</v>
          </cell>
        </row>
        <row r="718">
          <cell r="B718">
            <v>0</v>
          </cell>
          <cell r="M718">
            <v>0</v>
          </cell>
        </row>
        <row r="719">
          <cell r="B719">
            <v>0</v>
          </cell>
          <cell r="M719">
            <v>0</v>
          </cell>
        </row>
        <row r="720">
          <cell r="B720">
            <v>0</v>
          </cell>
          <cell r="M720">
            <v>0</v>
          </cell>
        </row>
        <row r="721">
          <cell r="B721">
            <v>0</v>
          </cell>
          <cell r="M721">
            <v>0</v>
          </cell>
        </row>
        <row r="722">
          <cell r="B722">
            <v>0</v>
          </cell>
          <cell r="M722">
            <v>0</v>
          </cell>
        </row>
        <row r="723">
          <cell r="B723">
            <v>0</v>
          </cell>
          <cell r="M723">
            <v>0</v>
          </cell>
        </row>
        <row r="724">
          <cell r="B724">
            <v>0</v>
          </cell>
          <cell r="M724">
            <v>0</v>
          </cell>
        </row>
        <row r="725">
          <cell r="B725">
            <v>0</v>
          </cell>
          <cell r="M725">
            <v>0</v>
          </cell>
        </row>
        <row r="726">
          <cell r="B726">
            <v>0</v>
          </cell>
          <cell r="M726">
            <v>0</v>
          </cell>
        </row>
        <row r="727">
          <cell r="B727">
            <v>0</v>
          </cell>
          <cell r="M727">
            <v>0</v>
          </cell>
        </row>
        <row r="728">
          <cell r="B728">
            <v>0</v>
          </cell>
          <cell r="M728">
            <v>0</v>
          </cell>
        </row>
        <row r="729">
          <cell r="B729">
            <v>0</v>
          </cell>
          <cell r="M729">
            <v>0</v>
          </cell>
        </row>
        <row r="730">
          <cell r="B730">
            <v>0</v>
          </cell>
          <cell r="M730">
            <v>0</v>
          </cell>
        </row>
        <row r="731">
          <cell r="B731">
            <v>0</v>
          </cell>
          <cell r="M731">
            <v>0</v>
          </cell>
        </row>
        <row r="732">
          <cell r="B732">
            <v>0</v>
          </cell>
          <cell r="M732">
            <v>0</v>
          </cell>
        </row>
        <row r="733">
          <cell r="B733">
            <v>0</v>
          </cell>
          <cell r="M733">
            <v>0</v>
          </cell>
        </row>
        <row r="734">
          <cell r="B734">
            <v>0</v>
          </cell>
          <cell r="M734">
            <v>0</v>
          </cell>
        </row>
        <row r="735">
          <cell r="B735">
            <v>0</v>
          </cell>
          <cell r="M735">
            <v>0</v>
          </cell>
        </row>
        <row r="736">
          <cell r="B736">
            <v>0</v>
          </cell>
          <cell r="M736">
            <v>0</v>
          </cell>
        </row>
        <row r="737">
          <cell r="B737">
            <v>0</v>
          </cell>
          <cell r="M737">
            <v>0</v>
          </cell>
        </row>
        <row r="738">
          <cell r="B738">
            <v>0</v>
          </cell>
          <cell r="M738">
            <v>0</v>
          </cell>
        </row>
        <row r="739">
          <cell r="B739">
            <v>0</v>
          </cell>
          <cell r="M739">
            <v>0</v>
          </cell>
        </row>
        <row r="740">
          <cell r="B740">
            <v>0</v>
          </cell>
          <cell r="M740">
            <v>0</v>
          </cell>
        </row>
        <row r="741">
          <cell r="B741">
            <v>0</v>
          </cell>
          <cell r="M741">
            <v>0</v>
          </cell>
        </row>
        <row r="742">
          <cell r="B742">
            <v>0</v>
          </cell>
          <cell r="M742">
            <v>0</v>
          </cell>
        </row>
        <row r="743">
          <cell r="B743">
            <v>0</v>
          </cell>
          <cell r="M743">
            <v>0</v>
          </cell>
        </row>
        <row r="744">
          <cell r="B744">
            <v>0</v>
          </cell>
          <cell r="M744">
            <v>0</v>
          </cell>
        </row>
        <row r="745">
          <cell r="B745">
            <v>0</v>
          </cell>
          <cell r="M745">
            <v>0</v>
          </cell>
        </row>
        <row r="746">
          <cell r="B746">
            <v>0</v>
          </cell>
          <cell r="M746">
            <v>0</v>
          </cell>
        </row>
        <row r="747">
          <cell r="B747">
            <v>0</v>
          </cell>
          <cell r="M747">
            <v>0</v>
          </cell>
        </row>
        <row r="748">
          <cell r="B748">
            <v>0</v>
          </cell>
          <cell r="M748">
            <v>0</v>
          </cell>
        </row>
        <row r="749">
          <cell r="B749">
            <v>0</v>
          </cell>
          <cell r="M749">
            <v>0</v>
          </cell>
        </row>
        <row r="750">
          <cell r="B750">
            <v>0</v>
          </cell>
          <cell r="M750">
            <v>0</v>
          </cell>
        </row>
        <row r="751">
          <cell r="B751">
            <v>0</v>
          </cell>
          <cell r="M751">
            <v>0</v>
          </cell>
        </row>
        <row r="752">
          <cell r="B752">
            <v>0</v>
          </cell>
          <cell r="M752">
            <v>0</v>
          </cell>
        </row>
        <row r="753">
          <cell r="B753">
            <v>0</v>
          </cell>
          <cell r="M753">
            <v>0</v>
          </cell>
        </row>
        <row r="754">
          <cell r="B754">
            <v>0</v>
          </cell>
          <cell r="M754">
            <v>0</v>
          </cell>
        </row>
        <row r="755">
          <cell r="B755">
            <v>0</v>
          </cell>
          <cell r="M755">
            <v>0</v>
          </cell>
        </row>
        <row r="756">
          <cell r="B756">
            <v>0</v>
          </cell>
          <cell r="M756">
            <v>0</v>
          </cell>
        </row>
        <row r="757">
          <cell r="B757">
            <v>0</v>
          </cell>
          <cell r="M757">
            <v>0</v>
          </cell>
        </row>
        <row r="758">
          <cell r="B758">
            <v>0</v>
          </cell>
          <cell r="M758">
            <v>0</v>
          </cell>
        </row>
        <row r="759">
          <cell r="B759">
            <v>0</v>
          </cell>
          <cell r="M759">
            <v>0</v>
          </cell>
        </row>
        <row r="760">
          <cell r="B760">
            <v>0</v>
          </cell>
          <cell r="M760">
            <v>0</v>
          </cell>
        </row>
        <row r="761">
          <cell r="B761">
            <v>0</v>
          </cell>
          <cell r="M761">
            <v>0</v>
          </cell>
        </row>
        <row r="762">
          <cell r="B762">
            <v>0</v>
          </cell>
          <cell r="M762">
            <v>0</v>
          </cell>
        </row>
        <row r="763">
          <cell r="B763">
            <v>0</v>
          </cell>
          <cell r="M763">
            <v>0</v>
          </cell>
        </row>
        <row r="764">
          <cell r="B764">
            <v>0</v>
          </cell>
          <cell r="M764">
            <v>0</v>
          </cell>
        </row>
        <row r="765">
          <cell r="B765">
            <v>0</v>
          </cell>
          <cell r="M765">
            <v>0</v>
          </cell>
        </row>
        <row r="766">
          <cell r="B766">
            <v>0</v>
          </cell>
          <cell r="M766">
            <v>0</v>
          </cell>
        </row>
        <row r="767">
          <cell r="B767">
            <v>0</v>
          </cell>
          <cell r="M767">
            <v>0</v>
          </cell>
        </row>
        <row r="768">
          <cell r="B768">
            <v>0</v>
          </cell>
          <cell r="M768">
            <v>0</v>
          </cell>
        </row>
        <row r="769">
          <cell r="B769">
            <v>0</v>
          </cell>
          <cell r="M769">
            <v>0</v>
          </cell>
        </row>
        <row r="770">
          <cell r="B770">
            <v>0</v>
          </cell>
          <cell r="M770">
            <v>0</v>
          </cell>
        </row>
        <row r="771">
          <cell r="B771">
            <v>0</v>
          </cell>
          <cell r="M771">
            <v>0</v>
          </cell>
        </row>
        <row r="772">
          <cell r="B772">
            <v>0</v>
          </cell>
          <cell r="M772">
            <v>0</v>
          </cell>
        </row>
        <row r="773">
          <cell r="B773">
            <v>0</v>
          </cell>
          <cell r="M773">
            <v>0</v>
          </cell>
        </row>
        <row r="774">
          <cell r="B774">
            <v>0</v>
          </cell>
          <cell r="M774">
            <v>0</v>
          </cell>
        </row>
        <row r="775">
          <cell r="B775">
            <v>0</v>
          </cell>
          <cell r="M775">
            <v>0</v>
          </cell>
        </row>
        <row r="776">
          <cell r="B776">
            <v>0</v>
          </cell>
          <cell r="M776">
            <v>0</v>
          </cell>
        </row>
        <row r="777">
          <cell r="B777">
            <v>0</v>
          </cell>
          <cell r="M777">
            <v>0</v>
          </cell>
        </row>
        <row r="778">
          <cell r="B778">
            <v>0</v>
          </cell>
          <cell r="M778">
            <v>0</v>
          </cell>
        </row>
        <row r="779">
          <cell r="B779">
            <v>0</v>
          </cell>
          <cell r="M779">
            <v>0</v>
          </cell>
        </row>
        <row r="780">
          <cell r="B780">
            <v>0</v>
          </cell>
          <cell r="M780">
            <v>0</v>
          </cell>
        </row>
        <row r="781">
          <cell r="B781">
            <v>0</v>
          </cell>
          <cell r="M781">
            <v>0</v>
          </cell>
        </row>
        <row r="782">
          <cell r="B782">
            <v>0</v>
          </cell>
          <cell r="M782">
            <v>0</v>
          </cell>
        </row>
        <row r="783">
          <cell r="B783">
            <v>0</v>
          </cell>
          <cell r="M783">
            <v>0</v>
          </cell>
        </row>
        <row r="784">
          <cell r="B784">
            <v>0</v>
          </cell>
          <cell r="M784">
            <v>0</v>
          </cell>
        </row>
        <row r="785">
          <cell r="B785">
            <v>0</v>
          </cell>
          <cell r="M785">
            <v>0</v>
          </cell>
        </row>
        <row r="786">
          <cell r="B786">
            <v>0</v>
          </cell>
          <cell r="M786">
            <v>0</v>
          </cell>
        </row>
        <row r="787">
          <cell r="B787">
            <v>0</v>
          </cell>
          <cell r="M787">
            <v>0</v>
          </cell>
        </row>
        <row r="788">
          <cell r="B788">
            <v>0</v>
          </cell>
          <cell r="M788">
            <v>0</v>
          </cell>
        </row>
        <row r="789">
          <cell r="B789">
            <v>0</v>
          </cell>
          <cell r="M789">
            <v>0</v>
          </cell>
        </row>
        <row r="790">
          <cell r="B790">
            <v>0</v>
          </cell>
          <cell r="M790">
            <v>0</v>
          </cell>
        </row>
        <row r="791">
          <cell r="B791">
            <v>0</v>
          </cell>
          <cell r="M791">
            <v>0</v>
          </cell>
        </row>
        <row r="792">
          <cell r="B792">
            <v>0</v>
          </cell>
          <cell r="M792">
            <v>0</v>
          </cell>
        </row>
        <row r="793">
          <cell r="B793">
            <v>0</v>
          </cell>
          <cell r="M793">
            <v>0</v>
          </cell>
        </row>
        <row r="794">
          <cell r="B794">
            <v>0</v>
          </cell>
          <cell r="M794">
            <v>0</v>
          </cell>
        </row>
        <row r="795">
          <cell r="B795">
            <v>0</v>
          </cell>
          <cell r="M795">
            <v>0</v>
          </cell>
        </row>
        <row r="796">
          <cell r="B796">
            <v>0</v>
          </cell>
          <cell r="M796">
            <v>0</v>
          </cell>
        </row>
        <row r="797">
          <cell r="B797">
            <v>0</v>
          </cell>
          <cell r="M797">
            <v>0</v>
          </cell>
        </row>
        <row r="798">
          <cell r="B798">
            <v>0</v>
          </cell>
          <cell r="M798">
            <v>0</v>
          </cell>
        </row>
        <row r="799">
          <cell r="B799">
            <v>0</v>
          </cell>
          <cell r="M799">
            <v>0</v>
          </cell>
        </row>
        <row r="800">
          <cell r="B800">
            <v>0</v>
          </cell>
          <cell r="M800">
            <v>0</v>
          </cell>
        </row>
        <row r="801">
          <cell r="B801">
            <v>0</v>
          </cell>
          <cell r="M801">
            <v>0</v>
          </cell>
        </row>
        <row r="802">
          <cell r="B802">
            <v>0</v>
          </cell>
          <cell r="M802">
            <v>0</v>
          </cell>
        </row>
        <row r="803">
          <cell r="B803">
            <v>0</v>
          </cell>
          <cell r="M803">
            <v>0</v>
          </cell>
        </row>
        <row r="804">
          <cell r="B804">
            <v>0</v>
          </cell>
          <cell r="M804">
            <v>0</v>
          </cell>
        </row>
        <row r="805">
          <cell r="B805">
            <v>0</v>
          </cell>
          <cell r="M805">
            <v>0</v>
          </cell>
        </row>
        <row r="806">
          <cell r="B806">
            <v>0</v>
          </cell>
          <cell r="M806">
            <v>0</v>
          </cell>
        </row>
        <row r="807">
          <cell r="B807">
            <v>0</v>
          </cell>
          <cell r="M807">
            <v>0</v>
          </cell>
        </row>
        <row r="808">
          <cell r="B808">
            <v>0</v>
          </cell>
          <cell r="M808">
            <v>0</v>
          </cell>
        </row>
        <row r="809">
          <cell r="B809">
            <v>0</v>
          </cell>
          <cell r="M809">
            <v>0</v>
          </cell>
        </row>
        <row r="810">
          <cell r="B810">
            <v>0</v>
          </cell>
          <cell r="M810">
            <v>0</v>
          </cell>
        </row>
        <row r="811">
          <cell r="B811">
            <v>0</v>
          </cell>
          <cell r="M811">
            <v>0</v>
          </cell>
        </row>
        <row r="812">
          <cell r="B812">
            <v>0</v>
          </cell>
          <cell r="M812">
            <v>0</v>
          </cell>
        </row>
        <row r="813">
          <cell r="B813">
            <v>0</v>
          </cell>
          <cell r="M813">
            <v>0</v>
          </cell>
        </row>
        <row r="814">
          <cell r="B814">
            <v>0</v>
          </cell>
          <cell r="M814">
            <v>0</v>
          </cell>
        </row>
        <row r="815">
          <cell r="B815">
            <v>0</v>
          </cell>
          <cell r="M815">
            <v>0</v>
          </cell>
        </row>
        <row r="816">
          <cell r="B816">
            <v>0</v>
          </cell>
          <cell r="M816">
            <v>0</v>
          </cell>
        </row>
        <row r="817">
          <cell r="B817">
            <v>0</v>
          </cell>
          <cell r="M817">
            <v>0</v>
          </cell>
        </row>
        <row r="818">
          <cell r="B818">
            <v>0</v>
          </cell>
          <cell r="M818">
            <v>0</v>
          </cell>
        </row>
        <row r="819">
          <cell r="B819">
            <v>0</v>
          </cell>
          <cell r="M819">
            <v>0</v>
          </cell>
        </row>
        <row r="820">
          <cell r="B820">
            <v>0</v>
          </cell>
          <cell r="M820">
            <v>0</v>
          </cell>
        </row>
        <row r="821">
          <cell r="B821">
            <v>0</v>
          </cell>
          <cell r="M821">
            <v>0</v>
          </cell>
        </row>
        <row r="822">
          <cell r="B822">
            <v>0</v>
          </cell>
          <cell r="M822">
            <v>0</v>
          </cell>
        </row>
        <row r="823">
          <cell r="B823">
            <v>0</v>
          </cell>
          <cell r="M823">
            <v>0</v>
          </cell>
        </row>
        <row r="824">
          <cell r="B824">
            <v>0</v>
          </cell>
          <cell r="M824">
            <v>0</v>
          </cell>
        </row>
        <row r="825">
          <cell r="B825">
            <v>0</v>
          </cell>
          <cell r="M825">
            <v>0</v>
          </cell>
        </row>
        <row r="826">
          <cell r="B826">
            <v>0</v>
          </cell>
          <cell r="M826">
            <v>0</v>
          </cell>
        </row>
        <row r="827">
          <cell r="B827">
            <v>0</v>
          </cell>
          <cell r="M827">
            <v>0</v>
          </cell>
        </row>
        <row r="828">
          <cell r="B828">
            <v>0</v>
          </cell>
          <cell r="M828">
            <v>0</v>
          </cell>
        </row>
        <row r="829">
          <cell r="B829">
            <v>0</v>
          </cell>
          <cell r="M829">
            <v>0</v>
          </cell>
        </row>
        <row r="830">
          <cell r="B830">
            <v>0</v>
          </cell>
          <cell r="M830">
            <v>0</v>
          </cell>
        </row>
        <row r="831">
          <cell r="B831">
            <v>0</v>
          </cell>
          <cell r="M831">
            <v>0</v>
          </cell>
        </row>
        <row r="832">
          <cell r="B832">
            <v>0</v>
          </cell>
          <cell r="M832">
            <v>0</v>
          </cell>
        </row>
        <row r="833">
          <cell r="B833">
            <v>0</v>
          </cell>
          <cell r="M833">
            <v>0</v>
          </cell>
        </row>
        <row r="834">
          <cell r="B834">
            <v>0</v>
          </cell>
          <cell r="M834">
            <v>0</v>
          </cell>
        </row>
        <row r="835">
          <cell r="B835">
            <v>0</v>
          </cell>
          <cell r="M835">
            <v>0</v>
          </cell>
        </row>
        <row r="836">
          <cell r="B836">
            <v>0</v>
          </cell>
          <cell r="M836">
            <v>0</v>
          </cell>
        </row>
        <row r="837">
          <cell r="B837">
            <v>0</v>
          </cell>
          <cell r="M837">
            <v>0</v>
          </cell>
        </row>
        <row r="838">
          <cell r="B838">
            <v>0</v>
          </cell>
          <cell r="M838">
            <v>0</v>
          </cell>
        </row>
        <row r="839">
          <cell r="B839">
            <v>0</v>
          </cell>
          <cell r="M839">
            <v>0</v>
          </cell>
        </row>
        <row r="840">
          <cell r="B840">
            <v>0</v>
          </cell>
          <cell r="M840">
            <v>0</v>
          </cell>
        </row>
        <row r="841">
          <cell r="B841">
            <v>0</v>
          </cell>
          <cell r="M841">
            <v>0</v>
          </cell>
        </row>
        <row r="842">
          <cell r="B842">
            <v>0</v>
          </cell>
          <cell r="M842">
            <v>0</v>
          </cell>
        </row>
        <row r="843">
          <cell r="B843">
            <v>0</v>
          </cell>
          <cell r="M843">
            <v>0</v>
          </cell>
        </row>
        <row r="844">
          <cell r="B844">
            <v>0</v>
          </cell>
          <cell r="M844">
            <v>0</v>
          </cell>
        </row>
        <row r="845">
          <cell r="B845">
            <v>0</v>
          </cell>
          <cell r="M845">
            <v>0</v>
          </cell>
        </row>
        <row r="846">
          <cell r="B846">
            <v>0</v>
          </cell>
          <cell r="M846">
            <v>0</v>
          </cell>
        </row>
        <row r="847">
          <cell r="B847">
            <v>0</v>
          </cell>
          <cell r="M847">
            <v>0</v>
          </cell>
        </row>
        <row r="848">
          <cell r="B848">
            <v>0</v>
          </cell>
          <cell r="M848">
            <v>0</v>
          </cell>
        </row>
        <row r="849">
          <cell r="B849">
            <v>0</v>
          </cell>
          <cell r="M849">
            <v>0</v>
          </cell>
        </row>
        <row r="850">
          <cell r="B850">
            <v>0</v>
          </cell>
          <cell r="M850">
            <v>0</v>
          </cell>
        </row>
        <row r="851">
          <cell r="B851">
            <v>0</v>
          </cell>
          <cell r="M851">
            <v>0</v>
          </cell>
        </row>
        <row r="852">
          <cell r="B852">
            <v>0</v>
          </cell>
          <cell r="M852">
            <v>0</v>
          </cell>
        </row>
        <row r="853">
          <cell r="B853">
            <v>0</v>
          </cell>
          <cell r="M853">
            <v>0</v>
          </cell>
        </row>
        <row r="854">
          <cell r="B854">
            <v>0</v>
          </cell>
          <cell r="M854">
            <v>0</v>
          </cell>
        </row>
        <row r="855">
          <cell r="B855">
            <v>0</v>
          </cell>
          <cell r="M855">
            <v>0</v>
          </cell>
        </row>
        <row r="856">
          <cell r="B856">
            <v>0</v>
          </cell>
          <cell r="M856">
            <v>0</v>
          </cell>
        </row>
        <row r="857">
          <cell r="B857">
            <v>0</v>
          </cell>
          <cell r="M857">
            <v>0</v>
          </cell>
        </row>
        <row r="858">
          <cell r="B858">
            <v>0</v>
          </cell>
          <cell r="M858">
            <v>0</v>
          </cell>
        </row>
        <row r="859">
          <cell r="B859">
            <v>0</v>
          </cell>
          <cell r="M859">
            <v>0</v>
          </cell>
        </row>
        <row r="860">
          <cell r="B860">
            <v>0</v>
          </cell>
          <cell r="M860">
            <v>0</v>
          </cell>
        </row>
        <row r="861">
          <cell r="B861">
            <v>0</v>
          </cell>
          <cell r="M861">
            <v>0</v>
          </cell>
        </row>
        <row r="862">
          <cell r="B862">
            <v>0</v>
          </cell>
          <cell r="M862">
            <v>0</v>
          </cell>
        </row>
        <row r="863">
          <cell r="B863">
            <v>0</v>
          </cell>
          <cell r="M863">
            <v>0</v>
          </cell>
        </row>
        <row r="864">
          <cell r="B864">
            <v>0</v>
          </cell>
          <cell r="M864">
            <v>0</v>
          </cell>
        </row>
        <row r="865">
          <cell r="B865">
            <v>0</v>
          </cell>
          <cell r="M865">
            <v>0</v>
          </cell>
        </row>
        <row r="866">
          <cell r="B866">
            <v>0</v>
          </cell>
          <cell r="M866">
            <v>0</v>
          </cell>
        </row>
        <row r="867">
          <cell r="B867">
            <v>0</v>
          </cell>
          <cell r="M867">
            <v>0</v>
          </cell>
        </row>
        <row r="868">
          <cell r="B868">
            <v>0</v>
          </cell>
          <cell r="M868">
            <v>0</v>
          </cell>
        </row>
        <row r="869">
          <cell r="B869">
            <v>0</v>
          </cell>
          <cell r="M869">
            <v>0</v>
          </cell>
        </row>
        <row r="870">
          <cell r="B870">
            <v>0</v>
          </cell>
          <cell r="M870">
            <v>0</v>
          </cell>
        </row>
        <row r="871">
          <cell r="B871">
            <v>0</v>
          </cell>
          <cell r="M871">
            <v>0</v>
          </cell>
        </row>
        <row r="872">
          <cell r="B872">
            <v>0</v>
          </cell>
          <cell r="M872">
            <v>0</v>
          </cell>
        </row>
        <row r="873">
          <cell r="B873">
            <v>0</v>
          </cell>
          <cell r="M873">
            <v>0</v>
          </cell>
        </row>
        <row r="874">
          <cell r="B874">
            <v>0</v>
          </cell>
          <cell r="M874">
            <v>0</v>
          </cell>
        </row>
        <row r="875">
          <cell r="B875">
            <v>0</v>
          </cell>
          <cell r="M875">
            <v>0</v>
          </cell>
        </row>
        <row r="876">
          <cell r="B876">
            <v>0</v>
          </cell>
          <cell r="M876">
            <v>0</v>
          </cell>
        </row>
        <row r="877">
          <cell r="B877">
            <v>0</v>
          </cell>
          <cell r="M877">
            <v>0</v>
          </cell>
        </row>
        <row r="878">
          <cell r="B878">
            <v>0</v>
          </cell>
          <cell r="M878">
            <v>0</v>
          </cell>
        </row>
        <row r="879">
          <cell r="B879">
            <v>0</v>
          </cell>
          <cell r="M879">
            <v>0</v>
          </cell>
        </row>
        <row r="880">
          <cell r="B880">
            <v>0</v>
          </cell>
          <cell r="M880">
            <v>0</v>
          </cell>
        </row>
        <row r="881">
          <cell r="B881">
            <v>0</v>
          </cell>
          <cell r="M881">
            <v>0</v>
          </cell>
        </row>
        <row r="882">
          <cell r="B882">
            <v>0</v>
          </cell>
          <cell r="M882">
            <v>0</v>
          </cell>
        </row>
        <row r="883">
          <cell r="B883">
            <v>0</v>
          </cell>
          <cell r="M883">
            <v>0</v>
          </cell>
        </row>
        <row r="884">
          <cell r="B884">
            <v>0</v>
          </cell>
          <cell r="M884">
            <v>0</v>
          </cell>
        </row>
        <row r="885">
          <cell r="B885">
            <v>0</v>
          </cell>
          <cell r="M885">
            <v>0</v>
          </cell>
        </row>
        <row r="886">
          <cell r="B886">
            <v>0</v>
          </cell>
          <cell r="M886">
            <v>0</v>
          </cell>
        </row>
        <row r="887">
          <cell r="B887">
            <v>0</v>
          </cell>
          <cell r="M887">
            <v>0</v>
          </cell>
        </row>
        <row r="888">
          <cell r="B888">
            <v>0</v>
          </cell>
          <cell r="M888">
            <v>0</v>
          </cell>
        </row>
        <row r="889">
          <cell r="B889">
            <v>0</v>
          </cell>
          <cell r="M889">
            <v>0</v>
          </cell>
        </row>
        <row r="890">
          <cell r="B890">
            <v>0</v>
          </cell>
          <cell r="M890">
            <v>0</v>
          </cell>
        </row>
        <row r="891">
          <cell r="B891">
            <v>0</v>
          </cell>
          <cell r="M891">
            <v>0</v>
          </cell>
        </row>
        <row r="892">
          <cell r="B892">
            <v>0</v>
          </cell>
          <cell r="M892">
            <v>0</v>
          </cell>
        </row>
        <row r="893">
          <cell r="B893">
            <v>0</v>
          </cell>
          <cell r="M893">
            <v>0</v>
          </cell>
        </row>
        <row r="894">
          <cell r="B894">
            <v>0</v>
          </cell>
          <cell r="M894">
            <v>0</v>
          </cell>
        </row>
        <row r="895">
          <cell r="B895">
            <v>0</v>
          </cell>
          <cell r="M895">
            <v>0</v>
          </cell>
        </row>
        <row r="896">
          <cell r="B896">
            <v>0</v>
          </cell>
          <cell r="M896">
            <v>0</v>
          </cell>
        </row>
        <row r="897">
          <cell r="B897">
            <v>0</v>
          </cell>
          <cell r="M897">
            <v>0</v>
          </cell>
        </row>
        <row r="898">
          <cell r="B898">
            <v>0</v>
          </cell>
          <cell r="M898">
            <v>0</v>
          </cell>
        </row>
        <row r="899">
          <cell r="B899">
            <v>0</v>
          </cell>
          <cell r="M899">
            <v>0</v>
          </cell>
        </row>
        <row r="900">
          <cell r="B900">
            <v>0</v>
          </cell>
          <cell r="M900">
            <v>0</v>
          </cell>
        </row>
        <row r="901">
          <cell r="B901">
            <v>0</v>
          </cell>
          <cell r="M901">
            <v>0</v>
          </cell>
        </row>
        <row r="902">
          <cell r="B902">
            <v>0</v>
          </cell>
          <cell r="M902">
            <v>0</v>
          </cell>
        </row>
        <row r="903">
          <cell r="B903">
            <v>0</v>
          </cell>
          <cell r="M903">
            <v>0</v>
          </cell>
        </row>
        <row r="904">
          <cell r="B904">
            <v>0</v>
          </cell>
          <cell r="M904">
            <v>0</v>
          </cell>
        </row>
        <row r="905">
          <cell r="B905">
            <v>0</v>
          </cell>
          <cell r="M905">
            <v>0</v>
          </cell>
        </row>
        <row r="906">
          <cell r="B906">
            <v>0</v>
          </cell>
          <cell r="M906">
            <v>0</v>
          </cell>
        </row>
        <row r="907">
          <cell r="B907">
            <v>0</v>
          </cell>
          <cell r="M907">
            <v>0</v>
          </cell>
        </row>
        <row r="908">
          <cell r="B908">
            <v>0</v>
          </cell>
          <cell r="M908">
            <v>0</v>
          </cell>
        </row>
        <row r="909">
          <cell r="B909">
            <v>0</v>
          </cell>
          <cell r="M909">
            <v>0</v>
          </cell>
        </row>
        <row r="910">
          <cell r="B910">
            <v>0</v>
          </cell>
          <cell r="M910">
            <v>0</v>
          </cell>
        </row>
        <row r="911">
          <cell r="B911">
            <v>0</v>
          </cell>
          <cell r="M911">
            <v>0</v>
          </cell>
        </row>
        <row r="912">
          <cell r="B912">
            <v>0</v>
          </cell>
          <cell r="M912">
            <v>0</v>
          </cell>
        </row>
        <row r="913">
          <cell r="B913">
            <v>0</v>
          </cell>
          <cell r="M913">
            <v>0</v>
          </cell>
        </row>
        <row r="914">
          <cell r="B914">
            <v>0</v>
          </cell>
          <cell r="M914">
            <v>0</v>
          </cell>
        </row>
        <row r="915">
          <cell r="B915">
            <v>0</v>
          </cell>
          <cell r="M915">
            <v>0</v>
          </cell>
        </row>
        <row r="916">
          <cell r="B916">
            <v>0</v>
          </cell>
          <cell r="M916">
            <v>0</v>
          </cell>
        </row>
        <row r="917">
          <cell r="B917">
            <v>0</v>
          </cell>
          <cell r="M917">
            <v>0</v>
          </cell>
        </row>
        <row r="918">
          <cell r="B918">
            <v>0</v>
          </cell>
          <cell r="M918">
            <v>0</v>
          </cell>
        </row>
        <row r="919">
          <cell r="B919">
            <v>0</v>
          </cell>
          <cell r="M919">
            <v>0</v>
          </cell>
        </row>
        <row r="920">
          <cell r="B920">
            <v>0</v>
          </cell>
          <cell r="M920">
            <v>0</v>
          </cell>
        </row>
        <row r="921">
          <cell r="B921">
            <v>0</v>
          </cell>
          <cell r="M921">
            <v>0</v>
          </cell>
        </row>
        <row r="922">
          <cell r="B922">
            <v>0</v>
          </cell>
          <cell r="M922">
            <v>0</v>
          </cell>
        </row>
        <row r="923">
          <cell r="B923">
            <v>0</v>
          </cell>
          <cell r="M923">
            <v>0</v>
          </cell>
        </row>
        <row r="924">
          <cell r="B924">
            <v>0</v>
          </cell>
          <cell r="M924">
            <v>0</v>
          </cell>
        </row>
        <row r="925">
          <cell r="B925">
            <v>0</v>
          </cell>
          <cell r="M925">
            <v>0</v>
          </cell>
        </row>
        <row r="926">
          <cell r="B926">
            <v>0</v>
          </cell>
          <cell r="M926">
            <v>0</v>
          </cell>
        </row>
        <row r="927">
          <cell r="B927">
            <v>0</v>
          </cell>
          <cell r="M927">
            <v>0</v>
          </cell>
        </row>
        <row r="928">
          <cell r="B928">
            <v>0</v>
          </cell>
          <cell r="M928">
            <v>0</v>
          </cell>
        </row>
        <row r="929">
          <cell r="B929">
            <v>0</v>
          </cell>
          <cell r="M929">
            <v>0</v>
          </cell>
        </row>
        <row r="930">
          <cell r="B930">
            <v>0</v>
          </cell>
          <cell r="M930">
            <v>0</v>
          </cell>
        </row>
        <row r="931">
          <cell r="B931">
            <v>0</v>
          </cell>
          <cell r="M931">
            <v>0</v>
          </cell>
        </row>
        <row r="932">
          <cell r="B932">
            <v>0</v>
          </cell>
          <cell r="M932">
            <v>0</v>
          </cell>
        </row>
        <row r="933">
          <cell r="B933">
            <v>0</v>
          </cell>
          <cell r="M933">
            <v>0</v>
          </cell>
        </row>
        <row r="934">
          <cell r="B934">
            <v>0</v>
          </cell>
          <cell r="M934">
            <v>0</v>
          </cell>
        </row>
        <row r="935">
          <cell r="B935">
            <v>0</v>
          </cell>
          <cell r="M935">
            <v>0</v>
          </cell>
        </row>
        <row r="936">
          <cell r="B936">
            <v>0</v>
          </cell>
          <cell r="M936">
            <v>0</v>
          </cell>
        </row>
        <row r="937">
          <cell r="B937">
            <v>0</v>
          </cell>
          <cell r="M937">
            <v>0</v>
          </cell>
        </row>
        <row r="938">
          <cell r="B938">
            <v>0</v>
          </cell>
          <cell r="M938">
            <v>0</v>
          </cell>
        </row>
        <row r="939">
          <cell r="B939">
            <v>616222</v>
          </cell>
          <cell r="M939">
            <v>4.5</v>
          </cell>
        </row>
        <row r="940">
          <cell r="B940">
            <v>214572</v>
          </cell>
          <cell r="M940">
            <v>4</v>
          </cell>
        </row>
        <row r="941">
          <cell r="B941">
            <v>464353</v>
          </cell>
          <cell r="M941">
            <v>4</v>
          </cell>
        </row>
        <row r="942">
          <cell r="B942">
            <v>586268</v>
          </cell>
          <cell r="M942">
            <v>4</v>
          </cell>
        </row>
        <row r="943">
          <cell r="B943">
            <v>67089</v>
          </cell>
          <cell r="M943">
            <v>4</v>
          </cell>
        </row>
        <row r="944">
          <cell r="B944">
            <v>174874</v>
          </cell>
          <cell r="M944">
            <v>5</v>
          </cell>
        </row>
        <row r="945">
          <cell r="B945">
            <v>470551</v>
          </cell>
          <cell r="M945">
            <v>5</v>
          </cell>
        </row>
        <row r="946">
          <cell r="B946">
            <v>81441</v>
          </cell>
          <cell r="M946">
            <v>4.5</v>
          </cell>
        </row>
        <row r="947">
          <cell r="B947">
            <v>554578</v>
          </cell>
          <cell r="M947">
            <v>4.5</v>
          </cell>
        </row>
        <row r="948">
          <cell r="B948">
            <v>548308</v>
          </cell>
          <cell r="M948">
            <v>4.5</v>
          </cell>
        </row>
        <row r="949">
          <cell r="B949">
            <v>519440</v>
          </cell>
          <cell r="M949">
            <v>4</v>
          </cell>
        </row>
        <row r="950">
          <cell r="B950">
            <v>606702</v>
          </cell>
          <cell r="M950">
            <v>5</v>
          </cell>
        </row>
        <row r="951">
          <cell r="B951">
            <v>214285</v>
          </cell>
          <cell r="M951">
            <v>5</v>
          </cell>
        </row>
        <row r="952">
          <cell r="B952">
            <v>489580</v>
          </cell>
          <cell r="M952">
            <v>4</v>
          </cell>
        </row>
        <row r="953">
          <cell r="B953">
            <v>171287</v>
          </cell>
          <cell r="M953">
            <v>5</v>
          </cell>
        </row>
        <row r="954">
          <cell r="B954">
            <v>50093</v>
          </cell>
          <cell r="M954">
            <v>4</v>
          </cell>
        </row>
        <row r="955">
          <cell r="B955">
            <v>546600</v>
          </cell>
          <cell r="M955">
            <v>4.5</v>
          </cell>
        </row>
        <row r="956">
          <cell r="B956">
            <v>240514</v>
          </cell>
          <cell r="M956">
            <v>4.5</v>
          </cell>
        </row>
        <row r="957">
          <cell r="B957">
            <v>578545</v>
          </cell>
          <cell r="M957">
            <v>4</v>
          </cell>
        </row>
        <row r="958">
          <cell r="B958">
            <v>549939</v>
          </cell>
          <cell r="M958">
            <v>4.5</v>
          </cell>
        </row>
        <row r="959">
          <cell r="B959">
            <v>432987</v>
          </cell>
          <cell r="M959">
            <v>4</v>
          </cell>
        </row>
        <row r="960">
          <cell r="B960">
            <v>647681</v>
          </cell>
          <cell r="M960">
            <v>4</v>
          </cell>
        </row>
        <row r="961">
          <cell r="B961">
            <v>169593</v>
          </cell>
          <cell r="M961">
            <v>4</v>
          </cell>
        </row>
        <row r="962">
          <cell r="B962">
            <v>49262</v>
          </cell>
          <cell r="M962">
            <v>4</v>
          </cell>
        </row>
        <row r="963">
          <cell r="B963">
            <v>484389</v>
          </cell>
          <cell r="M963">
            <v>4</v>
          </cell>
        </row>
        <row r="964">
          <cell r="B964">
            <v>110690</v>
          </cell>
          <cell r="M964">
            <v>4.5</v>
          </cell>
        </row>
        <row r="965">
          <cell r="B965">
            <v>507433</v>
          </cell>
          <cell r="M965">
            <v>4.5</v>
          </cell>
        </row>
        <row r="966">
          <cell r="B966">
            <v>229600</v>
          </cell>
          <cell r="M966">
            <v>5</v>
          </cell>
        </row>
        <row r="967">
          <cell r="B967">
            <v>138001</v>
          </cell>
          <cell r="M967">
            <v>4.5</v>
          </cell>
        </row>
        <row r="968">
          <cell r="B968">
            <v>620109</v>
          </cell>
          <cell r="M968">
            <v>5.5</v>
          </cell>
        </row>
        <row r="969">
          <cell r="B969">
            <v>622758</v>
          </cell>
          <cell r="M969">
            <v>4.5</v>
          </cell>
        </row>
        <row r="970">
          <cell r="B970">
            <v>40383</v>
          </cell>
          <cell r="M970">
            <v>4</v>
          </cell>
        </row>
        <row r="971">
          <cell r="B971">
            <v>444172</v>
          </cell>
          <cell r="M971">
            <v>4</v>
          </cell>
        </row>
        <row r="972">
          <cell r="B972">
            <v>232571</v>
          </cell>
          <cell r="M972">
            <v>4</v>
          </cell>
        </row>
        <row r="973">
          <cell r="B973">
            <v>86873</v>
          </cell>
          <cell r="M973">
            <v>4</v>
          </cell>
        </row>
        <row r="974">
          <cell r="B974">
            <v>505079</v>
          </cell>
          <cell r="M974">
            <v>4</v>
          </cell>
        </row>
        <row r="975">
          <cell r="B975">
            <v>522047</v>
          </cell>
          <cell r="M975">
            <v>5</v>
          </cell>
        </row>
        <row r="976">
          <cell r="B976">
            <v>242313</v>
          </cell>
          <cell r="M976">
            <v>4.5</v>
          </cell>
        </row>
        <row r="977">
          <cell r="B977">
            <v>451490</v>
          </cell>
          <cell r="M977">
            <v>4.5</v>
          </cell>
        </row>
        <row r="978">
          <cell r="B978">
            <v>454490</v>
          </cell>
          <cell r="M978">
            <v>5</v>
          </cell>
        </row>
        <row r="979">
          <cell r="B979">
            <v>223434</v>
          </cell>
          <cell r="M979">
            <v>4.5</v>
          </cell>
        </row>
        <row r="980">
          <cell r="B980">
            <v>610799</v>
          </cell>
          <cell r="M980">
            <v>5</v>
          </cell>
        </row>
        <row r="981">
          <cell r="B981">
            <v>538638</v>
          </cell>
          <cell r="M981">
            <v>4</v>
          </cell>
        </row>
        <row r="982">
          <cell r="B982">
            <v>204822</v>
          </cell>
          <cell r="M982">
            <v>4</v>
          </cell>
        </row>
        <row r="983">
          <cell r="B983">
            <v>539142</v>
          </cell>
          <cell r="M983">
            <v>4</v>
          </cell>
        </row>
        <row r="984">
          <cell r="B984">
            <v>513086</v>
          </cell>
          <cell r="M984">
            <v>4.5</v>
          </cell>
        </row>
        <row r="985">
          <cell r="B985">
            <v>570241</v>
          </cell>
          <cell r="M985">
            <v>4.5</v>
          </cell>
        </row>
        <row r="986">
          <cell r="B986">
            <v>499300</v>
          </cell>
          <cell r="M986">
            <v>4</v>
          </cell>
        </row>
        <row r="987">
          <cell r="B987">
            <v>483067</v>
          </cell>
          <cell r="M987">
            <v>5</v>
          </cell>
        </row>
        <row r="988">
          <cell r="B988">
            <v>436893</v>
          </cell>
          <cell r="M988">
            <v>4.5</v>
          </cell>
        </row>
        <row r="989">
          <cell r="B989">
            <v>575901</v>
          </cell>
          <cell r="M989">
            <v>4</v>
          </cell>
        </row>
        <row r="990">
          <cell r="B990">
            <v>167825</v>
          </cell>
          <cell r="M990">
            <v>4</v>
          </cell>
        </row>
        <row r="991">
          <cell r="B991">
            <v>93605</v>
          </cell>
          <cell r="M991">
            <v>4.5</v>
          </cell>
        </row>
        <row r="992">
          <cell r="B992">
            <v>477547</v>
          </cell>
          <cell r="M992">
            <v>4</v>
          </cell>
        </row>
        <row r="993">
          <cell r="B993">
            <v>444463</v>
          </cell>
          <cell r="M993">
            <v>5</v>
          </cell>
        </row>
        <row r="994">
          <cell r="B994">
            <v>444307</v>
          </cell>
          <cell r="M994">
            <v>4</v>
          </cell>
        </row>
        <row r="995">
          <cell r="B995">
            <v>105666</v>
          </cell>
          <cell r="M995">
            <v>4.5</v>
          </cell>
        </row>
        <row r="996">
          <cell r="B996">
            <v>549074</v>
          </cell>
          <cell r="M996">
            <v>5</v>
          </cell>
        </row>
        <row r="997">
          <cell r="B997">
            <v>494950</v>
          </cell>
          <cell r="M997">
            <v>4</v>
          </cell>
        </row>
        <row r="998">
          <cell r="B998">
            <v>492777</v>
          </cell>
          <cell r="M998">
            <v>5</v>
          </cell>
        </row>
        <row r="999">
          <cell r="B999">
            <v>169359</v>
          </cell>
          <cell r="M999">
            <v>4</v>
          </cell>
        </row>
        <row r="1000">
          <cell r="B1000">
            <v>501902</v>
          </cell>
          <cell r="M1000">
            <v>4</v>
          </cell>
        </row>
        <row r="1001">
          <cell r="B1001">
            <v>491007</v>
          </cell>
          <cell r="M1001">
            <v>4.5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33726-849D-49F9-873C-40018B94EF72}">
  <dimension ref="A1:H1041"/>
  <sheetViews>
    <sheetView showGridLines="0" topLeftCell="A16" workbookViewId="0">
      <selection activeCell="E46" sqref="E46"/>
    </sheetView>
  </sheetViews>
  <sheetFormatPr defaultRowHeight="15" x14ac:dyDescent="0.25"/>
  <cols>
    <col min="1" max="1" width="5.625" style="38" customWidth="1"/>
    <col min="2" max="2" width="10.875" bestFit="1" customWidth="1"/>
    <col min="3" max="3" width="48" bestFit="1" customWidth="1"/>
    <col min="4" max="4" width="11.875" bestFit="1" customWidth="1"/>
    <col min="5" max="5" width="14" bestFit="1" customWidth="1"/>
    <col min="6" max="6" width="16" bestFit="1" customWidth="1"/>
    <col min="7" max="8" width="19.125" bestFit="1" customWidth="1"/>
  </cols>
  <sheetData>
    <row r="1" spans="1:8" x14ac:dyDescent="0.25">
      <c r="A1" s="38" t="s">
        <v>51</v>
      </c>
    </row>
    <row r="2" spans="1:8" x14ac:dyDescent="0.25">
      <c r="A2" s="38" t="s">
        <v>1124</v>
      </c>
      <c r="B2" s="9"/>
      <c r="C2" s="9"/>
      <c r="D2" s="9"/>
      <c r="E2" s="9"/>
      <c r="F2" s="9"/>
      <c r="G2" s="9"/>
      <c r="H2" s="9"/>
    </row>
    <row r="3" spans="1:8" x14ac:dyDescent="0.25">
      <c r="A3" s="38" t="s">
        <v>1125</v>
      </c>
      <c r="B3" s="9"/>
      <c r="C3" s="9"/>
      <c r="D3" s="9"/>
      <c r="E3" s="9"/>
      <c r="F3" s="9"/>
      <c r="G3" s="9"/>
      <c r="H3" s="9"/>
    </row>
    <row r="4" spans="1:8" x14ac:dyDescent="0.25">
      <c r="B4" s="9"/>
      <c r="C4" s="9"/>
      <c r="D4" s="9"/>
      <c r="E4" s="9"/>
      <c r="F4" s="9"/>
      <c r="G4" s="9"/>
      <c r="H4" s="9"/>
    </row>
    <row r="5" spans="1:8" ht="15.75" thickBot="1" x14ac:dyDescent="0.3">
      <c r="A5" s="38" t="s">
        <v>52</v>
      </c>
      <c r="B5" s="9"/>
      <c r="C5" s="9"/>
      <c r="D5" s="9"/>
      <c r="E5" s="9"/>
      <c r="F5" s="9"/>
      <c r="G5" s="9"/>
      <c r="H5" s="9"/>
    </row>
    <row r="6" spans="1:8" ht="15.75" thickBot="1" x14ac:dyDescent="0.3">
      <c r="B6" s="35" t="s">
        <v>53</v>
      </c>
      <c r="C6" s="36" t="s">
        <v>54</v>
      </c>
      <c r="D6" s="36" t="s">
        <v>55</v>
      </c>
      <c r="E6" s="36" t="s">
        <v>56</v>
      </c>
      <c r="F6" s="36" t="s">
        <v>57</v>
      </c>
      <c r="G6" s="36" t="s">
        <v>58</v>
      </c>
      <c r="H6" s="37" t="s">
        <v>59</v>
      </c>
    </row>
    <row r="7" spans="1:8" x14ac:dyDescent="0.25">
      <c r="B7" s="29" t="s">
        <v>60</v>
      </c>
      <c r="C7" s="30" t="s">
        <v>1126</v>
      </c>
      <c r="D7" s="30">
        <v>1</v>
      </c>
      <c r="E7" s="30">
        <v>0</v>
      </c>
      <c r="F7" s="30">
        <v>34.20772830718488</v>
      </c>
      <c r="G7" s="30">
        <v>1E+100</v>
      </c>
      <c r="H7" s="31">
        <v>4.3914945689999998</v>
      </c>
    </row>
    <row r="8" spans="1:8" x14ac:dyDescent="0.25">
      <c r="B8" s="29" t="s">
        <v>62</v>
      </c>
      <c r="C8" s="30" t="s">
        <v>1128</v>
      </c>
      <c r="D8" s="30">
        <v>1</v>
      </c>
      <c r="E8" s="30">
        <v>0</v>
      </c>
      <c r="F8" s="30">
        <v>34.20772830718488</v>
      </c>
      <c r="G8" s="30">
        <v>1E+100</v>
      </c>
      <c r="H8" s="31">
        <v>2.7928341909999999</v>
      </c>
    </row>
    <row r="9" spans="1:8" x14ac:dyDescent="0.25">
      <c r="B9" s="29" t="s">
        <v>63</v>
      </c>
      <c r="C9" s="30" t="s">
        <v>1129</v>
      </c>
      <c r="D9" s="30">
        <v>1</v>
      </c>
      <c r="E9" s="30">
        <v>0</v>
      </c>
      <c r="F9" s="30">
        <v>29.369477263215231</v>
      </c>
      <c r="G9" s="30">
        <v>1E+100</v>
      </c>
      <c r="H9" s="31">
        <v>3.7318874929999999</v>
      </c>
    </row>
    <row r="10" spans="1:8" x14ac:dyDescent="0.25">
      <c r="B10" s="29" t="s">
        <v>66</v>
      </c>
      <c r="C10" s="30" t="s">
        <v>1132</v>
      </c>
      <c r="D10" s="30">
        <v>1</v>
      </c>
      <c r="E10" s="30">
        <v>0</v>
      </c>
      <c r="F10" s="30">
        <v>28.550337082706392</v>
      </c>
      <c r="G10" s="30">
        <v>1E+100</v>
      </c>
      <c r="H10" s="31">
        <v>3.5311486190000001</v>
      </c>
    </row>
    <row r="11" spans="1:8" x14ac:dyDescent="0.25">
      <c r="B11" s="29" t="s">
        <v>69</v>
      </c>
      <c r="C11" s="30" t="s">
        <v>1135</v>
      </c>
      <c r="D11" s="30">
        <v>1</v>
      </c>
      <c r="E11" s="30">
        <v>0</v>
      </c>
      <c r="F11" s="30">
        <v>27.906521576194791</v>
      </c>
      <c r="G11" s="30">
        <v>1E+100</v>
      </c>
      <c r="H11" s="31">
        <v>2.8873331119999999</v>
      </c>
    </row>
    <row r="12" spans="1:8" x14ac:dyDescent="0.25">
      <c r="B12" s="29" t="s">
        <v>72</v>
      </c>
      <c r="C12" s="30" t="s">
        <v>1138</v>
      </c>
      <c r="D12" s="30">
        <v>1</v>
      </c>
      <c r="E12" s="30">
        <v>0</v>
      </c>
      <c r="F12" s="30">
        <v>24.675412353404681</v>
      </c>
      <c r="G12" s="30">
        <v>1E+100</v>
      </c>
      <c r="H12" s="31">
        <v>0.85548520809999995</v>
      </c>
    </row>
    <row r="13" spans="1:8" x14ac:dyDescent="0.25">
      <c r="B13" s="29" t="s">
        <v>75</v>
      </c>
      <c r="C13" s="30" t="s">
        <v>1141</v>
      </c>
      <c r="D13" s="30">
        <v>1</v>
      </c>
      <c r="E13" s="30">
        <v>0</v>
      </c>
      <c r="F13" s="30">
        <v>24.311262311908649</v>
      </c>
      <c r="G13" s="30">
        <v>1E+100</v>
      </c>
      <c r="H13" s="31">
        <v>1.0721951780000001</v>
      </c>
    </row>
    <row r="14" spans="1:8" x14ac:dyDescent="0.25">
      <c r="B14" s="29" t="s">
        <v>78</v>
      </c>
      <c r="C14" s="30" t="s">
        <v>1144</v>
      </c>
      <c r="D14" s="30">
        <v>1</v>
      </c>
      <c r="E14" s="30">
        <v>0</v>
      </c>
      <c r="F14" s="30">
        <v>22.974508240848081</v>
      </c>
      <c r="G14" s="30">
        <v>1E+100</v>
      </c>
      <c r="H14" s="31">
        <v>1.1537046740000001</v>
      </c>
    </row>
    <row r="15" spans="1:8" x14ac:dyDescent="0.25">
      <c r="B15" s="29" t="s">
        <v>81</v>
      </c>
      <c r="C15" s="30" t="s">
        <v>1147</v>
      </c>
      <c r="D15" s="30">
        <v>1</v>
      </c>
      <c r="E15" s="30">
        <v>0</v>
      </c>
      <c r="F15" s="30">
        <v>22.039805914784665</v>
      </c>
      <c r="G15" s="30">
        <v>0.20220976360000001</v>
      </c>
      <c r="H15" s="31">
        <v>0.21586865729999999</v>
      </c>
    </row>
    <row r="16" spans="1:8" x14ac:dyDescent="0.25">
      <c r="B16" s="29" t="s">
        <v>84</v>
      </c>
      <c r="C16" s="30" t="s">
        <v>1150</v>
      </c>
      <c r="D16" s="30">
        <v>1</v>
      </c>
      <c r="E16" s="30">
        <v>0</v>
      </c>
      <c r="F16" s="30">
        <v>21.921836527457344</v>
      </c>
      <c r="G16" s="30">
        <v>1E+100</v>
      </c>
      <c r="H16" s="31">
        <v>1.49397</v>
      </c>
    </row>
    <row r="17" spans="2:8" x14ac:dyDescent="0.25">
      <c r="B17" s="29" t="s">
        <v>87</v>
      </c>
      <c r="C17" s="30" t="s">
        <v>1153</v>
      </c>
      <c r="D17" s="30">
        <v>1</v>
      </c>
      <c r="E17" s="30">
        <v>0</v>
      </c>
      <c r="F17" s="30">
        <v>21.786724251156556</v>
      </c>
      <c r="G17" s="30">
        <v>1E+100</v>
      </c>
      <c r="H17" s="31">
        <v>0.33122858379999998</v>
      </c>
    </row>
    <row r="18" spans="2:8" x14ac:dyDescent="0.25">
      <c r="B18" s="29" t="s">
        <v>90</v>
      </c>
      <c r="C18" s="30" t="s">
        <v>1156</v>
      </c>
      <c r="D18" s="30">
        <v>0.8</v>
      </c>
      <c r="E18" s="30">
        <v>0</v>
      </c>
      <c r="F18" s="30">
        <v>22.420434326530085</v>
      </c>
      <c r="G18" s="30">
        <v>0.70977553680000005</v>
      </c>
      <c r="H18" s="31">
        <v>0.3370162726</v>
      </c>
    </row>
    <row r="19" spans="2:8" x14ac:dyDescent="0.25">
      <c r="B19" s="29" t="s">
        <v>93</v>
      </c>
      <c r="C19" s="30" t="s">
        <v>1159</v>
      </c>
      <c r="D19" s="30">
        <v>0.2</v>
      </c>
      <c r="E19" s="30">
        <v>0</v>
      </c>
      <c r="F19" s="30">
        <v>31.414894216213725</v>
      </c>
      <c r="G19" s="30">
        <v>4.2783685089999999</v>
      </c>
      <c r="H19" s="31">
        <v>0.50552440899999995</v>
      </c>
    </row>
    <row r="20" spans="2:8" x14ac:dyDescent="0.25">
      <c r="B20" s="29" t="s">
        <v>111</v>
      </c>
      <c r="C20" s="30" t="s">
        <v>1177</v>
      </c>
      <c r="D20" s="30">
        <v>0</v>
      </c>
      <c r="E20" s="30">
        <v>0</v>
      </c>
      <c r="F20" s="30">
        <v>22.620665926646325</v>
      </c>
      <c r="G20" s="30">
        <v>0.85548520809999995</v>
      </c>
      <c r="H20" s="31">
        <v>0.67327504640000002</v>
      </c>
    </row>
    <row r="21" spans="2:8" x14ac:dyDescent="0.25">
      <c r="B21" s="29" t="s">
        <v>217</v>
      </c>
      <c r="C21" s="30" t="s">
        <v>1283</v>
      </c>
      <c r="D21" s="30">
        <v>0</v>
      </c>
      <c r="E21" s="30">
        <v>-0.20220966000000001</v>
      </c>
      <c r="F21" s="30">
        <v>3.7762027040298562</v>
      </c>
      <c r="G21" s="30">
        <v>0.20220966360000001</v>
      </c>
      <c r="H21" s="31">
        <v>1E+100</v>
      </c>
    </row>
    <row r="22" spans="2:8" x14ac:dyDescent="0.25">
      <c r="B22" s="29" t="s">
        <v>114</v>
      </c>
      <c r="C22" s="30" t="s">
        <v>1180</v>
      </c>
      <c r="D22" s="30">
        <v>0</v>
      </c>
      <c r="E22" s="30">
        <v>-0.21586855999999999</v>
      </c>
      <c r="F22" s="30">
        <v>21.823937357490649</v>
      </c>
      <c r="G22" s="30">
        <v>0.21586855730000001</v>
      </c>
      <c r="H22" s="31">
        <v>1E+100</v>
      </c>
    </row>
    <row r="23" spans="2:8" x14ac:dyDescent="0.25">
      <c r="B23" s="29" t="s">
        <v>262</v>
      </c>
      <c r="C23" s="30" t="s">
        <v>1328</v>
      </c>
      <c r="D23" s="30">
        <v>0</v>
      </c>
      <c r="E23" s="30">
        <v>-0.33122847999999999</v>
      </c>
      <c r="F23" s="30">
        <v>3.6131044677167665</v>
      </c>
      <c r="G23" s="30">
        <v>0.33122848379999997</v>
      </c>
      <c r="H23" s="31">
        <v>1E+100</v>
      </c>
    </row>
    <row r="24" spans="2:8" x14ac:dyDescent="0.25">
      <c r="B24" s="29" t="s">
        <v>268</v>
      </c>
      <c r="C24" s="30" t="s">
        <v>1334</v>
      </c>
      <c r="D24" s="30">
        <v>0</v>
      </c>
      <c r="E24" s="30">
        <v>-0.35298246999999999</v>
      </c>
      <c r="F24" s="30">
        <v>3.5913504834607011</v>
      </c>
      <c r="G24" s="30">
        <v>0.3529824681</v>
      </c>
      <c r="H24" s="31">
        <v>1E+100</v>
      </c>
    </row>
    <row r="25" spans="2:8" x14ac:dyDescent="0.25">
      <c r="B25" s="29" t="s">
        <v>283</v>
      </c>
      <c r="C25" s="30" t="s">
        <v>1349</v>
      </c>
      <c r="D25" s="30">
        <v>0</v>
      </c>
      <c r="E25" s="30">
        <v>-0.41379333000000001</v>
      </c>
      <c r="F25" s="30">
        <v>3.5305396180337993</v>
      </c>
      <c r="G25" s="30">
        <v>0.41379333350000003</v>
      </c>
      <c r="H25" s="31">
        <v>1E+100</v>
      </c>
    </row>
    <row r="26" spans="2:8" x14ac:dyDescent="0.25">
      <c r="B26" s="29" t="s">
        <v>301</v>
      </c>
      <c r="C26" s="30" t="s">
        <v>1367</v>
      </c>
      <c r="D26" s="30">
        <v>0</v>
      </c>
      <c r="E26" s="30">
        <v>-0.48304635000000001</v>
      </c>
      <c r="F26" s="30">
        <v>3.4953660132596269</v>
      </c>
      <c r="G26" s="30">
        <v>0.48304635439999999</v>
      </c>
      <c r="H26" s="31">
        <v>1E+100</v>
      </c>
    </row>
    <row r="27" spans="2:8" x14ac:dyDescent="0.25">
      <c r="B27" s="29" t="s">
        <v>307</v>
      </c>
      <c r="C27" s="30" t="s">
        <v>1373</v>
      </c>
      <c r="D27" s="30">
        <v>0</v>
      </c>
      <c r="E27" s="30">
        <v>-0.51463875000000003</v>
      </c>
      <c r="F27" s="30">
        <v>3.4637736172735458</v>
      </c>
      <c r="G27" s="30">
        <v>0.51463875029999995</v>
      </c>
      <c r="H27" s="31">
        <v>1E+100</v>
      </c>
    </row>
    <row r="28" spans="2:8" x14ac:dyDescent="0.25">
      <c r="B28" s="29" t="s">
        <v>319</v>
      </c>
      <c r="C28" s="30" t="s">
        <v>1385</v>
      </c>
      <c r="D28" s="30">
        <v>0</v>
      </c>
      <c r="E28" s="30">
        <v>-0.53868110999999996</v>
      </c>
      <c r="F28" s="30">
        <v>3.4397312622168101</v>
      </c>
      <c r="G28" s="30">
        <v>0.53868110540000003</v>
      </c>
      <c r="H28" s="31">
        <v>1E+100</v>
      </c>
    </row>
    <row r="29" spans="2:8" x14ac:dyDescent="0.25">
      <c r="B29" s="29" t="s">
        <v>331</v>
      </c>
      <c r="C29" s="30" t="s">
        <v>1397</v>
      </c>
      <c r="D29" s="30">
        <v>0</v>
      </c>
      <c r="E29" s="30">
        <v>-0.57747990999999999</v>
      </c>
      <c r="F29" s="30">
        <v>3.4009324561193353</v>
      </c>
      <c r="G29" s="30">
        <v>0.5774799115</v>
      </c>
      <c r="H29" s="31">
        <v>1E+100</v>
      </c>
    </row>
    <row r="30" spans="2:8" x14ac:dyDescent="0.25">
      <c r="B30" s="29" t="s">
        <v>496</v>
      </c>
      <c r="C30" s="30" t="s">
        <v>1562</v>
      </c>
      <c r="D30" s="30">
        <v>0</v>
      </c>
      <c r="E30" s="30">
        <v>-0.61206406999999996</v>
      </c>
      <c r="F30" s="30">
        <v>2.7667176424874924</v>
      </c>
      <c r="G30" s="30">
        <v>0.61206406579999995</v>
      </c>
      <c r="H30" s="31">
        <v>1E+100</v>
      </c>
    </row>
    <row r="31" spans="2:8" x14ac:dyDescent="0.25">
      <c r="B31" s="29" t="s">
        <v>181</v>
      </c>
      <c r="C31" s="30" t="s">
        <v>1247</v>
      </c>
      <c r="D31" s="30">
        <v>0</v>
      </c>
      <c r="E31" s="30">
        <v>-0.61288558000000004</v>
      </c>
      <c r="F31" s="30">
        <v>3.9310780330561101</v>
      </c>
      <c r="G31" s="30">
        <v>0.61288557779999997</v>
      </c>
      <c r="H31" s="31">
        <v>1E+100</v>
      </c>
    </row>
    <row r="32" spans="2:8" x14ac:dyDescent="0.25">
      <c r="B32" s="29" t="s">
        <v>358</v>
      </c>
      <c r="C32" s="30" t="s">
        <v>1424</v>
      </c>
      <c r="D32" s="30">
        <v>0</v>
      </c>
      <c r="E32" s="30">
        <v>-0.61442848000000005</v>
      </c>
      <c r="F32" s="30">
        <v>3.3299044683226384</v>
      </c>
      <c r="G32" s="30">
        <v>0.61442848319999999</v>
      </c>
      <c r="H32" s="31">
        <v>1E+100</v>
      </c>
    </row>
    <row r="33" spans="2:8" x14ac:dyDescent="0.25">
      <c r="B33" s="29" t="s">
        <v>502</v>
      </c>
      <c r="C33" s="30" t="s">
        <v>1568</v>
      </c>
      <c r="D33" s="30">
        <v>0</v>
      </c>
      <c r="E33" s="30">
        <v>-0.65630708999999998</v>
      </c>
      <c r="F33" s="30">
        <v>2.7224746160791256</v>
      </c>
      <c r="G33" s="30">
        <v>0.65630709220000005</v>
      </c>
      <c r="H33" s="31">
        <v>1E+100</v>
      </c>
    </row>
    <row r="34" spans="2:8" x14ac:dyDescent="0.25">
      <c r="B34" s="29" t="s">
        <v>102</v>
      </c>
      <c r="C34" s="30" t="s">
        <v>1168</v>
      </c>
      <c r="D34" s="30">
        <v>0</v>
      </c>
      <c r="E34" s="30">
        <v>-0.67327495000000004</v>
      </c>
      <c r="F34" s="30">
        <v>23.146652298863046</v>
      </c>
      <c r="G34" s="30">
        <v>0.67327494639999996</v>
      </c>
      <c r="H34" s="31">
        <v>1E+100</v>
      </c>
    </row>
    <row r="35" spans="2:8" x14ac:dyDescent="0.25">
      <c r="B35" s="29" t="s">
        <v>187</v>
      </c>
      <c r="C35" s="30" t="s">
        <v>1253</v>
      </c>
      <c r="D35" s="30">
        <v>0</v>
      </c>
      <c r="E35" s="30">
        <v>-0.67650708999999998</v>
      </c>
      <c r="F35" s="30">
        <v>3.9015359390614321</v>
      </c>
      <c r="G35" s="30">
        <v>0.67650708790000003</v>
      </c>
      <c r="H35" s="31">
        <v>1E+100</v>
      </c>
    </row>
    <row r="36" spans="2:8" x14ac:dyDescent="0.25">
      <c r="B36" s="29" t="s">
        <v>202</v>
      </c>
      <c r="C36" s="30" t="s">
        <v>1268</v>
      </c>
      <c r="D36" s="30">
        <v>0</v>
      </c>
      <c r="E36" s="30">
        <v>-0.73061354000000001</v>
      </c>
      <c r="F36" s="30">
        <v>3.8133500686526531</v>
      </c>
      <c r="G36" s="30">
        <v>0.73061354219999997</v>
      </c>
      <c r="H36" s="31">
        <v>1E+100</v>
      </c>
    </row>
    <row r="37" spans="2:8" x14ac:dyDescent="0.25">
      <c r="B37" s="29" t="s">
        <v>232</v>
      </c>
      <c r="C37" s="30" t="s">
        <v>1298</v>
      </c>
      <c r="D37" s="30">
        <v>0</v>
      </c>
      <c r="E37" s="30">
        <v>-0.84856343000000001</v>
      </c>
      <c r="F37" s="30">
        <v>3.6954001817066455</v>
      </c>
      <c r="G37" s="30">
        <v>0.84856342920000005</v>
      </c>
      <c r="H37" s="31">
        <v>1E+100</v>
      </c>
    </row>
    <row r="38" spans="2:8" x14ac:dyDescent="0.25">
      <c r="B38" s="29" t="s">
        <v>406</v>
      </c>
      <c r="C38" s="30" t="s">
        <v>1472</v>
      </c>
      <c r="D38" s="30">
        <v>0</v>
      </c>
      <c r="E38" s="30">
        <v>-0.89725122000000002</v>
      </c>
      <c r="F38" s="30">
        <v>3.0811611463141162</v>
      </c>
      <c r="G38" s="30">
        <v>0.89725122130000001</v>
      </c>
      <c r="H38" s="31">
        <v>1E+100</v>
      </c>
    </row>
    <row r="39" spans="2:8" x14ac:dyDescent="0.25">
      <c r="B39" s="29" t="s">
        <v>247</v>
      </c>
      <c r="C39" s="30" t="s">
        <v>1313</v>
      </c>
      <c r="D39" s="30">
        <v>0</v>
      </c>
      <c r="E39" s="30">
        <v>-0.90450244000000002</v>
      </c>
      <c r="F39" s="30">
        <v>3.6394611716241343</v>
      </c>
      <c r="G39" s="30">
        <v>0.90450243919999995</v>
      </c>
      <c r="H39" s="31">
        <v>1E+100</v>
      </c>
    </row>
    <row r="40" spans="2:8" x14ac:dyDescent="0.25">
      <c r="B40" s="29" t="s">
        <v>180</v>
      </c>
      <c r="C40" s="30" t="s">
        <v>1246</v>
      </c>
      <c r="D40" s="30">
        <v>0</v>
      </c>
      <c r="E40" s="30">
        <v>-0.93207276999999999</v>
      </c>
      <c r="F40" s="30">
        <v>19.655390165295103</v>
      </c>
      <c r="G40" s="30">
        <v>0.93207276719999999</v>
      </c>
      <c r="H40" s="31">
        <v>1E+100</v>
      </c>
    </row>
    <row r="41" spans="2:8" x14ac:dyDescent="0.25">
      <c r="B41" s="29" t="s">
        <v>271</v>
      </c>
      <c r="C41" s="30" t="s">
        <v>1337</v>
      </c>
      <c r="D41" s="30">
        <v>0</v>
      </c>
      <c r="E41" s="30">
        <v>-0.97017852000000004</v>
      </c>
      <c r="F41" s="30">
        <v>3.5737850905716186</v>
      </c>
      <c r="G41" s="30">
        <v>0.97017852029999996</v>
      </c>
      <c r="H41" s="31">
        <v>1E+100</v>
      </c>
    </row>
    <row r="42" spans="2:8" x14ac:dyDescent="0.25">
      <c r="B42" s="29" t="s">
        <v>135</v>
      </c>
      <c r="C42" s="30" t="s">
        <v>1201</v>
      </c>
      <c r="D42" s="30">
        <v>0</v>
      </c>
      <c r="E42" s="30">
        <v>-1.0332406000000001</v>
      </c>
      <c r="F42" s="30">
        <v>21.006565273957676</v>
      </c>
      <c r="G42" s="30">
        <v>1.0332406409999999</v>
      </c>
      <c r="H42" s="31">
        <v>1E+100</v>
      </c>
    </row>
    <row r="43" spans="2:8" x14ac:dyDescent="0.25">
      <c r="B43" s="29" t="s">
        <v>96</v>
      </c>
      <c r="C43" s="30" t="s">
        <v>1162</v>
      </c>
      <c r="D43" s="30">
        <v>0</v>
      </c>
      <c r="E43" s="30">
        <v>-1.0433573</v>
      </c>
      <c r="F43" s="30">
        <v>24.575461948799784</v>
      </c>
      <c r="G43" s="30">
        <v>1.0433572739999999</v>
      </c>
      <c r="H43" s="31">
        <v>1E+100</v>
      </c>
    </row>
    <row r="44" spans="2:8" x14ac:dyDescent="0.25">
      <c r="B44" s="29" t="s">
        <v>451</v>
      </c>
      <c r="C44" s="30" t="s">
        <v>1517</v>
      </c>
      <c r="D44" s="30">
        <v>0</v>
      </c>
      <c r="E44" s="30">
        <v>-1.0746506</v>
      </c>
      <c r="F44" s="30">
        <v>2.9037617295398377</v>
      </c>
      <c r="G44" s="30">
        <v>1.074650638</v>
      </c>
      <c r="H44" s="31">
        <v>1E+100</v>
      </c>
    </row>
    <row r="45" spans="2:8" x14ac:dyDescent="0.25">
      <c r="B45" s="29" t="s">
        <v>313</v>
      </c>
      <c r="C45" s="30" t="s">
        <v>1379</v>
      </c>
      <c r="D45" s="30">
        <v>0</v>
      </c>
      <c r="E45" s="30">
        <v>-1.089343</v>
      </c>
      <c r="F45" s="30">
        <v>3.454620581731433</v>
      </c>
      <c r="G45" s="30">
        <v>1.0893430289999999</v>
      </c>
      <c r="H45" s="31">
        <v>1E+100</v>
      </c>
    </row>
    <row r="46" spans="2:8" x14ac:dyDescent="0.25">
      <c r="B46" s="29" t="s">
        <v>186</v>
      </c>
      <c r="C46" s="30" t="s">
        <v>1252</v>
      </c>
      <c r="D46" s="30">
        <v>0</v>
      </c>
      <c r="E46" s="30">
        <v>-1.1138627000000001</v>
      </c>
      <c r="F46" s="30">
        <v>19.507679695336265</v>
      </c>
      <c r="G46" s="30">
        <v>1.113862653</v>
      </c>
      <c r="H46" s="31">
        <v>1E+100</v>
      </c>
    </row>
    <row r="47" spans="2:8" x14ac:dyDescent="0.25">
      <c r="B47" s="29" t="s">
        <v>637</v>
      </c>
      <c r="C47" s="30" t="s">
        <v>1703</v>
      </c>
      <c r="D47" s="30">
        <v>0</v>
      </c>
      <c r="E47" s="30">
        <v>-1.1220872</v>
      </c>
      <c r="F47" s="30">
        <v>2.256694466661429</v>
      </c>
      <c r="G47" s="30">
        <v>1.1220872420000001</v>
      </c>
      <c r="H47" s="31">
        <v>1E+100</v>
      </c>
    </row>
    <row r="48" spans="2:8" x14ac:dyDescent="0.25">
      <c r="B48" s="29" t="s">
        <v>216</v>
      </c>
      <c r="C48" s="30" t="s">
        <v>1282</v>
      </c>
      <c r="D48" s="30">
        <v>0</v>
      </c>
      <c r="E48" s="30">
        <v>-1.1408982000000001</v>
      </c>
      <c r="F48" s="30">
        <v>18.881013520134729</v>
      </c>
      <c r="G48" s="30">
        <v>1.140898169</v>
      </c>
      <c r="H48" s="31">
        <v>1E+100</v>
      </c>
    </row>
    <row r="49" spans="2:8" x14ac:dyDescent="0.25">
      <c r="B49" s="29" t="s">
        <v>646</v>
      </c>
      <c r="C49" s="30" t="s">
        <v>1712</v>
      </c>
      <c r="D49" s="30">
        <v>0</v>
      </c>
      <c r="E49" s="30">
        <v>-1.1494329999999999</v>
      </c>
      <c r="F49" s="30">
        <v>2.2293487125134561</v>
      </c>
      <c r="G49" s="30">
        <v>1.149432996</v>
      </c>
      <c r="H49" s="31">
        <v>1E+100</v>
      </c>
    </row>
    <row r="50" spans="2:8" x14ac:dyDescent="0.25">
      <c r="B50" s="29" t="s">
        <v>105</v>
      </c>
      <c r="C50" s="30" t="s">
        <v>1171</v>
      </c>
      <c r="D50" s="30">
        <v>0</v>
      </c>
      <c r="E50" s="30">
        <v>-1.1726639000000001</v>
      </c>
      <c r="F50" s="30">
        <v>22.666033950416022</v>
      </c>
      <c r="G50" s="30">
        <v>1.172663942</v>
      </c>
      <c r="H50" s="31">
        <v>1E+100</v>
      </c>
    </row>
    <row r="51" spans="2:8" x14ac:dyDescent="0.25">
      <c r="B51" s="29" t="s">
        <v>349</v>
      </c>
      <c r="C51" s="30" t="s">
        <v>1415</v>
      </c>
      <c r="D51" s="30">
        <v>0</v>
      </c>
      <c r="E51" s="30">
        <v>-1.1884353000000001</v>
      </c>
      <c r="F51" s="30">
        <v>3.3555282659945078</v>
      </c>
      <c r="G51" s="30">
        <v>1.188435345</v>
      </c>
      <c r="H51" s="31">
        <v>1E+100</v>
      </c>
    </row>
    <row r="52" spans="2:8" x14ac:dyDescent="0.25">
      <c r="B52" s="29" t="s">
        <v>529</v>
      </c>
      <c r="C52" s="30" t="s">
        <v>1595</v>
      </c>
      <c r="D52" s="30">
        <v>0</v>
      </c>
      <c r="E52" s="30">
        <v>-1.3270004</v>
      </c>
      <c r="F52" s="30">
        <v>2.6514119450293947</v>
      </c>
      <c r="G52" s="30">
        <v>1.3270004230000001</v>
      </c>
      <c r="H52" s="31">
        <v>1E+100</v>
      </c>
    </row>
    <row r="53" spans="2:8" x14ac:dyDescent="0.25">
      <c r="B53" s="29" t="s">
        <v>88</v>
      </c>
      <c r="C53" s="30" t="s">
        <v>1154</v>
      </c>
      <c r="D53" s="30">
        <v>0</v>
      </c>
      <c r="E53" s="30">
        <v>-1.3858801000000001</v>
      </c>
      <c r="F53" s="30">
        <v>4.3573448502284009</v>
      </c>
      <c r="G53" s="30">
        <v>1.3858800790000001</v>
      </c>
      <c r="H53" s="31">
        <v>1E+100</v>
      </c>
    </row>
    <row r="54" spans="2:8" x14ac:dyDescent="0.25">
      <c r="B54" s="29" t="s">
        <v>550</v>
      </c>
      <c r="C54" s="30" t="s">
        <v>1616</v>
      </c>
      <c r="D54" s="30">
        <v>0</v>
      </c>
      <c r="E54" s="30">
        <v>-1.4084481</v>
      </c>
      <c r="F54" s="30">
        <v>2.5699642651743488</v>
      </c>
      <c r="G54" s="30">
        <v>1.4084481019999999</v>
      </c>
      <c r="H54" s="31">
        <v>1E+100</v>
      </c>
    </row>
    <row r="55" spans="2:8" x14ac:dyDescent="0.25">
      <c r="B55" s="29" t="s">
        <v>403</v>
      </c>
      <c r="C55" s="30" t="s">
        <v>1469</v>
      </c>
      <c r="D55" s="30">
        <v>0</v>
      </c>
      <c r="E55" s="30">
        <v>-1.4592476000000001</v>
      </c>
      <c r="F55" s="30">
        <v>3.0847160362172872</v>
      </c>
      <c r="G55" s="30">
        <v>1.459247575</v>
      </c>
      <c r="H55" s="31">
        <v>1E+100</v>
      </c>
    </row>
    <row r="56" spans="2:8" x14ac:dyDescent="0.25">
      <c r="B56" s="29" t="s">
        <v>126</v>
      </c>
      <c r="C56" s="30" t="s">
        <v>1192</v>
      </c>
      <c r="D56" s="30">
        <v>0</v>
      </c>
      <c r="E56" s="30">
        <v>-1.4625973000000001</v>
      </c>
      <c r="F56" s="30">
        <v>21.15806866523053</v>
      </c>
      <c r="G56" s="30">
        <v>1.462597261</v>
      </c>
      <c r="H56" s="31">
        <v>1E+100</v>
      </c>
    </row>
    <row r="57" spans="2:8" x14ac:dyDescent="0.25">
      <c r="B57" s="29" t="s">
        <v>85</v>
      </c>
      <c r="C57" s="30" t="s">
        <v>1151</v>
      </c>
      <c r="D57" s="30">
        <v>0</v>
      </c>
      <c r="E57" s="30">
        <v>-1.4939699</v>
      </c>
      <c r="F57" s="30">
        <v>4.3843673054943793</v>
      </c>
      <c r="G57" s="30">
        <v>1.4939699</v>
      </c>
      <c r="H57" s="31">
        <v>1E+100</v>
      </c>
    </row>
    <row r="58" spans="2:8" x14ac:dyDescent="0.25">
      <c r="B58" s="29" t="s">
        <v>583</v>
      </c>
      <c r="C58" s="30" t="s">
        <v>1649</v>
      </c>
      <c r="D58" s="30">
        <v>0</v>
      </c>
      <c r="E58" s="30">
        <v>-1.5125404</v>
      </c>
      <c r="F58" s="30">
        <v>2.4658720101288054</v>
      </c>
      <c r="G58" s="30">
        <v>1.512540357</v>
      </c>
      <c r="H58" s="31">
        <v>1E+100</v>
      </c>
    </row>
    <row r="59" spans="2:8" x14ac:dyDescent="0.25">
      <c r="B59" s="29" t="s">
        <v>250</v>
      </c>
      <c r="C59" s="30" t="s">
        <v>1316</v>
      </c>
      <c r="D59" s="30">
        <v>0</v>
      </c>
      <c r="E59" s="30">
        <v>-1.5187853</v>
      </c>
      <c r="F59" s="30">
        <v>3.624808922293596</v>
      </c>
      <c r="G59" s="30">
        <v>1.518785348</v>
      </c>
      <c r="H59" s="31">
        <v>1E+100</v>
      </c>
    </row>
    <row r="60" spans="2:8" x14ac:dyDescent="0.25">
      <c r="B60" s="29" t="s">
        <v>201</v>
      </c>
      <c r="C60" s="30" t="s">
        <v>1267</v>
      </c>
      <c r="D60" s="30">
        <v>0</v>
      </c>
      <c r="E60" s="30">
        <v>-1.5207126</v>
      </c>
      <c r="F60" s="30">
        <v>19.06675034329237</v>
      </c>
      <c r="G60" s="30">
        <v>1.5207125889999999</v>
      </c>
      <c r="H60" s="31">
        <v>1E+100</v>
      </c>
    </row>
    <row r="61" spans="2:8" x14ac:dyDescent="0.25">
      <c r="B61" s="29" t="s">
        <v>193</v>
      </c>
      <c r="C61" s="30" t="s">
        <v>1259</v>
      </c>
      <c r="D61" s="30">
        <v>0</v>
      </c>
      <c r="E61" s="30">
        <v>-1.5372227000000001</v>
      </c>
      <c r="F61" s="30">
        <v>3.859453247860074</v>
      </c>
      <c r="G61" s="30">
        <v>1.537222686</v>
      </c>
      <c r="H61" s="31">
        <v>1E+100</v>
      </c>
    </row>
    <row r="62" spans="2:8" x14ac:dyDescent="0.25">
      <c r="B62" s="29" t="s">
        <v>265</v>
      </c>
      <c r="C62" s="30" t="s">
        <v>1331</v>
      </c>
      <c r="D62" s="30">
        <v>0</v>
      </c>
      <c r="E62" s="30">
        <v>-1.5457854</v>
      </c>
      <c r="F62" s="30">
        <v>3.5978088502160972</v>
      </c>
      <c r="G62" s="30">
        <v>1.5457854200000001</v>
      </c>
      <c r="H62" s="31">
        <v>1E+100</v>
      </c>
    </row>
    <row r="63" spans="2:8" x14ac:dyDescent="0.25">
      <c r="B63" s="29" t="s">
        <v>82</v>
      </c>
      <c r="C63" s="30" t="s">
        <v>1148</v>
      </c>
      <c r="D63" s="30">
        <v>0</v>
      </c>
      <c r="E63" s="30">
        <v>-1.5883453999999999</v>
      </c>
      <c r="F63" s="30">
        <v>4.4079611829511123</v>
      </c>
      <c r="G63" s="30">
        <v>1.5883454100000001</v>
      </c>
      <c r="H63" s="31">
        <v>1E+100</v>
      </c>
    </row>
    <row r="64" spans="2:8" x14ac:dyDescent="0.25">
      <c r="B64" s="29" t="s">
        <v>120</v>
      </c>
      <c r="C64" s="30" t="s">
        <v>1186</v>
      </c>
      <c r="D64" s="30">
        <v>0</v>
      </c>
      <c r="E64" s="30">
        <v>-1.6172169000000001</v>
      </c>
      <c r="F64" s="30">
        <v>21.62185036050505</v>
      </c>
      <c r="G64" s="30">
        <v>1.6172168730000001</v>
      </c>
      <c r="H64" s="31">
        <v>1E+100</v>
      </c>
    </row>
    <row r="65" spans="2:8" x14ac:dyDescent="0.25">
      <c r="B65" s="29" t="s">
        <v>115</v>
      </c>
      <c r="C65" s="30" t="s">
        <v>1181</v>
      </c>
      <c r="D65" s="30">
        <v>0</v>
      </c>
      <c r="E65" s="30">
        <v>-1.6315191</v>
      </c>
      <c r="F65" s="30">
        <v>4.3647874714952195</v>
      </c>
      <c r="G65" s="30">
        <v>1.631519122</v>
      </c>
      <c r="H65" s="31">
        <v>1E+100</v>
      </c>
    </row>
    <row r="66" spans="2:8" x14ac:dyDescent="0.25">
      <c r="B66" s="29" t="s">
        <v>298</v>
      </c>
      <c r="C66" s="30" t="s">
        <v>1364</v>
      </c>
      <c r="D66" s="30">
        <v>0</v>
      </c>
      <c r="E66" s="30">
        <v>-1.6471005000000001</v>
      </c>
      <c r="F66" s="30">
        <v>3.4964937598851975</v>
      </c>
      <c r="G66" s="30">
        <v>1.64710051</v>
      </c>
      <c r="H66" s="31">
        <v>1E+100</v>
      </c>
    </row>
    <row r="67" spans="2:8" x14ac:dyDescent="0.25">
      <c r="B67" s="29" t="s">
        <v>235</v>
      </c>
      <c r="C67" s="30" t="s">
        <v>1301</v>
      </c>
      <c r="D67" s="30">
        <v>0</v>
      </c>
      <c r="E67" s="30">
        <v>-1.7162919000000001</v>
      </c>
      <c r="F67" s="30">
        <v>3.6803840006323298</v>
      </c>
      <c r="G67" s="30">
        <v>1.7162919329999999</v>
      </c>
      <c r="H67" s="31">
        <v>1E+100</v>
      </c>
    </row>
    <row r="68" spans="2:8" x14ac:dyDescent="0.25">
      <c r="B68" s="29" t="s">
        <v>256</v>
      </c>
      <c r="C68" s="30" t="s">
        <v>1322</v>
      </c>
      <c r="D68" s="30">
        <v>0</v>
      </c>
      <c r="E68" s="30">
        <v>-1.7591718999999999</v>
      </c>
      <c r="F68" s="30">
        <v>3.6187334338465007</v>
      </c>
      <c r="G68" s="30">
        <v>1.759171853</v>
      </c>
      <c r="H68" s="31">
        <v>1E+100</v>
      </c>
    </row>
    <row r="69" spans="2:8" x14ac:dyDescent="0.25">
      <c r="B69" s="29" t="s">
        <v>108</v>
      </c>
      <c r="C69" s="30" t="s">
        <v>1174</v>
      </c>
      <c r="D69" s="30">
        <v>0</v>
      </c>
      <c r="E69" s="30">
        <v>-1.7618792000000001</v>
      </c>
      <c r="F69" s="30">
        <v>22.657678698058589</v>
      </c>
      <c r="G69" s="30">
        <v>1.761879207</v>
      </c>
      <c r="H69" s="31">
        <v>1E+100</v>
      </c>
    </row>
    <row r="70" spans="2:8" x14ac:dyDescent="0.25">
      <c r="B70" s="29" t="s">
        <v>136</v>
      </c>
      <c r="C70" s="30" t="s">
        <v>1202</v>
      </c>
      <c r="D70" s="30">
        <v>0</v>
      </c>
      <c r="E70" s="30">
        <v>-1.7949934999999999</v>
      </c>
      <c r="F70" s="30">
        <v>4.2013130547857145</v>
      </c>
      <c r="G70" s="30">
        <v>1.7949935379999999</v>
      </c>
      <c r="H70" s="31">
        <v>1E+100</v>
      </c>
    </row>
    <row r="71" spans="2:8" x14ac:dyDescent="0.25">
      <c r="B71" s="29" t="s">
        <v>91</v>
      </c>
      <c r="C71" s="30" t="s">
        <v>1157</v>
      </c>
      <c r="D71" s="30">
        <v>0</v>
      </c>
      <c r="E71" s="30">
        <v>-1.8928480999999999</v>
      </c>
      <c r="F71" s="30">
        <v>4.4840868652972858</v>
      </c>
      <c r="G71" s="30">
        <v>1.8928481399999999</v>
      </c>
      <c r="H71" s="31">
        <v>1E+100</v>
      </c>
    </row>
    <row r="72" spans="2:8" x14ac:dyDescent="0.25">
      <c r="B72" s="29" t="s">
        <v>261</v>
      </c>
      <c r="C72" s="30" t="s">
        <v>1327</v>
      </c>
      <c r="D72" s="30">
        <v>0</v>
      </c>
      <c r="E72" s="30">
        <v>-1.9223098999999999</v>
      </c>
      <c r="F72" s="30">
        <v>18.065522338598385</v>
      </c>
      <c r="G72" s="30">
        <v>1.9223099349999999</v>
      </c>
      <c r="H72" s="31">
        <v>1E+100</v>
      </c>
    </row>
    <row r="73" spans="2:8" x14ac:dyDescent="0.25">
      <c r="B73" s="29" t="s">
        <v>316</v>
      </c>
      <c r="C73" s="30" t="s">
        <v>1382</v>
      </c>
      <c r="D73" s="30">
        <v>0</v>
      </c>
      <c r="E73" s="30">
        <v>-1.9515644999999999</v>
      </c>
      <c r="F73" s="30">
        <v>3.4451114706171211</v>
      </c>
      <c r="G73" s="30">
        <v>1.951564463</v>
      </c>
      <c r="H73" s="31">
        <v>1E+100</v>
      </c>
    </row>
    <row r="74" spans="2:8" x14ac:dyDescent="0.25">
      <c r="B74" s="29" t="s">
        <v>163</v>
      </c>
      <c r="C74" s="30" t="s">
        <v>1229</v>
      </c>
      <c r="D74" s="30">
        <v>0</v>
      </c>
      <c r="E74" s="30">
        <v>-1.996561</v>
      </c>
      <c r="F74" s="30">
        <v>3.9997456270357361</v>
      </c>
      <c r="G74" s="30">
        <v>1.9965609660000001</v>
      </c>
      <c r="H74" s="31">
        <v>1E+100</v>
      </c>
    </row>
    <row r="75" spans="2:8" x14ac:dyDescent="0.25">
      <c r="B75" s="29" t="s">
        <v>343</v>
      </c>
      <c r="C75" s="30" t="s">
        <v>1409</v>
      </c>
      <c r="D75" s="30">
        <v>0</v>
      </c>
      <c r="E75" s="30">
        <v>-2.0125519000000001</v>
      </c>
      <c r="F75" s="30">
        <v>3.3841240516485414</v>
      </c>
      <c r="G75" s="30">
        <v>2.0125518819999999</v>
      </c>
      <c r="H75" s="31">
        <v>1E+100</v>
      </c>
    </row>
    <row r="76" spans="2:8" x14ac:dyDescent="0.25">
      <c r="B76" s="29" t="s">
        <v>175</v>
      </c>
      <c r="C76" s="30" t="s">
        <v>1241</v>
      </c>
      <c r="D76" s="30">
        <v>0</v>
      </c>
      <c r="E76" s="30">
        <v>-2.0149398000000001</v>
      </c>
      <c r="F76" s="30">
        <v>3.9625961748242844</v>
      </c>
      <c r="G76" s="30">
        <v>2.0149397709999999</v>
      </c>
      <c r="H76" s="31">
        <v>1E+100</v>
      </c>
    </row>
    <row r="77" spans="2:8" x14ac:dyDescent="0.25">
      <c r="B77" s="29" t="s">
        <v>178</v>
      </c>
      <c r="C77" s="30" t="s">
        <v>1244</v>
      </c>
      <c r="D77" s="30">
        <v>0</v>
      </c>
      <c r="E77" s="30">
        <v>-2.0309332000000002</v>
      </c>
      <c r="F77" s="30">
        <v>3.9466027188609587</v>
      </c>
      <c r="G77" s="30">
        <v>2.0309332269999998</v>
      </c>
      <c r="H77" s="31">
        <v>1E+100</v>
      </c>
    </row>
    <row r="78" spans="2:8" x14ac:dyDescent="0.25">
      <c r="B78" s="29" t="s">
        <v>267</v>
      </c>
      <c r="C78" s="30" t="s">
        <v>1333</v>
      </c>
      <c r="D78" s="30">
        <v>0</v>
      </c>
      <c r="E78" s="30">
        <v>-2.0310798999999999</v>
      </c>
      <c r="F78" s="30">
        <v>17.956752417347161</v>
      </c>
      <c r="G78" s="30">
        <v>2.0310798559999999</v>
      </c>
      <c r="H78" s="31">
        <v>1E+100</v>
      </c>
    </row>
    <row r="79" spans="2:8" x14ac:dyDescent="0.25">
      <c r="B79" s="29" t="s">
        <v>169</v>
      </c>
      <c r="C79" s="30" t="s">
        <v>1235</v>
      </c>
      <c r="D79" s="30">
        <v>0</v>
      </c>
      <c r="E79" s="30">
        <v>-2.0316819000000002</v>
      </c>
      <c r="F79" s="30">
        <v>3.9646246879274258</v>
      </c>
      <c r="G79" s="30">
        <v>2.0316819050000001</v>
      </c>
      <c r="H79" s="31">
        <v>1E+100</v>
      </c>
    </row>
    <row r="80" spans="2:8" x14ac:dyDescent="0.25">
      <c r="B80" s="29" t="s">
        <v>172</v>
      </c>
      <c r="C80" s="30" t="s">
        <v>1238</v>
      </c>
      <c r="D80" s="30">
        <v>0</v>
      </c>
      <c r="E80" s="30">
        <v>-2.0329709999999999</v>
      </c>
      <c r="F80" s="30">
        <v>3.963335624881438</v>
      </c>
      <c r="G80" s="30">
        <v>2.0329709679999999</v>
      </c>
      <c r="H80" s="31">
        <v>1E+100</v>
      </c>
    </row>
    <row r="81" spans="2:8" x14ac:dyDescent="0.25">
      <c r="B81" s="29" t="s">
        <v>162</v>
      </c>
      <c r="C81" s="30" t="s">
        <v>1228</v>
      </c>
      <c r="D81" s="30">
        <v>0</v>
      </c>
      <c r="E81" s="30">
        <v>-2.0410778000000001</v>
      </c>
      <c r="F81" s="30">
        <v>19.998728135207784</v>
      </c>
      <c r="G81" s="30">
        <v>2.0410777800000002</v>
      </c>
      <c r="H81" s="31">
        <v>1E+100</v>
      </c>
    </row>
    <row r="82" spans="2:8" x14ac:dyDescent="0.25">
      <c r="B82" s="29" t="s">
        <v>352</v>
      </c>
      <c r="C82" s="30" t="s">
        <v>1418</v>
      </c>
      <c r="D82" s="30">
        <v>0</v>
      </c>
      <c r="E82" s="30">
        <v>-2.0437577999999998</v>
      </c>
      <c r="F82" s="30">
        <v>3.3529181331250584</v>
      </c>
      <c r="G82" s="30">
        <v>2.0437578009999999</v>
      </c>
      <c r="H82" s="31">
        <v>1E+100</v>
      </c>
    </row>
    <row r="83" spans="2:8" x14ac:dyDescent="0.25">
      <c r="B83" s="29" t="s">
        <v>112</v>
      </c>
      <c r="C83" s="30" t="s">
        <v>1178</v>
      </c>
      <c r="D83" s="30">
        <v>0</v>
      </c>
      <c r="E83" s="30">
        <v>-2.0530333999999999</v>
      </c>
      <c r="F83" s="30">
        <v>4.5241331853321753</v>
      </c>
      <c r="G83" s="30">
        <v>2.0530334200000002</v>
      </c>
      <c r="H83" s="31">
        <v>1E+100</v>
      </c>
    </row>
    <row r="84" spans="2:8" x14ac:dyDescent="0.25">
      <c r="B84" s="29" t="s">
        <v>229</v>
      </c>
      <c r="C84" s="30" t="s">
        <v>1295</v>
      </c>
      <c r="D84" s="30">
        <v>0</v>
      </c>
      <c r="E84" s="30">
        <v>-2.0736884999999998</v>
      </c>
      <c r="F84" s="30">
        <v>3.7036158898699796</v>
      </c>
      <c r="G84" s="30">
        <v>2.0736884560000002</v>
      </c>
      <c r="H84" s="31">
        <v>1E+100</v>
      </c>
    </row>
    <row r="85" spans="2:8" x14ac:dyDescent="0.25">
      <c r="B85" s="29" t="s">
        <v>117</v>
      </c>
      <c r="C85" s="30" t="s">
        <v>1183</v>
      </c>
      <c r="D85" s="30">
        <v>0</v>
      </c>
      <c r="E85" s="30">
        <v>-2.0885653999999998</v>
      </c>
      <c r="F85" s="30">
        <v>21.750132490953547</v>
      </c>
      <c r="G85" s="30">
        <v>2.088565402</v>
      </c>
      <c r="H85" s="31">
        <v>1E+100</v>
      </c>
    </row>
    <row r="86" spans="2:8" x14ac:dyDescent="0.25">
      <c r="B86" s="29" t="s">
        <v>367</v>
      </c>
      <c r="C86" s="30" t="s">
        <v>1433</v>
      </c>
      <c r="D86" s="30">
        <v>0</v>
      </c>
      <c r="E86" s="30">
        <v>-2.0957268999999998</v>
      </c>
      <c r="F86" s="30">
        <v>3.2821784089901485</v>
      </c>
      <c r="G86" s="30">
        <v>2.0957268770000002</v>
      </c>
      <c r="H86" s="31">
        <v>1E+100</v>
      </c>
    </row>
    <row r="87" spans="2:8" x14ac:dyDescent="0.25">
      <c r="B87" s="29" t="s">
        <v>231</v>
      </c>
      <c r="C87" s="30" t="s">
        <v>1297</v>
      </c>
      <c r="D87" s="30">
        <v>0</v>
      </c>
      <c r="E87" s="30">
        <v>-2.1104620000000001</v>
      </c>
      <c r="F87" s="30">
        <v>18.47700090854778</v>
      </c>
      <c r="G87" s="30">
        <v>2.1104620239999998</v>
      </c>
      <c r="H87" s="31">
        <v>1E+100</v>
      </c>
    </row>
    <row r="88" spans="2:8" x14ac:dyDescent="0.25">
      <c r="B88" s="29" t="s">
        <v>129</v>
      </c>
      <c r="C88" s="30" t="s">
        <v>1195</v>
      </c>
      <c r="D88" s="30">
        <v>0</v>
      </c>
      <c r="E88" s="30">
        <v>-2.1273559999999998</v>
      </c>
      <c r="F88" s="30">
        <v>21.092940606424236</v>
      </c>
      <c r="G88" s="30">
        <v>2.1273559799999999</v>
      </c>
      <c r="H88" s="31">
        <v>1E+100</v>
      </c>
    </row>
    <row r="89" spans="2:8" x14ac:dyDescent="0.25">
      <c r="B89" s="29" t="s">
        <v>192</v>
      </c>
      <c r="C89" s="30" t="s">
        <v>1258</v>
      </c>
      <c r="D89" s="30">
        <v>0</v>
      </c>
      <c r="E89" s="30">
        <v>-2.142909</v>
      </c>
      <c r="F89" s="30">
        <v>19.297266239344026</v>
      </c>
      <c r="G89" s="30">
        <v>2.1429090159999999</v>
      </c>
      <c r="H89" s="31">
        <v>1E+100</v>
      </c>
    </row>
    <row r="90" spans="2:8" x14ac:dyDescent="0.25">
      <c r="B90" s="29" t="s">
        <v>196</v>
      </c>
      <c r="C90" s="30" t="s">
        <v>1262</v>
      </c>
      <c r="D90" s="30">
        <v>0</v>
      </c>
      <c r="E90" s="30">
        <v>-2.1584050000000001</v>
      </c>
      <c r="F90" s="30">
        <v>3.837901642153156</v>
      </c>
      <c r="G90" s="30">
        <v>2.1584049510000001</v>
      </c>
      <c r="H90" s="31">
        <v>1E+100</v>
      </c>
    </row>
    <row r="91" spans="2:8" x14ac:dyDescent="0.25">
      <c r="B91" s="29" t="s">
        <v>433</v>
      </c>
      <c r="C91" s="30" t="s">
        <v>1499</v>
      </c>
      <c r="D91" s="30">
        <v>0</v>
      </c>
      <c r="E91" s="30">
        <v>-2.1646763999999998</v>
      </c>
      <c r="F91" s="30">
        <v>3.0129972679715138</v>
      </c>
      <c r="G91" s="30">
        <v>2.164676418</v>
      </c>
      <c r="H91" s="31">
        <v>1E+100</v>
      </c>
    </row>
    <row r="92" spans="2:8" x14ac:dyDescent="0.25">
      <c r="B92" s="29" t="s">
        <v>141</v>
      </c>
      <c r="C92" s="30" t="s">
        <v>1207</v>
      </c>
      <c r="D92" s="30">
        <v>0</v>
      </c>
      <c r="E92" s="30">
        <v>-2.1928993000000001</v>
      </c>
      <c r="F92" s="30">
        <v>20.427766617984162</v>
      </c>
      <c r="G92" s="30">
        <v>2.192899309</v>
      </c>
      <c r="H92" s="31">
        <v>1E+100</v>
      </c>
    </row>
    <row r="93" spans="2:8" x14ac:dyDescent="0.25">
      <c r="B93" s="29" t="s">
        <v>144</v>
      </c>
      <c r="C93" s="30" t="s">
        <v>1210</v>
      </c>
      <c r="D93" s="30">
        <v>0</v>
      </c>
      <c r="E93" s="30">
        <v>-2.2069464999999999</v>
      </c>
      <c r="F93" s="30">
        <v>20.413719407020835</v>
      </c>
      <c r="G93" s="30">
        <v>2.2069465199999998</v>
      </c>
      <c r="H93" s="31">
        <v>1E+100</v>
      </c>
    </row>
    <row r="94" spans="2:8" x14ac:dyDescent="0.25">
      <c r="B94" s="29" t="s">
        <v>174</v>
      </c>
      <c r="C94" s="30" t="s">
        <v>1240</v>
      </c>
      <c r="D94" s="30">
        <v>0</v>
      </c>
      <c r="E94" s="30">
        <v>-2.2080544</v>
      </c>
      <c r="F94" s="30">
        <v>19.812980874121422</v>
      </c>
      <c r="G94" s="30">
        <v>2.2080543929999998</v>
      </c>
      <c r="H94" s="31">
        <v>1E+100</v>
      </c>
    </row>
    <row r="95" spans="2:8" x14ac:dyDescent="0.25">
      <c r="B95" s="29" t="s">
        <v>168</v>
      </c>
      <c r="C95" s="30" t="s">
        <v>1234</v>
      </c>
      <c r="D95" s="30">
        <v>0</v>
      </c>
      <c r="E95" s="30">
        <v>-2.2166825000000001</v>
      </c>
      <c r="F95" s="30">
        <v>19.823123439637129</v>
      </c>
      <c r="G95" s="30">
        <v>2.2166824749999998</v>
      </c>
      <c r="H95" s="31">
        <v>1E+100</v>
      </c>
    </row>
    <row r="96" spans="2:8" x14ac:dyDescent="0.25">
      <c r="B96" s="29" t="s">
        <v>171</v>
      </c>
      <c r="C96" s="30" t="s">
        <v>1237</v>
      </c>
      <c r="D96" s="30">
        <v>0</v>
      </c>
      <c r="E96" s="30">
        <v>-2.2231277999999999</v>
      </c>
      <c r="F96" s="30">
        <v>19.816678124392638</v>
      </c>
      <c r="G96" s="30">
        <v>2.2231277899999999</v>
      </c>
      <c r="H96" s="31">
        <v>1E+100</v>
      </c>
    </row>
    <row r="97" spans="2:8" x14ac:dyDescent="0.25">
      <c r="B97" s="29" t="s">
        <v>388</v>
      </c>
      <c r="C97" s="30" t="s">
        <v>1454</v>
      </c>
      <c r="D97" s="30">
        <v>0</v>
      </c>
      <c r="E97" s="30">
        <v>-2.2445699000000001</v>
      </c>
      <c r="F97" s="30">
        <v>3.1521060317463707</v>
      </c>
      <c r="G97" s="30">
        <v>2.2445699019999998</v>
      </c>
      <c r="H97" s="31">
        <v>1E+100</v>
      </c>
    </row>
    <row r="98" spans="2:8" x14ac:dyDescent="0.25">
      <c r="B98" s="29" t="s">
        <v>223</v>
      </c>
      <c r="C98" s="30" t="s">
        <v>1289</v>
      </c>
      <c r="D98" s="30">
        <v>0</v>
      </c>
      <c r="E98" s="30">
        <v>-2.2545704</v>
      </c>
      <c r="F98" s="30">
        <v>3.7229655194532825</v>
      </c>
      <c r="G98" s="30">
        <v>2.2545704259999999</v>
      </c>
      <c r="H98" s="31">
        <v>1E+100</v>
      </c>
    </row>
    <row r="99" spans="2:8" x14ac:dyDescent="0.25">
      <c r="B99" s="29" t="s">
        <v>397</v>
      </c>
      <c r="C99" s="30" t="s">
        <v>1463</v>
      </c>
      <c r="D99" s="30">
        <v>0</v>
      </c>
      <c r="E99" s="30">
        <v>-2.2579337000000002</v>
      </c>
      <c r="F99" s="30">
        <v>3.1387422179977875</v>
      </c>
      <c r="G99" s="30">
        <v>2.2579337160000001</v>
      </c>
      <c r="H99" s="31">
        <v>1E+100</v>
      </c>
    </row>
    <row r="100" spans="2:8" x14ac:dyDescent="0.25">
      <c r="B100" s="29" t="s">
        <v>177</v>
      </c>
      <c r="C100" s="30" t="s">
        <v>1243</v>
      </c>
      <c r="D100" s="30">
        <v>0</v>
      </c>
      <c r="E100" s="30">
        <v>-2.2880216999999998</v>
      </c>
      <c r="F100" s="30">
        <v>19.733013594304794</v>
      </c>
      <c r="G100" s="30">
        <v>2.2880216729999998</v>
      </c>
      <c r="H100" s="31">
        <v>1E+100</v>
      </c>
    </row>
    <row r="101" spans="2:8" x14ac:dyDescent="0.25">
      <c r="B101" s="29" t="s">
        <v>400</v>
      </c>
      <c r="C101" s="30" t="s">
        <v>1466</v>
      </c>
      <c r="D101" s="30">
        <v>0</v>
      </c>
      <c r="E101" s="30">
        <v>-2.2968510000000002</v>
      </c>
      <c r="F101" s="30">
        <v>3.0998249486874556</v>
      </c>
      <c r="G101" s="30">
        <v>2.2968509849999998</v>
      </c>
      <c r="H101" s="31">
        <v>1E+100</v>
      </c>
    </row>
    <row r="102" spans="2:8" x14ac:dyDescent="0.25">
      <c r="B102" s="29" t="s">
        <v>409</v>
      </c>
      <c r="C102" s="30" t="s">
        <v>1475</v>
      </c>
      <c r="D102" s="30">
        <v>0</v>
      </c>
      <c r="E102" s="30">
        <v>-2.3193161999999998</v>
      </c>
      <c r="F102" s="30">
        <v>3.0773596963699674</v>
      </c>
      <c r="G102" s="30">
        <v>2.3193162369999998</v>
      </c>
      <c r="H102" s="31">
        <v>1E+100</v>
      </c>
    </row>
    <row r="103" spans="2:8" x14ac:dyDescent="0.25">
      <c r="B103" s="29" t="s">
        <v>282</v>
      </c>
      <c r="C103" s="30" t="s">
        <v>1348</v>
      </c>
      <c r="D103" s="30">
        <v>0</v>
      </c>
      <c r="E103" s="30">
        <v>-2.3351342000000002</v>
      </c>
      <c r="F103" s="30">
        <v>17.652698090198101</v>
      </c>
      <c r="G103" s="30">
        <v>2.3351341830000001</v>
      </c>
      <c r="H103" s="31">
        <v>1E+100</v>
      </c>
    </row>
    <row r="104" spans="2:8" x14ac:dyDescent="0.25">
      <c r="B104" s="29" t="s">
        <v>79</v>
      </c>
      <c r="C104" s="30" t="s">
        <v>1145</v>
      </c>
      <c r="D104" s="30">
        <v>0</v>
      </c>
      <c r="E104" s="30">
        <v>-2.3361073000000001</v>
      </c>
      <c r="F104" s="30">
        <v>4.5949016481608851</v>
      </c>
      <c r="G104" s="30">
        <v>2.3361072709999999</v>
      </c>
      <c r="H104" s="31">
        <v>1E+100</v>
      </c>
    </row>
    <row r="105" spans="2:8" x14ac:dyDescent="0.25">
      <c r="B105" s="29" t="s">
        <v>127</v>
      </c>
      <c r="C105" s="30" t="s">
        <v>1193</v>
      </c>
      <c r="D105" s="30">
        <v>0</v>
      </c>
      <c r="E105" s="30">
        <v>-2.3455528999999999</v>
      </c>
      <c r="F105" s="30">
        <v>4.2316137330490164</v>
      </c>
      <c r="G105" s="30">
        <v>2.3455528719999998</v>
      </c>
      <c r="H105" s="31">
        <v>1E+100</v>
      </c>
    </row>
    <row r="106" spans="2:8" x14ac:dyDescent="0.25">
      <c r="B106" s="29" t="s">
        <v>418</v>
      </c>
      <c r="C106" s="30" t="s">
        <v>1484</v>
      </c>
      <c r="D106" s="30">
        <v>0</v>
      </c>
      <c r="E106" s="30">
        <v>-2.3491043999999999</v>
      </c>
      <c r="F106" s="30">
        <v>3.0475715741195017</v>
      </c>
      <c r="G106" s="30">
        <v>2.3491043600000001</v>
      </c>
      <c r="H106" s="31">
        <v>1E+100</v>
      </c>
    </row>
    <row r="107" spans="2:8" x14ac:dyDescent="0.25">
      <c r="B107" s="29" t="s">
        <v>244</v>
      </c>
      <c r="C107" s="30" t="s">
        <v>1310</v>
      </c>
      <c r="D107" s="30">
        <v>0</v>
      </c>
      <c r="E107" s="30">
        <v>-2.3560140000000001</v>
      </c>
      <c r="F107" s="30">
        <v>3.640292628100724</v>
      </c>
      <c r="G107" s="30">
        <v>2.3560139649999998</v>
      </c>
      <c r="H107" s="31">
        <v>1E+100</v>
      </c>
    </row>
    <row r="108" spans="2:8" x14ac:dyDescent="0.25">
      <c r="B108" s="29" t="s">
        <v>147</v>
      </c>
      <c r="C108" s="30" t="s">
        <v>1213</v>
      </c>
      <c r="D108" s="30">
        <v>0</v>
      </c>
      <c r="E108" s="30">
        <v>-2.3615579000000002</v>
      </c>
      <c r="F108" s="30">
        <v>20.259108050915529</v>
      </c>
      <c r="G108" s="30">
        <v>2.361557876</v>
      </c>
      <c r="H108" s="31">
        <v>1E+100</v>
      </c>
    </row>
    <row r="109" spans="2:8" x14ac:dyDescent="0.25">
      <c r="B109" s="29" t="s">
        <v>246</v>
      </c>
      <c r="C109" s="30" t="s">
        <v>1312</v>
      </c>
      <c r="D109" s="30">
        <v>0</v>
      </c>
      <c r="E109" s="30">
        <v>-2.3901571000000001</v>
      </c>
      <c r="F109" s="30">
        <v>18.197305858164327</v>
      </c>
      <c r="G109" s="30">
        <v>2.3901570740000002</v>
      </c>
      <c r="H109" s="31">
        <v>1E+100</v>
      </c>
    </row>
    <row r="110" spans="2:8" x14ac:dyDescent="0.25">
      <c r="B110" s="29" t="s">
        <v>439</v>
      </c>
      <c r="C110" s="30" t="s">
        <v>1505</v>
      </c>
      <c r="D110" s="30">
        <v>0</v>
      </c>
      <c r="E110" s="30">
        <v>-2.4182096999999998</v>
      </c>
      <c r="F110" s="30">
        <v>2.9784662599122385</v>
      </c>
      <c r="G110" s="30">
        <v>2.4182096739999999</v>
      </c>
      <c r="H110" s="31">
        <v>1E+100</v>
      </c>
    </row>
    <row r="111" spans="2:8" x14ac:dyDescent="0.25">
      <c r="B111" s="29" t="s">
        <v>277</v>
      </c>
      <c r="C111" s="30" t="s">
        <v>1343</v>
      </c>
      <c r="D111" s="30">
        <v>0</v>
      </c>
      <c r="E111" s="30">
        <v>-2.4296530999999999</v>
      </c>
      <c r="F111" s="30">
        <v>3.5666534505726304</v>
      </c>
      <c r="G111" s="30">
        <v>2.4296531429999999</v>
      </c>
      <c r="H111" s="31">
        <v>1E+100</v>
      </c>
    </row>
    <row r="112" spans="2:8" x14ac:dyDescent="0.25">
      <c r="B112" s="29" t="s">
        <v>295</v>
      </c>
      <c r="C112" s="30" t="s">
        <v>1361</v>
      </c>
      <c r="D112" s="30">
        <v>0</v>
      </c>
      <c r="E112" s="30">
        <v>-2.4899870000000002</v>
      </c>
      <c r="F112" s="30">
        <v>3.5063196277333191</v>
      </c>
      <c r="G112" s="30">
        <v>2.4899869649999999</v>
      </c>
      <c r="H112" s="31">
        <v>1E+100</v>
      </c>
    </row>
    <row r="113" spans="2:8" x14ac:dyDescent="0.25">
      <c r="B113" s="29" t="s">
        <v>142</v>
      </c>
      <c r="C113" s="30" t="s">
        <v>1208</v>
      </c>
      <c r="D113" s="30">
        <v>0</v>
      </c>
      <c r="E113" s="30">
        <v>-2.4916133</v>
      </c>
      <c r="F113" s="30">
        <v>4.0855533235881012</v>
      </c>
      <c r="G113" s="30">
        <v>2.4916132809999998</v>
      </c>
      <c r="H113" s="31">
        <v>1E+100</v>
      </c>
    </row>
    <row r="114" spans="2:8" x14ac:dyDescent="0.25">
      <c r="B114" s="29" t="s">
        <v>145</v>
      </c>
      <c r="C114" s="30" t="s">
        <v>1211</v>
      </c>
      <c r="D114" s="30">
        <v>0</v>
      </c>
      <c r="E114" s="30">
        <v>-2.4944226999999999</v>
      </c>
      <c r="F114" s="30">
        <v>4.0827438814012567</v>
      </c>
      <c r="G114" s="30">
        <v>2.4944227240000001</v>
      </c>
      <c r="H114" s="31">
        <v>1E+100</v>
      </c>
    </row>
    <row r="115" spans="2:8" x14ac:dyDescent="0.25">
      <c r="B115" s="29" t="s">
        <v>304</v>
      </c>
      <c r="C115" s="30" t="s">
        <v>1370</v>
      </c>
      <c r="D115" s="30">
        <v>0</v>
      </c>
      <c r="E115" s="30">
        <v>-2.5008102000000001</v>
      </c>
      <c r="F115" s="30">
        <v>3.4767257664061617</v>
      </c>
      <c r="G115" s="30">
        <v>2.5008101790000001</v>
      </c>
      <c r="H115" s="31">
        <v>1E+100</v>
      </c>
    </row>
    <row r="116" spans="2:8" x14ac:dyDescent="0.25">
      <c r="B116" s="29" t="s">
        <v>148</v>
      </c>
      <c r="C116" s="30" t="s">
        <v>1214</v>
      </c>
      <c r="D116" s="30">
        <v>0</v>
      </c>
      <c r="E116" s="30">
        <v>-2.5253450000000002</v>
      </c>
      <c r="F116" s="30">
        <v>4.051821610177285</v>
      </c>
      <c r="G116" s="30">
        <v>2.5253449950000002</v>
      </c>
      <c r="H116" s="31">
        <v>1E+100</v>
      </c>
    </row>
    <row r="117" spans="2:8" x14ac:dyDescent="0.25">
      <c r="B117" s="29" t="s">
        <v>300</v>
      </c>
      <c r="C117" s="30" t="s">
        <v>1366</v>
      </c>
      <c r="D117" s="30">
        <v>0</v>
      </c>
      <c r="E117" s="30">
        <v>-2.5450816000000001</v>
      </c>
      <c r="F117" s="30">
        <v>17.476830066327238</v>
      </c>
      <c r="G117" s="30">
        <v>2.5450816230000002</v>
      </c>
      <c r="H117" s="31">
        <v>1E+100</v>
      </c>
    </row>
    <row r="118" spans="2:8" x14ac:dyDescent="0.25">
      <c r="B118" s="29" t="s">
        <v>484</v>
      </c>
      <c r="C118" s="30" t="s">
        <v>1550</v>
      </c>
      <c r="D118" s="30">
        <v>0</v>
      </c>
      <c r="E118" s="30">
        <v>-2.5483758999999999</v>
      </c>
      <c r="F118" s="30">
        <v>2.8295293648261577</v>
      </c>
      <c r="G118" s="30">
        <v>2.548375922</v>
      </c>
      <c r="H118" s="31">
        <v>1E+100</v>
      </c>
    </row>
    <row r="119" spans="2:8" x14ac:dyDescent="0.25">
      <c r="B119" s="29" t="s">
        <v>325</v>
      </c>
      <c r="C119" s="30" t="s">
        <v>1391</v>
      </c>
      <c r="D119" s="30">
        <v>0</v>
      </c>
      <c r="E119" s="30">
        <v>-2.5538009000000002</v>
      </c>
      <c r="F119" s="30">
        <v>3.4237350578041514</v>
      </c>
      <c r="G119" s="30">
        <v>2.553800888</v>
      </c>
      <c r="H119" s="31">
        <v>1E+100</v>
      </c>
    </row>
    <row r="120" spans="2:8" x14ac:dyDescent="0.25">
      <c r="B120" s="29" t="s">
        <v>322</v>
      </c>
      <c r="C120" s="30" t="s">
        <v>1388</v>
      </c>
      <c r="D120" s="30">
        <v>0</v>
      </c>
      <c r="E120" s="30">
        <v>-2.5611031999999998</v>
      </c>
      <c r="F120" s="30">
        <v>3.4352033774630399</v>
      </c>
      <c r="G120" s="30">
        <v>2.5611032159999998</v>
      </c>
      <c r="H120" s="31">
        <v>1E+100</v>
      </c>
    </row>
    <row r="121" spans="2:8" x14ac:dyDescent="0.25">
      <c r="B121" s="29" t="s">
        <v>478</v>
      </c>
      <c r="C121" s="30" t="s">
        <v>1544</v>
      </c>
      <c r="D121" s="30">
        <v>0</v>
      </c>
      <c r="E121" s="30">
        <v>-2.5643007</v>
      </c>
      <c r="F121" s="30">
        <v>2.8323752128635533</v>
      </c>
      <c r="G121" s="30">
        <v>2.5643007209999999</v>
      </c>
      <c r="H121" s="31">
        <v>1E+100</v>
      </c>
    </row>
    <row r="122" spans="2:8" x14ac:dyDescent="0.25">
      <c r="B122" s="29" t="s">
        <v>481</v>
      </c>
      <c r="C122" s="30" t="s">
        <v>1547</v>
      </c>
      <c r="D122" s="30">
        <v>0</v>
      </c>
      <c r="E122" s="30">
        <v>-2.5659059000000002</v>
      </c>
      <c r="F122" s="30">
        <v>2.8307700088480487</v>
      </c>
      <c r="G122" s="30">
        <v>2.565905925</v>
      </c>
      <c r="H122" s="31">
        <v>1E+100</v>
      </c>
    </row>
    <row r="123" spans="2:8" x14ac:dyDescent="0.25">
      <c r="B123" s="29" t="s">
        <v>334</v>
      </c>
      <c r="C123" s="30" t="s">
        <v>1400</v>
      </c>
      <c r="D123" s="30">
        <v>0</v>
      </c>
      <c r="E123" s="30">
        <v>-2.5822210000000001</v>
      </c>
      <c r="F123" s="30">
        <v>3.3953149641019991</v>
      </c>
      <c r="G123" s="30">
        <v>2.5822209819999999</v>
      </c>
      <c r="H123" s="31">
        <v>1E+100</v>
      </c>
    </row>
    <row r="124" spans="2:8" x14ac:dyDescent="0.25">
      <c r="B124" s="29" t="s">
        <v>337</v>
      </c>
      <c r="C124" s="30" t="s">
        <v>1403</v>
      </c>
      <c r="D124" s="30">
        <v>0</v>
      </c>
      <c r="E124" s="30">
        <v>-2.5849125000000002</v>
      </c>
      <c r="F124" s="30">
        <v>3.3926234508253401</v>
      </c>
      <c r="G124" s="30">
        <v>2.5849124950000002</v>
      </c>
      <c r="H124" s="31">
        <v>1E+100</v>
      </c>
    </row>
    <row r="125" spans="2:8" x14ac:dyDescent="0.25">
      <c r="B125" s="29" t="s">
        <v>160</v>
      </c>
      <c r="C125" s="30" t="s">
        <v>1226</v>
      </c>
      <c r="D125" s="30">
        <v>0</v>
      </c>
      <c r="E125" s="30">
        <v>-2.5889719000000002</v>
      </c>
      <c r="F125" s="30">
        <v>4.006965401553316</v>
      </c>
      <c r="G125" s="30">
        <v>2.5889718510000002</v>
      </c>
      <c r="H125" s="31">
        <v>1E+100</v>
      </c>
    </row>
    <row r="126" spans="2:8" x14ac:dyDescent="0.25">
      <c r="B126" s="29" t="s">
        <v>214</v>
      </c>
      <c r="C126" s="30" t="s">
        <v>1280</v>
      </c>
      <c r="D126" s="30">
        <v>0</v>
      </c>
      <c r="E126" s="30">
        <v>-2.5917428999999998</v>
      </c>
      <c r="F126" s="30">
        <v>3.7851920715038432</v>
      </c>
      <c r="G126" s="30">
        <v>2.5917429329999999</v>
      </c>
      <c r="H126" s="31">
        <v>1E+100</v>
      </c>
    </row>
    <row r="127" spans="2:8" x14ac:dyDescent="0.25">
      <c r="B127" s="29" t="s">
        <v>159</v>
      </c>
      <c r="C127" s="30" t="s">
        <v>1225</v>
      </c>
      <c r="D127" s="30">
        <v>0</v>
      </c>
      <c r="E127" s="30">
        <v>-2.6046095999999999</v>
      </c>
      <c r="F127" s="30">
        <v>20.034827007752028</v>
      </c>
      <c r="G127" s="30">
        <v>2.6046095660000002</v>
      </c>
      <c r="H127" s="31">
        <v>1E+100</v>
      </c>
    </row>
    <row r="128" spans="2:8" x14ac:dyDescent="0.25">
      <c r="B128" s="29" t="s">
        <v>346</v>
      </c>
      <c r="C128" s="30" t="s">
        <v>1412</v>
      </c>
      <c r="D128" s="30">
        <v>0</v>
      </c>
      <c r="E128" s="30">
        <v>-2.6390254999999998</v>
      </c>
      <c r="F128" s="30">
        <v>3.3572811240592273</v>
      </c>
      <c r="G128" s="30">
        <v>2.6390254689999999</v>
      </c>
      <c r="H128" s="31">
        <v>1E+100</v>
      </c>
    </row>
    <row r="129" spans="2:8" x14ac:dyDescent="0.25">
      <c r="B129" s="29" t="s">
        <v>508</v>
      </c>
      <c r="C129" s="30" t="s">
        <v>1574</v>
      </c>
      <c r="D129" s="30">
        <v>0</v>
      </c>
      <c r="E129" s="30">
        <v>-2.6663557999999998</v>
      </c>
      <c r="F129" s="30">
        <v>2.7115494573517935</v>
      </c>
      <c r="G129" s="30">
        <v>2.666355829</v>
      </c>
      <c r="H129" s="31">
        <v>1E+100</v>
      </c>
    </row>
    <row r="130" spans="2:8" x14ac:dyDescent="0.25">
      <c r="B130" s="29" t="s">
        <v>361</v>
      </c>
      <c r="C130" s="30" t="s">
        <v>1427</v>
      </c>
      <c r="D130" s="30">
        <v>0</v>
      </c>
      <c r="E130" s="30">
        <v>-2.6751078000000001</v>
      </c>
      <c r="F130" s="30">
        <v>3.3211987925460562</v>
      </c>
      <c r="G130" s="30">
        <v>2.6751078009999998</v>
      </c>
      <c r="H130" s="31">
        <v>1E+100</v>
      </c>
    </row>
    <row r="131" spans="2:8" x14ac:dyDescent="0.25">
      <c r="B131" s="29" t="s">
        <v>306</v>
      </c>
      <c r="C131" s="30" t="s">
        <v>1372</v>
      </c>
      <c r="D131" s="30">
        <v>0</v>
      </c>
      <c r="E131" s="30">
        <v>-2.7030436</v>
      </c>
      <c r="F131" s="30">
        <v>17.318868086353177</v>
      </c>
      <c r="G131" s="30">
        <v>2.7030436029999998</v>
      </c>
      <c r="H131" s="31">
        <v>1E+100</v>
      </c>
    </row>
    <row r="132" spans="2:8" x14ac:dyDescent="0.25">
      <c r="B132" s="29" t="s">
        <v>190</v>
      </c>
      <c r="C132" s="30" t="s">
        <v>1256</v>
      </c>
      <c r="D132" s="30">
        <v>0</v>
      </c>
      <c r="E132" s="30">
        <v>-2.7039862000000001</v>
      </c>
      <c r="F132" s="30">
        <v>3.8731804301642114</v>
      </c>
      <c r="G132" s="30">
        <v>2.7039861749999998</v>
      </c>
      <c r="H132" s="31">
        <v>1E+100</v>
      </c>
    </row>
    <row r="133" spans="2:8" x14ac:dyDescent="0.25">
      <c r="B133" s="29" t="s">
        <v>520</v>
      </c>
      <c r="C133" s="30" t="s">
        <v>1586</v>
      </c>
      <c r="D133" s="30">
        <v>0</v>
      </c>
      <c r="E133" s="30">
        <v>-2.7085754999999998</v>
      </c>
      <c r="F133" s="30">
        <v>2.6693297975434689</v>
      </c>
      <c r="G133" s="30">
        <v>2.7085754889999998</v>
      </c>
      <c r="H133" s="31">
        <v>1E+100</v>
      </c>
    </row>
    <row r="134" spans="2:8" x14ac:dyDescent="0.25">
      <c r="B134" s="29" t="s">
        <v>270</v>
      </c>
      <c r="C134" s="30" t="s">
        <v>1336</v>
      </c>
      <c r="D134" s="30">
        <v>0</v>
      </c>
      <c r="E134" s="30">
        <v>-2.7185375000000001</v>
      </c>
      <c r="F134" s="30">
        <v>17.868925452872645</v>
      </c>
      <c r="G134" s="30">
        <v>2.7185374800000002</v>
      </c>
      <c r="H134" s="31">
        <v>1E+100</v>
      </c>
    </row>
    <row r="135" spans="2:8" x14ac:dyDescent="0.25">
      <c r="B135" s="29" t="s">
        <v>517</v>
      </c>
      <c r="C135" s="30" t="s">
        <v>1583</v>
      </c>
      <c r="D135" s="30">
        <v>0</v>
      </c>
      <c r="E135" s="30">
        <v>-2.7246104</v>
      </c>
      <c r="F135" s="30">
        <v>2.6720655718963826</v>
      </c>
      <c r="G135" s="30">
        <v>2.724610362</v>
      </c>
      <c r="H135" s="31">
        <v>1E+100</v>
      </c>
    </row>
    <row r="136" spans="2:8" x14ac:dyDescent="0.25">
      <c r="B136" s="29" t="s">
        <v>523</v>
      </c>
      <c r="C136" s="30" t="s">
        <v>1589</v>
      </c>
      <c r="D136" s="30">
        <v>0</v>
      </c>
      <c r="E136" s="30">
        <v>-2.7282639999999998</v>
      </c>
      <c r="F136" s="30">
        <v>2.6684119094570633</v>
      </c>
      <c r="G136" s="30">
        <v>2.728264024</v>
      </c>
      <c r="H136" s="31">
        <v>1E+100</v>
      </c>
    </row>
    <row r="137" spans="2:8" x14ac:dyDescent="0.25">
      <c r="B137" s="29" t="s">
        <v>538</v>
      </c>
      <c r="C137" s="30" t="s">
        <v>1604</v>
      </c>
      <c r="D137" s="30">
        <v>0</v>
      </c>
      <c r="E137" s="30">
        <v>-2.7435721000000002</v>
      </c>
      <c r="F137" s="30">
        <v>2.6343331829702947</v>
      </c>
      <c r="G137" s="30">
        <v>2.743572103</v>
      </c>
      <c r="H137" s="31">
        <v>1E+100</v>
      </c>
    </row>
    <row r="138" spans="2:8" x14ac:dyDescent="0.25">
      <c r="B138" s="29" t="s">
        <v>376</v>
      </c>
      <c r="C138" s="30" t="s">
        <v>1442</v>
      </c>
      <c r="D138" s="30">
        <v>0</v>
      </c>
      <c r="E138" s="30">
        <v>-2.7506693000000002</v>
      </c>
      <c r="F138" s="30">
        <v>3.2456372906890465</v>
      </c>
      <c r="G138" s="30">
        <v>2.7506693019999999</v>
      </c>
      <c r="H138" s="31">
        <v>1E+100</v>
      </c>
    </row>
    <row r="139" spans="2:8" x14ac:dyDescent="0.25">
      <c r="B139" s="29" t="s">
        <v>379</v>
      </c>
      <c r="C139" s="30" t="s">
        <v>1445</v>
      </c>
      <c r="D139" s="30">
        <v>0</v>
      </c>
      <c r="E139" s="30">
        <v>-2.7723791000000002</v>
      </c>
      <c r="F139" s="30">
        <v>3.2239275061583612</v>
      </c>
      <c r="G139" s="30">
        <v>2.772379087</v>
      </c>
      <c r="H139" s="31">
        <v>1E+100</v>
      </c>
    </row>
    <row r="140" spans="2:8" x14ac:dyDescent="0.25">
      <c r="B140" s="29" t="s">
        <v>208</v>
      </c>
      <c r="C140" s="30" t="s">
        <v>1274</v>
      </c>
      <c r="D140" s="30">
        <v>0</v>
      </c>
      <c r="E140" s="30">
        <v>-2.7847026000000001</v>
      </c>
      <c r="F140" s="30">
        <v>3.7924640028941212</v>
      </c>
      <c r="G140" s="30">
        <v>2.7847026019999999</v>
      </c>
      <c r="H140" s="31">
        <v>1E+100</v>
      </c>
    </row>
    <row r="141" spans="2:8" x14ac:dyDescent="0.25">
      <c r="B141" s="29" t="s">
        <v>95</v>
      </c>
      <c r="C141" s="30" t="s">
        <v>1161</v>
      </c>
      <c r="D141" s="30">
        <v>0</v>
      </c>
      <c r="E141" s="30">
        <v>-2.7928340999999999</v>
      </c>
      <c r="F141" s="30">
        <v>31.414894216213725</v>
      </c>
      <c r="G141" s="30">
        <v>2.792834091</v>
      </c>
      <c r="H141" s="31">
        <v>1E+100</v>
      </c>
    </row>
    <row r="142" spans="2:8" x14ac:dyDescent="0.25">
      <c r="B142" s="29" t="s">
        <v>547</v>
      </c>
      <c r="C142" s="30" t="s">
        <v>1613</v>
      </c>
      <c r="D142" s="30">
        <v>0</v>
      </c>
      <c r="E142" s="30">
        <v>-2.7968736000000001</v>
      </c>
      <c r="F142" s="30">
        <v>2.599802376164007</v>
      </c>
      <c r="G142" s="30">
        <v>2.7968735580000001</v>
      </c>
      <c r="H142" s="31">
        <v>1E+100</v>
      </c>
    </row>
    <row r="143" spans="2:8" x14ac:dyDescent="0.25">
      <c r="B143" s="29" t="s">
        <v>385</v>
      </c>
      <c r="C143" s="30" t="s">
        <v>1451</v>
      </c>
      <c r="D143" s="30">
        <v>0</v>
      </c>
      <c r="E143" s="30">
        <v>-2.7983566999999998</v>
      </c>
      <c r="F143" s="30">
        <v>3.1791792814183282</v>
      </c>
      <c r="G143" s="30">
        <v>2.7983566639999999</v>
      </c>
      <c r="H143" s="31">
        <v>1E+100</v>
      </c>
    </row>
    <row r="144" spans="2:8" x14ac:dyDescent="0.25">
      <c r="B144" s="29" t="s">
        <v>211</v>
      </c>
      <c r="C144" s="30" t="s">
        <v>1277</v>
      </c>
      <c r="D144" s="30">
        <v>0</v>
      </c>
      <c r="E144" s="30">
        <v>-2.8064111</v>
      </c>
      <c r="F144" s="30">
        <v>3.7895261931989808</v>
      </c>
      <c r="G144" s="30">
        <v>2.8064110590000002</v>
      </c>
      <c r="H144" s="31">
        <v>1E+100</v>
      </c>
    </row>
    <row r="145" spans="2:8" x14ac:dyDescent="0.25">
      <c r="B145" s="29" t="s">
        <v>595</v>
      </c>
      <c r="C145" s="30" t="s">
        <v>1661</v>
      </c>
      <c r="D145" s="30">
        <v>0</v>
      </c>
      <c r="E145" s="30">
        <v>-2.8118145000000001</v>
      </c>
      <c r="F145" s="30">
        <v>0.56696725662914105</v>
      </c>
      <c r="G145" s="30">
        <v>2.8118144520000001</v>
      </c>
      <c r="H145" s="31">
        <v>1E+100</v>
      </c>
    </row>
    <row r="146" spans="2:8" x14ac:dyDescent="0.25">
      <c r="B146" s="29" t="s">
        <v>318</v>
      </c>
      <c r="C146" s="30" t="s">
        <v>1384</v>
      </c>
      <c r="D146" s="30">
        <v>0</v>
      </c>
      <c r="E146" s="30">
        <v>-2.8232553999999999</v>
      </c>
      <c r="F146" s="30">
        <v>17.198656311113155</v>
      </c>
      <c r="G146" s="30">
        <v>2.8232553779999998</v>
      </c>
      <c r="H146" s="31">
        <v>1E+100</v>
      </c>
    </row>
    <row r="147" spans="2:8" x14ac:dyDescent="0.25">
      <c r="B147" s="29" t="s">
        <v>559</v>
      </c>
      <c r="C147" s="30" t="s">
        <v>1625</v>
      </c>
      <c r="D147" s="30">
        <v>0</v>
      </c>
      <c r="E147" s="30">
        <v>-2.8412918999999999</v>
      </c>
      <c r="F147" s="30">
        <v>2.5553840099164518</v>
      </c>
      <c r="G147" s="30">
        <v>2.8412919240000001</v>
      </c>
      <c r="H147" s="31">
        <v>1E+100</v>
      </c>
    </row>
    <row r="148" spans="2:8" x14ac:dyDescent="0.25">
      <c r="B148" s="29" t="s">
        <v>195</v>
      </c>
      <c r="C148" s="30" t="s">
        <v>1261</v>
      </c>
      <c r="D148" s="30">
        <v>0</v>
      </c>
      <c r="E148" s="30">
        <v>-2.8502977</v>
      </c>
      <c r="F148" s="30">
        <v>19.18950821076578</v>
      </c>
      <c r="G148" s="30">
        <v>2.8502977039999999</v>
      </c>
      <c r="H148" s="31">
        <v>1E+100</v>
      </c>
    </row>
    <row r="149" spans="2:8" x14ac:dyDescent="0.25">
      <c r="B149" s="29" t="s">
        <v>391</v>
      </c>
      <c r="C149" s="30" t="s">
        <v>1457</v>
      </c>
      <c r="D149" s="30">
        <v>0</v>
      </c>
      <c r="E149" s="30">
        <v>-2.8513625</v>
      </c>
      <c r="F149" s="30">
        <v>3.1449441121221753</v>
      </c>
      <c r="G149" s="30">
        <v>2.8513624809999998</v>
      </c>
      <c r="H149" s="31">
        <v>1E+100</v>
      </c>
    </row>
    <row r="150" spans="2:8" x14ac:dyDescent="0.25">
      <c r="B150" s="29" t="s">
        <v>562</v>
      </c>
      <c r="C150" s="30" t="s">
        <v>1628</v>
      </c>
      <c r="D150" s="30">
        <v>0</v>
      </c>
      <c r="E150" s="30">
        <v>-2.8584858</v>
      </c>
      <c r="F150" s="30">
        <v>2.5381900940265041</v>
      </c>
      <c r="G150" s="30">
        <v>2.8584858400000002</v>
      </c>
      <c r="H150" s="31">
        <v>1E+100</v>
      </c>
    </row>
    <row r="151" spans="2:8" x14ac:dyDescent="0.25">
      <c r="B151" s="29" t="s">
        <v>565</v>
      </c>
      <c r="C151" s="30" t="s">
        <v>1631</v>
      </c>
      <c r="D151" s="30">
        <v>0</v>
      </c>
      <c r="E151" s="30">
        <v>-2.8625449000000001</v>
      </c>
      <c r="F151" s="30">
        <v>2.5341310564981541</v>
      </c>
      <c r="G151" s="30">
        <v>2.8625448769999999</v>
      </c>
      <c r="H151" s="31">
        <v>1E+100</v>
      </c>
    </row>
    <row r="152" spans="2:8" x14ac:dyDescent="0.25">
      <c r="B152" s="29" t="s">
        <v>574</v>
      </c>
      <c r="C152" s="30" t="s">
        <v>1640</v>
      </c>
      <c r="D152" s="30">
        <v>0</v>
      </c>
      <c r="E152" s="30">
        <v>-2.8644466999999998</v>
      </c>
      <c r="F152" s="30">
        <v>2.5134585940977558</v>
      </c>
      <c r="G152" s="30">
        <v>2.864446692</v>
      </c>
      <c r="H152" s="31">
        <v>1E+100</v>
      </c>
    </row>
    <row r="153" spans="2:8" x14ac:dyDescent="0.25">
      <c r="B153" s="29" t="s">
        <v>121</v>
      </c>
      <c r="C153" s="30" t="s">
        <v>1187</v>
      </c>
      <c r="D153" s="30">
        <v>0</v>
      </c>
      <c r="E153" s="30">
        <v>-2.8711978</v>
      </c>
      <c r="F153" s="30">
        <v>4.3243700720922789</v>
      </c>
      <c r="G153" s="30">
        <v>2.8711978399999998</v>
      </c>
      <c r="H153" s="31">
        <v>1E+100</v>
      </c>
    </row>
    <row r="154" spans="2:8" x14ac:dyDescent="0.25">
      <c r="B154" s="29" t="s">
        <v>226</v>
      </c>
      <c r="C154" s="30" t="s">
        <v>1292</v>
      </c>
      <c r="D154" s="30">
        <v>0</v>
      </c>
      <c r="E154" s="30">
        <v>-2.8819039000000002</v>
      </c>
      <c r="F154" s="30">
        <v>3.7140333582792664</v>
      </c>
      <c r="G154" s="30">
        <v>2.8819038940000001</v>
      </c>
      <c r="H154" s="31">
        <v>1E+100</v>
      </c>
    </row>
    <row r="155" spans="2:8" x14ac:dyDescent="0.25">
      <c r="B155" s="29" t="s">
        <v>577</v>
      </c>
      <c r="C155" s="30" t="s">
        <v>1643</v>
      </c>
      <c r="D155" s="30">
        <v>0</v>
      </c>
      <c r="E155" s="30">
        <v>-2.8820828999999999</v>
      </c>
      <c r="F155" s="30">
        <v>2.4958224029687699</v>
      </c>
      <c r="G155" s="30">
        <v>2.8820828829999998</v>
      </c>
      <c r="H155" s="31">
        <v>1E+100</v>
      </c>
    </row>
    <row r="156" spans="2:8" x14ac:dyDescent="0.25">
      <c r="B156" s="29" t="s">
        <v>580</v>
      </c>
      <c r="C156" s="30" t="s">
        <v>1646</v>
      </c>
      <c r="D156" s="30">
        <v>0</v>
      </c>
      <c r="E156" s="30">
        <v>-2.9006555000000001</v>
      </c>
      <c r="F156" s="30">
        <v>2.477249795148964</v>
      </c>
      <c r="G156" s="30">
        <v>2.9006554910000002</v>
      </c>
      <c r="H156" s="31">
        <v>1E+100</v>
      </c>
    </row>
    <row r="157" spans="2:8" x14ac:dyDescent="0.25">
      <c r="B157" s="29" t="s">
        <v>238</v>
      </c>
      <c r="C157" s="30" t="s">
        <v>1304</v>
      </c>
      <c r="D157" s="30">
        <v>0</v>
      </c>
      <c r="E157" s="30">
        <v>-2.9240737000000001</v>
      </c>
      <c r="F157" s="30">
        <v>3.6718635189608904</v>
      </c>
      <c r="G157" s="30">
        <v>2.9240737330000002</v>
      </c>
      <c r="H157" s="31">
        <v>1E+100</v>
      </c>
    </row>
    <row r="158" spans="2:8" x14ac:dyDescent="0.25">
      <c r="B158" s="29" t="s">
        <v>415</v>
      </c>
      <c r="C158" s="30" t="s">
        <v>1481</v>
      </c>
      <c r="D158" s="30">
        <v>0</v>
      </c>
      <c r="E158" s="30">
        <v>-2.9291545000000001</v>
      </c>
      <c r="F158" s="30">
        <v>3.0483814855833771</v>
      </c>
      <c r="G158" s="30">
        <v>2.9291544599999999</v>
      </c>
      <c r="H158" s="31">
        <v>1E+100</v>
      </c>
    </row>
    <row r="159" spans="2:8" x14ac:dyDescent="0.25">
      <c r="B159" s="29" t="s">
        <v>586</v>
      </c>
      <c r="C159" s="30" t="s">
        <v>1652</v>
      </c>
      <c r="D159" s="30">
        <v>0</v>
      </c>
      <c r="E159" s="30">
        <v>-2.9398316000000002</v>
      </c>
      <c r="F159" s="30">
        <v>2.4568443027528701</v>
      </c>
      <c r="G159" s="30">
        <v>2.9398316310000001</v>
      </c>
      <c r="H159" s="31">
        <v>1E+100</v>
      </c>
    </row>
    <row r="160" spans="2:8" x14ac:dyDescent="0.25">
      <c r="B160" s="29" t="s">
        <v>424</v>
      </c>
      <c r="C160" s="30" t="s">
        <v>1490</v>
      </c>
      <c r="D160" s="30">
        <v>0</v>
      </c>
      <c r="E160" s="30">
        <v>-2.9467614000000002</v>
      </c>
      <c r="F160" s="30">
        <v>3.030774507948081</v>
      </c>
      <c r="G160" s="30">
        <v>2.9467614379999998</v>
      </c>
      <c r="H160" s="31">
        <v>1E+100</v>
      </c>
    </row>
    <row r="161" spans="2:8" x14ac:dyDescent="0.25">
      <c r="B161" s="29" t="s">
        <v>130</v>
      </c>
      <c r="C161" s="30" t="s">
        <v>1196</v>
      </c>
      <c r="D161" s="30">
        <v>0</v>
      </c>
      <c r="E161" s="30">
        <v>-2.9582090999999999</v>
      </c>
      <c r="F161" s="30">
        <v>4.2185881212790264</v>
      </c>
      <c r="G161" s="30">
        <v>2.9582091429999999</v>
      </c>
      <c r="H161" s="31">
        <v>1E+100</v>
      </c>
    </row>
    <row r="162" spans="2:8" x14ac:dyDescent="0.25">
      <c r="B162" s="29" t="s">
        <v>427</v>
      </c>
      <c r="C162" s="30" t="s">
        <v>1493</v>
      </c>
      <c r="D162" s="30">
        <v>0</v>
      </c>
      <c r="E162" s="30">
        <v>-2.9667561</v>
      </c>
      <c r="F162" s="30">
        <v>3.0295504897512728</v>
      </c>
      <c r="G162" s="30">
        <v>2.9667561029999998</v>
      </c>
      <c r="H162" s="31">
        <v>1E+100</v>
      </c>
    </row>
    <row r="163" spans="2:8" x14ac:dyDescent="0.25">
      <c r="B163" s="29" t="s">
        <v>253</v>
      </c>
      <c r="C163" s="30" t="s">
        <v>1319</v>
      </c>
      <c r="D163" s="30">
        <v>0</v>
      </c>
      <c r="E163" s="30">
        <v>-2.9711658000000001</v>
      </c>
      <c r="F163" s="30">
        <v>3.6247714578930754</v>
      </c>
      <c r="G163" s="30">
        <v>2.9711657950000001</v>
      </c>
      <c r="H163" s="31">
        <v>1E+100</v>
      </c>
    </row>
    <row r="164" spans="2:8" x14ac:dyDescent="0.25">
      <c r="B164" s="29" t="s">
        <v>436</v>
      </c>
      <c r="C164" s="30" t="s">
        <v>1502</v>
      </c>
      <c r="D164" s="30">
        <v>0</v>
      </c>
      <c r="E164" s="30">
        <v>-2.973878</v>
      </c>
      <c r="F164" s="30">
        <v>3.0036579722218448</v>
      </c>
      <c r="G164" s="30">
        <v>2.973877973</v>
      </c>
      <c r="H164" s="31">
        <v>1E+100</v>
      </c>
    </row>
    <row r="165" spans="2:8" x14ac:dyDescent="0.25">
      <c r="B165" s="29" t="s">
        <v>592</v>
      </c>
      <c r="C165" s="30" t="s">
        <v>1658</v>
      </c>
      <c r="D165" s="30">
        <v>0</v>
      </c>
      <c r="E165" s="30">
        <v>-2.989293</v>
      </c>
      <c r="F165" s="30">
        <v>2.3886122388939839</v>
      </c>
      <c r="G165" s="30">
        <v>2.9892930469999999</v>
      </c>
      <c r="H165" s="31">
        <v>1E+100</v>
      </c>
    </row>
    <row r="166" spans="2:8" x14ac:dyDescent="0.25">
      <c r="B166" s="29" t="s">
        <v>598</v>
      </c>
      <c r="C166" s="30" t="s">
        <v>1664</v>
      </c>
      <c r="D166" s="30">
        <v>0</v>
      </c>
      <c r="E166" s="30">
        <v>-3.0161608000000002</v>
      </c>
      <c r="F166" s="30">
        <v>2.3805150990228867</v>
      </c>
      <c r="G166" s="30">
        <v>3.016160835</v>
      </c>
      <c r="H166" s="31">
        <v>1E+100</v>
      </c>
    </row>
    <row r="167" spans="2:8" x14ac:dyDescent="0.25">
      <c r="B167" s="29" t="s">
        <v>601</v>
      </c>
      <c r="C167" s="30" t="s">
        <v>1667</v>
      </c>
      <c r="D167" s="30">
        <v>0</v>
      </c>
      <c r="E167" s="30">
        <v>-3.0164933999999999</v>
      </c>
      <c r="F167" s="30">
        <v>2.3801825493137585</v>
      </c>
      <c r="G167" s="30">
        <v>3.0164933839999999</v>
      </c>
      <c r="H167" s="31">
        <v>1E+100</v>
      </c>
    </row>
    <row r="168" spans="2:8" x14ac:dyDescent="0.25">
      <c r="B168" s="29" t="s">
        <v>330</v>
      </c>
      <c r="C168" s="30" t="s">
        <v>1396</v>
      </c>
      <c r="D168" s="30">
        <v>0</v>
      </c>
      <c r="E168" s="30">
        <v>-3.0172493999999999</v>
      </c>
      <c r="F168" s="30">
        <v>17.004662280596676</v>
      </c>
      <c r="G168" s="30">
        <v>3.0172494090000002</v>
      </c>
      <c r="H168" s="31">
        <v>1E+100</v>
      </c>
    </row>
    <row r="169" spans="2:8" x14ac:dyDescent="0.25">
      <c r="B169" s="29" t="s">
        <v>607</v>
      </c>
      <c r="C169" s="30" t="s">
        <v>1673</v>
      </c>
      <c r="D169" s="30">
        <v>0</v>
      </c>
      <c r="E169" s="30">
        <v>-3.0173125999999999</v>
      </c>
      <c r="F169" s="30">
        <v>2.3605927159369458</v>
      </c>
      <c r="G169" s="30">
        <v>3.0173125700000001</v>
      </c>
      <c r="H169" s="31">
        <v>1E+100</v>
      </c>
    </row>
    <row r="170" spans="2:8" x14ac:dyDescent="0.25">
      <c r="B170" s="29" t="s">
        <v>442</v>
      </c>
      <c r="C170" s="30" t="s">
        <v>1508</v>
      </c>
      <c r="D170" s="30">
        <v>0</v>
      </c>
      <c r="E170" s="30">
        <v>-3.0179345</v>
      </c>
      <c r="F170" s="30">
        <v>2.959601413589553</v>
      </c>
      <c r="G170" s="30">
        <v>3.0179345319999999</v>
      </c>
      <c r="H170" s="31">
        <v>1E+100</v>
      </c>
    </row>
    <row r="171" spans="2:8" x14ac:dyDescent="0.25">
      <c r="B171" s="29" t="s">
        <v>274</v>
      </c>
      <c r="C171" s="30" t="s">
        <v>1340</v>
      </c>
      <c r="D171" s="30">
        <v>0</v>
      </c>
      <c r="E171" s="30">
        <v>-3.0288897000000001</v>
      </c>
      <c r="F171" s="30">
        <v>3.5670475156657631</v>
      </c>
      <c r="G171" s="30">
        <v>3.0288897370000001</v>
      </c>
      <c r="H171" s="31">
        <v>1E+100</v>
      </c>
    </row>
    <row r="172" spans="2:8" x14ac:dyDescent="0.25">
      <c r="B172" s="29" t="s">
        <v>234</v>
      </c>
      <c r="C172" s="30" t="s">
        <v>1300</v>
      </c>
      <c r="D172" s="30">
        <v>0</v>
      </c>
      <c r="E172" s="30">
        <v>-3.0382552999999999</v>
      </c>
      <c r="F172" s="30">
        <v>18.401920003132545</v>
      </c>
      <c r="G172" s="30">
        <v>3.0382552519999999</v>
      </c>
      <c r="H172" s="31">
        <v>1E+100</v>
      </c>
    </row>
    <row r="173" spans="2:8" x14ac:dyDescent="0.25">
      <c r="B173" s="29" t="s">
        <v>150</v>
      </c>
      <c r="C173" s="30" t="s">
        <v>1216</v>
      </c>
      <c r="D173" s="30">
        <v>0</v>
      </c>
      <c r="E173" s="30">
        <v>-3.0448430000000002</v>
      </c>
      <c r="F173" s="30">
        <v>20.175453620220651</v>
      </c>
      <c r="G173" s="30">
        <v>3.044842966</v>
      </c>
      <c r="H173" s="31">
        <v>1E+100</v>
      </c>
    </row>
    <row r="174" spans="2:8" x14ac:dyDescent="0.25">
      <c r="B174" s="29" t="s">
        <v>448</v>
      </c>
      <c r="C174" s="30" t="s">
        <v>1514</v>
      </c>
      <c r="D174" s="30">
        <v>0</v>
      </c>
      <c r="E174" s="30">
        <v>-3.0460763000000002</v>
      </c>
      <c r="F174" s="30">
        <v>2.9314596922486089</v>
      </c>
      <c r="G174" s="30">
        <v>3.0460762529999998</v>
      </c>
      <c r="H174" s="31">
        <v>1E+100</v>
      </c>
    </row>
    <row r="175" spans="2:8" x14ac:dyDescent="0.25">
      <c r="B175" s="29" t="s">
        <v>249</v>
      </c>
      <c r="C175" s="30" t="s">
        <v>1315</v>
      </c>
      <c r="D175" s="30">
        <v>0</v>
      </c>
      <c r="E175" s="30">
        <v>-3.0630489999999999</v>
      </c>
      <c r="F175" s="30">
        <v>18.124044611497084</v>
      </c>
      <c r="G175" s="30">
        <v>3.06304898</v>
      </c>
      <c r="H175" s="31">
        <v>1E+100</v>
      </c>
    </row>
    <row r="176" spans="2:8" x14ac:dyDescent="0.25">
      <c r="B176" s="29" t="s">
        <v>286</v>
      </c>
      <c r="C176" s="30" t="s">
        <v>1352</v>
      </c>
      <c r="D176" s="30">
        <v>0</v>
      </c>
      <c r="E176" s="30">
        <v>-3.0739496000000002</v>
      </c>
      <c r="F176" s="30">
        <v>3.5219876397168264</v>
      </c>
      <c r="G176" s="30">
        <v>3.0739496129999999</v>
      </c>
      <c r="H176" s="31">
        <v>1E+100</v>
      </c>
    </row>
    <row r="177" spans="2:8" x14ac:dyDescent="0.25">
      <c r="B177" s="29" t="s">
        <v>511</v>
      </c>
      <c r="C177" s="30" t="s">
        <v>1577</v>
      </c>
      <c r="D177" s="30">
        <v>0</v>
      </c>
      <c r="E177" s="30">
        <v>-3.0750923000000001</v>
      </c>
      <c r="F177" s="30">
        <v>2.702212036572746</v>
      </c>
      <c r="G177" s="30">
        <v>3.075092309</v>
      </c>
      <c r="H177" s="31">
        <v>1E+100</v>
      </c>
    </row>
    <row r="178" spans="2:8" x14ac:dyDescent="0.25">
      <c r="B178" s="29" t="s">
        <v>619</v>
      </c>
      <c r="C178" s="30" t="s">
        <v>1685</v>
      </c>
      <c r="D178" s="30">
        <v>0</v>
      </c>
      <c r="E178" s="30">
        <v>-3.0878336000000002</v>
      </c>
      <c r="F178" s="30">
        <v>2.3088423730805516</v>
      </c>
      <c r="G178" s="30">
        <v>3.0878335610000001</v>
      </c>
      <c r="H178" s="31">
        <v>1E+100</v>
      </c>
    </row>
    <row r="179" spans="2:8" x14ac:dyDescent="0.25">
      <c r="B179" s="29" t="s">
        <v>631</v>
      </c>
      <c r="C179" s="30" t="s">
        <v>1697</v>
      </c>
      <c r="D179" s="30">
        <v>0</v>
      </c>
      <c r="E179" s="30">
        <v>-3.0947745000000002</v>
      </c>
      <c r="F179" s="30">
        <v>2.2831307400920196</v>
      </c>
      <c r="G179" s="30">
        <v>3.094774546</v>
      </c>
      <c r="H179" s="31">
        <v>1E+100</v>
      </c>
    </row>
    <row r="180" spans="2:8" x14ac:dyDescent="0.25">
      <c r="B180" s="29" t="s">
        <v>457</v>
      </c>
      <c r="C180" s="30" t="s">
        <v>1523</v>
      </c>
      <c r="D180" s="30">
        <v>0</v>
      </c>
      <c r="E180" s="30">
        <v>-3.1038279000000002</v>
      </c>
      <c r="F180" s="30">
        <v>2.892478676236351</v>
      </c>
      <c r="G180" s="30">
        <v>3.1038279169999998</v>
      </c>
      <c r="H180" s="31">
        <v>1E+100</v>
      </c>
    </row>
    <row r="181" spans="2:8" x14ac:dyDescent="0.25">
      <c r="B181" s="29" t="s">
        <v>466</v>
      </c>
      <c r="C181" s="30" t="s">
        <v>1532</v>
      </c>
      <c r="D181" s="30">
        <v>0</v>
      </c>
      <c r="E181" s="30">
        <v>-3.1204067000000002</v>
      </c>
      <c r="F181" s="30">
        <v>2.8571292497363174</v>
      </c>
      <c r="G181" s="30">
        <v>3.1204066959999999</v>
      </c>
      <c r="H181" s="31">
        <v>1E+100</v>
      </c>
    </row>
    <row r="182" spans="2:8" x14ac:dyDescent="0.25">
      <c r="B182" s="29" t="s">
        <v>469</v>
      </c>
      <c r="C182" s="30" t="s">
        <v>1535</v>
      </c>
      <c r="D182" s="30">
        <v>0</v>
      </c>
      <c r="E182" s="30">
        <v>-3.1208193999999998</v>
      </c>
      <c r="F182" s="30">
        <v>2.8567165661079343</v>
      </c>
      <c r="G182" s="30">
        <v>3.1208193799999999</v>
      </c>
      <c r="H182" s="31">
        <v>1E+100</v>
      </c>
    </row>
    <row r="183" spans="2:8" x14ac:dyDescent="0.25">
      <c r="B183" s="29" t="s">
        <v>463</v>
      </c>
      <c r="C183" s="30" t="s">
        <v>1529</v>
      </c>
      <c r="D183" s="30">
        <v>0</v>
      </c>
      <c r="E183" s="30">
        <v>-3.1227719999999999</v>
      </c>
      <c r="F183" s="30">
        <v>2.8735345843306277</v>
      </c>
      <c r="G183" s="30">
        <v>3.1227720090000002</v>
      </c>
      <c r="H183" s="31">
        <v>1E+100</v>
      </c>
    </row>
    <row r="184" spans="2:8" x14ac:dyDescent="0.25">
      <c r="B184" s="29" t="s">
        <v>310</v>
      </c>
      <c r="C184" s="30" t="s">
        <v>1376</v>
      </c>
      <c r="D184" s="30">
        <v>0</v>
      </c>
      <c r="E184" s="30">
        <v>-3.1365009000000001</v>
      </c>
      <c r="F184" s="30">
        <v>3.4594363841752056</v>
      </c>
      <c r="G184" s="30">
        <v>3.1365008680000002</v>
      </c>
      <c r="H184" s="31">
        <v>1E+100</v>
      </c>
    </row>
    <row r="185" spans="2:8" x14ac:dyDescent="0.25">
      <c r="B185" s="29" t="s">
        <v>151</v>
      </c>
      <c r="C185" s="30" t="s">
        <v>1217</v>
      </c>
      <c r="D185" s="30">
        <v>0</v>
      </c>
      <c r="E185" s="30">
        <v>-3.1417065000000002</v>
      </c>
      <c r="F185" s="30">
        <v>4.035090724035399</v>
      </c>
      <c r="G185" s="30">
        <v>3.1417065399999999</v>
      </c>
      <c r="H185" s="31">
        <v>1E+100</v>
      </c>
    </row>
    <row r="186" spans="2:8" x14ac:dyDescent="0.25">
      <c r="B186" s="29" t="s">
        <v>103</v>
      </c>
      <c r="C186" s="30" t="s">
        <v>1169</v>
      </c>
      <c r="D186" s="30">
        <v>0</v>
      </c>
      <c r="E186" s="30">
        <v>-3.1470975000000001</v>
      </c>
      <c r="F186" s="30">
        <v>4.629330459763878</v>
      </c>
      <c r="G186" s="30">
        <v>3.1470974639999998</v>
      </c>
      <c r="H186" s="31">
        <v>1E+100</v>
      </c>
    </row>
    <row r="187" spans="2:8" x14ac:dyDescent="0.25">
      <c r="B187" s="29" t="s">
        <v>487</v>
      </c>
      <c r="C187" s="30" t="s">
        <v>1553</v>
      </c>
      <c r="D187" s="30">
        <v>0</v>
      </c>
      <c r="E187" s="30">
        <v>-3.1486977</v>
      </c>
      <c r="F187" s="30">
        <v>2.8288382635073503</v>
      </c>
      <c r="G187" s="30">
        <v>3.1486976819999999</v>
      </c>
      <c r="H187" s="31">
        <v>1E+100</v>
      </c>
    </row>
    <row r="188" spans="2:8" x14ac:dyDescent="0.25">
      <c r="B188" s="29" t="s">
        <v>643</v>
      </c>
      <c r="C188" s="30" t="s">
        <v>1709</v>
      </c>
      <c r="D188" s="30">
        <v>0</v>
      </c>
      <c r="E188" s="30">
        <v>-3.1517705</v>
      </c>
      <c r="F188" s="30">
        <v>2.2449054730241187</v>
      </c>
      <c r="G188" s="30">
        <v>3.1517704609999999</v>
      </c>
      <c r="H188" s="31">
        <v>1E+100</v>
      </c>
    </row>
    <row r="189" spans="2:8" x14ac:dyDescent="0.25">
      <c r="B189" s="29" t="s">
        <v>490</v>
      </c>
      <c r="C189" s="30" t="s">
        <v>1556</v>
      </c>
      <c r="D189" s="30">
        <v>0</v>
      </c>
      <c r="E189" s="30">
        <v>-3.1742309</v>
      </c>
      <c r="F189" s="30">
        <v>2.8033050426456612</v>
      </c>
      <c r="G189" s="30">
        <v>3.1742309030000002</v>
      </c>
      <c r="H189" s="31">
        <v>1E+100</v>
      </c>
    </row>
    <row r="190" spans="2:8" x14ac:dyDescent="0.25">
      <c r="B190" s="29" t="s">
        <v>328</v>
      </c>
      <c r="C190" s="30" t="s">
        <v>1394</v>
      </c>
      <c r="D190" s="30">
        <v>0</v>
      </c>
      <c r="E190" s="30">
        <v>-3.1852388</v>
      </c>
      <c r="F190" s="30">
        <v>3.4106984070094768</v>
      </c>
      <c r="G190" s="30">
        <v>3.1852388450000002</v>
      </c>
      <c r="H190" s="31">
        <v>1E+100</v>
      </c>
    </row>
    <row r="191" spans="2:8" x14ac:dyDescent="0.25">
      <c r="B191" s="29" t="s">
        <v>166</v>
      </c>
      <c r="C191" s="30" t="s">
        <v>1232</v>
      </c>
      <c r="D191" s="30">
        <v>0</v>
      </c>
      <c r="E191" s="30">
        <v>-3.1948303999999998</v>
      </c>
      <c r="F191" s="30">
        <v>3.9819668928539613</v>
      </c>
      <c r="G191" s="30">
        <v>3.1948303710000001</v>
      </c>
      <c r="H191" s="31">
        <v>1E+100</v>
      </c>
    </row>
    <row r="192" spans="2:8" x14ac:dyDescent="0.25">
      <c r="B192" s="29" t="s">
        <v>264</v>
      </c>
      <c r="C192" s="30" t="s">
        <v>1330</v>
      </c>
      <c r="D192" s="30">
        <v>0</v>
      </c>
      <c r="E192" s="30">
        <v>-3.1980493000000001</v>
      </c>
      <c r="F192" s="30">
        <v>17.989044251124142</v>
      </c>
      <c r="G192" s="30">
        <v>3.1980493409999999</v>
      </c>
      <c r="H192" s="31">
        <v>1E+100</v>
      </c>
    </row>
    <row r="193" spans="2:8" x14ac:dyDescent="0.25">
      <c r="B193" s="29" t="s">
        <v>493</v>
      </c>
      <c r="C193" s="30" t="s">
        <v>1559</v>
      </c>
      <c r="D193" s="30">
        <v>0</v>
      </c>
      <c r="E193" s="30">
        <v>-3.2060487000000002</v>
      </c>
      <c r="F193" s="30">
        <v>2.7902578584908042</v>
      </c>
      <c r="G193" s="30">
        <v>3.206048735</v>
      </c>
      <c r="H193" s="31">
        <v>1E+100</v>
      </c>
    </row>
    <row r="194" spans="2:8" x14ac:dyDescent="0.25">
      <c r="B194" s="29" t="s">
        <v>340</v>
      </c>
      <c r="C194" s="30" t="s">
        <v>1406</v>
      </c>
      <c r="D194" s="30">
        <v>0</v>
      </c>
      <c r="E194" s="30">
        <v>-3.2102027</v>
      </c>
      <c r="F194" s="30">
        <v>3.3857345841242932</v>
      </c>
      <c r="G194" s="30">
        <v>3.210202668</v>
      </c>
      <c r="H194" s="31">
        <v>1E+100</v>
      </c>
    </row>
    <row r="195" spans="2:8" x14ac:dyDescent="0.25">
      <c r="B195" s="29" t="s">
        <v>355</v>
      </c>
      <c r="C195" s="30" t="s">
        <v>1421</v>
      </c>
      <c r="D195" s="30">
        <v>0</v>
      </c>
      <c r="E195" s="30">
        <v>-3.2374304999999999</v>
      </c>
      <c r="F195" s="30">
        <v>3.3397361289244145</v>
      </c>
      <c r="G195" s="30">
        <v>3.2374304760000001</v>
      </c>
      <c r="H195" s="31">
        <v>1E+100</v>
      </c>
    </row>
    <row r="196" spans="2:8" x14ac:dyDescent="0.25">
      <c r="B196" s="29" t="s">
        <v>189</v>
      </c>
      <c r="C196" s="30" t="s">
        <v>1255</v>
      </c>
      <c r="D196" s="30">
        <v>0</v>
      </c>
      <c r="E196" s="30">
        <v>-3.2547638000000001</v>
      </c>
      <c r="F196" s="30">
        <v>19.365902150835609</v>
      </c>
      <c r="G196" s="30">
        <v>3.2547637759999999</v>
      </c>
      <c r="H196" s="31">
        <v>1E+100</v>
      </c>
    </row>
    <row r="197" spans="2:8" x14ac:dyDescent="0.25">
      <c r="B197" s="29" t="s">
        <v>505</v>
      </c>
      <c r="C197" s="30" t="s">
        <v>1571</v>
      </c>
      <c r="D197" s="30">
        <v>0</v>
      </c>
      <c r="E197" s="30">
        <v>-3.2578209999999999</v>
      </c>
      <c r="F197" s="30">
        <v>2.7197149394196458</v>
      </c>
      <c r="G197" s="30">
        <v>3.2578210059999999</v>
      </c>
      <c r="H197" s="31">
        <v>1E+100</v>
      </c>
    </row>
    <row r="198" spans="2:8" x14ac:dyDescent="0.25">
      <c r="B198" s="29" t="s">
        <v>184</v>
      </c>
      <c r="C198" s="30" t="s">
        <v>1250</v>
      </c>
      <c r="D198" s="30">
        <v>0</v>
      </c>
      <c r="E198" s="30">
        <v>-3.2586042000000002</v>
      </c>
      <c r="F198" s="30">
        <v>3.9181930761697004</v>
      </c>
      <c r="G198" s="30">
        <v>3.2586041880000001</v>
      </c>
      <c r="H198" s="31">
        <v>1E+100</v>
      </c>
    </row>
    <row r="199" spans="2:8" x14ac:dyDescent="0.25">
      <c r="B199" s="29" t="s">
        <v>106</v>
      </c>
      <c r="C199" s="30" t="s">
        <v>1172</v>
      </c>
      <c r="D199" s="30">
        <v>0</v>
      </c>
      <c r="E199" s="30">
        <v>-3.2619918000000001</v>
      </c>
      <c r="F199" s="30">
        <v>4.5332067900890252</v>
      </c>
      <c r="G199" s="30">
        <v>3.2619917809999999</v>
      </c>
      <c r="H199" s="31">
        <v>1E+100</v>
      </c>
    </row>
    <row r="200" spans="2:8" x14ac:dyDescent="0.25">
      <c r="B200" s="29" t="s">
        <v>364</v>
      </c>
      <c r="C200" s="30" t="s">
        <v>1430</v>
      </c>
      <c r="D200" s="30">
        <v>0</v>
      </c>
      <c r="E200" s="30">
        <v>-3.2934139999999998</v>
      </c>
      <c r="F200" s="30">
        <v>3.2837526060029631</v>
      </c>
      <c r="G200" s="30">
        <v>3.2934139990000002</v>
      </c>
      <c r="H200" s="31">
        <v>1E+100</v>
      </c>
    </row>
    <row r="201" spans="2:8" x14ac:dyDescent="0.25">
      <c r="B201" s="29" t="s">
        <v>373</v>
      </c>
      <c r="C201" s="30" t="s">
        <v>1439</v>
      </c>
      <c r="D201" s="30">
        <v>0</v>
      </c>
      <c r="E201" s="30">
        <v>-3.3026627</v>
      </c>
      <c r="F201" s="30">
        <v>3.2745039251894923</v>
      </c>
      <c r="G201" s="30">
        <v>3.3026626800000001</v>
      </c>
      <c r="H201" s="31">
        <v>1E+100</v>
      </c>
    </row>
    <row r="202" spans="2:8" x14ac:dyDescent="0.25">
      <c r="B202" s="29" t="s">
        <v>228</v>
      </c>
      <c r="C202" s="30" t="s">
        <v>1294</v>
      </c>
      <c r="D202" s="30">
        <v>0</v>
      </c>
      <c r="E202" s="30">
        <v>-3.3027242000000001</v>
      </c>
      <c r="F202" s="30">
        <v>18.518079449349898</v>
      </c>
      <c r="G202" s="30">
        <v>3.3027242179999998</v>
      </c>
      <c r="H202" s="31">
        <v>1E+100</v>
      </c>
    </row>
    <row r="203" spans="2:8" x14ac:dyDescent="0.25">
      <c r="B203" s="29" t="s">
        <v>165</v>
      </c>
      <c r="C203" s="30" t="s">
        <v>1231</v>
      </c>
      <c r="D203" s="30">
        <v>0</v>
      </c>
      <c r="E203" s="30">
        <v>-3.3104621000000001</v>
      </c>
      <c r="F203" s="30">
        <v>19.909834464255255</v>
      </c>
      <c r="G203" s="30">
        <v>3.3104621220000001</v>
      </c>
      <c r="H203" s="31">
        <v>1E+100</v>
      </c>
    </row>
    <row r="204" spans="2:8" x14ac:dyDescent="0.25">
      <c r="B204" s="29" t="s">
        <v>312</v>
      </c>
      <c r="C204" s="30" t="s">
        <v>1378</v>
      </c>
      <c r="D204" s="30">
        <v>0</v>
      </c>
      <c r="E204" s="30">
        <v>-3.3143600000000002</v>
      </c>
      <c r="F204" s="30">
        <v>17.273102908657165</v>
      </c>
      <c r="G204" s="30">
        <v>3.314360024</v>
      </c>
      <c r="H204" s="31">
        <v>1E+100</v>
      </c>
    </row>
    <row r="205" spans="2:8" x14ac:dyDescent="0.25">
      <c r="B205" s="29" t="s">
        <v>526</v>
      </c>
      <c r="C205" s="30" t="s">
        <v>1592</v>
      </c>
      <c r="D205" s="30">
        <v>0</v>
      </c>
      <c r="E205" s="30">
        <v>-3.314568</v>
      </c>
      <c r="F205" s="30">
        <v>2.6629679246834712</v>
      </c>
      <c r="G205" s="30">
        <v>3.3145680209999999</v>
      </c>
      <c r="H205" s="31">
        <v>1E+100</v>
      </c>
    </row>
    <row r="206" spans="2:8" x14ac:dyDescent="0.25">
      <c r="B206" s="29" t="s">
        <v>255</v>
      </c>
      <c r="C206" s="30" t="s">
        <v>1321</v>
      </c>
      <c r="D206" s="30">
        <v>0</v>
      </c>
      <c r="E206" s="30">
        <v>-3.3277374000000002</v>
      </c>
      <c r="F206" s="30">
        <v>18.093667169247055</v>
      </c>
      <c r="G206" s="30">
        <v>3.3277374389999999</v>
      </c>
      <c r="H206" s="31">
        <v>1E+100</v>
      </c>
    </row>
    <row r="207" spans="2:8" x14ac:dyDescent="0.25">
      <c r="B207" s="29" t="s">
        <v>535</v>
      </c>
      <c r="C207" s="30" t="s">
        <v>1601</v>
      </c>
      <c r="D207" s="30">
        <v>0</v>
      </c>
      <c r="E207" s="30">
        <v>-3.3334685999999998</v>
      </c>
      <c r="F207" s="30">
        <v>2.6440672967437422</v>
      </c>
      <c r="G207" s="30">
        <v>3.3334686489999998</v>
      </c>
      <c r="H207" s="31">
        <v>1E+100</v>
      </c>
    </row>
    <row r="208" spans="2:8" x14ac:dyDescent="0.25">
      <c r="B208" s="29" t="s">
        <v>357</v>
      </c>
      <c r="C208" s="30" t="s">
        <v>1423</v>
      </c>
      <c r="D208" s="30">
        <v>0</v>
      </c>
      <c r="E208" s="30">
        <v>-3.3383099000000001</v>
      </c>
      <c r="F208" s="30">
        <v>16.649522341627744</v>
      </c>
      <c r="G208" s="30">
        <v>3.338309932</v>
      </c>
      <c r="H208" s="31">
        <v>1E+100</v>
      </c>
    </row>
    <row r="209" spans="2:8" x14ac:dyDescent="0.25">
      <c r="B209" s="29" t="s">
        <v>199</v>
      </c>
      <c r="C209" s="30" t="s">
        <v>1265</v>
      </c>
      <c r="D209" s="30">
        <v>0</v>
      </c>
      <c r="E209" s="30">
        <v>-3.3455124999999999</v>
      </c>
      <c r="F209" s="30">
        <v>3.8312847312045051</v>
      </c>
      <c r="G209" s="30">
        <v>3.345512533</v>
      </c>
      <c r="H209" s="31">
        <v>1E+100</v>
      </c>
    </row>
    <row r="210" spans="2:8" x14ac:dyDescent="0.25">
      <c r="B210" s="29" t="s">
        <v>382</v>
      </c>
      <c r="C210" s="30" t="s">
        <v>1448</v>
      </c>
      <c r="D210" s="30">
        <v>0</v>
      </c>
      <c r="E210" s="30">
        <v>-3.3631036999999999</v>
      </c>
      <c r="F210" s="30">
        <v>3.214062881146674</v>
      </c>
      <c r="G210" s="30">
        <v>3.3631037240000001</v>
      </c>
      <c r="H210" s="31">
        <v>1E+100</v>
      </c>
    </row>
    <row r="211" spans="2:8" x14ac:dyDescent="0.25">
      <c r="B211" s="29" t="s">
        <v>132</v>
      </c>
      <c r="C211" s="30" t="s">
        <v>1198</v>
      </c>
      <c r="D211" s="30">
        <v>0</v>
      </c>
      <c r="E211" s="30">
        <v>-3.3659732</v>
      </c>
      <c r="F211" s="30">
        <v>21.053584663415677</v>
      </c>
      <c r="G211" s="30">
        <v>3.3659732409999998</v>
      </c>
      <c r="H211" s="31">
        <v>1E+100</v>
      </c>
    </row>
    <row r="212" spans="2:8" x14ac:dyDescent="0.25">
      <c r="B212" s="29" t="s">
        <v>541</v>
      </c>
      <c r="C212" s="30" t="s">
        <v>1607</v>
      </c>
      <c r="D212" s="30">
        <v>0</v>
      </c>
      <c r="E212" s="30">
        <v>-3.3759120999999999</v>
      </c>
      <c r="F212" s="30">
        <v>2.6203945271845441</v>
      </c>
      <c r="G212" s="30">
        <v>3.3759120660000002</v>
      </c>
      <c r="H212" s="31">
        <v>1E+100</v>
      </c>
    </row>
    <row r="213" spans="2:8" x14ac:dyDescent="0.25">
      <c r="B213" s="29" t="s">
        <v>76</v>
      </c>
      <c r="C213" s="30" t="s">
        <v>1142</v>
      </c>
      <c r="D213" s="30">
        <v>0</v>
      </c>
      <c r="E213" s="30">
        <v>-3.4055105000000001</v>
      </c>
      <c r="F213" s="30">
        <v>4.8622524623788195</v>
      </c>
      <c r="G213" s="30">
        <v>3.4055105280000002</v>
      </c>
      <c r="H213" s="31">
        <v>1E+100</v>
      </c>
    </row>
    <row r="214" spans="2:8" x14ac:dyDescent="0.25">
      <c r="B214" s="29" t="s">
        <v>222</v>
      </c>
      <c r="C214" s="30" t="s">
        <v>1288</v>
      </c>
      <c r="D214" s="30">
        <v>0</v>
      </c>
      <c r="E214" s="30">
        <v>-3.4062076999999999</v>
      </c>
      <c r="F214" s="30">
        <v>18.614827597280964</v>
      </c>
      <c r="G214" s="30">
        <v>3.4062076700000001</v>
      </c>
      <c r="H214" s="31">
        <v>1E+100</v>
      </c>
    </row>
    <row r="215" spans="2:8" x14ac:dyDescent="0.25">
      <c r="B215" s="29" t="s">
        <v>220</v>
      </c>
      <c r="C215" s="30" t="s">
        <v>1286</v>
      </c>
      <c r="D215" s="30">
        <v>0</v>
      </c>
      <c r="E215" s="30">
        <v>-3.4264633</v>
      </c>
      <c r="F215" s="30">
        <v>3.7503339903487358</v>
      </c>
      <c r="G215" s="30">
        <v>3.4264632740000001</v>
      </c>
      <c r="H215" s="31">
        <v>1E+100</v>
      </c>
    </row>
    <row r="216" spans="2:8" x14ac:dyDescent="0.25">
      <c r="B216" s="29" t="s">
        <v>553</v>
      </c>
      <c r="C216" s="30" t="s">
        <v>1619</v>
      </c>
      <c r="D216" s="30">
        <v>0</v>
      </c>
      <c r="E216" s="30">
        <v>-3.4282946999999999</v>
      </c>
      <c r="F216" s="30">
        <v>2.5680118970776675</v>
      </c>
      <c r="G216" s="30">
        <v>3.428294696</v>
      </c>
      <c r="H216" s="31">
        <v>1E+100</v>
      </c>
    </row>
    <row r="217" spans="2:8" x14ac:dyDescent="0.25">
      <c r="B217" s="29" t="s">
        <v>118</v>
      </c>
      <c r="C217" s="30" t="s">
        <v>1184</v>
      </c>
      <c r="D217" s="30">
        <v>0</v>
      </c>
      <c r="E217" s="30">
        <v>-3.4451721000000002</v>
      </c>
      <c r="F217" s="30">
        <v>4.3500264981848886</v>
      </c>
      <c r="G217" s="30">
        <v>3.4451720730000002</v>
      </c>
      <c r="H217" s="31">
        <v>1E+100</v>
      </c>
    </row>
    <row r="218" spans="2:8" x14ac:dyDescent="0.25">
      <c r="B218" s="29" t="s">
        <v>213</v>
      </c>
      <c r="C218" s="30" t="s">
        <v>1279</v>
      </c>
      <c r="D218" s="30">
        <v>0</v>
      </c>
      <c r="E218" s="30">
        <v>-3.4944739999999999</v>
      </c>
      <c r="F218" s="30">
        <v>18.925960357519216</v>
      </c>
      <c r="G218" s="30">
        <v>3.494473969</v>
      </c>
      <c r="H218" s="31">
        <v>1E+100</v>
      </c>
    </row>
    <row r="219" spans="2:8" x14ac:dyDescent="0.25">
      <c r="B219" s="29" t="s">
        <v>241</v>
      </c>
      <c r="C219" s="30" t="s">
        <v>1307</v>
      </c>
      <c r="D219" s="30">
        <v>0</v>
      </c>
      <c r="E219" s="30">
        <v>-3.5177562</v>
      </c>
      <c r="F219" s="30">
        <v>3.6590410745557165</v>
      </c>
      <c r="G219" s="30">
        <v>3.5177561900000001</v>
      </c>
      <c r="H219" s="31">
        <v>1E+100</v>
      </c>
    </row>
    <row r="220" spans="2:8" x14ac:dyDescent="0.25">
      <c r="B220" s="29" t="s">
        <v>421</v>
      </c>
      <c r="C220" s="30" t="s">
        <v>1487</v>
      </c>
      <c r="D220" s="30">
        <v>0</v>
      </c>
      <c r="E220" s="30">
        <v>-3.5421079999999998</v>
      </c>
      <c r="F220" s="30">
        <v>3.0350585578271421</v>
      </c>
      <c r="G220" s="30">
        <v>3.5421080470000001</v>
      </c>
      <c r="H220" s="31">
        <v>1E+100</v>
      </c>
    </row>
    <row r="221" spans="2:8" x14ac:dyDescent="0.25">
      <c r="B221" s="29" t="s">
        <v>99</v>
      </c>
      <c r="C221" s="30" t="s">
        <v>1165</v>
      </c>
      <c r="D221" s="30">
        <v>0</v>
      </c>
      <c r="E221" s="30">
        <v>-3.5509544000000002</v>
      </c>
      <c r="F221" s="30">
        <v>23.267126181191998</v>
      </c>
      <c r="G221" s="30">
        <v>3.5509543610000001</v>
      </c>
      <c r="H221" s="31">
        <v>1E+100</v>
      </c>
    </row>
    <row r="222" spans="2:8" x14ac:dyDescent="0.25">
      <c r="B222" s="29" t="s">
        <v>430</v>
      </c>
      <c r="C222" s="30" t="s">
        <v>1496</v>
      </c>
      <c r="D222" s="30">
        <v>0</v>
      </c>
      <c r="E222" s="30">
        <v>-3.5520089000000001</v>
      </c>
      <c r="F222" s="30">
        <v>3.0251577457820531</v>
      </c>
      <c r="G222" s="30">
        <v>3.5520088589999999</v>
      </c>
      <c r="H222" s="31">
        <v>1E+100</v>
      </c>
    </row>
    <row r="223" spans="2:8" x14ac:dyDescent="0.25">
      <c r="B223" s="29" t="s">
        <v>589</v>
      </c>
      <c r="C223" s="30" t="s">
        <v>1655</v>
      </c>
      <c r="D223" s="30">
        <v>0</v>
      </c>
      <c r="E223" s="30">
        <v>-3.5609164999999998</v>
      </c>
      <c r="F223" s="30">
        <v>2.4166194159624865</v>
      </c>
      <c r="G223" s="30">
        <v>3.5609165300000001</v>
      </c>
      <c r="H223" s="31">
        <v>1E+100</v>
      </c>
    </row>
    <row r="224" spans="2:8" x14ac:dyDescent="0.25">
      <c r="B224" s="29" t="s">
        <v>183</v>
      </c>
      <c r="C224" s="30" t="s">
        <v>1249</v>
      </c>
      <c r="D224" s="30">
        <v>0</v>
      </c>
      <c r="E224" s="30">
        <v>-3.6293312000000002</v>
      </c>
      <c r="F224" s="30">
        <v>19.590965380877606</v>
      </c>
      <c r="G224" s="30">
        <v>3.6293312050000002</v>
      </c>
      <c r="H224" s="31">
        <v>1E+100</v>
      </c>
    </row>
    <row r="225" spans="2:8" x14ac:dyDescent="0.25">
      <c r="B225" s="29" t="s">
        <v>153</v>
      </c>
      <c r="C225" s="30" t="s">
        <v>1219</v>
      </c>
      <c r="D225" s="30">
        <v>0</v>
      </c>
      <c r="E225" s="30">
        <v>-3.6540729999999999</v>
      </c>
      <c r="F225" s="30">
        <v>20.165854291422875</v>
      </c>
      <c r="G225" s="30">
        <v>3.6540729540000001</v>
      </c>
      <c r="H225" s="31">
        <v>1E+100</v>
      </c>
    </row>
    <row r="226" spans="2:8" x14ac:dyDescent="0.25">
      <c r="B226" s="29" t="s">
        <v>616</v>
      </c>
      <c r="C226" s="30" t="s">
        <v>1682</v>
      </c>
      <c r="D226" s="30">
        <v>0</v>
      </c>
      <c r="E226" s="30">
        <v>-3.6541839</v>
      </c>
      <c r="F226" s="30">
        <v>2.3233520916401176</v>
      </c>
      <c r="G226" s="30">
        <v>3.6541838539999998</v>
      </c>
      <c r="H226" s="31">
        <v>1E+100</v>
      </c>
    </row>
    <row r="227" spans="2:8" x14ac:dyDescent="0.25">
      <c r="B227" s="29" t="s">
        <v>207</v>
      </c>
      <c r="C227" s="30" t="s">
        <v>1273</v>
      </c>
      <c r="D227" s="30">
        <v>0</v>
      </c>
      <c r="E227" s="30">
        <v>-3.6583459</v>
      </c>
      <c r="F227" s="30">
        <v>18.962320014456054</v>
      </c>
      <c r="G227" s="30">
        <v>3.6583459120000001</v>
      </c>
      <c r="H227" s="31">
        <v>1E+100</v>
      </c>
    </row>
    <row r="228" spans="2:8" x14ac:dyDescent="0.25">
      <c r="B228" s="29" t="s">
        <v>292</v>
      </c>
      <c r="C228" s="30" t="s">
        <v>1358</v>
      </c>
      <c r="D228" s="30">
        <v>0</v>
      </c>
      <c r="E228" s="30">
        <v>-3.6777525</v>
      </c>
      <c r="F228" s="30">
        <v>3.5178153721208218</v>
      </c>
      <c r="G228" s="30">
        <v>3.6777525400000002</v>
      </c>
      <c r="H228" s="31">
        <v>1E+100</v>
      </c>
    </row>
    <row r="229" spans="2:8" x14ac:dyDescent="0.25">
      <c r="B229" s="29" t="s">
        <v>210</v>
      </c>
      <c r="C229" s="30" t="s">
        <v>1276</v>
      </c>
      <c r="D229" s="30">
        <v>0</v>
      </c>
      <c r="E229" s="30">
        <v>-3.6918055999999999</v>
      </c>
      <c r="F229" s="30">
        <v>18.947630966009456</v>
      </c>
      <c r="G229" s="30">
        <v>3.6918056080000001</v>
      </c>
      <c r="H229" s="31">
        <v>1E+100</v>
      </c>
    </row>
    <row r="230" spans="2:8" x14ac:dyDescent="0.25">
      <c r="B230" s="29" t="s">
        <v>73</v>
      </c>
      <c r="C230" s="30" t="s">
        <v>1139</v>
      </c>
      <c r="D230" s="30">
        <v>0</v>
      </c>
      <c r="E230" s="30">
        <v>-3.6968306000000002</v>
      </c>
      <c r="F230" s="30">
        <v>4.9350824706780259</v>
      </c>
      <c r="G230" s="30">
        <v>3.6968305610000001</v>
      </c>
      <c r="H230" s="31">
        <v>1E+100</v>
      </c>
    </row>
    <row r="231" spans="2:8" x14ac:dyDescent="0.25">
      <c r="B231" s="29" t="s">
        <v>297</v>
      </c>
      <c r="C231" s="30" t="s">
        <v>1363</v>
      </c>
      <c r="D231" s="30">
        <v>0</v>
      </c>
      <c r="E231" s="30">
        <v>-3.7046247999999999</v>
      </c>
      <c r="F231" s="30">
        <v>17.482468799440539</v>
      </c>
      <c r="G231" s="30">
        <v>3.7046247920000002</v>
      </c>
      <c r="H231" s="31">
        <v>1E+100</v>
      </c>
    </row>
    <row r="232" spans="2:8" x14ac:dyDescent="0.25">
      <c r="B232" s="29" t="s">
        <v>634</v>
      </c>
      <c r="C232" s="30" t="s">
        <v>1700</v>
      </c>
      <c r="D232" s="30">
        <v>0</v>
      </c>
      <c r="E232" s="30">
        <v>-3.7285601000000002</v>
      </c>
      <c r="F232" s="30">
        <v>2.2677464580046944</v>
      </c>
      <c r="G232" s="30">
        <v>3.7285601349999999</v>
      </c>
      <c r="H232" s="31">
        <v>1E+100</v>
      </c>
    </row>
    <row r="233" spans="2:8" x14ac:dyDescent="0.25">
      <c r="B233" s="29" t="s">
        <v>154</v>
      </c>
      <c r="C233" s="30" t="s">
        <v>1220</v>
      </c>
      <c r="D233" s="30">
        <v>0</v>
      </c>
      <c r="E233" s="30">
        <v>-3.7432571000000001</v>
      </c>
      <c r="F233" s="30">
        <v>4.0331708582816646</v>
      </c>
      <c r="G233" s="30">
        <v>3.7432570649999999</v>
      </c>
      <c r="H233" s="31">
        <v>1E+100</v>
      </c>
    </row>
    <row r="234" spans="2:8" x14ac:dyDescent="0.25">
      <c r="B234" s="29" t="s">
        <v>472</v>
      </c>
      <c r="C234" s="30" t="s">
        <v>1538</v>
      </c>
      <c r="D234" s="30">
        <v>0</v>
      </c>
      <c r="E234" s="30">
        <v>-3.7528269999999999</v>
      </c>
      <c r="F234" s="30">
        <v>2.8431102595932316</v>
      </c>
      <c r="G234" s="30">
        <v>3.7528269930000002</v>
      </c>
      <c r="H234" s="31">
        <v>1E+100</v>
      </c>
    </row>
    <row r="235" spans="2:8" x14ac:dyDescent="0.25">
      <c r="B235" s="29" t="s">
        <v>652</v>
      </c>
      <c r="C235" s="30" t="s">
        <v>1718</v>
      </c>
      <c r="D235" s="30">
        <v>0</v>
      </c>
      <c r="E235" s="30">
        <v>-3.7624417999999999</v>
      </c>
      <c r="F235" s="30">
        <v>2.2150941437575966</v>
      </c>
      <c r="G235" s="30">
        <v>3.7624418020000001</v>
      </c>
      <c r="H235" s="31">
        <v>1E+100</v>
      </c>
    </row>
    <row r="236" spans="2:8" x14ac:dyDescent="0.25">
      <c r="B236" s="29" t="s">
        <v>475</v>
      </c>
      <c r="C236" s="30" t="s">
        <v>1541</v>
      </c>
      <c r="D236" s="30">
        <v>0</v>
      </c>
      <c r="E236" s="30">
        <v>-3.7629155999999999</v>
      </c>
      <c r="F236" s="30">
        <v>2.8330216385074891</v>
      </c>
      <c r="G236" s="30">
        <v>3.7629156140000002</v>
      </c>
      <c r="H236" s="31">
        <v>1E+100</v>
      </c>
    </row>
    <row r="237" spans="2:8" x14ac:dyDescent="0.25">
      <c r="B237" s="29" t="s">
        <v>348</v>
      </c>
      <c r="C237" s="30" t="s">
        <v>1414</v>
      </c>
      <c r="D237" s="30">
        <v>0</v>
      </c>
      <c r="E237" s="30">
        <v>-3.8098215999999998</v>
      </c>
      <c r="F237" s="30">
        <v>16.777641329987091</v>
      </c>
      <c r="G237" s="30">
        <v>3.8098216030000001</v>
      </c>
      <c r="H237" s="31">
        <v>1E+100</v>
      </c>
    </row>
    <row r="238" spans="2:8" x14ac:dyDescent="0.25">
      <c r="B238" s="29" t="s">
        <v>499</v>
      </c>
      <c r="C238" s="30" t="s">
        <v>1565</v>
      </c>
      <c r="D238" s="30">
        <v>0</v>
      </c>
      <c r="E238" s="30">
        <v>-3.8329385999999999</v>
      </c>
      <c r="F238" s="30">
        <v>2.7629986633837689</v>
      </c>
      <c r="G238" s="30">
        <v>3.8329385889999998</v>
      </c>
      <c r="H238" s="31">
        <v>1E+100</v>
      </c>
    </row>
    <row r="239" spans="2:8" x14ac:dyDescent="0.25">
      <c r="B239" s="29" t="s">
        <v>243</v>
      </c>
      <c r="C239" s="30" t="s">
        <v>1309</v>
      </c>
      <c r="D239" s="30">
        <v>0</v>
      </c>
      <c r="E239" s="30">
        <v>-3.8383427999999999</v>
      </c>
      <c r="F239" s="30">
        <v>18.201463140489068</v>
      </c>
      <c r="G239" s="30">
        <v>3.838342774</v>
      </c>
      <c r="H239" s="31">
        <v>1E+100</v>
      </c>
    </row>
    <row r="240" spans="2:8" x14ac:dyDescent="0.25">
      <c r="B240" s="29" t="s">
        <v>109</v>
      </c>
      <c r="C240" s="30" t="s">
        <v>1175</v>
      </c>
      <c r="D240" s="30">
        <v>0</v>
      </c>
      <c r="E240" s="30">
        <v>-3.8445228</v>
      </c>
      <c r="F240" s="30">
        <v>4.5315357396029867</v>
      </c>
      <c r="G240" s="30">
        <v>3.844522843</v>
      </c>
      <c r="H240" s="31">
        <v>1E+100</v>
      </c>
    </row>
    <row r="241" spans="2:8" x14ac:dyDescent="0.25">
      <c r="B241" s="29" t="s">
        <v>514</v>
      </c>
      <c r="C241" s="30" t="s">
        <v>1580</v>
      </c>
      <c r="D241" s="30">
        <v>0</v>
      </c>
      <c r="E241" s="30">
        <v>-3.8970473999999999</v>
      </c>
      <c r="F241" s="30">
        <v>2.6801191795821069</v>
      </c>
      <c r="G241" s="30">
        <v>3.8970474249999998</v>
      </c>
      <c r="H241" s="31">
        <v>1E+100</v>
      </c>
    </row>
    <row r="242" spans="2:8" x14ac:dyDescent="0.25">
      <c r="B242" s="29" t="s">
        <v>370</v>
      </c>
      <c r="C242" s="30" t="s">
        <v>1436</v>
      </c>
      <c r="D242" s="30">
        <v>0</v>
      </c>
      <c r="E242" s="30">
        <v>-3.9145718</v>
      </c>
      <c r="F242" s="30">
        <v>3.2809960950107779</v>
      </c>
      <c r="G242" s="30">
        <v>3.9145718170000001</v>
      </c>
      <c r="H242" s="31">
        <v>1E+100</v>
      </c>
    </row>
    <row r="243" spans="2:8" x14ac:dyDescent="0.25">
      <c r="B243" s="29" t="s">
        <v>544</v>
      </c>
      <c r="C243" s="30" t="s">
        <v>1610</v>
      </c>
      <c r="D243" s="30">
        <v>0</v>
      </c>
      <c r="E243" s="30">
        <v>-3.9770778999999998</v>
      </c>
      <c r="F243" s="30">
        <v>2.6000887332338607</v>
      </c>
      <c r="G243" s="30">
        <v>3.9770778720000002</v>
      </c>
      <c r="H243" s="31">
        <v>1E+100</v>
      </c>
    </row>
    <row r="244" spans="2:8" x14ac:dyDescent="0.25">
      <c r="B244" s="29" t="s">
        <v>205</v>
      </c>
      <c r="C244" s="30" t="s">
        <v>1271</v>
      </c>
      <c r="D244" s="30">
        <v>0</v>
      </c>
      <c r="E244" s="30">
        <v>-3.9836429</v>
      </c>
      <c r="F244" s="30">
        <v>3.7927850160194794</v>
      </c>
      <c r="G244" s="30">
        <v>3.9836429080000002</v>
      </c>
      <c r="H244" s="31">
        <v>1E+100</v>
      </c>
    </row>
    <row r="245" spans="2:8" x14ac:dyDescent="0.25">
      <c r="B245" s="29" t="s">
        <v>556</v>
      </c>
      <c r="C245" s="30" t="s">
        <v>1622</v>
      </c>
      <c r="D245" s="30">
        <v>0</v>
      </c>
      <c r="E245" s="30">
        <v>-4.0303079000000004</v>
      </c>
      <c r="F245" s="30">
        <v>2.5656293219799409</v>
      </c>
      <c r="G245" s="30">
        <v>4.0303079300000002</v>
      </c>
      <c r="H245" s="31">
        <v>1E+100</v>
      </c>
    </row>
    <row r="246" spans="2:8" x14ac:dyDescent="0.25">
      <c r="B246" s="29" t="s">
        <v>568</v>
      </c>
      <c r="C246" s="30" t="s">
        <v>1634</v>
      </c>
      <c r="D246" s="30">
        <v>0</v>
      </c>
      <c r="E246" s="30">
        <v>-4.0451195000000002</v>
      </c>
      <c r="F246" s="30">
        <v>2.5320470620790729</v>
      </c>
      <c r="G246" s="30">
        <v>4.0451195430000002</v>
      </c>
      <c r="H246" s="31">
        <v>1E+100</v>
      </c>
    </row>
    <row r="247" spans="2:8" x14ac:dyDescent="0.25">
      <c r="B247" s="29" t="s">
        <v>571</v>
      </c>
      <c r="C247" s="30" t="s">
        <v>1637</v>
      </c>
      <c r="D247" s="30">
        <v>0</v>
      </c>
      <c r="E247" s="30">
        <v>-4.0518212</v>
      </c>
      <c r="F247" s="30">
        <v>2.5253454181802226</v>
      </c>
      <c r="G247" s="30">
        <v>4.0518211869999998</v>
      </c>
      <c r="H247" s="31">
        <v>1E+100</v>
      </c>
    </row>
    <row r="248" spans="2:8" x14ac:dyDescent="0.25">
      <c r="B248" s="29" t="s">
        <v>198</v>
      </c>
      <c r="C248" s="30" t="s">
        <v>1264</v>
      </c>
      <c r="D248" s="30">
        <v>0</v>
      </c>
      <c r="E248" s="30">
        <v>-4.0638728999999998</v>
      </c>
      <c r="F248" s="30">
        <v>19.156423656066181</v>
      </c>
      <c r="G248" s="30">
        <v>4.0638729299999996</v>
      </c>
      <c r="H248" s="31">
        <v>1E+100</v>
      </c>
    </row>
    <row r="249" spans="2:8" x14ac:dyDescent="0.25">
      <c r="B249" s="29" t="s">
        <v>225</v>
      </c>
      <c r="C249" s="30" t="s">
        <v>1291</v>
      </c>
      <c r="D249" s="30">
        <v>0</v>
      </c>
      <c r="E249" s="30">
        <v>-4.0692697999999998</v>
      </c>
      <c r="F249" s="30">
        <v>18.570166791410884</v>
      </c>
      <c r="G249" s="30">
        <v>4.0692697830000002</v>
      </c>
      <c r="H249" s="31">
        <v>1E+100</v>
      </c>
    </row>
    <row r="250" spans="2:8" x14ac:dyDescent="0.25">
      <c r="B250" s="29" t="s">
        <v>412</v>
      </c>
      <c r="C250" s="30" t="s">
        <v>1478</v>
      </c>
      <c r="D250" s="30">
        <v>0</v>
      </c>
      <c r="E250" s="30">
        <v>-4.1186213</v>
      </c>
      <c r="F250" s="30">
        <v>3.0769466441124678</v>
      </c>
      <c r="G250" s="30">
        <v>4.1186212680000001</v>
      </c>
      <c r="H250" s="31">
        <v>1E+100</v>
      </c>
    </row>
    <row r="251" spans="2:8" x14ac:dyDescent="0.25">
      <c r="B251" s="29" t="s">
        <v>133</v>
      </c>
      <c r="C251" s="30" t="s">
        <v>1199</v>
      </c>
      <c r="D251" s="30">
        <v>0</v>
      </c>
      <c r="E251" s="30">
        <v>-4.1653416999999999</v>
      </c>
      <c r="F251" s="30">
        <v>4.2107169326773146</v>
      </c>
      <c r="G251" s="30">
        <v>4.1653416500000002</v>
      </c>
      <c r="H251" s="31">
        <v>1E+100</v>
      </c>
    </row>
    <row r="252" spans="2:8" x14ac:dyDescent="0.25">
      <c r="B252" s="29" t="s">
        <v>604</v>
      </c>
      <c r="C252" s="30" t="s">
        <v>1670</v>
      </c>
      <c r="D252" s="30">
        <v>0</v>
      </c>
      <c r="E252" s="30">
        <v>-4.2033043000000001</v>
      </c>
      <c r="F252" s="30">
        <v>2.3738622584351106</v>
      </c>
      <c r="G252" s="30">
        <v>4.2033043470000004</v>
      </c>
      <c r="H252" s="31">
        <v>1E+100</v>
      </c>
    </row>
    <row r="253" spans="2:8" x14ac:dyDescent="0.25">
      <c r="B253" s="29" t="s">
        <v>276</v>
      </c>
      <c r="C253" s="30" t="s">
        <v>1342</v>
      </c>
      <c r="D253" s="30">
        <v>0</v>
      </c>
      <c r="E253" s="30">
        <v>-4.2065387000000003</v>
      </c>
      <c r="F253" s="30">
        <v>17.833267252892256</v>
      </c>
      <c r="G253" s="30">
        <v>4.2065386619999998</v>
      </c>
      <c r="H253" s="31">
        <v>1E+100</v>
      </c>
    </row>
    <row r="254" spans="2:8" x14ac:dyDescent="0.25">
      <c r="B254" s="29" t="s">
        <v>315</v>
      </c>
      <c r="C254" s="30" t="s">
        <v>1381</v>
      </c>
      <c r="D254" s="30">
        <v>0</v>
      </c>
      <c r="E254" s="30">
        <v>-4.2146179000000004</v>
      </c>
      <c r="F254" s="30">
        <v>17.225557353143813</v>
      </c>
      <c r="G254" s="30">
        <v>4.2146179019999996</v>
      </c>
      <c r="H254" s="31">
        <v>1E+100</v>
      </c>
    </row>
    <row r="255" spans="2:8" x14ac:dyDescent="0.25">
      <c r="B255" s="29" t="s">
        <v>610</v>
      </c>
      <c r="C255" s="30" t="s">
        <v>1676</v>
      </c>
      <c r="D255" s="30">
        <v>0</v>
      </c>
      <c r="E255" s="30">
        <v>-4.2184451000000003</v>
      </c>
      <c r="F255" s="30">
        <v>2.3587214931467315</v>
      </c>
      <c r="G255" s="30">
        <v>4.2184451120000004</v>
      </c>
      <c r="H255" s="31">
        <v>1E+100</v>
      </c>
    </row>
    <row r="256" spans="2:8" x14ac:dyDescent="0.25">
      <c r="B256" s="29" t="s">
        <v>445</v>
      </c>
      <c r="C256" s="30" t="s">
        <v>1511</v>
      </c>
      <c r="D256" s="30">
        <v>0</v>
      </c>
      <c r="E256" s="30">
        <v>-4.2254187999999999</v>
      </c>
      <c r="F256" s="30">
        <v>2.951378487792681</v>
      </c>
      <c r="G256" s="30">
        <v>4.2254187769999998</v>
      </c>
      <c r="H256" s="31">
        <v>1E+100</v>
      </c>
    </row>
    <row r="257" spans="2:8" x14ac:dyDescent="0.25">
      <c r="B257" s="29" t="s">
        <v>289</v>
      </c>
      <c r="C257" s="30" t="s">
        <v>1355</v>
      </c>
      <c r="D257" s="30">
        <v>0</v>
      </c>
      <c r="E257" s="30">
        <v>-4.2569020000000002</v>
      </c>
      <c r="F257" s="30">
        <v>3.5195259504544083</v>
      </c>
      <c r="G257" s="30">
        <v>4.2569019729999997</v>
      </c>
      <c r="H257" s="31">
        <v>1E+100</v>
      </c>
    </row>
    <row r="258" spans="2:8" x14ac:dyDescent="0.25">
      <c r="B258" s="29" t="s">
        <v>613</v>
      </c>
      <c r="C258" s="30" t="s">
        <v>1679</v>
      </c>
      <c r="D258" s="30">
        <v>0</v>
      </c>
      <c r="E258" s="30">
        <v>-4.2646762000000003</v>
      </c>
      <c r="F258" s="30">
        <v>2.3312610722641693</v>
      </c>
      <c r="G258" s="30">
        <v>4.2646761800000004</v>
      </c>
      <c r="H258" s="31">
        <v>1E+100</v>
      </c>
    </row>
    <row r="259" spans="2:8" x14ac:dyDescent="0.25">
      <c r="B259" s="29" t="s">
        <v>454</v>
      </c>
      <c r="C259" s="30" t="s">
        <v>1520</v>
      </c>
      <c r="D259" s="30">
        <v>0</v>
      </c>
      <c r="E259" s="30">
        <v>-4.2796409000000004</v>
      </c>
      <c r="F259" s="30">
        <v>2.8971563573577441</v>
      </c>
      <c r="G259" s="30">
        <v>4.2796409070000001</v>
      </c>
      <c r="H259" s="31">
        <v>1E+100</v>
      </c>
    </row>
    <row r="260" spans="2:8" x14ac:dyDescent="0.25">
      <c r="B260" s="29" t="s">
        <v>237</v>
      </c>
      <c r="C260" s="30" t="s">
        <v>1303</v>
      </c>
      <c r="D260" s="30">
        <v>0</v>
      </c>
      <c r="E260" s="30">
        <v>-4.280119</v>
      </c>
      <c r="F260" s="30">
        <v>18.3593175947899</v>
      </c>
      <c r="G260" s="30">
        <v>4.280118979</v>
      </c>
      <c r="H260" s="31">
        <v>1E+100</v>
      </c>
    </row>
    <row r="261" spans="2:8" x14ac:dyDescent="0.25">
      <c r="B261" s="29" t="s">
        <v>622</v>
      </c>
      <c r="C261" s="30" t="s">
        <v>1688</v>
      </c>
      <c r="D261" s="30">
        <v>0</v>
      </c>
      <c r="E261" s="30">
        <v>-4.2875988999999999</v>
      </c>
      <c r="F261" s="30">
        <v>2.3083383996854536</v>
      </c>
      <c r="G261" s="30">
        <v>4.2875988530000004</v>
      </c>
      <c r="H261" s="31">
        <v>1E+100</v>
      </c>
    </row>
    <row r="262" spans="2:8" x14ac:dyDescent="0.25">
      <c r="B262" s="29" t="s">
        <v>460</v>
      </c>
      <c r="C262" s="30" t="s">
        <v>1526</v>
      </c>
      <c r="D262" s="30">
        <v>0</v>
      </c>
      <c r="E262" s="30">
        <v>-4.2995448999999999</v>
      </c>
      <c r="F262" s="30">
        <v>2.8772524046362378</v>
      </c>
      <c r="G262" s="30">
        <v>4.2995448600000001</v>
      </c>
      <c r="H262" s="31">
        <v>1E+100</v>
      </c>
    </row>
    <row r="263" spans="2:8" x14ac:dyDescent="0.25">
      <c r="B263" s="29" t="s">
        <v>640</v>
      </c>
      <c r="C263" s="30" t="s">
        <v>1706</v>
      </c>
      <c r="D263" s="30">
        <v>0</v>
      </c>
      <c r="E263" s="30">
        <v>-4.3258951000000003</v>
      </c>
      <c r="F263" s="30">
        <v>2.2512714923359454</v>
      </c>
      <c r="G263" s="30">
        <v>4.3258951129999996</v>
      </c>
      <c r="H263" s="31">
        <v>1E+100</v>
      </c>
    </row>
    <row r="264" spans="2:8" x14ac:dyDescent="0.25">
      <c r="B264" s="29" t="s">
        <v>156</v>
      </c>
      <c r="C264" s="30" t="s">
        <v>1222</v>
      </c>
      <c r="D264" s="30">
        <v>0</v>
      </c>
      <c r="E264" s="30">
        <v>-4.3474601000000002</v>
      </c>
      <c r="F264" s="30">
        <v>20.072097776370356</v>
      </c>
      <c r="G264" s="30">
        <v>4.3474601279999998</v>
      </c>
      <c r="H264" s="31">
        <v>1E+100</v>
      </c>
    </row>
    <row r="265" spans="2:8" x14ac:dyDescent="0.25">
      <c r="B265" s="29" t="s">
        <v>138</v>
      </c>
      <c r="C265" s="30" t="s">
        <v>1204</v>
      </c>
      <c r="D265" s="30">
        <v>0</v>
      </c>
      <c r="E265" s="30">
        <v>-4.3590359999999997</v>
      </c>
      <c r="F265" s="30">
        <v>20.660152531825588</v>
      </c>
      <c r="G265" s="30">
        <v>4.3590360319999997</v>
      </c>
      <c r="H265" s="31">
        <v>1E+100</v>
      </c>
    </row>
    <row r="266" spans="2:8" x14ac:dyDescent="0.25">
      <c r="B266" s="29" t="s">
        <v>157</v>
      </c>
      <c r="C266" s="30" t="s">
        <v>1223</v>
      </c>
      <c r="D266" s="30">
        <v>0</v>
      </c>
      <c r="E266" s="30">
        <v>-4.3616390000000003</v>
      </c>
      <c r="F266" s="30">
        <v>4.0144195552711608</v>
      </c>
      <c r="G266" s="30">
        <v>4.3616390279999999</v>
      </c>
      <c r="H266" s="31">
        <v>1E+100</v>
      </c>
    </row>
    <row r="267" spans="2:8" x14ac:dyDescent="0.25">
      <c r="B267" s="29" t="s">
        <v>655</v>
      </c>
      <c r="C267" s="30" t="s">
        <v>1721</v>
      </c>
      <c r="D267" s="30">
        <v>0</v>
      </c>
      <c r="E267" s="30">
        <v>-4.3717328999999996</v>
      </c>
      <c r="F267" s="30">
        <v>2.2054336888541002</v>
      </c>
      <c r="G267" s="30">
        <v>4.371732916</v>
      </c>
      <c r="H267" s="31">
        <v>1E+100</v>
      </c>
    </row>
    <row r="268" spans="2:8" x14ac:dyDescent="0.25">
      <c r="B268" s="29" t="s">
        <v>219</v>
      </c>
      <c r="C268" s="30" t="s">
        <v>1285</v>
      </c>
      <c r="D268" s="30">
        <v>0</v>
      </c>
      <c r="E268" s="30">
        <v>-4.4686266000000003</v>
      </c>
      <c r="F268" s="30">
        <v>18.751669951772783</v>
      </c>
      <c r="G268" s="30">
        <v>4.4686266339999996</v>
      </c>
      <c r="H268" s="31">
        <v>1E+100</v>
      </c>
    </row>
    <row r="269" spans="2:8" x14ac:dyDescent="0.25">
      <c r="B269" s="29" t="s">
        <v>294</v>
      </c>
      <c r="C269" s="30" t="s">
        <v>1360</v>
      </c>
      <c r="D269" s="30">
        <v>0</v>
      </c>
      <c r="E269" s="30">
        <v>-4.5082078000000001</v>
      </c>
      <c r="F269" s="30">
        <v>17.531598138695699</v>
      </c>
      <c r="G269" s="30">
        <v>4.5082077759999999</v>
      </c>
      <c r="H269" s="31">
        <v>1E+100</v>
      </c>
    </row>
    <row r="270" spans="2:8" x14ac:dyDescent="0.25">
      <c r="B270" s="29" t="s">
        <v>252</v>
      </c>
      <c r="C270" s="30" t="s">
        <v>1318</v>
      </c>
      <c r="D270" s="30">
        <v>0</v>
      </c>
      <c r="E270" s="30">
        <v>-4.5155792999999997</v>
      </c>
      <c r="F270" s="30">
        <v>18.123857289436273</v>
      </c>
      <c r="G270" s="30">
        <v>4.5155792850000003</v>
      </c>
      <c r="H270" s="31">
        <v>1E+100</v>
      </c>
    </row>
    <row r="271" spans="2:8" x14ac:dyDescent="0.25">
      <c r="B271" s="29" t="s">
        <v>342</v>
      </c>
      <c r="C271" s="30" t="s">
        <v>1408</v>
      </c>
      <c r="D271" s="30">
        <v>0</v>
      </c>
      <c r="E271" s="30">
        <v>-4.5195550000000004</v>
      </c>
      <c r="F271" s="30">
        <v>16.920620258286363</v>
      </c>
      <c r="G271" s="30">
        <v>4.5195549970000002</v>
      </c>
      <c r="H271" s="31">
        <v>1E+100</v>
      </c>
    </row>
    <row r="272" spans="2:8" x14ac:dyDescent="0.25">
      <c r="B272" s="29" t="s">
        <v>532</v>
      </c>
      <c r="C272" s="30" t="s">
        <v>1598</v>
      </c>
      <c r="D272" s="30">
        <v>0</v>
      </c>
      <c r="E272" s="30">
        <v>-4.5288795000000004</v>
      </c>
      <c r="F272" s="30">
        <v>2.6479177424625959</v>
      </c>
      <c r="G272" s="30">
        <v>4.5288795220000004</v>
      </c>
      <c r="H272" s="31">
        <v>1E+100</v>
      </c>
    </row>
    <row r="273" spans="2:8" x14ac:dyDescent="0.25">
      <c r="B273" s="29" t="s">
        <v>405</v>
      </c>
      <c r="C273" s="30" t="s">
        <v>1471</v>
      </c>
      <c r="D273" s="30">
        <v>0</v>
      </c>
      <c r="E273" s="30">
        <v>-4.6161060000000003</v>
      </c>
      <c r="F273" s="30">
        <v>15.405805731556029</v>
      </c>
      <c r="G273" s="30">
        <v>4.6161059580000003</v>
      </c>
      <c r="H273" s="31">
        <v>1E+100</v>
      </c>
    </row>
    <row r="274" spans="2:8" x14ac:dyDescent="0.25">
      <c r="B274" s="29" t="s">
        <v>303</v>
      </c>
      <c r="C274" s="30" t="s">
        <v>1369</v>
      </c>
      <c r="D274" s="30">
        <v>0</v>
      </c>
      <c r="E274" s="30">
        <v>-4.6374063999999997</v>
      </c>
      <c r="F274" s="30">
        <v>17.383628832089016</v>
      </c>
      <c r="G274" s="30">
        <v>4.6374064349999999</v>
      </c>
      <c r="H274" s="31">
        <v>1E+100</v>
      </c>
    </row>
    <row r="275" spans="2:8" x14ac:dyDescent="0.25">
      <c r="B275" s="29" t="s">
        <v>97</v>
      </c>
      <c r="C275" s="30" t="s">
        <v>1163</v>
      </c>
      <c r="D275" s="30">
        <v>0</v>
      </c>
      <c r="E275" s="30">
        <v>-4.6602275000000004</v>
      </c>
      <c r="F275" s="30">
        <v>4.9150923897541361</v>
      </c>
      <c r="G275" s="30">
        <v>4.6602275119999996</v>
      </c>
      <c r="H275" s="31">
        <v>1E+100</v>
      </c>
    </row>
    <row r="276" spans="2:8" x14ac:dyDescent="0.25">
      <c r="B276" s="29" t="s">
        <v>351</v>
      </c>
      <c r="C276" s="30" t="s">
        <v>1417</v>
      </c>
      <c r="D276" s="30">
        <v>0</v>
      </c>
      <c r="E276" s="30">
        <v>-4.6755845999999996</v>
      </c>
      <c r="F276" s="30">
        <v>16.76459066561074</v>
      </c>
      <c r="G276" s="30">
        <v>4.6755845899999997</v>
      </c>
      <c r="H276" s="31">
        <v>1E+100</v>
      </c>
    </row>
    <row r="277" spans="2:8" x14ac:dyDescent="0.25">
      <c r="B277" s="29" t="s">
        <v>259</v>
      </c>
      <c r="C277" s="30" t="s">
        <v>1325</v>
      </c>
      <c r="D277" s="30">
        <v>0</v>
      </c>
      <c r="E277" s="30">
        <v>-4.7625108999999997</v>
      </c>
      <c r="F277" s="30">
        <v>3.613547637622105</v>
      </c>
      <c r="G277" s="30">
        <v>4.7625109449999998</v>
      </c>
      <c r="H277" s="31">
        <v>1E+100</v>
      </c>
    </row>
    <row r="278" spans="2:8" x14ac:dyDescent="0.25">
      <c r="B278" s="29" t="s">
        <v>273</v>
      </c>
      <c r="C278" s="30" t="s">
        <v>1339</v>
      </c>
      <c r="D278" s="30">
        <v>0</v>
      </c>
      <c r="E278" s="30">
        <v>-4.8041989999999997</v>
      </c>
      <c r="F278" s="30">
        <v>17.835237578357919</v>
      </c>
      <c r="G278" s="30">
        <v>4.8041989960000002</v>
      </c>
      <c r="H278" s="31">
        <v>1E+100</v>
      </c>
    </row>
    <row r="279" spans="2:8" x14ac:dyDescent="0.25">
      <c r="B279" s="29" t="s">
        <v>280</v>
      </c>
      <c r="C279" s="30" t="s">
        <v>1346</v>
      </c>
      <c r="D279" s="30">
        <v>0</v>
      </c>
      <c r="E279" s="30">
        <v>-4.8300874</v>
      </c>
      <c r="F279" s="30">
        <v>3.5459711584117031</v>
      </c>
      <c r="G279" s="30">
        <v>4.8300874250000003</v>
      </c>
      <c r="H279" s="31">
        <v>1E+100</v>
      </c>
    </row>
    <row r="280" spans="2:8" x14ac:dyDescent="0.25">
      <c r="B280" s="29" t="s">
        <v>65</v>
      </c>
      <c r="C280" s="30" t="s">
        <v>1131</v>
      </c>
      <c r="D280" s="30">
        <v>0</v>
      </c>
      <c r="E280" s="30">
        <v>-4.8382509999999996</v>
      </c>
      <c r="F280" s="30">
        <v>29.369477263215231</v>
      </c>
      <c r="G280" s="30">
        <v>4.8382510439999997</v>
      </c>
      <c r="H280" s="31">
        <v>1E+100</v>
      </c>
    </row>
    <row r="281" spans="2:8" x14ac:dyDescent="0.25">
      <c r="B281" s="29" t="s">
        <v>139</v>
      </c>
      <c r="C281" s="30" t="s">
        <v>1205</v>
      </c>
      <c r="D281" s="30">
        <v>0</v>
      </c>
      <c r="E281" s="30">
        <v>-4.8436586999999998</v>
      </c>
      <c r="F281" s="30">
        <v>4.1320305063563865</v>
      </c>
      <c r="G281" s="30">
        <v>4.8436587360000001</v>
      </c>
      <c r="H281" s="31">
        <v>1E+100</v>
      </c>
    </row>
    <row r="282" spans="2:8" x14ac:dyDescent="0.25">
      <c r="B282" s="29" t="s">
        <v>204</v>
      </c>
      <c r="C282" s="30" t="s">
        <v>1270</v>
      </c>
      <c r="D282" s="30">
        <v>0</v>
      </c>
      <c r="E282" s="30">
        <v>-4.8560021999999998</v>
      </c>
      <c r="F282" s="30">
        <v>18.963925080111949</v>
      </c>
      <c r="G282" s="30">
        <v>4.8560021649999996</v>
      </c>
      <c r="H282" s="31">
        <v>1E+100</v>
      </c>
    </row>
    <row r="283" spans="2:8" x14ac:dyDescent="0.25">
      <c r="B283" s="29" t="s">
        <v>321</v>
      </c>
      <c r="C283" s="30" t="s">
        <v>1387</v>
      </c>
      <c r="D283" s="30">
        <v>0</v>
      </c>
      <c r="E283" s="30">
        <v>-4.8637889999999997</v>
      </c>
      <c r="F283" s="30">
        <v>17.1760168873152</v>
      </c>
      <c r="G283" s="30">
        <v>4.8637890270000002</v>
      </c>
      <c r="H283" s="31">
        <v>1E+100</v>
      </c>
    </row>
    <row r="284" spans="2:8" x14ac:dyDescent="0.25">
      <c r="B284" s="29" t="s">
        <v>625</v>
      </c>
      <c r="C284" s="30" t="s">
        <v>1691</v>
      </c>
      <c r="D284" s="30">
        <v>0</v>
      </c>
      <c r="E284" s="30">
        <v>-4.8739872000000002</v>
      </c>
      <c r="F284" s="30">
        <v>2.3028100911324145</v>
      </c>
      <c r="G284" s="30">
        <v>4.8739871729999997</v>
      </c>
      <c r="H284" s="31">
        <v>1E+100</v>
      </c>
    </row>
    <row r="285" spans="2:8" x14ac:dyDescent="0.25">
      <c r="B285" s="29" t="s">
        <v>324</v>
      </c>
      <c r="C285" s="30" t="s">
        <v>1390</v>
      </c>
      <c r="D285" s="30">
        <v>0</v>
      </c>
      <c r="E285" s="30">
        <v>-4.9023599999999998</v>
      </c>
      <c r="F285" s="30">
        <v>17.118675289020757</v>
      </c>
      <c r="G285" s="30">
        <v>4.9023599779999998</v>
      </c>
      <c r="H285" s="31">
        <v>1E+100</v>
      </c>
    </row>
    <row r="286" spans="2:8" x14ac:dyDescent="0.25">
      <c r="B286" s="29" t="s">
        <v>240</v>
      </c>
      <c r="C286" s="30" t="s">
        <v>1306</v>
      </c>
      <c r="D286" s="30">
        <v>0</v>
      </c>
      <c r="E286" s="30">
        <v>-4.9250911999999998</v>
      </c>
      <c r="F286" s="30">
        <v>18.295205372749479</v>
      </c>
      <c r="G286" s="30">
        <v>4.925091213</v>
      </c>
      <c r="H286" s="31">
        <v>1E+100</v>
      </c>
    </row>
    <row r="287" spans="2:8" x14ac:dyDescent="0.25">
      <c r="B287" s="29" t="s">
        <v>366</v>
      </c>
      <c r="C287" s="30" t="s">
        <v>1432</v>
      </c>
      <c r="D287" s="30">
        <v>0</v>
      </c>
      <c r="E287" s="30">
        <v>-5.0105126000000002</v>
      </c>
      <c r="F287" s="30">
        <v>16.410892044979846</v>
      </c>
      <c r="G287" s="30">
        <v>5.0105125629999998</v>
      </c>
      <c r="H287" s="31">
        <v>1E+100</v>
      </c>
    </row>
    <row r="288" spans="2:8" x14ac:dyDescent="0.25">
      <c r="B288" s="29" t="s">
        <v>285</v>
      </c>
      <c r="C288" s="30" t="s">
        <v>1351</v>
      </c>
      <c r="D288" s="30">
        <v>0</v>
      </c>
      <c r="E288" s="30">
        <v>-5.0294983999999996</v>
      </c>
      <c r="F288" s="30">
        <v>17.609938198613236</v>
      </c>
      <c r="G288" s="30">
        <v>5.0294983750000002</v>
      </c>
      <c r="H288" s="31">
        <v>1E+100</v>
      </c>
    </row>
    <row r="289" spans="2:8" x14ac:dyDescent="0.25">
      <c r="B289" s="29" t="s">
        <v>333</v>
      </c>
      <c r="C289" s="30" t="s">
        <v>1399</v>
      </c>
      <c r="D289" s="30">
        <v>0</v>
      </c>
      <c r="E289" s="30">
        <v>-5.0444604000000002</v>
      </c>
      <c r="F289" s="30">
        <v>16.976574820524547</v>
      </c>
      <c r="G289" s="30">
        <v>5.0444604469999996</v>
      </c>
      <c r="H289" s="31">
        <v>1E+100</v>
      </c>
    </row>
    <row r="290" spans="2:8" x14ac:dyDescent="0.25">
      <c r="B290" s="29" t="s">
        <v>336</v>
      </c>
      <c r="C290" s="30" t="s">
        <v>1402</v>
      </c>
      <c r="D290" s="30">
        <v>0</v>
      </c>
      <c r="E290" s="30">
        <v>-5.0579179999999999</v>
      </c>
      <c r="F290" s="30">
        <v>16.963117254184908</v>
      </c>
      <c r="G290" s="30">
        <v>5.0579180130000001</v>
      </c>
      <c r="H290" s="31">
        <v>1E+100</v>
      </c>
    </row>
    <row r="291" spans="2:8" x14ac:dyDescent="0.25">
      <c r="B291" s="29" t="s">
        <v>402</v>
      </c>
      <c r="C291" s="30" t="s">
        <v>1468</v>
      </c>
      <c r="D291" s="30">
        <v>0</v>
      </c>
      <c r="E291" s="30">
        <v>-5.1638827999999997</v>
      </c>
      <c r="F291" s="30">
        <v>15.423580181057332</v>
      </c>
      <c r="G291" s="30">
        <v>5.163882751</v>
      </c>
      <c r="H291" s="31">
        <v>1E+100</v>
      </c>
    </row>
    <row r="292" spans="2:8" x14ac:dyDescent="0.25">
      <c r="B292" s="29" t="s">
        <v>345</v>
      </c>
      <c r="C292" s="30" t="s">
        <v>1411</v>
      </c>
      <c r="D292" s="30">
        <v>0</v>
      </c>
      <c r="E292" s="30">
        <v>-5.2534003</v>
      </c>
      <c r="F292" s="30">
        <v>16.786405620296136</v>
      </c>
      <c r="G292" s="30">
        <v>5.2534002940000004</v>
      </c>
      <c r="H292" s="31">
        <v>1E+100</v>
      </c>
    </row>
    <row r="293" spans="2:8" x14ac:dyDescent="0.25">
      <c r="B293" s="29" t="s">
        <v>628</v>
      </c>
      <c r="C293" s="30" t="s">
        <v>1694</v>
      </c>
      <c r="D293" s="30">
        <v>0</v>
      </c>
      <c r="E293" s="30">
        <v>-5.2868804000000003</v>
      </c>
      <c r="F293" s="30">
        <v>2.2893159189989092</v>
      </c>
      <c r="G293" s="30">
        <v>5.2868804039999997</v>
      </c>
      <c r="H293" s="31">
        <v>1E+100</v>
      </c>
    </row>
    <row r="294" spans="2:8" x14ac:dyDescent="0.25">
      <c r="B294" s="29" t="s">
        <v>309</v>
      </c>
      <c r="C294" s="30" t="s">
        <v>1375</v>
      </c>
      <c r="D294" s="30">
        <v>0</v>
      </c>
      <c r="E294" s="30">
        <v>-5.3422546999999998</v>
      </c>
      <c r="F294" s="30">
        <v>17.297181920861476</v>
      </c>
      <c r="G294" s="30">
        <v>5.3422546530000004</v>
      </c>
      <c r="H294" s="31">
        <v>1E+100</v>
      </c>
    </row>
    <row r="295" spans="2:8" x14ac:dyDescent="0.25">
      <c r="B295" s="29" t="s">
        <v>394</v>
      </c>
      <c r="C295" s="30" t="s">
        <v>1460</v>
      </c>
      <c r="D295" s="30">
        <v>0</v>
      </c>
      <c r="E295" s="30">
        <v>-5.3531348999999997</v>
      </c>
      <c r="F295" s="30">
        <v>4.3540993283386342E-2</v>
      </c>
      <c r="G295" s="30">
        <v>5.3531349410000004</v>
      </c>
      <c r="H295" s="31">
        <v>1E+100</v>
      </c>
    </row>
    <row r="296" spans="2:8" x14ac:dyDescent="0.25">
      <c r="B296" s="29" t="s">
        <v>360</v>
      </c>
      <c r="C296" s="30" t="s">
        <v>1426</v>
      </c>
      <c r="D296" s="30">
        <v>0</v>
      </c>
      <c r="E296" s="30">
        <v>-5.4338119999999996</v>
      </c>
      <c r="F296" s="30">
        <v>16.605993962759385</v>
      </c>
      <c r="G296" s="30">
        <v>5.4338119520000001</v>
      </c>
      <c r="H296" s="31">
        <v>1E+100</v>
      </c>
    </row>
    <row r="297" spans="2:8" x14ac:dyDescent="0.25">
      <c r="B297" s="29" t="s">
        <v>450</v>
      </c>
      <c r="C297" s="30" t="s">
        <v>1516</v>
      </c>
      <c r="D297" s="30">
        <v>0</v>
      </c>
      <c r="E297" s="30">
        <v>-5.5031030000000003</v>
      </c>
      <c r="F297" s="30">
        <v>14.518808647684637</v>
      </c>
      <c r="G297" s="30">
        <v>5.5031030420000002</v>
      </c>
      <c r="H297" s="31">
        <v>1E+100</v>
      </c>
    </row>
    <row r="298" spans="2:8" x14ac:dyDescent="0.25">
      <c r="B298" s="29" t="s">
        <v>123</v>
      </c>
      <c r="C298" s="30" t="s">
        <v>1189</v>
      </c>
      <c r="D298" s="30">
        <v>0</v>
      </c>
      <c r="E298" s="30">
        <v>-5.5365815999999999</v>
      </c>
      <c r="F298" s="30">
        <v>21.281498953991104</v>
      </c>
      <c r="G298" s="30">
        <v>5.5365815879999998</v>
      </c>
      <c r="H298" s="31">
        <v>1E+100</v>
      </c>
    </row>
    <row r="299" spans="2:8" x14ac:dyDescent="0.25">
      <c r="B299" s="29" t="s">
        <v>327</v>
      </c>
      <c r="C299" s="30" t="s">
        <v>1393</v>
      </c>
      <c r="D299" s="30">
        <v>0</v>
      </c>
      <c r="E299" s="30">
        <v>-5.5859445000000001</v>
      </c>
      <c r="F299" s="30">
        <v>17.05349203509104</v>
      </c>
      <c r="G299" s="30">
        <v>5.5859445389999998</v>
      </c>
      <c r="H299" s="31">
        <v>1E+100</v>
      </c>
    </row>
    <row r="300" spans="2:8" x14ac:dyDescent="0.25">
      <c r="B300" s="29" t="s">
        <v>495</v>
      </c>
      <c r="C300" s="30" t="s">
        <v>1561</v>
      </c>
      <c r="D300" s="30">
        <v>0</v>
      </c>
      <c r="E300" s="30">
        <v>-5.5886927999999996</v>
      </c>
      <c r="F300" s="30">
        <v>13.833588212393806</v>
      </c>
      <c r="G300" s="30">
        <v>5.5886928180000002</v>
      </c>
      <c r="H300" s="31">
        <v>1E+100</v>
      </c>
    </row>
    <row r="301" spans="2:8" x14ac:dyDescent="0.25">
      <c r="B301" s="29" t="s">
        <v>291</v>
      </c>
      <c r="C301" s="30" t="s">
        <v>1357</v>
      </c>
      <c r="D301" s="30">
        <v>0</v>
      </c>
      <c r="E301" s="30">
        <v>-5.6499904000000001</v>
      </c>
      <c r="F301" s="30">
        <v>17.589076860633213</v>
      </c>
      <c r="G301" s="30">
        <v>5.6499903729999996</v>
      </c>
      <c r="H301" s="31">
        <v>1E+100</v>
      </c>
    </row>
    <row r="302" spans="2:8" x14ac:dyDescent="0.25">
      <c r="B302" s="29" t="s">
        <v>68</v>
      </c>
      <c r="C302" s="30" t="s">
        <v>1134</v>
      </c>
      <c r="D302" s="30">
        <v>0</v>
      </c>
      <c r="E302" s="30">
        <v>-5.6573912000000002</v>
      </c>
      <c r="F302" s="30">
        <v>28.550337082706392</v>
      </c>
      <c r="G302" s="30">
        <v>5.6573912240000004</v>
      </c>
      <c r="H302" s="31">
        <v>1E+100</v>
      </c>
    </row>
    <row r="303" spans="2:8" x14ac:dyDescent="0.25">
      <c r="B303" s="29" t="s">
        <v>387</v>
      </c>
      <c r="C303" s="30" t="s">
        <v>1453</v>
      </c>
      <c r="D303" s="30">
        <v>0</v>
      </c>
      <c r="E303" s="30">
        <v>-5.6796451000000001</v>
      </c>
      <c r="F303" s="30">
        <v>15.760530158746406</v>
      </c>
      <c r="G303" s="30">
        <v>5.6796450969999999</v>
      </c>
      <c r="H303" s="31">
        <v>1E+100</v>
      </c>
    </row>
    <row r="304" spans="2:8" x14ac:dyDescent="0.25">
      <c r="B304" s="29" t="s">
        <v>339</v>
      </c>
      <c r="C304" s="30" t="s">
        <v>1405</v>
      </c>
      <c r="D304" s="30">
        <v>0</v>
      </c>
      <c r="E304" s="30">
        <v>-5.7107637000000002</v>
      </c>
      <c r="F304" s="30">
        <v>16.928672920665122</v>
      </c>
      <c r="G304" s="30">
        <v>5.7107636529999999</v>
      </c>
      <c r="H304" s="31">
        <v>1E+100</v>
      </c>
    </row>
    <row r="305" spans="2:8" x14ac:dyDescent="0.25">
      <c r="B305" s="29" t="s">
        <v>396</v>
      </c>
      <c r="C305" s="30" t="s">
        <v>1462</v>
      </c>
      <c r="D305" s="30">
        <v>0</v>
      </c>
      <c r="E305" s="30">
        <v>-5.7464642000000001</v>
      </c>
      <c r="F305" s="30">
        <v>15.693711089945282</v>
      </c>
      <c r="G305" s="30">
        <v>5.746464166</v>
      </c>
      <c r="H305" s="31">
        <v>1E+100</v>
      </c>
    </row>
    <row r="306" spans="2:8" x14ac:dyDescent="0.25">
      <c r="B306" s="29" t="s">
        <v>501</v>
      </c>
      <c r="C306" s="30" t="s">
        <v>1567</v>
      </c>
      <c r="D306" s="30">
        <v>0</v>
      </c>
      <c r="E306" s="30">
        <v>-5.8099078999999998</v>
      </c>
      <c r="F306" s="30">
        <v>13.612373080381076</v>
      </c>
      <c r="G306" s="30">
        <v>5.8099079500000004</v>
      </c>
      <c r="H306" s="31">
        <v>1E+100</v>
      </c>
    </row>
    <row r="307" spans="2:8" x14ac:dyDescent="0.25">
      <c r="B307" s="29" t="s">
        <v>375</v>
      </c>
      <c r="C307" s="30" t="s">
        <v>1441</v>
      </c>
      <c r="D307" s="30">
        <v>0</v>
      </c>
      <c r="E307" s="30">
        <v>-5.8116194999999999</v>
      </c>
      <c r="F307" s="30">
        <v>16.228186453459784</v>
      </c>
      <c r="G307" s="30">
        <v>5.8116194610000003</v>
      </c>
      <c r="H307" s="31">
        <v>1E+100</v>
      </c>
    </row>
    <row r="308" spans="2:8" x14ac:dyDescent="0.25">
      <c r="B308" s="29" t="s">
        <v>378</v>
      </c>
      <c r="C308" s="30" t="s">
        <v>1444</v>
      </c>
      <c r="D308" s="30">
        <v>0</v>
      </c>
      <c r="E308" s="30">
        <v>-5.9201683999999997</v>
      </c>
      <c r="F308" s="30">
        <v>16.119637530777254</v>
      </c>
      <c r="G308" s="30">
        <v>5.9201683840000001</v>
      </c>
      <c r="H308" s="31">
        <v>1E+100</v>
      </c>
    </row>
    <row r="309" spans="2:8" x14ac:dyDescent="0.25">
      <c r="B309" s="29" t="s">
        <v>354</v>
      </c>
      <c r="C309" s="30" t="s">
        <v>1420</v>
      </c>
      <c r="D309" s="30">
        <v>0</v>
      </c>
      <c r="E309" s="30">
        <v>-5.9219853000000002</v>
      </c>
      <c r="F309" s="30">
        <v>16.698680644665728</v>
      </c>
      <c r="G309" s="30">
        <v>5.9219852819999996</v>
      </c>
      <c r="H309" s="31">
        <v>1E+100</v>
      </c>
    </row>
    <row r="310" spans="2:8" x14ac:dyDescent="0.25">
      <c r="B310" s="29" t="s">
        <v>399</v>
      </c>
      <c r="C310" s="30" t="s">
        <v>1465</v>
      </c>
      <c r="D310" s="30">
        <v>0</v>
      </c>
      <c r="E310" s="30">
        <v>-5.9410505000000002</v>
      </c>
      <c r="F310" s="30">
        <v>15.499124743437278</v>
      </c>
      <c r="G310" s="30">
        <v>5.9410505120000003</v>
      </c>
      <c r="H310" s="31">
        <v>1E+100</v>
      </c>
    </row>
    <row r="311" spans="2:8" x14ac:dyDescent="0.25">
      <c r="B311" s="29" t="s">
        <v>408</v>
      </c>
      <c r="C311" s="30" t="s">
        <v>1474</v>
      </c>
      <c r="D311" s="30">
        <v>0</v>
      </c>
      <c r="E311" s="30">
        <v>-6.0533767999999997</v>
      </c>
      <c r="F311" s="30">
        <v>15.386798481835285</v>
      </c>
      <c r="G311" s="30">
        <v>6.0533767740000002</v>
      </c>
      <c r="H311" s="31">
        <v>1E+100</v>
      </c>
    </row>
    <row r="312" spans="2:8" x14ac:dyDescent="0.25">
      <c r="B312" s="29" t="s">
        <v>100</v>
      </c>
      <c r="C312" s="30" t="s">
        <v>1166</v>
      </c>
      <c r="D312" s="30">
        <v>0</v>
      </c>
      <c r="E312" s="30">
        <v>-6.121156</v>
      </c>
      <c r="F312" s="30">
        <v>4.6534252362325788</v>
      </c>
      <c r="G312" s="30">
        <v>6.1211559839999996</v>
      </c>
      <c r="H312" s="31">
        <v>1E+100</v>
      </c>
    </row>
    <row r="313" spans="2:8" x14ac:dyDescent="0.25">
      <c r="B313" s="29" t="s">
        <v>384</v>
      </c>
      <c r="C313" s="30" t="s">
        <v>1450</v>
      </c>
      <c r="D313" s="30">
        <v>0</v>
      </c>
      <c r="E313" s="30">
        <v>-6.1251388999999996</v>
      </c>
      <c r="F313" s="30">
        <v>15.895896407077089</v>
      </c>
      <c r="G313" s="30">
        <v>6.1251388599999999</v>
      </c>
      <c r="H313" s="31">
        <v>1E+100</v>
      </c>
    </row>
    <row r="314" spans="2:8" x14ac:dyDescent="0.25">
      <c r="B314" s="29" t="s">
        <v>432</v>
      </c>
      <c r="C314" s="30" t="s">
        <v>1498</v>
      </c>
      <c r="D314" s="30">
        <v>0</v>
      </c>
      <c r="E314" s="30">
        <v>-6.1561867000000001</v>
      </c>
      <c r="F314" s="30">
        <v>15.064986339857569</v>
      </c>
      <c r="G314" s="30">
        <v>6.1561866680000001</v>
      </c>
      <c r="H314" s="31">
        <v>1E+100</v>
      </c>
    </row>
    <row r="315" spans="2:8" x14ac:dyDescent="0.25">
      <c r="B315" s="29" t="s">
        <v>363</v>
      </c>
      <c r="C315" s="30" t="s">
        <v>1429</v>
      </c>
      <c r="D315" s="30">
        <v>0</v>
      </c>
      <c r="E315" s="30">
        <v>-6.2019029000000003</v>
      </c>
      <c r="F315" s="30">
        <v>16.418763030000264</v>
      </c>
      <c r="G315" s="30">
        <v>6.2019028970000001</v>
      </c>
      <c r="H315" s="31">
        <v>1E+100</v>
      </c>
    </row>
    <row r="316" spans="2:8" x14ac:dyDescent="0.25">
      <c r="B316" s="29" t="s">
        <v>417</v>
      </c>
      <c r="C316" s="30" t="s">
        <v>1483</v>
      </c>
      <c r="D316" s="30">
        <v>0</v>
      </c>
      <c r="E316" s="30">
        <v>-6.2023174000000001</v>
      </c>
      <c r="F316" s="30">
        <v>15.237857870612061</v>
      </c>
      <c r="G316" s="30">
        <v>6.2023173849999997</v>
      </c>
      <c r="H316" s="31">
        <v>1E+100</v>
      </c>
    </row>
    <row r="317" spans="2:8" x14ac:dyDescent="0.25">
      <c r="B317" s="29" t="s">
        <v>288</v>
      </c>
      <c r="C317" s="30" t="s">
        <v>1354</v>
      </c>
      <c r="D317" s="30">
        <v>0</v>
      </c>
      <c r="E317" s="30">
        <v>-6.2222974999999998</v>
      </c>
      <c r="F317" s="30">
        <v>17.597629752272042</v>
      </c>
      <c r="G317" s="30">
        <v>6.2222974930000001</v>
      </c>
      <c r="H317" s="31">
        <v>1E+100</v>
      </c>
    </row>
    <row r="318" spans="2:8" x14ac:dyDescent="0.25">
      <c r="B318" s="29" t="s">
        <v>372</v>
      </c>
      <c r="C318" s="30" t="s">
        <v>1438</v>
      </c>
      <c r="D318" s="30">
        <v>0</v>
      </c>
      <c r="E318" s="30">
        <v>-6.2481463000000002</v>
      </c>
      <c r="F318" s="30">
        <v>16.37251962593291</v>
      </c>
      <c r="G318" s="30">
        <v>6.2481463010000002</v>
      </c>
      <c r="H318" s="31">
        <v>1E+100</v>
      </c>
    </row>
    <row r="319" spans="2:8" x14ac:dyDescent="0.25">
      <c r="B319" s="29" t="s">
        <v>70</v>
      </c>
      <c r="C319" s="30" t="s">
        <v>1136</v>
      </c>
      <c r="D319" s="30">
        <v>0</v>
      </c>
      <c r="E319" s="30">
        <v>-6.2817179000000003</v>
      </c>
      <c r="F319" s="30">
        <v>5.5813043152302271</v>
      </c>
      <c r="G319" s="30">
        <v>6.281717939</v>
      </c>
      <c r="H319" s="31">
        <v>1E+100</v>
      </c>
    </row>
    <row r="320" spans="2:8" x14ac:dyDescent="0.25">
      <c r="B320" s="29" t="s">
        <v>71</v>
      </c>
      <c r="C320" s="30" t="s">
        <v>1137</v>
      </c>
      <c r="D320" s="30">
        <v>0</v>
      </c>
      <c r="E320" s="30">
        <v>-6.3012066999999998</v>
      </c>
      <c r="F320" s="30">
        <v>27.906521576194791</v>
      </c>
      <c r="G320" s="30">
        <v>6.3012067309999997</v>
      </c>
      <c r="H320" s="31">
        <v>1E+100</v>
      </c>
    </row>
    <row r="321" spans="2:8" x14ac:dyDescent="0.25">
      <c r="B321" s="29" t="s">
        <v>390</v>
      </c>
      <c r="C321" s="30" t="s">
        <v>1456</v>
      </c>
      <c r="D321" s="30">
        <v>0</v>
      </c>
      <c r="E321" s="30">
        <v>-6.3150854000000001</v>
      </c>
      <c r="F321" s="30">
        <v>15.724720560610876</v>
      </c>
      <c r="G321" s="30">
        <v>6.3150853539999998</v>
      </c>
      <c r="H321" s="31">
        <v>1E+100</v>
      </c>
    </row>
    <row r="322" spans="2:8" x14ac:dyDescent="0.25">
      <c r="B322" s="29" t="s">
        <v>258</v>
      </c>
      <c r="C322" s="30" t="s">
        <v>1324</v>
      </c>
      <c r="D322" s="30">
        <v>0</v>
      </c>
      <c r="E322" s="30">
        <v>-6.3518197000000001</v>
      </c>
      <c r="F322" s="30">
        <v>18.067738188139629</v>
      </c>
      <c r="G322" s="30">
        <v>6.3518197159999996</v>
      </c>
      <c r="H322" s="31">
        <v>1E+100</v>
      </c>
    </row>
    <row r="323" spans="2:8" x14ac:dyDescent="0.25">
      <c r="B323" s="29" t="s">
        <v>649</v>
      </c>
      <c r="C323" s="30" t="s">
        <v>1715</v>
      </c>
      <c r="D323" s="30">
        <v>0</v>
      </c>
      <c r="E323" s="30">
        <v>-6.5145619000000003</v>
      </c>
      <c r="F323" s="30">
        <v>6.2604661419754848E-2</v>
      </c>
      <c r="G323" s="30">
        <v>6.5145619440000004</v>
      </c>
      <c r="H323" s="31">
        <v>1E+100</v>
      </c>
    </row>
    <row r="324" spans="2:8" x14ac:dyDescent="0.25">
      <c r="B324" s="29" t="s">
        <v>124</v>
      </c>
      <c r="C324" s="30" t="s">
        <v>1190</v>
      </c>
      <c r="D324" s="30">
        <v>0</v>
      </c>
      <c r="E324" s="30">
        <v>-6.5182814000000002</v>
      </c>
      <c r="F324" s="30">
        <v>4.2562997907953104</v>
      </c>
      <c r="G324" s="30">
        <v>6.518281429</v>
      </c>
      <c r="H324" s="31">
        <v>1E+100</v>
      </c>
    </row>
    <row r="325" spans="2:8" x14ac:dyDescent="0.25">
      <c r="B325" s="29" t="s">
        <v>438</v>
      </c>
      <c r="C325" s="30" t="s">
        <v>1504</v>
      </c>
      <c r="D325" s="30">
        <v>0</v>
      </c>
      <c r="E325" s="30">
        <v>-6.5478440000000004</v>
      </c>
      <c r="F325" s="30">
        <v>14.892331299532088</v>
      </c>
      <c r="G325" s="30">
        <v>6.5478439560000004</v>
      </c>
      <c r="H325" s="31">
        <v>1E+100</v>
      </c>
    </row>
    <row r="326" spans="2:8" x14ac:dyDescent="0.25">
      <c r="B326" s="29" t="s">
        <v>381</v>
      </c>
      <c r="C326" s="30" t="s">
        <v>1447</v>
      </c>
      <c r="D326" s="30">
        <v>0</v>
      </c>
      <c r="E326" s="30">
        <v>-6.5503514999999997</v>
      </c>
      <c r="F326" s="30">
        <v>16.070314405762474</v>
      </c>
      <c r="G326" s="30">
        <v>6.5503515209999996</v>
      </c>
      <c r="H326" s="31">
        <v>1E+100</v>
      </c>
    </row>
    <row r="327" spans="2:8" x14ac:dyDescent="0.25">
      <c r="B327" s="29" t="s">
        <v>279</v>
      </c>
      <c r="C327" s="30" t="s">
        <v>1345</v>
      </c>
      <c r="D327" s="30">
        <v>0</v>
      </c>
      <c r="E327" s="30">
        <v>-6.6897020999999999</v>
      </c>
      <c r="F327" s="30">
        <v>17.729855792073067</v>
      </c>
      <c r="G327" s="30">
        <v>6.6897021130000001</v>
      </c>
      <c r="H327" s="31">
        <v>1E+100</v>
      </c>
    </row>
    <row r="328" spans="2:8" x14ac:dyDescent="0.25">
      <c r="B328" s="29" t="s">
        <v>528</v>
      </c>
      <c r="C328" s="30" t="s">
        <v>1594</v>
      </c>
      <c r="D328" s="30">
        <v>0</v>
      </c>
      <c r="E328" s="30">
        <v>-6.7648520000000003</v>
      </c>
      <c r="F328" s="30">
        <v>13.257059725146974</v>
      </c>
      <c r="G328" s="30">
        <v>6.764851964</v>
      </c>
      <c r="H328" s="31">
        <v>1E+100</v>
      </c>
    </row>
    <row r="329" spans="2:8" x14ac:dyDescent="0.25">
      <c r="B329" s="29" t="s">
        <v>414</v>
      </c>
      <c r="C329" s="30" t="s">
        <v>1480</v>
      </c>
      <c r="D329" s="30">
        <v>0</v>
      </c>
      <c r="E329" s="30">
        <v>-6.7791278000000004</v>
      </c>
      <c r="F329" s="30">
        <v>15.241907427902333</v>
      </c>
      <c r="G329" s="30">
        <v>6.779127839</v>
      </c>
      <c r="H329" s="31">
        <v>1E+100</v>
      </c>
    </row>
    <row r="330" spans="2:8" x14ac:dyDescent="0.25">
      <c r="B330" s="29" t="s">
        <v>67</v>
      </c>
      <c r="C330" s="30" t="s">
        <v>1133</v>
      </c>
      <c r="D330" s="30">
        <v>0</v>
      </c>
      <c r="E330" s="30">
        <v>-6.7967703000000004</v>
      </c>
      <c r="F330" s="30">
        <v>5.7100674165412784</v>
      </c>
      <c r="G330" s="30">
        <v>6.7967703449999997</v>
      </c>
      <c r="H330" s="31">
        <v>1E+100</v>
      </c>
    </row>
    <row r="331" spans="2:8" x14ac:dyDescent="0.25">
      <c r="B331" s="29" t="s">
        <v>369</v>
      </c>
      <c r="C331" s="30" t="s">
        <v>1435</v>
      </c>
      <c r="D331" s="30">
        <v>0</v>
      </c>
      <c r="E331" s="30">
        <v>-6.8340867999999997</v>
      </c>
      <c r="F331" s="30">
        <v>16.404980475097545</v>
      </c>
      <c r="G331" s="30">
        <v>6.8340867579999998</v>
      </c>
      <c r="H331" s="31">
        <v>1E+100</v>
      </c>
    </row>
    <row r="332" spans="2:8" x14ac:dyDescent="0.25">
      <c r="B332" s="29" t="s">
        <v>423</v>
      </c>
      <c r="C332" s="30" t="s">
        <v>1489</v>
      </c>
      <c r="D332" s="30">
        <v>0</v>
      </c>
      <c r="E332" s="30">
        <v>-6.8671626999999997</v>
      </c>
      <c r="F332" s="30">
        <v>15.153872539711301</v>
      </c>
      <c r="G332" s="30">
        <v>6.8671627280000003</v>
      </c>
      <c r="H332" s="31">
        <v>1E+100</v>
      </c>
    </row>
    <row r="333" spans="2:8" x14ac:dyDescent="0.25">
      <c r="B333" s="29" t="s">
        <v>426</v>
      </c>
      <c r="C333" s="30" t="s">
        <v>1492</v>
      </c>
      <c r="D333" s="30">
        <v>0</v>
      </c>
      <c r="E333" s="30">
        <v>-6.8920535000000003</v>
      </c>
      <c r="F333" s="30">
        <v>15.147752448712708</v>
      </c>
      <c r="G333" s="30">
        <v>6.8920534660000001</v>
      </c>
      <c r="H333" s="31">
        <v>1E+100</v>
      </c>
    </row>
    <row r="334" spans="2:8" x14ac:dyDescent="0.25">
      <c r="B334" s="29" t="s">
        <v>435</v>
      </c>
      <c r="C334" s="30" t="s">
        <v>1501</v>
      </c>
      <c r="D334" s="30">
        <v>0</v>
      </c>
      <c r="E334" s="30">
        <v>-7.0027454000000002</v>
      </c>
      <c r="F334" s="30">
        <v>15.01828986108012</v>
      </c>
      <c r="G334" s="30">
        <v>7.0027454059999998</v>
      </c>
      <c r="H334" s="31">
        <v>1E+100</v>
      </c>
    </row>
    <row r="335" spans="2:8" x14ac:dyDescent="0.25">
      <c r="B335" s="29" t="s">
        <v>549</v>
      </c>
      <c r="C335" s="30" t="s">
        <v>1615</v>
      </c>
      <c r="D335" s="30">
        <v>0</v>
      </c>
      <c r="E335" s="30">
        <v>-7.1720904000000001</v>
      </c>
      <c r="F335" s="30">
        <v>12.849821325871744</v>
      </c>
      <c r="G335" s="30">
        <v>7.1720903629999997</v>
      </c>
      <c r="H335" s="31">
        <v>1E+100</v>
      </c>
    </row>
    <row r="336" spans="2:8" x14ac:dyDescent="0.25">
      <c r="B336" s="29" t="s">
        <v>441</v>
      </c>
      <c r="C336" s="30" t="s">
        <v>1507</v>
      </c>
      <c r="D336" s="30">
        <v>0</v>
      </c>
      <c r="E336" s="30">
        <v>-7.2230281999999999</v>
      </c>
      <c r="F336" s="30">
        <v>14.798007067933213</v>
      </c>
      <c r="G336" s="30">
        <v>7.2230281989999998</v>
      </c>
      <c r="H336" s="31">
        <v>1E+100</v>
      </c>
    </row>
    <row r="337" spans="2:8" x14ac:dyDescent="0.25">
      <c r="B337" s="29" t="s">
        <v>483</v>
      </c>
      <c r="C337" s="30" t="s">
        <v>1549</v>
      </c>
      <c r="D337" s="30">
        <v>0</v>
      </c>
      <c r="E337" s="30">
        <v>-7.2737578000000003</v>
      </c>
      <c r="F337" s="30">
        <v>14.14764682414534</v>
      </c>
      <c r="G337" s="30">
        <v>7.2737577839999998</v>
      </c>
      <c r="H337" s="31">
        <v>1E+100</v>
      </c>
    </row>
    <row r="338" spans="2:8" x14ac:dyDescent="0.25">
      <c r="B338" s="29" t="s">
        <v>477</v>
      </c>
      <c r="C338" s="30" t="s">
        <v>1543</v>
      </c>
      <c r="D338" s="30">
        <v>0</v>
      </c>
      <c r="E338" s="30">
        <v>-7.2782992000000002</v>
      </c>
      <c r="F338" s="30">
        <v>14.161876064274111</v>
      </c>
      <c r="G338" s="30">
        <v>7.2782991910000003</v>
      </c>
      <c r="H338" s="31">
        <v>1E+100</v>
      </c>
    </row>
    <row r="339" spans="2:8" x14ac:dyDescent="0.25">
      <c r="B339" s="29" t="s">
        <v>480</v>
      </c>
      <c r="C339" s="30" t="s">
        <v>1546</v>
      </c>
      <c r="D339" s="30">
        <v>0</v>
      </c>
      <c r="E339" s="30">
        <v>-7.2863252000000003</v>
      </c>
      <c r="F339" s="30">
        <v>14.153850044269348</v>
      </c>
      <c r="G339" s="30">
        <v>7.2863252110000003</v>
      </c>
      <c r="H339" s="31">
        <v>1E+100</v>
      </c>
    </row>
    <row r="340" spans="2:8" x14ac:dyDescent="0.25">
      <c r="B340" s="29" t="s">
        <v>447</v>
      </c>
      <c r="C340" s="30" t="s">
        <v>1513</v>
      </c>
      <c r="D340" s="30">
        <v>0</v>
      </c>
      <c r="E340" s="30">
        <v>-7.3637367999999999</v>
      </c>
      <c r="F340" s="30">
        <v>14.657298461228493</v>
      </c>
      <c r="G340" s="30">
        <v>7.3637368060000004</v>
      </c>
      <c r="H340" s="31">
        <v>1E+100</v>
      </c>
    </row>
    <row r="341" spans="2:8" x14ac:dyDescent="0.25">
      <c r="B341" s="29" t="s">
        <v>420</v>
      </c>
      <c r="C341" s="30" t="s">
        <v>1486</v>
      </c>
      <c r="D341" s="30">
        <v>0</v>
      </c>
      <c r="E341" s="30">
        <v>-7.4453731000000003</v>
      </c>
      <c r="F341" s="30">
        <v>15.175292789106607</v>
      </c>
      <c r="G341" s="30">
        <v>7.4453731379999999</v>
      </c>
      <c r="H341" s="31">
        <v>1E+100</v>
      </c>
    </row>
    <row r="342" spans="2:8" x14ac:dyDescent="0.25">
      <c r="B342" s="29" t="s">
        <v>64</v>
      </c>
      <c r="C342" s="30" t="s">
        <v>1130</v>
      </c>
      <c r="D342" s="30">
        <v>0</v>
      </c>
      <c r="E342" s="30">
        <v>-7.4520825000000004</v>
      </c>
      <c r="F342" s="30">
        <v>5.873895452634315</v>
      </c>
      <c r="G342" s="30">
        <v>7.4520824890000004</v>
      </c>
      <c r="H342" s="31">
        <v>1E+100</v>
      </c>
    </row>
    <row r="343" spans="2:8" x14ac:dyDescent="0.25">
      <c r="B343" s="29" t="s">
        <v>429</v>
      </c>
      <c r="C343" s="30" t="s">
        <v>1495</v>
      </c>
      <c r="D343" s="30">
        <v>0</v>
      </c>
      <c r="E343" s="30">
        <v>-7.4948772000000004</v>
      </c>
      <c r="F343" s="30">
        <v>15.125788728881162</v>
      </c>
      <c r="G343" s="30">
        <v>7.4948771980000002</v>
      </c>
      <c r="H343" s="31">
        <v>1E+100</v>
      </c>
    </row>
    <row r="344" spans="2:8" x14ac:dyDescent="0.25">
      <c r="B344" s="29" t="s">
        <v>456</v>
      </c>
      <c r="C344" s="30" t="s">
        <v>1522</v>
      </c>
      <c r="D344" s="30">
        <v>0</v>
      </c>
      <c r="E344" s="30">
        <v>-7.5774125000000003</v>
      </c>
      <c r="F344" s="30">
        <v>14.462393381181755</v>
      </c>
      <c r="G344" s="30">
        <v>7.5774125339999996</v>
      </c>
      <c r="H344" s="31">
        <v>1E+100</v>
      </c>
    </row>
    <row r="345" spans="2:8" x14ac:dyDescent="0.25">
      <c r="B345" s="29" t="s">
        <v>462</v>
      </c>
      <c r="C345" s="30" t="s">
        <v>1528</v>
      </c>
      <c r="D345" s="30">
        <v>0</v>
      </c>
      <c r="E345" s="30">
        <v>-7.6721329999999996</v>
      </c>
      <c r="F345" s="30">
        <v>14.367672921653138</v>
      </c>
      <c r="G345" s="30">
        <v>7.672132993</v>
      </c>
      <c r="H345" s="31">
        <v>1E+100</v>
      </c>
    </row>
    <row r="346" spans="2:8" x14ac:dyDescent="0.25">
      <c r="B346" s="29" t="s">
        <v>582</v>
      </c>
      <c r="C346" s="30" t="s">
        <v>1648</v>
      </c>
      <c r="D346" s="30">
        <v>0</v>
      </c>
      <c r="E346" s="30">
        <v>-7.6925515999999998</v>
      </c>
      <c r="F346" s="30">
        <v>12.329360050629475</v>
      </c>
      <c r="G346" s="30">
        <v>7.6925516390000004</v>
      </c>
      <c r="H346" s="31">
        <v>1E+100</v>
      </c>
    </row>
    <row r="347" spans="2:8" x14ac:dyDescent="0.25">
      <c r="B347" s="29" t="s">
        <v>465</v>
      </c>
      <c r="C347" s="30" t="s">
        <v>1531</v>
      </c>
      <c r="D347" s="30">
        <v>0</v>
      </c>
      <c r="E347" s="30">
        <v>-7.7353889999999996</v>
      </c>
      <c r="F347" s="30">
        <v>14.285646248637931</v>
      </c>
      <c r="G347" s="30">
        <v>7.7353890190000003</v>
      </c>
      <c r="H347" s="31">
        <v>1E+100</v>
      </c>
    </row>
    <row r="348" spans="2:8" x14ac:dyDescent="0.25">
      <c r="B348" s="29" t="s">
        <v>468</v>
      </c>
      <c r="C348" s="30" t="s">
        <v>1534</v>
      </c>
      <c r="D348" s="30">
        <v>0</v>
      </c>
      <c r="E348" s="30">
        <v>-7.7374523999999996</v>
      </c>
      <c r="F348" s="30">
        <v>14.283582830539672</v>
      </c>
      <c r="G348" s="30">
        <v>7.737452437</v>
      </c>
      <c r="H348" s="31">
        <v>1E+100</v>
      </c>
    </row>
    <row r="349" spans="2:8" x14ac:dyDescent="0.25">
      <c r="B349" s="29" t="s">
        <v>411</v>
      </c>
      <c r="C349" s="30" t="s">
        <v>1477</v>
      </c>
      <c r="D349" s="30">
        <v>0</v>
      </c>
      <c r="E349" s="30">
        <v>-7.8543339999999997</v>
      </c>
      <c r="F349" s="30">
        <v>15.384733220576891</v>
      </c>
      <c r="G349" s="30">
        <v>7.8543340129999999</v>
      </c>
      <c r="H349" s="31">
        <v>1E+100</v>
      </c>
    </row>
    <row r="350" spans="2:8" x14ac:dyDescent="0.25">
      <c r="B350" s="29" t="s">
        <v>507</v>
      </c>
      <c r="C350" s="30" t="s">
        <v>1573</v>
      </c>
      <c r="D350" s="30">
        <v>0</v>
      </c>
      <c r="E350" s="30">
        <v>-7.8636572999999999</v>
      </c>
      <c r="F350" s="30">
        <v>13.557747286744416</v>
      </c>
      <c r="G350" s="30">
        <v>7.8636573209999998</v>
      </c>
      <c r="H350" s="31">
        <v>1E+100</v>
      </c>
    </row>
    <row r="351" spans="2:8" x14ac:dyDescent="0.25">
      <c r="B351" s="29" t="s">
        <v>486</v>
      </c>
      <c r="C351" s="30" t="s">
        <v>1552</v>
      </c>
      <c r="D351" s="30">
        <v>0</v>
      </c>
      <c r="E351" s="30">
        <v>-7.8768438999999999</v>
      </c>
      <c r="F351" s="30">
        <v>14.1441913175222</v>
      </c>
      <c r="G351" s="30">
        <v>7.8768439499999996</v>
      </c>
      <c r="H351" s="31">
        <v>1E+100</v>
      </c>
    </row>
    <row r="352" spans="2:8" x14ac:dyDescent="0.25">
      <c r="B352" s="29" t="s">
        <v>489</v>
      </c>
      <c r="C352" s="30" t="s">
        <v>1555</v>
      </c>
      <c r="D352" s="30">
        <v>0</v>
      </c>
      <c r="E352" s="30">
        <v>-8.0045100999999992</v>
      </c>
      <c r="F352" s="30">
        <v>14.016525213199202</v>
      </c>
      <c r="G352" s="30">
        <v>8.0045100540000007</v>
      </c>
      <c r="H352" s="31">
        <v>1E+100</v>
      </c>
    </row>
    <row r="353" spans="2:8" x14ac:dyDescent="0.25">
      <c r="B353" s="29" t="s">
        <v>519</v>
      </c>
      <c r="C353" s="30" t="s">
        <v>1585</v>
      </c>
      <c r="D353" s="30">
        <v>0</v>
      </c>
      <c r="E353" s="30">
        <v>-8.0747555999999996</v>
      </c>
      <c r="F353" s="30">
        <v>13.346648987659137</v>
      </c>
      <c r="G353" s="30">
        <v>8.0747556199999995</v>
      </c>
      <c r="H353" s="31">
        <v>1E+100</v>
      </c>
    </row>
    <row r="354" spans="2:8" x14ac:dyDescent="0.25">
      <c r="B354" s="29" t="s">
        <v>516</v>
      </c>
      <c r="C354" s="30" t="s">
        <v>1582</v>
      </c>
      <c r="D354" s="30">
        <v>0</v>
      </c>
      <c r="E354" s="30">
        <v>-8.0798474000000002</v>
      </c>
      <c r="F354" s="30">
        <v>13.360327859481913</v>
      </c>
      <c r="G354" s="30">
        <v>8.0798473959999999</v>
      </c>
      <c r="H354" s="31">
        <v>1E+100</v>
      </c>
    </row>
    <row r="355" spans="2:8" x14ac:dyDescent="0.25">
      <c r="B355" s="29" t="s">
        <v>492</v>
      </c>
      <c r="C355" s="30" t="s">
        <v>1558</v>
      </c>
      <c r="D355" s="30">
        <v>0</v>
      </c>
      <c r="E355" s="30">
        <v>-8.0885166000000002</v>
      </c>
      <c r="F355" s="30">
        <v>13.951289292468573</v>
      </c>
      <c r="G355" s="30">
        <v>8.0885166220000002</v>
      </c>
      <c r="H355" s="31">
        <v>1E+100</v>
      </c>
    </row>
    <row r="356" spans="2:8" x14ac:dyDescent="0.25">
      <c r="B356" s="29" t="s">
        <v>522</v>
      </c>
      <c r="C356" s="30" t="s">
        <v>1588</v>
      </c>
      <c r="D356" s="30">
        <v>0</v>
      </c>
      <c r="E356" s="30">
        <v>-8.0981156999999993</v>
      </c>
      <c r="F356" s="30">
        <v>13.342059547299868</v>
      </c>
      <c r="G356" s="30">
        <v>8.0981157079999999</v>
      </c>
      <c r="H356" s="31">
        <v>1E+100</v>
      </c>
    </row>
    <row r="357" spans="2:8" x14ac:dyDescent="0.25">
      <c r="B357" s="29" t="s">
        <v>636</v>
      </c>
      <c r="C357" s="30" t="s">
        <v>1702</v>
      </c>
      <c r="D357" s="30">
        <v>0</v>
      </c>
      <c r="E357" s="30">
        <v>-8.1388087000000002</v>
      </c>
      <c r="F357" s="30">
        <v>11.283472333263489</v>
      </c>
      <c r="G357" s="30">
        <v>8.138808697</v>
      </c>
      <c r="H357" s="31">
        <v>1E+100</v>
      </c>
    </row>
    <row r="358" spans="2:8" x14ac:dyDescent="0.25">
      <c r="B358" s="29" t="s">
        <v>537</v>
      </c>
      <c r="C358" s="30" t="s">
        <v>1603</v>
      </c>
      <c r="D358" s="30">
        <v>0</v>
      </c>
      <c r="E358" s="30">
        <v>-8.2497387</v>
      </c>
      <c r="F358" s="30">
        <v>13.171665914851474</v>
      </c>
      <c r="G358" s="30">
        <v>8.2497386929999994</v>
      </c>
      <c r="H358" s="31">
        <v>1E+100</v>
      </c>
    </row>
    <row r="359" spans="2:8" x14ac:dyDescent="0.25">
      <c r="B359" s="29" t="s">
        <v>645</v>
      </c>
      <c r="C359" s="30" t="s">
        <v>1711</v>
      </c>
      <c r="D359" s="30">
        <v>0</v>
      </c>
      <c r="E359" s="30">
        <v>-8.2755375000000004</v>
      </c>
      <c r="F359" s="30">
        <v>11.146743562596384</v>
      </c>
      <c r="G359" s="30">
        <v>8.2755374669999995</v>
      </c>
      <c r="H359" s="31">
        <v>1E+100</v>
      </c>
    </row>
    <row r="360" spans="2:8" x14ac:dyDescent="0.25">
      <c r="B360" s="29" t="s">
        <v>510</v>
      </c>
      <c r="C360" s="30" t="s">
        <v>1576</v>
      </c>
      <c r="D360" s="30">
        <v>0</v>
      </c>
      <c r="E360" s="30">
        <v>-8.3097434999999997</v>
      </c>
      <c r="F360" s="30">
        <v>13.511060182820074</v>
      </c>
      <c r="G360" s="30">
        <v>8.3097434840000002</v>
      </c>
      <c r="H360" s="31">
        <v>1E+100</v>
      </c>
    </row>
    <row r="361" spans="2:8" x14ac:dyDescent="0.25">
      <c r="B361" s="29" t="s">
        <v>504</v>
      </c>
      <c r="C361" s="30" t="s">
        <v>1570</v>
      </c>
      <c r="D361" s="30">
        <v>0</v>
      </c>
      <c r="E361" s="30">
        <v>-8.4224606000000009</v>
      </c>
      <c r="F361" s="30">
        <v>13.598574697112781</v>
      </c>
      <c r="G361" s="30">
        <v>8.4224605700000001</v>
      </c>
      <c r="H361" s="31">
        <v>1E+100</v>
      </c>
    </row>
    <row r="362" spans="2:8" x14ac:dyDescent="0.25">
      <c r="B362" s="29" t="s">
        <v>471</v>
      </c>
      <c r="C362" s="30" t="s">
        <v>1537</v>
      </c>
      <c r="D362" s="30">
        <v>0</v>
      </c>
      <c r="E362" s="30">
        <v>-8.4238853000000002</v>
      </c>
      <c r="F362" s="30">
        <v>14.215551297937054</v>
      </c>
      <c r="G362" s="30">
        <v>8.423885276</v>
      </c>
      <c r="H362" s="31">
        <v>1E+100</v>
      </c>
    </row>
    <row r="363" spans="2:8" x14ac:dyDescent="0.25">
      <c r="B363" s="29" t="s">
        <v>546</v>
      </c>
      <c r="C363" s="30" t="s">
        <v>1612</v>
      </c>
      <c r="D363" s="30">
        <v>0</v>
      </c>
      <c r="E363" s="30">
        <v>-8.4411634000000006</v>
      </c>
      <c r="F363" s="30">
        <v>12.999011880834587</v>
      </c>
      <c r="G363" s="30">
        <v>8.4411633750000004</v>
      </c>
      <c r="H363" s="31">
        <v>1E+100</v>
      </c>
    </row>
    <row r="364" spans="2:8" x14ac:dyDescent="0.25">
      <c r="B364" s="29" t="s">
        <v>444</v>
      </c>
      <c r="C364" s="30" t="s">
        <v>1510</v>
      </c>
      <c r="D364" s="30">
        <v>0</v>
      </c>
      <c r="E364" s="30">
        <v>-8.4634041</v>
      </c>
      <c r="F364" s="30">
        <v>14.756892438963405</v>
      </c>
      <c r="G364" s="30">
        <v>8.4634041470000003</v>
      </c>
      <c r="H364" s="31">
        <v>1E+100</v>
      </c>
    </row>
    <row r="365" spans="2:8" x14ac:dyDescent="0.25">
      <c r="B365" s="29" t="s">
        <v>474</v>
      </c>
      <c r="C365" s="30" t="s">
        <v>1540</v>
      </c>
      <c r="D365" s="30">
        <v>0</v>
      </c>
      <c r="E365" s="30">
        <v>-8.4743283999999992</v>
      </c>
      <c r="F365" s="30">
        <v>14.165108192522894</v>
      </c>
      <c r="G365" s="30">
        <v>8.4743283819999995</v>
      </c>
      <c r="H365" s="31">
        <v>1E+100</v>
      </c>
    </row>
    <row r="366" spans="2:8" x14ac:dyDescent="0.25">
      <c r="B366" s="29" t="s">
        <v>558</v>
      </c>
      <c r="C366" s="30" t="s">
        <v>1624</v>
      </c>
      <c r="D366" s="30">
        <v>0</v>
      </c>
      <c r="E366" s="30">
        <v>-8.6632552</v>
      </c>
      <c r="F366" s="30">
        <v>12.776920049567707</v>
      </c>
      <c r="G366" s="30">
        <v>8.6632552060000005</v>
      </c>
      <c r="H366" s="31">
        <v>1E+100</v>
      </c>
    </row>
    <row r="367" spans="2:8" x14ac:dyDescent="0.25">
      <c r="B367" s="29" t="s">
        <v>525</v>
      </c>
      <c r="C367" s="30" t="s">
        <v>1591</v>
      </c>
      <c r="D367" s="30">
        <v>0</v>
      </c>
      <c r="E367" s="30">
        <v>-8.7061955999999991</v>
      </c>
      <c r="F367" s="30">
        <v>13.314839623388252</v>
      </c>
      <c r="G367" s="30">
        <v>8.7061956439999992</v>
      </c>
      <c r="H367" s="31">
        <v>1E+100</v>
      </c>
    </row>
    <row r="368" spans="2:8" x14ac:dyDescent="0.25">
      <c r="B368" s="29" t="s">
        <v>453</v>
      </c>
      <c r="C368" s="30" t="s">
        <v>1519</v>
      </c>
      <c r="D368" s="30">
        <v>0</v>
      </c>
      <c r="E368" s="30">
        <v>-8.7345147999999995</v>
      </c>
      <c r="F368" s="30">
        <v>14.485781786730513</v>
      </c>
      <c r="G368" s="30">
        <v>8.7345147989999994</v>
      </c>
      <c r="H368" s="31">
        <v>1E+100</v>
      </c>
    </row>
    <row r="369" spans="2:8" x14ac:dyDescent="0.25">
      <c r="B369" s="29" t="s">
        <v>561</v>
      </c>
      <c r="C369" s="30" t="s">
        <v>1627</v>
      </c>
      <c r="D369" s="30">
        <v>0</v>
      </c>
      <c r="E369" s="30">
        <v>-8.7492248000000004</v>
      </c>
      <c r="F369" s="30">
        <v>12.690950470147072</v>
      </c>
      <c r="G369" s="30">
        <v>8.7492247849999991</v>
      </c>
      <c r="H369" s="31">
        <v>1E+100</v>
      </c>
    </row>
    <row r="370" spans="2:8" x14ac:dyDescent="0.25">
      <c r="B370" s="29" t="s">
        <v>564</v>
      </c>
      <c r="C370" s="30" t="s">
        <v>1630</v>
      </c>
      <c r="D370" s="30">
        <v>0</v>
      </c>
      <c r="E370" s="30">
        <v>-8.76952</v>
      </c>
      <c r="F370" s="30">
        <v>12.670655282548978</v>
      </c>
      <c r="G370" s="30">
        <v>8.7695199729999995</v>
      </c>
      <c r="H370" s="31">
        <v>1E+100</v>
      </c>
    </row>
    <row r="371" spans="2:8" x14ac:dyDescent="0.25">
      <c r="B371" s="29" t="s">
        <v>534</v>
      </c>
      <c r="C371" s="30" t="s">
        <v>1600</v>
      </c>
      <c r="D371" s="30">
        <v>0</v>
      </c>
      <c r="E371" s="30">
        <v>-8.8006987999999993</v>
      </c>
      <c r="F371" s="30">
        <v>13.220336483718711</v>
      </c>
      <c r="G371" s="30">
        <v>8.8006987839999997</v>
      </c>
      <c r="H371" s="31">
        <v>1E+100</v>
      </c>
    </row>
    <row r="372" spans="2:8" x14ac:dyDescent="0.25">
      <c r="B372" s="29" t="s">
        <v>498</v>
      </c>
      <c r="C372" s="30" t="s">
        <v>1564</v>
      </c>
      <c r="D372" s="30">
        <v>0</v>
      </c>
      <c r="E372" s="30">
        <v>-8.8244433000000004</v>
      </c>
      <c r="F372" s="30">
        <v>13.814993316889741</v>
      </c>
      <c r="G372" s="30">
        <v>8.8244432570000004</v>
      </c>
      <c r="H372" s="31">
        <v>1E+100</v>
      </c>
    </row>
    <row r="373" spans="2:8" x14ac:dyDescent="0.25">
      <c r="B373" s="29" t="s">
        <v>459</v>
      </c>
      <c r="C373" s="30" t="s">
        <v>1525</v>
      </c>
      <c r="D373" s="30">
        <v>0</v>
      </c>
      <c r="E373" s="30">
        <v>-8.8340346000000007</v>
      </c>
      <c r="F373" s="30">
        <v>14.386262023210293</v>
      </c>
      <c r="G373" s="30">
        <v>8.8340345629999995</v>
      </c>
      <c r="H373" s="31">
        <v>1E+100</v>
      </c>
    </row>
    <row r="374" spans="2:8" x14ac:dyDescent="0.25">
      <c r="B374" s="29" t="s">
        <v>573</v>
      </c>
      <c r="C374" s="30" t="s">
        <v>1639</v>
      </c>
      <c r="D374" s="30">
        <v>0</v>
      </c>
      <c r="E374" s="30">
        <v>-8.8541115999999995</v>
      </c>
      <c r="F374" s="30">
        <v>12.567292970546987</v>
      </c>
      <c r="G374" s="30">
        <v>8.8541116370000008</v>
      </c>
      <c r="H374" s="31">
        <v>1E+100</v>
      </c>
    </row>
    <row r="375" spans="2:8" x14ac:dyDescent="0.25">
      <c r="B375" s="29" t="s">
        <v>540</v>
      </c>
      <c r="C375" s="30" t="s">
        <v>1606</v>
      </c>
      <c r="D375" s="30">
        <v>0</v>
      </c>
      <c r="E375" s="30">
        <v>-8.9378332999999994</v>
      </c>
      <c r="F375" s="30">
        <v>13.101972635922721</v>
      </c>
      <c r="G375" s="30">
        <v>8.9378332789999995</v>
      </c>
      <c r="H375" s="31">
        <v>1E+100</v>
      </c>
    </row>
    <row r="376" spans="2:8" x14ac:dyDescent="0.25">
      <c r="B376" s="29" t="s">
        <v>576</v>
      </c>
      <c r="C376" s="30" t="s">
        <v>1642</v>
      </c>
      <c r="D376" s="30">
        <v>0</v>
      </c>
      <c r="E376" s="30">
        <v>-8.9422926</v>
      </c>
      <c r="F376" s="30">
        <v>12.479112014814746</v>
      </c>
      <c r="G376" s="30">
        <v>8.9422925929999995</v>
      </c>
      <c r="H376" s="31">
        <v>1E+100</v>
      </c>
    </row>
    <row r="377" spans="2:8" x14ac:dyDescent="0.25">
      <c r="B377" s="29" t="s">
        <v>579</v>
      </c>
      <c r="C377" s="30" t="s">
        <v>1645</v>
      </c>
      <c r="D377" s="30">
        <v>0</v>
      </c>
      <c r="E377" s="30">
        <v>-9.0351555999999995</v>
      </c>
      <c r="F377" s="30">
        <v>12.386248975759372</v>
      </c>
      <c r="G377" s="30">
        <v>9.0351556320000004</v>
      </c>
      <c r="H377" s="31">
        <v>1E+100</v>
      </c>
    </row>
    <row r="378" spans="2:8" x14ac:dyDescent="0.25">
      <c r="B378" s="29" t="s">
        <v>94</v>
      </c>
      <c r="C378" s="30" t="s">
        <v>1160</v>
      </c>
      <c r="D378" s="30">
        <v>0</v>
      </c>
      <c r="E378" s="30">
        <v>-9.0884160999999999</v>
      </c>
      <c r="F378" s="30">
        <v>6.2829788432427449</v>
      </c>
      <c r="G378" s="30">
        <v>9.0884160509999994</v>
      </c>
      <c r="H378" s="31">
        <v>1E+100</v>
      </c>
    </row>
    <row r="379" spans="2:8" x14ac:dyDescent="0.25">
      <c r="B379" s="29" t="s">
        <v>585</v>
      </c>
      <c r="C379" s="30" t="s">
        <v>1651</v>
      </c>
      <c r="D379" s="30">
        <v>0</v>
      </c>
      <c r="E379" s="30">
        <v>-9.1559536999999995</v>
      </c>
      <c r="F379" s="30">
        <v>12.284221513764351</v>
      </c>
      <c r="G379" s="30">
        <v>9.1559537419999995</v>
      </c>
      <c r="H379" s="31">
        <v>1E+100</v>
      </c>
    </row>
    <row r="380" spans="2:8" x14ac:dyDescent="0.25">
      <c r="B380" s="29" t="s">
        <v>552</v>
      </c>
      <c r="C380" s="30" t="s">
        <v>1618</v>
      </c>
      <c r="D380" s="30">
        <v>0</v>
      </c>
      <c r="E380" s="30">
        <v>-9.1997464000000004</v>
      </c>
      <c r="F380" s="30">
        <v>12.84005948540289</v>
      </c>
      <c r="G380" s="30">
        <v>9.1997464289999993</v>
      </c>
      <c r="H380" s="31">
        <v>1E+100</v>
      </c>
    </row>
    <row r="381" spans="2:8" x14ac:dyDescent="0.25">
      <c r="B381" s="29" t="s">
        <v>513</v>
      </c>
      <c r="C381" s="30" t="s">
        <v>1579</v>
      </c>
      <c r="D381" s="30">
        <v>0</v>
      </c>
      <c r="E381" s="30">
        <v>-9.2200699999999998</v>
      </c>
      <c r="F381" s="30">
        <v>13.400595897852327</v>
      </c>
      <c r="G381" s="30">
        <v>9.2200700290000004</v>
      </c>
      <c r="H381" s="31">
        <v>1E+100</v>
      </c>
    </row>
    <row r="382" spans="2:8" x14ac:dyDescent="0.25">
      <c r="B382" s="29" t="s">
        <v>591</v>
      </c>
      <c r="C382" s="30" t="s">
        <v>1657</v>
      </c>
      <c r="D382" s="30">
        <v>0</v>
      </c>
      <c r="E382" s="30">
        <v>-9.4783434</v>
      </c>
      <c r="F382" s="30">
        <v>11.943061194440816</v>
      </c>
      <c r="G382" s="30">
        <v>9.4783434139999994</v>
      </c>
      <c r="H382" s="31">
        <v>1E+100</v>
      </c>
    </row>
    <row r="383" spans="2:8" x14ac:dyDescent="0.25">
      <c r="B383" s="29" t="s">
        <v>74</v>
      </c>
      <c r="C383" s="30" t="s">
        <v>1140</v>
      </c>
      <c r="D383" s="30">
        <v>0</v>
      </c>
      <c r="E383" s="30">
        <v>-9.5323159999999998</v>
      </c>
      <c r="F383" s="30">
        <v>24.675412353404681</v>
      </c>
      <c r="G383" s="30">
        <v>9.5323159539999995</v>
      </c>
      <c r="H383" s="31">
        <v>1E+100</v>
      </c>
    </row>
    <row r="384" spans="2:8" x14ac:dyDescent="0.25">
      <c r="B384" s="29" t="s">
        <v>597</v>
      </c>
      <c r="C384" s="30" t="s">
        <v>1663</v>
      </c>
      <c r="D384" s="30">
        <v>0</v>
      </c>
      <c r="E384" s="30">
        <v>-9.5375998000000006</v>
      </c>
      <c r="F384" s="30">
        <v>11.902575495114434</v>
      </c>
      <c r="G384" s="30">
        <v>9.5375997600000009</v>
      </c>
      <c r="H384" s="31">
        <v>1E+100</v>
      </c>
    </row>
    <row r="385" spans="2:8" x14ac:dyDescent="0.25">
      <c r="B385" s="29" t="s">
        <v>600</v>
      </c>
      <c r="C385" s="30" t="s">
        <v>1666</v>
      </c>
      <c r="D385" s="30">
        <v>0</v>
      </c>
      <c r="E385" s="30">
        <v>-9.5392624999999995</v>
      </c>
      <c r="F385" s="30">
        <v>11.900912746583344</v>
      </c>
      <c r="G385" s="30">
        <v>9.5392625090000003</v>
      </c>
      <c r="H385" s="31">
        <v>1E+100</v>
      </c>
    </row>
    <row r="386" spans="2:8" x14ac:dyDescent="0.25">
      <c r="B386" s="29" t="s">
        <v>606</v>
      </c>
      <c r="C386" s="30" t="s">
        <v>1672</v>
      </c>
      <c r="D386" s="30">
        <v>0</v>
      </c>
      <c r="E386" s="30">
        <v>-9.6184410000000007</v>
      </c>
      <c r="F386" s="30">
        <v>11.802963579699281</v>
      </c>
      <c r="G386" s="30">
        <v>9.6184410279999994</v>
      </c>
      <c r="H386" s="31">
        <v>1E+100</v>
      </c>
    </row>
    <row r="387" spans="2:8" x14ac:dyDescent="0.25">
      <c r="B387" s="29" t="s">
        <v>543</v>
      </c>
      <c r="C387" s="30" t="s">
        <v>1609</v>
      </c>
      <c r="D387" s="30">
        <v>0</v>
      </c>
      <c r="E387" s="30">
        <v>-9.6202223</v>
      </c>
      <c r="F387" s="30">
        <v>13.000443666198407</v>
      </c>
      <c r="G387" s="30">
        <v>9.6202222600000002</v>
      </c>
      <c r="H387" s="31">
        <v>1E+100</v>
      </c>
    </row>
    <row r="388" spans="2:8" x14ac:dyDescent="0.25">
      <c r="B388" s="29" t="s">
        <v>98</v>
      </c>
      <c r="C388" s="30" t="s">
        <v>1164</v>
      </c>
      <c r="D388" s="30">
        <v>0</v>
      </c>
      <c r="E388" s="30">
        <v>-9.6322664000000007</v>
      </c>
      <c r="F388" s="30">
        <v>24.575461948799784</v>
      </c>
      <c r="G388" s="30">
        <v>9.6322663580000007</v>
      </c>
      <c r="H388" s="31">
        <v>1E+100</v>
      </c>
    </row>
    <row r="389" spans="2:8" x14ac:dyDescent="0.25">
      <c r="B389" s="29" t="s">
        <v>555</v>
      </c>
      <c r="C389" s="30" t="s">
        <v>1621</v>
      </c>
      <c r="D389" s="30">
        <v>0</v>
      </c>
      <c r="E389" s="30">
        <v>-9.8112899999999996</v>
      </c>
      <c r="F389" s="30">
        <v>12.828146609885152</v>
      </c>
      <c r="G389" s="30">
        <v>9.8112899640000002</v>
      </c>
      <c r="H389" s="31">
        <v>1E+100</v>
      </c>
    </row>
    <row r="390" spans="2:8" x14ac:dyDescent="0.25">
      <c r="B390" s="29" t="s">
        <v>618</v>
      </c>
      <c r="C390" s="30" t="s">
        <v>1684</v>
      </c>
      <c r="D390" s="30">
        <v>0</v>
      </c>
      <c r="E390" s="30">
        <v>-9.8959633999999994</v>
      </c>
      <c r="F390" s="30">
        <v>11.544211865402758</v>
      </c>
      <c r="G390" s="30">
        <v>9.8959633900000004</v>
      </c>
      <c r="H390" s="31">
        <v>1E+100</v>
      </c>
    </row>
    <row r="391" spans="2:8" x14ac:dyDescent="0.25">
      <c r="B391" s="29" t="s">
        <v>77</v>
      </c>
      <c r="C391" s="30" t="s">
        <v>1143</v>
      </c>
      <c r="D391" s="30">
        <v>0</v>
      </c>
      <c r="E391" s="30">
        <v>-9.8964660000000002</v>
      </c>
      <c r="F391" s="30">
        <v>24.311262311908649</v>
      </c>
      <c r="G391" s="30">
        <v>9.8964659949999998</v>
      </c>
      <c r="H391" s="31">
        <v>1E+100</v>
      </c>
    </row>
    <row r="392" spans="2:8" x14ac:dyDescent="0.25">
      <c r="B392" s="29" t="s">
        <v>588</v>
      </c>
      <c r="C392" s="30" t="s">
        <v>1654</v>
      </c>
      <c r="D392" s="30">
        <v>0</v>
      </c>
      <c r="E392" s="30">
        <v>-9.9379381999999996</v>
      </c>
      <c r="F392" s="30">
        <v>12.083097079783329</v>
      </c>
      <c r="G392" s="30">
        <v>9.9379381880000004</v>
      </c>
      <c r="H392" s="31">
        <v>1E+100</v>
      </c>
    </row>
    <row r="393" spans="2:8" x14ac:dyDescent="0.25">
      <c r="B393" s="29" t="s">
        <v>567</v>
      </c>
      <c r="C393" s="30" t="s">
        <v>1633</v>
      </c>
      <c r="D393" s="30">
        <v>0</v>
      </c>
      <c r="E393" s="30">
        <v>-9.9604306000000005</v>
      </c>
      <c r="F393" s="30">
        <v>12.660235310380813</v>
      </c>
      <c r="G393" s="30">
        <v>9.960430616</v>
      </c>
      <c r="H393" s="31">
        <v>1E+100</v>
      </c>
    </row>
    <row r="394" spans="2:8" x14ac:dyDescent="0.25">
      <c r="B394" s="29" t="s">
        <v>531</v>
      </c>
      <c r="C394" s="30" t="s">
        <v>1597</v>
      </c>
      <c r="D394" s="30">
        <v>0</v>
      </c>
      <c r="E394" s="30">
        <v>-9.9807079000000005</v>
      </c>
      <c r="F394" s="30">
        <v>13.23958871231298</v>
      </c>
      <c r="G394" s="30">
        <v>9.9807078740000001</v>
      </c>
      <c r="H394" s="31">
        <v>1E+100</v>
      </c>
    </row>
    <row r="395" spans="2:8" x14ac:dyDescent="0.25">
      <c r="B395" s="29" t="s">
        <v>570</v>
      </c>
      <c r="C395" s="30" t="s">
        <v>1636</v>
      </c>
      <c r="D395" s="30">
        <v>0</v>
      </c>
      <c r="E395" s="30">
        <v>-9.9939388000000005</v>
      </c>
      <c r="F395" s="30">
        <v>12.626727090915665</v>
      </c>
      <c r="G395" s="30">
        <v>9.9939388359999999</v>
      </c>
      <c r="H395" s="31">
        <v>1E+100</v>
      </c>
    </row>
    <row r="396" spans="2:8" x14ac:dyDescent="0.25">
      <c r="B396" s="29" t="s">
        <v>630</v>
      </c>
      <c r="C396" s="30" t="s">
        <v>1696</v>
      </c>
      <c r="D396" s="30">
        <v>0</v>
      </c>
      <c r="E396" s="30">
        <v>-10.005751</v>
      </c>
      <c r="F396" s="30">
        <v>11.415653700489202</v>
      </c>
      <c r="G396" s="30">
        <v>10.00575091</v>
      </c>
      <c r="H396" s="31">
        <v>1E+100</v>
      </c>
    </row>
    <row r="397" spans="2:8" x14ac:dyDescent="0.25">
      <c r="B397" s="29" t="s">
        <v>642</v>
      </c>
      <c r="C397" s="30" t="s">
        <v>1708</v>
      </c>
      <c r="D397" s="30">
        <v>0</v>
      </c>
      <c r="E397" s="30">
        <v>-10.215648</v>
      </c>
      <c r="F397" s="30">
        <v>11.224527365135145</v>
      </c>
      <c r="G397" s="30">
        <v>10.21564789</v>
      </c>
      <c r="H397" s="31">
        <v>1E+100</v>
      </c>
    </row>
    <row r="398" spans="2:8" x14ac:dyDescent="0.25">
      <c r="B398" s="29" t="s">
        <v>615</v>
      </c>
      <c r="C398" s="30" t="s">
        <v>1681</v>
      </c>
      <c r="D398" s="30">
        <v>0</v>
      </c>
      <c r="E398" s="30">
        <v>-10.404275</v>
      </c>
      <c r="F398" s="30">
        <v>11.616760458258796</v>
      </c>
      <c r="G398" s="30">
        <v>10.40427481</v>
      </c>
      <c r="H398" s="31">
        <v>1E+100</v>
      </c>
    </row>
    <row r="399" spans="2:8" x14ac:dyDescent="0.25">
      <c r="B399" s="29" t="s">
        <v>633</v>
      </c>
      <c r="C399" s="30" t="s">
        <v>1699</v>
      </c>
      <c r="D399" s="30">
        <v>0</v>
      </c>
      <c r="E399" s="30">
        <v>-10.701074</v>
      </c>
      <c r="F399" s="30">
        <v>11.338732290038024</v>
      </c>
      <c r="G399" s="30">
        <v>10.701073620000001</v>
      </c>
      <c r="H399" s="31">
        <v>1E+100</v>
      </c>
    </row>
    <row r="400" spans="2:8" x14ac:dyDescent="0.25">
      <c r="B400" s="29" t="s">
        <v>603</v>
      </c>
      <c r="C400" s="30" t="s">
        <v>1669</v>
      </c>
      <c r="D400" s="30">
        <v>0</v>
      </c>
      <c r="E400" s="30">
        <v>-10.751355</v>
      </c>
      <c r="F400" s="30">
        <v>11.869311292204657</v>
      </c>
      <c r="G400" s="30">
        <v>10.75135463</v>
      </c>
      <c r="H400" s="31">
        <v>1E+100</v>
      </c>
    </row>
    <row r="401" spans="2:8" x14ac:dyDescent="0.25">
      <c r="B401" s="29" t="s">
        <v>609</v>
      </c>
      <c r="C401" s="30" t="s">
        <v>1675</v>
      </c>
      <c r="D401" s="30">
        <v>0</v>
      </c>
      <c r="E401" s="30">
        <v>-10.827057999999999</v>
      </c>
      <c r="F401" s="30">
        <v>11.79360746574821</v>
      </c>
      <c r="G401" s="30">
        <v>10.82705846</v>
      </c>
      <c r="H401" s="31">
        <v>1E+100</v>
      </c>
    </row>
    <row r="402" spans="2:8" x14ac:dyDescent="0.25">
      <c r="B402" s="29" t="s">
        <v>101</v>
      </c>
      <c r="C402" s="30" t="s">
        <v>1167</v>
      </c>
      <c r="D402" s="30">
        <v>0</v>
      </c>
      <c r="E402" s="30">
        <v>-10.940602</v>
      </c>
      <c r="F402" s="30">
        <v>23.267126181191998</v>
      </c>
      <c r="G402" s="30">
        <v>10.94060213</v>
      </c>
      <c r="H402" s="31">
        <v>1E+100</v>
      </c>
    </row>
    <row r="403" spans="2:8" x14ac:dyDescent="0.25">
      <c r="B403" s="29" t="s">
        <v>651</v>
      </c>
      <c r="C403" s="30" t="s">
        <v>1717</v>
      </c>
      <c r="D403" s="30">
        <v>0</v>
      </c>
      <c r="E403" s="30">
        <v>-10.945565</v>
      </c>
      <c r="F403" s="30">
        <v>11.075470718817087</v>
      </c>
      <c r="G403" s="30">
        <v>10.94556455</v>
      </c>
      <c r="H403" s="31">
        <v>1E+100</v>
      </c>
    </row>
    <row r="404" spans="2:8" x14ac:dyDescent="0.25">
      <c r="B404" s="29" t="s">
        <v>612</v>
      </c>
      <c r="C404" s="30" t="s">
        <v>1678</v>
      </c>
      <c r="D404" s="30">
        <v>0</v>
      </c>
      <c r="E404" s="30">
        <v>-10.983131</v>
      </c>
      <c r="F404" s="30">
        <v>11.656305361335399</v>
      </c>
      <c r="G404" s="30">
        <v>10.98313121</v>
      </c>
      <c r="H404" s="31">
        <v>1E+100</v>
      </c>
    </row>
    <row r="405" spans="2:8" x14ac:dyDescent="0.25">
      <c r="B405" s="29" t="s">
        <v>104</v>
      </c>
      <c r="C405" s="30" t="s">
        <v>1170</v>
      </c>
      <c r="D405" s="30">
        <v>0</v>
      </c>
      <c r="E405" s="30">
        <v>-11.061076</v>
      </c>
      <c r="F405" s="30">
        <v>23.146652298863046</v>
      </c>
      <c r="G405" s="30">
        <v>11.061076010000001</v>
      </c>
      <c r="H405" s="31">
        <v>1E+100</v>
      </c>
    </row>
    <row r="406" spans="2:8" x14ac:dyDescent="0.25">
      <c r="B406" s="29" t="s">
        <v>621</v>
      </c>
      <c r="C406" s="30" t="s">
        <v>1687</v>
      </c>
      <c r="D406" s="30">
        <v>0</v>
      </c>
      <c r="E406" s="30">
        <v>-11.097745</v>
      </c>
      <c r="F406" s="30">
        <v>11.54169199844182</v>
      </c>
      <c r="G406" s="30">
        <v>11.097744580000001</v>
      </c>
      <c r="H406" s="31">
        <v>1E+100</v>
      </c>
    </row>
    <row r="407" spans="2:8" x14ac:dyDescent="0.25">
      <c r="B407" s="29" t="s">
        <v>80</v>
      </c>
      <c r="C407" s="30" t="s">
        <v>1146</v>
      </c>
      <c r="D407" s="30">
        <v>0</v>
      </c>
      <c r="E407" s="30">
        <v>-11.233219999999999</v>
      </c>
      <c r="F407" s="30">
        <v>22.974508240848081</v>
      </c>
      <c r="G407" s="30">
        <v>11.23322007</v>
      </c>
      <c r="H407" s="31">
        <v>1E+100</v>
      </c>
    </row>
    <row r="408" spans="2:8" x14ac:dyDescent="0.25">
      <c r="B408" s="29" t="s">
        <v>61</v>
      </c>
      <c r="C408" s="30" t="s">
        <v>1127</v>
      </c>
      <c r="D408" s="30">
        <v>0</v>
      </c>
      <c r="E408" s="30">
        <v>-11.322683</v>
      </c>
      <c r="F408" s="30">
        <v>6.8415456614311552</v>
      </c>
      <c r="G408" s="30">
        <v>11.322683319999999</v>
      </c>
      <c r="H408" s="31">
        <v>1E+100</v>
      </c>
    </row>
    <row r="409" spans="2:8" x14ac:dyDescent="0.25">
      <c r="B409" s="29" t="s">
        <v>639</v>
      </c>
      <c r="C409" s="30" t="s">
        <v>1705</v>
      </c>
      <c r="D409" s="30">
        <v>0</v>
      </c>
      <c r="E409" s="30">
        <v>-11.364307999999999</v>
      </c>
      <c r="F409" s="30">
        <v>11.256357461636071</v>
      </c>
      <c r="G409" s="30">
        <v>11.364308469999999</v>
      </c>
      <c r="H409" s="31">
        <v>1E+100</v>
      </c>
    </row>
    <row r="410" spans="2:8" x14ac:dyDescent="0.25">
      <c r="B410" s="29" t="s">
        <v>107</v>
      </c>
      <c r="C410" s="30" t="s">
        <v>1173</v>
      </c>
      <c r="D410" s="30">
        <v>0</v>
      </c>
      <c r="E410" s="30">
        <v>-11.541694</v>
      </c>
      <c r="F410" s="30">
        <v>22.666033950416022</v>
      </c>
      <c r="G410" s="30">
        <v>11.541694359999999</v>
      </c>
      <c r="H410" s="31">
        <v>1E+100</v>
      </c>
    </row>
    <row r="411" spans="2:8" x14ac:dyDescent="0.25">
      <c r="B411" s="29" t="s">
        <v>110</v>
      </c>
      <c r="C411" s="30" t="s">
        <v>1176</v>
      </c>
      <c r="D411" s="30">
        <v>0</v>
      </c>
      <c r="E411" s="30">
        <v>-11.550050000000001</v>
      </c>
      <c r="F411" s="30">
        <v>22.657678698058589</v>
      </c>
      <c r="G411" s="30">
        <v>11.55004961</v>
      </c>
      <c r="H411" s="31">
        <v>1E+100</v>
      </c>
    </row>
    <row r="412" spans="2:8" x14ac:dyDescent="0.25">
      <c r="B412" s="29" t="s">
        <v>113</v>
      </c>
      <c r="C412" s="30" t="s">
        <v>1179</v>
      </c>
      <c r="D412" s="30">
        <v>0</v>
      </c>
      <c r="E412" s="30">
        <v>-11.587062</v>
      </c>
      <c r="F412" s="30">
        <v>22.620665926646325</v>
      </c>
      <c r="G412" s="30">
        <v>11.587062380000001</v>
      </c>
      <c r="H412" s="31">
        <v>1E+100</v>
      </c>
    </row>
    <row r="413" spans="2:8" x14ac:dyDescent="0.25">
      <c r="B413" s="29" t="s">
        <v>654</v>
      </c>
      <c r="C413" s="30" t="s">
        <v>1720</v>
      </c>
      <c r="D413" s="30">
        <v>0</v>
      </c>
      <c r="E413" s="30">
        <v>-11.593496999999999</v>
      </c>
      <c r="F413" s="30">
        <v>11.027168444270501</v>
      </c>
      <c r="G413" s="30">
        <v>11.59349748</v>
      </c>
      <c r="H413" s="31">
        <v>1E+100</v>
      </c>
    </row>
    <row r="414" spans="2:8" x14ac:dyDescent="0.25">
      <c r="B414" s="29" t="s">
        <v>624</v>
      </c>
      <c r="C414" s="30" t="s">
        <v>1690</v>
      </c>
      <c r="D414" s="30">
        <v>0</v>
      </c>
      <c r="E414" s="30">
        <v>-11.706246</v>
      </c>
      <c r="F414" s="30">
        <v>11.514050455705728</v>
      </c>
      <c r="G414" s="30">
        <v>11.70624613</v>
      </c>
      <c r="H414" s="31">
        <v>1E+100</v>
      </c>
    </row>
    <row r="415" spans="2:8" x14ac:dyDescent="0.25">
      <c r="B415" s="29" t="s">
        <v>92</v>
      </c>
      <c r="C415" s="30" t="s">
        <v>1158</v>
      </c>
      <c r="D415" s="30">
        <v>0</v>
      </c>
      <c r="E415" s="30">
        <v>-11.787293999999999</v>
      </c>
      <c r="F415" s="30">
        <v>22.420434326530085</v>
      </c>
      <c r="G415" s="30">
        <v>11.787293979999999</v>
      </c>
      <c r="H415" s="31">
        <v>1E+100</v>
      </c>
    </row>
    <row r="416" spans="2:8" x14ac:dyDescent="0.25">
      <c r="B416" s="29" t="s">
        <v>83</v>
      </c>
      <c r="C416" s="30" t="s">
        <v>1149</v>
      </c>
      <c r="D416" s="30">
        <v>0</v>
      </c>
      <c r="E416" s="30">
        <v>-12.167922000000001</v>
      </c>
      <c r="F416" s="30">
        <v>22.039805914784665</v>
      </c>
      <c r="G416" s="30">
        <v>12.167922389999999</v>
      </c>
      <c r="H416" s="31">
        <v>1E+100</v>
      </c>
    </row>
    <row r="417" spans="2:8" x14ac:dyDescent="0.25">
      <c r="B417" s="29" t="s">
        <v>627</v>
      </c>
      <c r="C417" s="30" t="s">
        <v>1693</v>
      </c>
      <c r="D417" s="30">
        <v>0</v>
      </c>
      <c r="E417" s="30">
        <v>-12.173116</v>
      </c>
      <c r="F417" s="30">
        <v>11.446579594994546</v>
      </c>
      <c r="G417" s="30">
        <v>12.173116050000001</v>
      </c>
      <c r="H417" s="31">
        <v>1E+100</v>
      </c>
    </row>
    <row r="418" spans="2:8" x14ac:dyDescent="0.25">
      <c r="B418" s="29" t="s">
        <v>86</v>
      </c>
      <c r="C418" s="30" t="s">
        <v>1152</v>
      </c>
      <c r="D418" s="30">
        <v>0</v>
      </c>
      <c r="E418" s="30">
        <v>-12.285892</v>
      </c>
      <c r="F418" s="30">
        <v>21.921836527457344</v>
      </c>
      <c r="G418" s="30">
        <v>12.28589178</v>
      </c>
      <c r="H418" s="31">
        <v>1E+100</v>
      </c>
    </row>
    <row r="419" spans="2:8" x14ac:dyDescent="0.25">
      <c r="B419" s="29" t="s">
        <v>116</v>
      </c>
      <c r="C419" s="30" t="s">
        <v>1182</v>
      </c>
      <c r="D419" s="30">
        <v>0</v>
      </c>
      <c r="E419" s="30">
        <v>-12.383791</v>
      </c>
      <c r="F419" s="30">
        <v>21.823937357490649</v>
      </c>
      <c r="G419" s="30">
        <v>12.38379095</v>
      </c>
      <c r="H419" s="31">
        <v>1E+100</v>
      </c>
    </row>
    <row r="420" spans="2:8" x14ac:dyDescent="0.25">
      <c r="B420" s="29" t="s">
        <v>89</v>
      </c>
      <c r="C420" s="30" t="s">
        <v>1155</v>
      </c>
      <c r="D420" s="30">
        <v>0</v>
      </c>
      <c r="E420" s="30">
        <v>-12.421004</v>
      </c>
      <c r="F420" s="30">
        <v>21.786724251156556</v>
      </c>
      <c r="G420" s="30">
        <v>12.42100406</v>
      </c>
      <c r="H420" s="31">
        <v>1E+100</v>
      </c>
    </row>
    <row r="421" spans="2:8" x14ac:dyDescent="0.25">
      <c r="B421" s="29" t="s">
        <v>119</v>
      </c>
      <c r="C421" s="30" t="s">
        <v>1185</v>
      </c>
      <c r="D421" s="30">
        <v>0</v>
      </c>
      <c r="E421" s="30">
        <v>-12.457596000000001</v>
      </c>
      <c r="F421" s="30">
        <v>21.750132490953547</v>
      </c>
      <c r="G421" s="30">
        <v>12.45759582</v>
      </c>
      <c r="H421" s="31">
        <v>1E+100</v>
      </c>
    </row>
    <row r="422" spans="2:8" x14ac:dyDescent="0.25">
      <c r="B422" s="29" t="s">
        <v>122</v>
      </c>
      <c r="C422" s="30" t="s">
        <v>1188</v>
      </c>
      <c r="D422" s="30">
        <v>0</v>
      </c>
      <c r="E422" s="30">
        <v>-12.585877999999999</v>
      </c>
      <c r="F422" s="30">
        <v>21.62185036050505</v>
      </c>
      <c r="G422" s="30">
        <v>12.58587795</v>
      </c>
      <c r="H422" s="31">
        <v>1E+100</v>
      </c>
    </row>
    <row r="423" spans="2:8" x14ac:dyDescent="0.25">
      <c r="B423" s="29" t="s">
        <v>125</v>
      </c>
      <c r="C423" s="30" t="s">
        <v>1191</v>
      </c>
      <c r="D423" s="30">
        <v>0</v>
      </c>
      <c r="E423" s="30">
        <v>-12.926228999999999</v>
      </c>
      <c r="F423" s="30">
        <v>21.281498953991104</v>
      </c>
      <c r="G423" s="30">
        <v>12.92622935</v>
      </c>
      <c r="H423" s="31">
        <v>1E+100</v>
      </c>
    </row>
    <row r="424" spans="2:8" x14ac:dyDescent="0.25">
      <c r="B424" s="29" t="s">
        <v>128</v>
      </c>
      <c r="C424" s="30" t="s">
        <v>1194</v>
      </c>
      <c r="D424" s="30">
        <v>0</v>
      </c>
      <c r="E424" s="30">
        <v>-13.049659999999999</v>
      </c>
      <c r="F424" s="30">
        <v>21.15806866523053</v>
      </c>
      <c r="G424" s="30">
        <v>13.04965964</v>
      </c>
      <c r="H424" s="31">
        <v>1E+100</v>
      </c>
    </row>
    <row r="425" spans="2:8" x14ac:dyDescent="0.25">
      <c r="B425" s="29" t="s">
        <v>131</v>
      </c>
      <c r="C425" s="30" t="s">
        <v>1197</v>
      </c>
      <c r="D425" s="30">
        <v>0</v>
      </c>
      <c r="E425" s="30">
        <v>-13.114788000000001</v>
      </c>
      <c r="F425" s="30">
        <v>21.092940606424236</v>
      </c>
      <c r="G425" s="30">
        <v>13.114787700000001</v>
      </c>
      <c r="H425" s="31">
        <v>1E+100</v>
      </c>
    </row>
    <row r="426" spans="2:8" x14ac:dyDescent="0.25">
      <c r="B426" s="29" t="s">
        <v>134</v>
      </c>
      <c r="C426" s="30" t="s">
        <v>1200</v>
      </c>
      <c r="D426" s="30">
        <v>0</v>
      </c>
      <c r="E426" s="30">
        <v>-13.154144000000001</v>
      </c>
      <c r="F426" s="30">
        <v>21.053584663415677</v>
      </c>
      <c r="G426" s="30">
        <v>13.154143639999999</v>
      </c>
      <c r="H426" s="31">
        <v>1E+100</v>
      </c>
    </row>
    <row r="427" spans="2:8" x14ac:dyDescent="0.25">
      <c r="B427" s="29" t="s">
        <v>137</v>
      </c>
      <c r="C427" s="30" t="s">
        <v>1203</v>
      </c>
      <c r="D427" s="30">
        <v>0</v>
      </c>
      <c r="E427" s="30">
        <v>-13.201162999999999</v>
      </c>
      <c r="F427" s="30">
        <v>21.006565273957676</v>
      </c>
      <c r="G427" s="30">
        <v>13.20116303</v>
      </c>
      <c r="H427" s="31">
        <v>1E+100</v>
      </c>
    </row>
    <row r="428" spans="2:8" x14ac:dyDescent="0.25">
      <c r="B428" s="29" t="s">
        <v>140</v>
      </c>
      <c r="C428" s="30" t="s">
        <v>1206</v>
      </c>
      <c r="D428" s="30">
        <v>0</v>
      </c>
      <c r="E428" s="30">
        <v>-13.547575999999999</v>
      </c>
      <c r="F428" s="30">
        <v>20.660152531825588</v>
      </c>
      <c r="G428" s="30">
        <v>13.547575780000001</v>
      </c>
      <c r="H428" s="31">
        <v>1E+100</v>
      </c>
    </row>
    <row r="429" spans="2:8" x14ac:dyDescent="0.25">
      <c r="B429" s="29" t="s">
        <v>143</v>
      </c>
      <c r="C429" s="30" t="s">
        <v>1209</v>
      </c>
      <c r="D429" s="30">
        <v>0</v>
      </c>
      <c r="E429" s="30">
        <v>-13.779961999999999</v>
      </c>
      <c r="F429" s="30">
        <v>20.427766617984162</v>
      </c>
      <c r="G429" s="30">
        <v>13.77996169</v>
      </c>
      <c r="H429" s="31">
        <v>1E+100</v>
      </c>
    </row>
    <row r="430" spans="2:8" x14ac:dyDescent="0.25">
      <c r="B430" s="29" t="s">
        <v>146</v>
      </c>
      <c r="C430" s="30" t="s">
        <v>1212</v>
      </c>
      <c r="D430" s="30">
        <v>0</v>
      </c>
      <c r="E430" s="30">
        <v>-13.794009000000001</v>
      </c>
      <c r="F430" s="30">
        <v>20.413719407020835</v>
      </c>
      <c r="G430" s="30">
        <v>13.7940089</v>
      </c>
      <c r="H430" s="31">
        <v>1E+100</v>
      </c>
    </row>
    <row r="431" spans="2:8" x14ac:dyDescent="0.25">
      <c r="B431" s="29" t="s">
        <v>149</v>
      </c>
      <c r="C431" s="30" t="s">
        <v>1215</v>
      </c>
      <c r="D431" s="30">
        <v>0</v>
      </c>
      <c r="E431" s="30">
        <v>-13.94862</v>
      </c>
      <c r="F431" s="30">
        <v>20.259108050915529</v>
      </c>
      <c r="G431" s="30">
        <v>13.94862026</v>
      </c>
      <c r="H431" s="31">
        <v>1E+100</v>
      </c>
    </row>
    <row r="432" spans="2:8" x14ac:dyDescent="0.25">
      <c r="B432" s="29" t="s">
        <v>152</v>
      </c>
      <c r="C432" s="30" t="s">
        <v>1218</v>
      </c>
      <c r="D432" s="30">
        <v>0</v>
      </c>
      <c r="E432" s="30">
        <v>-14.032275</v>
      </c>
      <c r="F432" s="30">
        <v>20.175453620220651</v>
      </c>
      <c r="G432" s="30">
        <v>14.032274689999999</v>
      </c>
      <c r="H432" s="31">
        <v>1E+100</v>
      </c>
    </row>
    <row r="433" spans="2:8" x14ac:dyDescent="0.25">
      <c r="B433" s="29" t="s">
        <v>155</v>
      </c>
      <c r="C433" s="30" t="s">
        <v>1221</v>
      </c>
      <c r="D433" s="30">
        <v>0</v>
      </c>
      <c r="E433" s="30">
        <v>-14.041874</v>
      </c>
      <c r="F433" s="30">
        <v>20.165854291422875</v>
      </c>
      <c r="G433" s="30">
        <v>14.04187402</v>
      </c>
      <c r="H433" s="31">
        <v>1E+100</v>
      </c>
    </row>
    <row r="434" spans="2:8" x14ac:dyDescent="0.25">
      <c r="B434" s="29" t="s">
        <v>158</v>
      </c>
      <c r="C434" s="30" t="s">
        <v>1224</v>
      </c>
      <c r="D434" s="30">
        <v>0</v>
      </c>
      <c r="E434" s="30">
        <v>-14.135631</v>
      </c>
      <c r="F434" s="30">
        <v>20.072097776370356</v>
      </c>
      <c r="G434" s="30">
        <v>14.13563053</v>
      </c>
      <c r="H434" s="31">
        <v>1E+100</v>
      </c>
    </row>
    <row r="435" spans="2:8" x14ac:dyDescent="0.25">
      <c r="B435" s="29" t="s">
        <v>161</v>
      </c>
      <c r="C435" s="30" t="s">
        <v>1227</v>
      </c>
      <c r="D435" s="30">
        <v>0</v>
      </c>
      <c r="E435" s="30">
        <v>-14.172901</v>
      </c>
      <c r="F435" s="30">
        <v>20.034827007752028</v>
      </c>
      <c r="G435" s="30">
        <v>14.172901299999999</v>
      </c>
      <c r="H435" s="31">
        <v>1E+100</v>
      </c>
    </row>
    <row r="436" spans="2:8" x14ac:dyDescent="0.25">
      <c r="B436" s="29" t="s">
        <v>164</v>
      </c>
      <c r="C436" s="30" t="s">
        <v>1230</v>
      </c>
      <c r="D436" s="30">
        <v>0</v>
      </c>
      <c r="E436" s="30">
        <v>-14.209</v>
      </c>
      <c r="F436" s="30">
        <v>19.998728135207784</v>
      </c>
      <c r="G436" s="30">
        <v>14.209000169999999</v>
      </c>
      <c r="H436" s="31">
        <v>1E+100</v>
      </c>
    </row>
    <row r="437" spans="2:8" x14ac:dyDescent="0.25">
      <c r="B437" s="29" t="s">
        <v>167</v>
      </c>
      <c r="C437" s="30" t="s">
        <v>1233</v>
      </c>
      <c r="D437" s="30">
        <v>0</v>
      </c>
      <c r="E437" s="30">
        <v>-14.297893999999999</v>
      </c>
      <c r="F437" s="30">
        <v>19.909834464255255</v>
      </c>
      <c r="G437" s="30">
        <v>14.29789384</v>
      </c>
      <c r="H437" s="31">
        <v>1E+100</v>
      </c>
    </row>
    <row r="438" spans="2:8" x14ac:dyDescent="0.25">
      <c r="B438" s="29" t="s">
        <v>170</v>
      </c>
      <c r="C438" s="30" t="s">
        <v>1236</v>
      </c>
      <c r="D438" s="30">
        <v>0</v>
      </c>
      <c r="E438" s="30">
        <v>-14.384605000000001</v>
      </c>
      <c r="F438" s="30">
        <v>19.823123439637129</v>
      </c>
      <c r="G438" s="30">
        <v>14.38460487</v>
      </c>
      <c r="H438" s="31">
        <v>1E+100</v>
      </c>
    </row>
    <row r="439" spans="2:8" x14ac:dyDescent="0.25">
      <c r="B439" s="29" t="s">
        <v>173</v>
      </c>
      <c r="C439" s="30" t="s">
        <v>1239</v>
      </c>
      <c r="D439" s="30">
        <v>0</v>
      </c>
      <c r="E439" s="30">
        <v>-14.39105</v>
      </c>
      <c r="F439" s="30">
        <v>19.816678124392638</v>
      </c>
      <c r="G439" s="30">
        <v>14.391050180000001</v>
      </c>
      <c r="H439" s="31">
        <v>1E+100</v>
      </c>
    </row>
    <row r="440" spans="2:8" x14ac:dyDescent="0.25">
      <c r="B440" s="29" t="s">
        <v>176</v>
      </c>
      <c r="C440" s="30" t="s">
        <v>1242</v>
      </c>
      <c r="D440" s="30">
        <v>0</v>
      </c>
      <c r="E440" s="30">
        <v>-14.394747000000001</v>
      </c>
      <c r="F440" s="30">
        <v>19.812980874121422</v>
      </c>
      <c r="G440" s="30">
        <v>14.394747430000001</v>
      </c>
      <c r="H440" s="31">
        <v>1E+100</v>
      </c>
    </row>
    <row r="441" spans="2:8" x14ac:dyDescent="0.25">
      <c r="B441" s="29" t="s">
        <v>179</v>
      </c>
      <c r="C441" s="30" t="s">
        <v>1245</v>
      </c>
      <c r="D441" s="30">
        <v>0</v>
      </c>
      <c r="E441" s="30">
        <v>-14.474715</v>
      </c>
      <c r="F441" s="30">
        <v>19.733013594304794</v>
      </c>
      <c r="G441" s="30">
        <v>14.474714710000001</v>
      </c>
      <c r="H441" s="31">
        <v>1E+100</v>
      </c>
    </row>
    <row r="442" spans="2:8" x14ac:dyDescent="0.25">
      <c r="B442" s="29" t="s">
        <v>182</v>
      </c>
      <c r="C442" s="30" t="s">
        <v>1248</v>
      </c>
      <c r="D442" s="30">
        <v>0</v>
      </c>
      <c r="E442" s="30">
        <v>-14.552338000000001</v>
      </c>
      <c r="F442" s="30">
        <v>19.655390165295103</v>
      </c>
      <c r="G442" s="30">
        <v>14.55233814</v>
      </c>
      <c r="H442" s="31">
        <v>1E+100</v>
      </c>
    </row>
    <row r="443" spans="2:8" x14ac:dyDescent="0.25">
      <c r="B443" s="29" t="s">
        <v>185</v>
      </c>
      <c r="C443" s="30" t="s">
        <v>1251</v>
      </c>
      <c r="D443" s="30">
        <v>0</v>
      </c>
      <c r="E443" s="30">
        <v>-14.616763000000001</v>
      </c>
      <c r="F443" s="30">
        <v>19.590965380877606</v>
      </c>
      <c r="G443" s="30">
        <v>14.61676293</v>
      </c>
      <c r="H443" s="31">
        <v>1E+100</v>
      </c>
    </row>
    <row r="444" spans="2:8" x14ac:dyDescent="0.25">
      <c r="B444" s="29" t="s">
        <v>188</v>
      </c>
      <c r="C444" s="30" t="s">
        <v>1254</v>
      </c>
      <c r="D444" s="30">
        <v>0</v>
      </c>
      <c r="E444" s="30">
        <v>-14.700049</v>
      </c>
      <c r="F444" s="30">
        <v>19.507679695336265</v>
      </c>
      <c r="G444" s="30">
        <v>14.70004861</v>
      </c>
      <c r="H444" s="31">
        <v>1E+100</v>
      </c>
    </row>
    <row r="445" spans="2:8" x14ac:dyDescent="0.25">
      <c r="B445" s="29" t="s">
        <v>191</v>
      </c>
      <c r="C445" s="30" t="s">
        <v>1257</v>
      </c>
      <c r="D445" s="30">
        <v>0</v>
      </c>
      <c r="E445" s="30">
        <v>-14.841825999999999</v>
      </c>
      <c r="F445" s="30">
        <v>19.365902150835609</v>
      </c>
      <c r="G445" s="30">
        <v>14.84182616</v>
      </c>
      <c r="H445" s="31">
        <v>1E+100</v>
      </c>
    </row>
    <row r="446" spans="2:8" x14ac:dyDescent="0.25">
      <c r="B446" s="29" t="s">
        <v>194</v>
      </c>
      <c r="C446" s="30" t="s">
        <v>1260</v>
      </c>
      <c r="D446" s="30">
        <v>0</v>
      </c>
      <c r="E446" s="30">
        <v>-14.910462000000001</v>
      </c>
      <c r="F446" s="30">
        <v>19.297266239344026</v>
      </c>
      <c r="G446" s="30">
        <v>14.910462069999999</v>
      </c>
      <c r="H446" s="31">
        <v>1E+100</v>
      </c>
    </row>
    <row r="447" spans="2:8" x14ac:dyDescent="0.25">
      <c r="B447" s="29" t="s">
        <v>197</v>
      </c>
      <c r="C447" s="30" t="s">
        <v>1263</v>
      </c>
      <c r="D447" s="30">
        <v>0</v>
      </c>
      <c r="E447" s="30">
        <v>-15.018219999999999</v>
      </c>
      <c r="F447" s="30">
        <v>19.18950821076578</v>
      </c>
      <c r="G447" s="30">
        <v>15.018220100000001</v>
      </c>
      <c r="H447" s="31">
        <v>1E+100</v>
      </c>
    </row>
    <row r="448" spans="2:8" x14ac:dyDescent="0.25">
      <c r="B448" s="29" t="s">
        <v>200</v>
      </c>
      <c r="C448" s="30" t="s">
        <v>1266</v>
      </c>
      <c r="D448" s="30">
        <v>0</v>
      </c>
      <c r="E448" s="30">
        <v>-15.051304999999999</v>
      </c>
      <c r="F448" s="30">
        <v>19.156423656066181</v>
      </c>
      <c r="G448" s="30">
        <v>15.051304650000001</v>
      </c>
      <c r="H448" s="31">
        <v>1E+100</v>
      </c>
    </row>
    <row r="449" spans="2:8" x14ac:dyDescent="0.25">
      <c r="B449" s="29" t="s">
        <v>203</v>
      </c>
      <c r="C449" s="30" t="s">
        <v>1269</v>
      </c>
      <c r="D449" s="30">
        <v>0</v>
      </c>
      <c r="E449" s="30">
        <v>-15.140978</v>
      </c>
      <c r="F449" s="30">
        <v>19.06675034329237</v>
      </c>
      <c r="G449" s="30">
        <v>15.140977960000001</v>
      </c>
      <c r="H449" s="31">
        <v>1E+100</v>
      </c>
    </row>
    <row r="450" spans="2:8" x14ac:dyDescent="0.25">
      <c r="B450" s="29" t="s">
        <v>206</v>
      </c>
      <c r="C450" s="30" t="s">
        <v>1272</v>
      </c>
      <c r="D450" s="30">
        <v>0</v>
      </c>
      <c r="E450" s="30">
        <v>-15.243803</v>
      </c>
      <c r="F450" s="30">
        <v>18.963925080111949</v>
      </c>
      <c r="G450" s="30">
        <v>15.243803229999999</v>
      </c>
      <c r="H450" s="31">
        <v>1E+100</v>
      </c>
    </row>
    <row r="451" spans="2:8" x14ac:dyDescent="0.25">
      <c r="B451" s="29" t="s">
        <v>209</v>
      </c>
      <c r="C451" s="30" t="s">
        <v>1275</v>
      </c>
      <c r="D451" s="30">
        <v>0</v>
      </c>
      <c r="E451" s="30">
        <v>-15.245407999999999</v>
      </c>
      <c r="F451" s="30">
        <v>18.962320014456054</v>
      </c>
      <c r="G451" s="30">
        <v>15.24540829</v>
      </c>
      <c r="H451" s="31">
        <v>1E+100</v>
      </c>
    </row>
    <row r="452" spans="2:8" x14ac:dyDescent="0.25">
      <c r="B452" s="29" t="s">
        <v>212</v>
      </c>
      <c r="C452" s="30" t="s">
        <v>1278</v>
      </c>
      <c r="D452" s="30">
        <v>0</v>
      </c>
      <c r="E452" s="30">
        <v>-15.260097</v>
      </c>
      <c r="F452" s="30">
        <v>18.947630966009456</v>
      </c>
      <c r="G452" s="30">
        <v>15.26009734</v>
      </c>
      <c r="H452" s="31">
        <v>1E+100</v>
      </c>
    </row>
    <row r="453" spans="2:8" x14ac:dyDescent="0.25">
      <c r="B453" s="29" t="s">
        <v>215</v>
      </c>
      <c r="C453" s="30" t="s">
        <v>1281</v>
      </c>
      <c r="D453" s="30">
        <v>0</v>
      </c>
      <c r="E453" s="30">
        <v>-15.281768</v>
      </c>
      <c r="F453" s="30">
        <v>18.925960357519216</v>
      </c>
      <c r="G453" s="30">
        <v>15.281767950000001</v>
      </c>
      <c r="H453" s="31">
        <v>1E+100</v>
      </c>
    </row>
    <row r="454" spans="2:8" x14ac:dyDescent="0.25">
      <c r="B454" s="29" t="s">
        <v>218</v>
      </c>
      <c r="C454" s="30" t="s">
        <v>1284</v>
      </c>
      <c r="D454" s="30">
        <v>0</v>
      </c>
      <c r="E454" s="30">
        <v>-15.326715</v>
      </c>
      <c r="F454" s="30">
        <v>18.881013520134729</v>
      </c>
      <c r="G454" s="30">
        <v>15.32671479</v>
      </c>
      <c r="H454" s="31">
        <v>1E+100</v>
      </c>
    </row>
    <row r="455" spans="2:8" x14ac:dyDescent="0.25">
      <c r="B455" s="29" t="s">
        <v>221</v>
      </c>
      <c r="C455" s="30" t="s">
        <v>1287</v>
      </c>
      <c r="D455" s="30">
        <v>0</v>
      </c>
      <c r="E455" s="30">
        <v>-15.456058000000001</v>
      </c>
      <c r="F455" s="30">
        <v>18.751669951772783</v>
      </c>
      <c r="G455" s="30">
        <v>15.45605836</v>
      </c>
      <c r="H455" s="31">
        <v>1E+100</v>
      </c>
    </row>
    <row r="456" spans="2:8" x14ac:dyDescent="0.25">
      <c r="B456" s="29" t="s">
        <v>224</v>
      </c>
      <c r="C456" s="30" t="s">
        <v>1290</v>
      </c>
      <c r="D456" s="30">
        <v>0</v>
      </c>
      <c r="E456" s="30">
        <v>-15.592900999999999</v>
      </c>
      <c r="F456" s="30">
        <v>18.614827597280964</v>
      </c>
      <c r="G456" s="30">
        <v>15.59290071</v>
      </c>
      <c r="H456" s="31">
        <v>1E+100</v>
      </c>
    </row>
    <row r="457" spans="2:8" x14ac:dyDescent="0.25">
      <c r="B457" s="29" t="s">
        <v>227</v>
      </c>
      <c r="C457" s="30" t="s">
        <v>1293</v>
      </c>
      <c r="D457" s="30">
        <v>0</v>
      </c>
      <c r="E457" s="30">
        <v>-15.637562000000001</v>
      </c>
      <c r="F457" s="30">
        <v>18.570166791410884</v>
      </c>
      <c r="G457" s="30">
        <v>15.63756152</v>
      </c>
      <c r="H457" s="31">
        <v>1E+100</v>
      </c>
    </row>
    <row r="458" spans="2:8" x14ac:dyDescent="0.25">
      <c r="B458" s="29" t="s">
        <v>230</v>
      </c>
      <c r="C458" s="30" t="s">
        <v>1296</v>
      </c>
      <c r="D458" s="30">
        <v>0</v>
      </c>
      <c r="E458" s="30">
        <v>-15.689648999999999</v>
      </c>
      <c r="F458" s="30">
        <v>18.518079449349898</v>
      </c>
      <c r="G458" s="30">
        <v>15.68964886</v>
      </c>
      <c r="H458" s="31">
        <v>1E+100</v>
      </c>
    </row>
    <row r="459" spans="2:8" x14ac:dyDescent="0.25">
      <c r="B459" s="29" t="s">
        <v>233</v>
      </c>
      <c r="C459" s="30" t="s">
        <v>1299</v>
      </c>
      <c r="D459" s="30">
        <v>0</v>
      </c>
      <c r="E459" s="30">
        <v>-15.730727</v>
      </c>
      <c r="F459" s="30">
        <v>18.47700090854778</v>
      </c>
      <c r="G459" s="30">
        <v>15.730727399999999</v>
      </c>
      <c r="H459" s="31">
        <v>1E+100</v>
      </c>
    </row>
    <row r="460" spans="2:8" x14ac:dyDescent="0.25">
      <c r="B460" s="29" t="s">
        <v>236</v>
      </c>
      <c r="C460" s="30" t="s">
        <v>1302</v>
      </c>
      <c r="D460" s="30">
        <v>0</v>
      </c>
      <c r="E460" s="30">
        <v>-15.805808000000001</v>
      </c>
      <c r="F460" s="30">
        <v>18.401920003132545</v>
      </c>
      <c r="G460" s="30">
        <v>15.805808300000001</v>
      </c>
      <c r="H460" s="31">
        <v>1E+100</v>
      </c>
    </row>
    <row r="461" spans="2:8" x14ac:dyDescent="0.25">
      <c r="B461" s="29" t="s">
        <v>239</v>
      </c>
      <c r="C461" s="30" t="s">
        <v>1305</v>
      </c>
      <c r="D461" s="30">
        <v>0</v>
      </c>
      <c r="E461" s="30">
        <v>-15.848411</v>
      </c>
      <c r="F461" s="30">
        <v>18.3593175947899</v>
      </c>
      <c r="G461" s="30">
        <v>15.84841071</v>
      </c>
      <c r="H461" s="31">
        <v>1E+100</v>
      </c>
    </row>
    <row r="462" spans="2:8" x14ac:dyDescent="0.25">
      <c r="B462" s="29" t="s">
        <v>242</v>
      </c>
      <c r="C462" s="30" t="s">
        <v>1308</v>
      </c>
      <c r="D462" s="30">
        <v>0</v>
      </c>
      <c r="E462" s="30">
        <v>-15.912523</v>
      </c>
      <c r="F462" s="30">
        <v>18.295205372749479</v>
      </c>
      <c r="G462" s="30">
        <v>15.91252293</v>
      </c>
      <c r="H462" s="31">
        <v>1E+100</v>
      </c>
    </row>
    <row r="463" spans="2:8" x14ac:dyDescent="0.25">
      <c r="B463" s="29" t="s">
        <v>245</v>
      </c>
      <c r="C463" s="30" t="s">
        <v>1311</v>
      </c>
      <c r="D463" s="30">
        <v>0</v>
      </c>
      <c r="E463" s="30">
        <v>-16.006264999999999</v>
      </c>
      <c r="F463" s="30">
        <v>18.201463140489068</v>
      </c>
      <c r="G463" s="30">
        <v>16.006265169999999</v>
      </c>
      <c r="H463" s="31">
        <v>1E+100</v>
      </c>
    </row>
    <row r="464" spans="2:8" x14ac:dyDescent="0.25">
      <c r="B464" s="29" t="s">
        <v>248</v>
      </c>
      <c r="C464" s="30" t="s">
        <v>1314</v>
      </c>
      <c r="D464" s="30">
        <v>0</v>
      </c>
      <c r="E464" s="30">
        <v>-16.010421999999998</v>
      </c>
      <c r="F464" s="30">
        <v>18.197305858164327</v>
      </c>
      <c r="G464" s="30">
        <v>16.01042245</v>
      </c>
      <c r="H464" s="31">
        <v>1E+100</v>
      </c>
    </row>
    <row r="465" spans="2:8" x14ac:dyDescent="0.25">
      <c r="B465" s="29" t="s">
        <v>251</v>
      </c>
      <c r="C465" s="30" t="s">
        <v>1317</v>
      </c>
      <c r="D465" s="30">
        <v>0</v>
      </c>
      <c r="E465" s="30">
        <v>-16.083684000000002</v>
      </c>
      <c r="F465" s="30">
        <v>18.124044611497084</v>
      </c>
      <c r="G465" s="30">
        <v>16.083683700000002</v>
      </c>
      <c r="H465" s="31">
        <v>1E+100</v>
      </c>
    </row>
    <row r="466" spans="2:8" x14ac:dyDescent="0.25">
      <c r="B466" s="29" t="s">
        <v>254</v>
      </c>
      <c r="C466" s="30" t="s">
        <v>1320</v>
      </c>
      <c r="D466" s="30">
        <v>0</v>
      </c>
      <c r="E466" s="30">
        <v>-16.083870999999998</v>
      </c>
      <c r="F466" s="30">
        <v>18.123857289436273</v>
      </c>
      <c r="G466" s="30">
        <v>16.08387102</v>
      </c>
      <c r="H466" s="31">
        <v>1E+100</v>
      </c>
    </row>
    <row r="467" spans="2:8" x14ac:dyDescent="0.25">
      <c r="B467" s="29" t="s">
        <v>257</v>
      </c>
      <c r="C467" s="30" t="s">
        <v>1323</v>
      </c>
      <c r="D467" s="30">
        <v>0</v>
      </c>
      <c r="E467" s="30">
        <v>-16.114061</v>
      </c>
      <c r="F467" s="30">
        <v>18.093667169247055</v>
      </c>
      <c r="G467" s="30">
        <v>16.11406114</v>
      </c>
      <c r="H467" s="31">
        <v>1E+100</v>
      </c>
    </row>
    <row r="468" spans="2:8" x14ac:dyDescent="0.25">
      <c r="B468" s="29" t="s">
        <v>260</v>
      </c>
      <c r="C468" s="30" t="s">
        <v>1326</v>
      </c>
      <c r="D468" s="30">
        <v>0</v>
      </c>
      <c r="E468" s="30">
        <v>-16.139990000000001</v>
      </c>
      <c r="F468" s="30">
        <v>18.067738188139629</v>
      </c>
      <c r="G468" s="30">
        <v>16.13999012</v>
      </c>
      <c r="H468" s="31">
        <v>1E+100</v>
      </c>
    </row>
    <row r="469" spans="2:8" x14ac:dyDescent="0.25">
      <c r="B469" s="29" t="s">
        <v>263</v>
      </c>
      <c r="C469" s="30" t="s">
        <v>1329</v>
      </c>
      <c r="D469" s="30">
        <v>0</v>
      </c>
      <c r="E469" s="30">
        <v>-16.142206000000002</v>
      </c>
      <c r="F469" s="30">
        <v>18.065522338598385</v>
      </c>
      <c r="G469" s="30">
        <v>16.142205969999999</v>
      </c>
      <c r="H469" s="31">
        <v>1E+100</v>
      </c>
    </row>
    <row r="470" spans="2:8" x14ac:dyDescent="0.25">
      <c r="B470" s="29" t="s">
        <v>266</v>
      </c>
      <c r="C470" s="30" t="s">
        <v>1332</v>
      </c>
      <c r="D470" s="30">
        <v>0</v>
      </c>
      <c r="E470" s="30">
        <v>-16.218684</v>
      </c>
      <c r="F470" s="30">
        <v>17.989044251124142</v>
      </c>
      <c r="G470" s="30">
        <v>16.218684060000001</v>
      </c>
      <c r="H470" s="31">
        <v>1E+100</v>
      </c>
    </row>
    <row r="471" spans="2:8" x14ac:dyDescent="0.25">
      <c r="B471" s="29" t="s">
        <v>269</v>
      </c>
      <c r="C471" s="30" t="s">
        <v>1335</v>
      </c>
      <c r="D471" s="30">
        <v>0</v>
      </c>
      <c r="E471" s="30">
        <v>-16.250976000000001</v>
      </c>
      <c r="F471" s="30">
        <v>17.956752417347161</v>
      </c>
      <c r="G471" s="30">
        <v>16.250975889999999</v>
      </c>
      <c r="H471" s="31">
        <v>1E+100</v>
      </c>
    </row>
    <row r="472" spans="2:8" x14ac:dyDescent="0.25">
      <c r="B472" s="29" t="s">
        <v>272</v>
      </c>
      <c r="C472" s="30" t="s">
        <v>1338</v>
      </c>
      <c r="D472" s="30">
        <v>0</v>
      </c>
      <c r="E472" s="30">
        <v>-16.338802999999999</v>
      </c>
      <c r="F472" s="30">
        <v>17.868925452872645</v>
      </c>
      <c r="G472" s="30">
        <v>16.33880285</v>
      </c>
      <c r="H472" s="31">
        <v>1E+100</v>
      </c>
    </row>
    <row r="473" spans="2:8" x14ac:dyDescent="0.25">
      <c r="B473" s="29" t="s">
        <v>275</v>
      </c>
      <c r="C473" s="30" t="s">
        <v>1341</v>
      </c>
      <c r="D473" s="30">
        <v>0</v>
      </c>
      <c r="E473" s="30">
        <v>-16.372491</v>
      </c>
      <c r="F473" s="30">
        <v>17.835237578357919</v>
      </c>
      <c r="G473" s="30">
        <v>16.372490729999999</v>
      </c>
      <c r="H473" s="31">
        <v>1E+100</v>
      </c>
    </row>
    <row r="474" spans="2:8" x14ac:dyDescent="0.25">
      <c r="B474" s="29" t="s">
        <v>278</v>
      </c>
      <c r="C474" s="30" t="s">
        <v>1344</v>
      </c>
      <c r="D474" s="30">
        <v>0</v>
      </c>
      <c r="E474" s="30">
        <v>-16.374461</v>
      </c>
      <c r="F474" s="30">
        <v>17.833267252892256</v>
      </c>
      <c r="G474" s="30">
        <v>16.374461050000001</v>
      </c>
      <c r="H474" s="31">
        <v>1E+100</v>
      </c>
    </row>
    <row r="475" spans="2:8" x14ac:dyDescent="0.25">
      <c r="B475" s="29" t="s">
        <v>281</v>
      </c>
      <c r="C475" s="30" t="s">
        <v>1347</v>
      </c>
      <c r="D475" s="30">
        <v>0</v>
      </c>
      <c r="E475" s="30">
        <v>-16.477872999999999</v>
      </c>
      <c r="F475" s="30">
        <v>17.729855792073067</v>
      </c>
      <c r="G475" s="30">
        <v>16.477872519999998</v>
      </c>
      <c r="H475" s="31">
        <v>1E+100</v>
      </c>
    </row>
    <row r="476" spans="2:8" x14ac:dyDescent="0.25">
      <c r="B476" s="29" t="s">
        <v>284</v>
      </c>
      <c r="C476" s="30" t="s">
        <v>1350</v>
      </c>
      <c r="D476" s="30">
        <v>0</v>
      </c>
      <c r="E476" s="30">
        <v>-16.555029999999999</v>
      </c>
      <c r="F476" s="30">
        <v>17.652698090198101</v>
      </c>
      <c r="G476" s="30">
        <v>16.555030219999999</v>
      </c>
      <c r="H476" s="31">
        <v>1E+100</v>
      </c>
    </row>
    <row r="477" spans="2:8" x14ac:dyDescent="0.25">
      <c r="B477" s="29" t="s">
        <v>594</v>
      </c>
      <c r="C477" s="30" t="s">
        <v>1660</v>
      </c>
      <c r="D477" s="30">
        <v>0</v>
      </c>
      <c r="E477" s="30">
        <v>-16.587444999999999</v>
      </c>
      <c r="F477" s="30">
        <v>2.8348362831457052</v>
      </c>
      <c r="G477" s="30">
        <v>16.58744475</v>
      </c>
      <c r="H477" s="31">
        <v>1E+100</v>
      </c>
    </row>
    <row r="478" spans="2:8" x14ac:dyDescent="0.25">
      <c r="B478" s="29" t="s">
        <v>287</v>
      </c>
      <c r="C478" s="30" t="s">
        <v>1353</v>
      </c>
      <c r="D478" s="30">
        <v>0</v>
      </c>
      <c r="E478" s="30">
        <v>-16.59779</v>
      </c>
      <c r="F478" s="30">
        <v>17.609938198613236</v>
      </c>
      <c r="G478" s="30">
        <v>16.597790109999998</v>
      </c>
      <c r="H478" s="31">
        <v>1E+100</v>
      </c>
    </row>
    <row r="479" spans="2:8" x14ac:dyDescent="0.25">
      <c r="B479" s="29" t="s">
        <v>290</v>
      </c>
      <c r="C479" s="30" t="s">
        <v>1356</v>
      </c>
      <c r="D479" s="30">
        <v>0</v>
      </c>
      <c r="E479" s="30">
        <v>-16.610099000000002</v>
      </c>
      <c r="F479" s="30">
        <v>17.597629752272042</v>
      </c>
      <c r="G479" s="30">
        <v>16.61009855</v>
      </c>
      <c r="H479" s="31">
        <v>1E+100</v>
      </c>
    </row>
    <row r="480" spans="2:8" x14ac:dyDescent="0.25">
      <c r="B480" s="29" t="s">
        <v>293</v>
      </c>
      <c r="C480" s="30" t="s">
        <v>1359</v>
      </c>
      <c r="D480" s="30">
        <v>0</v>
      </c>
      <c r="E480" s="30">
        <v>-16.618651</v>
      </c>
      <c r="F480" s="30">
        <v>17.589076860633213</v>
      </c>
      <c r="G480" s="30">
        <v>16.618651450000002</v>
      </c>
      <c r="H480" s="31">
        <v>1E+100</v>
      </c>
    </row>
    <row r="481" spans="2:8" x14ac:dyDescent="0.25">
      <c r="B481" s="29" t="s">
        <v>296</v>
      </c>
      <c r="C481" s="30" t="s">
        <v>1362</v>
      </c>
      <c r="D481" s="30">
        <v>0</v>
      </c>
      <c r="E481" s="30">
        <v>-16.676130000000001</v>
      </c>
      <c r="F481" s="30">
        <v>17.531598138695699</v>
      </c>
      <c r="G481" s="30">
        <v>16.67613017</v>
      </c>
      <c r="H481" s="31">
        <v>1E+100</v>
      </c>
    </row>
    <row r="482" spans="2:8" x14ac:dyDescent="0.25">
      <c r="B482" s="29" t="s">
        <v>299</v>
      </c>
      <c r="C482" s="30" t="s">
        <v>1365</v>
      </c>
      <c r="D482" s="30">
        <v>0</v>
      </c>
      <c r="E482" s="30">
        <v>-16.725259999999999</v>
      </c>
      <c r="F482" s="30">
        <v>17.482468799440539</v>
      </c>
      <c r="G482" s="30">
        <v>16.725259510000001</v>
      </c>
      <c r="H482" s="31">
        <v>1E+100</v>
      </c>
    </row>
    <row r="483" spans="2:8" x14ac:dyDescent="0.25">
      <c r="B483" s="29" t="s">
        <v>302</v>
      </c>
      <c r="C483" s="30" t="s">
        <v>1368</v>
      </c>
      <c r="D483" s="30">
        <v>0</v>
      </c>
      <c r="E483" s="30">
        <v>-16.730898</v>
      </c>
      <c r="F483" s="30">
        <v>17.476830066327238</v>
      </c>
      <c r="G483" s="30">
        <v>16.730898239999998</v>
      </c>
      <c r="H483" s="31">
        <v>1E+100</v>
      </c>
    </row>
    <row r="484" spans="2:8" x14ac:dyDescent="0.25">
      <c r="B484" s="29" t="s">
        <v>305</v>
      </c>
      <c r="C484" s="30" t="s">
        <v>1371</v>
      </c>
      <c r="D484" s="30">
        <v>0</v>
      </c>
      <c r="E484" s="30">
        <v>-16.824099</v>
      </c>
      <c r="F484" s="30">
        <v>17.383628832089016</v>
      </c>
      <c r="G484" s="30">
        <v>16.824099480000001</v>
      </c>
      <c r="H484" s="31">
        <v>1E+100</v>
      </c>
    </row>
    <row r="485" spans="2:8" x14ac:dyDescent="0.25">
      <c r="B485" s="29" t="s">
        <v>308</v>
      </c>
      <c r="C485" s="30" t="s">
        <v>1374</v>
      </c>
      <c r="D485" s="30">
        <v>0</v>
      </c>
      <c r="E485" s="30">
        <v>-16.888860000000001</v>
      </c>
      <c r="F485" s="30">
        <v>17.318868086353177</v>
      </c>
      <c r="G485" s="30">
        <v>16.888860220000002</v>
      </c>
      <c r="H485" s="31">
        <v>1E+100</v>
      </c>
    </row>
    <row r="486" spans="2:8" x14ac:dyDescent="0.25">
      <c r="B486" s="29" t="s">
        <v>311</v>
      </c>
      <c r="C486" s="30" t="s">
        <v>1377</v>
      </c>
      <c r="D486" s="30">
        <v>0</v>
      </c>
      <c r="E486" s="30">
        <v>-16.910546</v>
      </c>
      <c r="F486" s="30">
        <v>17.297181920861476</v>
      </c>
      <c r="G486" s="30">
        <v>16.91054639</v>
      </c>
      <c r="H486" s="31">
        <v>1E+100</v>
      </c>
    </row>
    <row r="487" spans="2:8" x14ac:dyDescent="0.25">
      <c r="B487" s="29" t="s">
        <v>314</v>
      </c>
      <c r="C487" s="30" t="s">
        <v>1380</v>
      </c>
      <c r="D487" s="30">
        <v>0</v>
      </c>
      <c r="E487" s="30">
        <v>-16.934625</v>
      </c>
      <c r="F487" s="30">
        <v>17.273102908657165</v>
      </c>
      <c r="G487" s="30">
        <v>16.934625400000002</v>
      </c>
      <c r="H487" s="31">
        <v>1E+100</v>
      </c>
    </row>
    <row r="488" spans="2:8" x14ac:dyDescent="0.25">
      <c r="B488" s="29" t="s">
        <v>317</v>
      </c>
      <c r="C488" s="30" t="s">
        <v>1383</v>
      </c>
      <c r="D488" s="30">
        <v>0</v>
      </c>
      <c r="E488" s="30">
        <v>-16.982171000000001</v>
      </c>
      <c r="F488" s="30">
        <v>17.225557353143813</v>
      </c>
      <c r="G488" s="30">
        <v>16.98217095</v>
      </c>
      <c r="H488" s="31">
        <v>1E+100</v>
      </c>
    </row>
    <row r="489" spans="2:8" x14ac:dyDescent="0.25">
      <c r="B489" s="29" t="s">
        <v>320</v>
      </c>
      <c r="C489" s="30" t="s">
        <v>1386</v>
      </c>
      <c r="D489" s="30">
        <v>0</v>
      </c>
      <c r="E489" s="30">
        <v>-17.009072</v>
      </c>
      <c r="F489" s="30">
        <v>17.198656311113155</v>
      </c>
      <c r="G489" s="30">
        <v>17.009072</v>
      </c>
      <c r="H489" s="31">
        <v>1E+100</v>
      </c>
    </row>
    <row r="490" spans="2:8" x14ac:dyDescent="0.25">
      <c r="B490" s="29" t="s">
        <v>323</v>
      </c>
      <c r="C490" s="30" t="s">
        <v>1389</v>
      </c>
      <c r="D490" s="30">
        <v>0</v>
      </c>
      <c r="E490" s="30">
        <v>-17.031711000000001</v>
      </c>
      <c r="F490" s="30">
        <v>17.1760168873152</v>
      </c>
      <c r="G490" s="30">
        <v>17.031711420000001</v>
      </c>
      <c r="H490" s="31">
        <v>1E+100</v>
      </c>
    </row>
    <row r="491" spans="2:8" x14ac:dyDescent="0.25">
      <c r="B491" s="29" t="s">
        <v>326</v>
      </c>
      <c r="C491" s="30" t="s">
        <v>1392</v>
      </c>
      <c r="D491" s="30">
        <v>0</v>
      </c>
      <c r="E491" s="30">
        <v>-17.089053</v>
      </c>
      <c r="F491" s="30">
        <v>17.118675289020757</v>
      </c>
      <c r="G491" s="30">
        <v>17.089053020000001</v>
      </c>
      <c r="H491" s="31">
        <v>1E+100</v>
      </c>
    </row>
    <row r="492" spans="2:8" x14ac:dyDescent="0.25">
      <c r="B492" s="29" t="s">
        <v>329</v>
      </c>
      <c r="C492" s="30" t="s">
        <v>1395</v>
      </c>
      <c r="D492" s="30">
        <v>0</v>
      </c>
      <c r="E492" s="30">
        <v>-17.154236000000001</v>
      </c>
      <c r="F492" s="30">
        <v>17.05349203509104</v>
      </c>
      <c r="G492" s="30">
        <v>17.154236269999998</v>
      </c>
      <c r="H492" s="31">
        <v>1E+100</v>
      </c>
    </row>
    <row r="493" spans="2:8" x14ac:dyDescent="0.25">
      <c r="B493" s="29" t="s">
        <v>332</v>
      </c>
      <c r="C493" s="30" t="s">
        <v>1398</v>
      </c>
      <c r="D493" s="30">
        <v>0</v>
      </c>
      <c r="E493" s="30">
        <v>-17.203066</v>
      </c>
      <c r="F493" s="30">
        <v>17.004662280596676</v>
      </c>
      <c r="G493" s="30">
        <v>17.203066029999999</v>
      </c>
      <c r="H493" s="31">
        <v>1E+100</v>
      </c>
    </row>
    <row r="494" spans="2:8" x14ac:dyDescent="0.25">
      <c r="B494" s="29" t="s">
        <v>335</v>
      </c>
      <c r="C494" s="30" t="s">
        <v>1401</v>
      </c>
      <c r="D494" s="30">
        <v>0</v>
      </c>
      <c r="E494" s="30">
        <v>-17.231152999999999</v>
      </c>
      <c r="F494" s="30">
        <v>16.976574820524547</v>
      </c>
      <c r="G494" s="30">
        <v>17.231153490000001</v>
      </c>
      <c r="H494" s="31">
        <v>1E+100</v>
      </c>
    </row>
    <row r="495" spans="2:8" x14ac:dyDescent="0.25">
      <c r="B495" s="29" t="s">
        <v>338</v>
      </c>
      <c r="C495" s="30" t="s">
        <v>1404</v>
      </c>
      <c r="D495" s="30">
        <v>0</v>
      </c>
      <c r="E495" s="30">
        <v>-17.244610999999999</v>
      </c>
      <c r="F495" s="30">
        <v>16.963117254184908</v>
      </c>
      <c r="G495" s="30">
        <v>17.24461105</v>
      </c>
      <c r="H495" s="31">
        <v>1E+100</v>
      </c>
    </row>
    <row r="496" spans="2:8" x14ac:dyDescent="0.25">
      <c r="B496" s="29" t="s">
        <v>341</v>
      </c>
      <c r="C496" s="30" t="s">
        <v>1407</v>
      </c>
      <c r="D496" s="30">
        <v>0</v>
      </c>
      <c r="E496" s="30">
        <v>-17.279055</v>
      </c>
      <c r="F496" s="30">
        <v>16.928672920665122</v>
      </c>
      <c r="G496" s="30">
        <v>17.27905539</v>
      </c>
      <c r="H496" s="31">
        <v>1E+100</v>
      </c>
    </row>
    <row r="497" spans="2:8" x14ac:dyDescent="0.25">
      <c r="B497" s="29" t="s">
        <v>344</v>
      </c>
      <c r="C497" s="30" t="s">
        <v>1410</v>
      </c>
      <c r="D497" s="30">
        <v>0</v>
      </c>
      <c r="E497" s="30">
        <v>-17.287108</v>
      </c>
      <c r="F497" s="30">
        <v>16.920620258286363</v>
      </c>
      <c r="G497" s="30">
        <v>17.287108050000001</v>
      </c>
      <c r="H497" s="31">
        <v>1E+100</v>
      </c>
    </row>
    <row r="498" spans="2:8" x14ac:dyDescent="0.25">
      <c r="B498" s="29" t="s">
        <v>347</v>
      </c>
      <c r="C498" s="30" t="s">
        <v>1413</v>
      </c>
      <c r="D498" s="30">
        <v>0</v>
      </c>
      <c r="E498" s="30">
        <v>-17.421323000000001</v>
      </c>
      <c r="F498" s="30">
        <v>16.786405620296136</v>
      </c>
      <c r="G498" s="30">
        <v>17.42132269</v>
      </c>
      <c r="H498" s="31">
        <v>1E+100</v>
      </c>
    </row>
    <row r="499" spans="2:8" x14ac:dyDescent="0.25">
      <c r="B499" s="29" t="s">
        <v>350</v>
      </c>
      <c r="C499" s="30" t="s">
        <v>1416</v>
      </c>
      <c r="D499" s="30">
        <v>0</v>
      </c>
      <c r="E499" s="30">
        <v>-17.430087</v>
      </c>
      <c r="F499" s="30">
        <v>16.777641329987091</v>
      </c>
      <c r="G499" s="30">
        <v>17.430086979999999</v>
      </c>
      <c r="H499" s="31">
        <v>1E+100</v>
      </c>
    </row>
    <row r="500" spans="2:8" x14ac:dyDescent="0.25">
      <c r="B500" s="29" t="s">
        <v>353</v>
      </c>
      <c r="C500" s="30" t="s">
        <v>1419</v>
      </c>
      <c r="D500" s="30">
        <v>0</v>
      </c>
      <c r="E500" s="30">
        <v>-17.443138000000001</v>
      </c>
      <c r="F500" s="30">
        <v>16.76459066561074</v>
      </c>
      <c r="G500" s="30">
        <v>17.44313764</v>
      </c>
      <c r="H500" s="31">
        <v>1E+100</v>
      </c>
    </row>
    <row r="501" spans="2:8" x14ac:dyDescent="0.25">
      <c r="B501" s="29" t="s">
        <v>356</v>
      </c>
      <c r="C501" s="30" t="s">
        <v>1422</v>
      </c>
      <c r="D501" s="30">
        <v>0</v>
      </c>
      <c r="E501" s="30">
        <v>-17.509048</v>
      </c>
      <c r="F501" s="30">
        <v>16.698680644665728</v>
      </c>
      <c r="G501" s="30">
        <v>17.50904766</v>
      </c>
      <c r="H501" s="31">
        <v>1E+100</v>
      </c>
    </row>
    <row r="502" spans="2:8" x14ac:dyDescent="0.25">
      <c r="B502" s="29" t="s">
        <v>359</v>
      </c>
      <c r="C502" s="30" t="s">
        <v>1425</v>
      </c>
      <c r="D502" s="30">
        <v>0</v>
      </c>
      <c r="E502" s="30">
        <v>-17.558205999999998</v>
      </c>
      <c r="F502" s="30">
        <v>16.649522341627744</v>
      </c>
      <c r="G502" s="30">
        <v>17.558205969999999</v>
      </c>
      <c r="H502" s="31">
        <v>1E+100</v>
      </c>
    </row>
    <row r="503" spans="2:8" x14ac:dyDescent="0.25">
      <c r="B503" s="29" t="s">
        <v>362</v>
      </c>
      <c r="C503" s="30" t="s">
        <v>1428</v>
      </c>
      <c r="D503" s="30">
        <v>0</v>
      </c>
      <c r="E503" s="30">
        <v>-17.601734</v>
      </c>
      <c r="F503" s="30">
        <v>16.605993962759385</v>
      </c>
      <c r="G503" s="30">
        <v>17.60173434</v>
      </c>
      <c r="H503" s="31">
        <v>1E+100</v>
      </c>
    </row>
    <row r="504" spans="2:8" x14ac:dyDescent="0.25">
      <c r="B504" s="29" t="s">
        <v>365</v>
      </c>
      <c r="C504" s="30" t="s">
        <v>1431</v>
      </c>
      <c r="D504" s="30">
        <v>0</v>
      </c>
      <c r="E504" s="30">
        <v>-17.788965000000001</v>
      </c>
      <c r="F504" s="30">
        <v>16.418763030000264</v>
      </c>
      <c r="G504" s="30">
        <v>17.788965279999999</v>
      </c>
      <c r="H504" s="31">
        <v>1E+100</v>
      </c>
    </row>
    <row r="505" spans="2:8" x14ac:dyDescent="0.25">
      <c r="B505" s="29" t="s">
        <v>368</v>
      </c>
      <c r="C505" s="30" t="s">
        <v>1434</v>
      </c>
      <c r="D505" s="30">
        <v>0</v>
      </c>
      <c r="E505" s="30">
        <v>-17.796835999999999</v>
      </c>
      <c r="F505" s="30">
        <v>16.410892044979846</v>
      </c>
      <c r="G505" s="30">
        <v>17.796836259999999</v>
      </c>
      <c r="H505" s="31">
        <v>1E+100</v>
      </c>
    </row>
    <row r="506" spans="2:8" x14ac:dyDescent="0.25">
      <c r="B506" s="29" t="s">
        <v>371</v>
      </c>
      <c r="C506" s="30" t="s">
        <v>1437</v>
      </c>
      <c r="D506" s="30">
        <v>0</v>
      </c>
      <c r="E506" s="30">
        <v>-17.802748000000001</v>
      </c>
      <c r="F506" s="30">
        <v>16.404980475097545</v>
      </c>
      <c r="G506" s="30">
        <v>17.802747830000001</v>
      </c>
      <c r="H506" s="31">
        <v>1E+100</v>
      </c>
    </row>
    <row r="507" spans="2:8" x14ac:dyDescent="0.25">
      <c r="B507" s="29" t="s">
        <v>374</v>
      </c>
      <c r="C507" s="30" t="s">
        <v>1440</v>
      </c>
      <c r="D507" s="30">
        <v>0</v>
      </c>
      <c r="E507" s="30">
        <v>-17.835208999999999</v>
      </c>
      <c r="F507" s="30">
        <v>16.37251962593291</v>
      </c>
      <c r="G507" s="30">
        <v>17.835208680000001</v>
      </c>
      <c r="H507" s="31">
        <v>1E+100</v>
      </c>
    </row>
    <row r="508" spans="2:8" x14ac:dyDescent="0.25">
      <c r="B508" s="29" t="s">
        <v>377</v>
      </c>
      <c r="C508" s="30" t="s">
        <v>1443</v>
      </c>
      <c r="D508" s="30">
        <v>0</v>
      </c>
      <c r="E508" s="30">
        <v>-17.979541999999999</v>
      </c>
      <c r="F508" s="30">
        <v>16.228186453459784</v>
      </c>
      <c r="G508" s="30">
        <v>17.97954185</v>
      </c>
      <c r="H508" s="31">
        <v>1E+100</v>
      </c>
    </row>
    <row r="509" spans="2:8" x14ac:dyDescent="0.25">
      <c r="B509" s="29" t="s">
        <v>380</v>
      </c>
      <c r="C509" s="30" t="s">
        <v>1446</v>
      </c>
      <c r="D509" s="30">
        <v>0</v>
      </c>
      <c r="E509" s="30">
        <v>-18.088090999999999</v>
      </c>
      <c r="F509" s="30">
        <v>16.119637530777254</v>
      </c>
      <c r="G509" s="30">
        <v>18.088090780000002</v>
      </c>
      <c r="H509" s="31">
        <v>1E+100</v>
      </c>
    </row>
    <row r="510" spans="2:8" x14ac:dyDescent="0.25">
      <c r="B510" s="29" t="s">
        <v>383</v>
      </c>
      <c r="C510" s="30" t="s">
        <v>1449</v>
      </c>
      <c r="D510" s="30">
        <v>0</v>
      </c>
      <c r="E510" s="30">
        <v>-18.137414</v>
      </c>
      <c r="F510" s="30">
        <v>16.070314405762474</v>
      </c>
      <c r="G510" s="30">
        <v>18.137413899999999</v>
      </c>
      <c r="H510" s="31">
        <v>1E+100</v>
      </c>
    </row>
    <row r="511" spans="2:8" x14ac:dyDescent="0.25">
      <c r="B511" s="29" t="s">
        <v>386</v>
      </c>
      <c r="C511" s="30" t="s">
        <v>1452</v>
      </c>
      <c r="D511" s="30">
        <v>0</v>
      </c>
      <c r="E511" s="30">
        <v>-18.311831999999999</v>
      </c>
      <c r="F511" s="30">
        <v>15.895896407077089</v>
      </c>
      <c r="G511" s="30">
        <v>18.311831900000001</v>
      </c>
      <c r="H511" s="31">
        <v>1E+100</v>
      </c>
    </row>
    <row r="512" spans="2:8" x14ac:dyDescent="0.25">
      <c r="B512" s="29" t="s">
        <v>389</v>
      </c>
      <c r="C512" s="30" t="s">
        <v>1455</v>
      </c>
      <c r="D512" s="30">
        <v>0</v>
      </c>
      <c r="E512" s="30">
        <v>-18.447198</v>
      </c>
      <c r="F512" s="30">
        <v>15.760530158746406</v>
      </c>
      <c r="G512" s="30">
        <v>18.447198149999998</v>
      </c>
      <c r="H512" s="31">
        <v>1E+100</v>
      </c>
    </row>
    <row r="513" spans="2:8" x14ac:dyDescent="0.25">
      <c r="B513" s="29" t="s">
        <v>392</v>
      </c>
      <c r="C513" s="30" t="s">
        <v>1458</v>
      </c>
      <c r="D513" s="30">
        <v>0</v>
      </c>
      <c r="E513" s="30">
        <v>-18.483008000000002</v>
      </c>
      <c r="F513" s="30">
        <v>15.724720560610876</v>
      </c>
      <c r="G513" s="30">
        <v>18.483007749999999</v>
      </c>
      <c r="H513" s="31">
        <v>1E+100</v>
      </c>
    </row>
    <row r="514" spans="2:8" x14ac:dyDescent="0.25">
      <c r="B514" s="29" t="s">
        <v>398</v>
      </c>
      <c r="C514" s="30" t="s">
        <v>1464</v>
      </c>
      <c r="D514" s="30">
        <v>0</v>
      </c>
      <c r="E514" s="30">
        <v>-18.514016999999999</v>
      </c>
      <c r="F514" s="30">
        <v>15.693711089945282</v>
      </c>
      <c r="G514" s="30">
        <v>18.514017219999999</v>
      </c>
      <c r="H514" s="31">
        <v>1E+100</v>
      </c>
    </row>
    <row r="515" spans="2:8" x14ac:dyDescent="0.25">
      <c r="B515" s="29" t="s">
        <v>401</v>
      </c>
      <c r="C515" s="30" t="s">
        <v>1467</v>
      </c>
      <c r="D515" s="30">
        <v>0</v>
      </c>
      <c r="E515" s="30">
        <v>-18.708604000000001</v>
      </c>
      <c r="F515" s="30">
        <v>15.499124743437278</v>
      </c>
      <c r="G515" s="30">
        <v>18.70860356</v>
      </c>
      <c r="H515" s="31">
        <v>1E+100</v>
      </c>
    </row>
    <row r="516" spans="2:8" x14ac:dyDescent="0.25">
      <c r="B516" s="29" t="s">
        <v>404</v>
      </c>
      <c r="C516" s="30" t="s">
        <v>1470</v>
      </c>
      <c r="D516" s="30">
        <v>0</v>
      </c>
      <c r="E516" s="30">
        <v>-18.784147999999998</v>
      </c>
      <c r="F516" s="30">
        <v>15.423580181057332</v>
      </c>
      <c r="G516" s="30">
        <v>18.784148129999998</v>
      </c>
      <c r="H516" s="31">
        <v>1E+100</v>
      </c>
    </row>
    <row r="517" spans="2:8" x14ac:dyDescent="0.25">
      <c r="B517" s="29" t="s">
        <v>407</v>
      </c>
      <c r="C517" s="30" t="s">
        <v>1473</v>
      </c>
      <c r="D517" s="30">
        <v>0</v>
      </c>
      <c r="E517" s="30">
        <v>-18.801922999999999</v>
      </c>
      <c r="F517" s="30">
        <v>15.405805731556029</v>
      </c>
      <c r="G517" s="30">
        <v>18.801922579999999</v>
      </c>
      <c r="H517" s="31">
        <v>1E+100</v>
      </c>
    </row>
    <row r="518" spans="2:8" x14ac:dyDescent="0.25">
      <c r="B518" s="29" t="s">
        <v>410</v>
      </c>
      <c r="C518" s="30" t="s">
        <v>1476</v>
      </c>
      <c r="D518" s="30">
        <v>0</v>
      </c>
      <c r="E518" s="30">
        <v>-18.820930000000001</v>
      </c>
      <c r="F518" s="30">
        <v>15.386798481835285</v>
      </c>
      <c r="G518" s="30">
        <v>18.820929830000001</v>
      </c>
      <c r="H518" s="31">
        <v>1E+100</v>
      </c>
    </row>
    <row r="519" spans="2:8" x14ac:dyDescent="0.25">
      <c r="B519" s="29" t="s">
        <v>413</v>
      </c>
      <c r="C519" s="30" t="s">
        <v>1479</v>
      </c>
      <c r="D519" s="30">
        <v>0</v>
      </c>
      <c r="E519" s="30">
        <v>-18.822994999999999</v>
      </c>
      <c r="F519" s="30">
        <v>15.384733220576891</v>
      </c>
      <c r="G519" s="30">
        <v>18.822995089999999</v>
      </c>
      <c r="H519" s="31">
        <v>1E+100</v>
      </c>
    </row>
    <row r="520" spans="2:8" x14ac:dyDescent="0.25">
      <c r="B520" s="29" t="s">
        <v>416</v>
      </c>
      <c r="C520" s="30" t="s">
        <v>1482</v>
      </c>
      <c r="D520" s="30">
        <v>0</v>
      </c>
      <c r="E520" s="30">
        <v>-18.965820999999998</v>
      </c>
      <c r="F520" s="30">
        <v>15.241907427902333</v>
      </c>
      <c r="G520" s="30">
        <v>18.965820879999999</v>
      </c>
      <c r="H520" s="31">
        <v>1E+100</v>
      </c>
    </row>
    <row r="521" spans="2:8" x14ac:dyDescent="0.25">
      <c r="B521" s="29" t="s">
        <v>419</v>
      </c>
      <c r="C521" s="30" t="s">
        <v>1485</v>
      </c>
      <c r="D521" s="30">
        <v>0</v>
      </c>
      <c r="E521" s="30">
        <v>-18.96987</v>
      </c>
      <c r="F521" s="30">
        <v>15.237857870612061</v>
      </c>
      <c r="G521" s="30">
        <v>18.969870440000001</v>
      </c>
      <c r="H521" s="31">
        <v>1E+100</v>
      </c>
    </row>
    <row r="522" spans="2:8" x14ac:dyDescent="0.25">
      <c r="B522" s="29" t="s">
        <v>422</v>
      </c>
      <c r="C522" s="30" t="s">
        <v>1488</v>
      </c>
      <c r="D522" s="30">
        <v>0</v>
      </c>
      <c r="E522" s="30">
        <v>-19.032436000000001</v>
      </c>
      <c r="F522" s="30">
        <v>15.175292789106607</v>
      </c>
      <c r="G522" s="30">
        <v>19.03243552</v>
      </c>
      <c r="H522" s="31">
        <v>1E+100</v>
      </c>
    </row>
    <row r="523" spans="2:8" x14ac:dyDescent="0.25">
      <c r="B523" s="29" t="s">
        <v>425</v>
      </c>
      <c r="C523" s="30" t="s">
        <v>1491</v>
      </c>
      <c r="D523" s="30">
        <v>0</v>
      </c>
      <c r="E523" s="30">
        <v>-19.053856</v>
      </c>
      <c r="F523" s="30">
        <v>15.153872539711301</v>
      </c>
      <c r="G523" s="30">
        <v>19.053855769999998</v>
      </c>
      <c r="H523" s="31">
        <v>1E+100</v>
      </c>
    </row>
    <row r="524" spans="2:8" x14ac:dyDescent="0.25">
      <c r="B524" s="29" t="s">
        <v>428</v>
      </c>
      <c r="C524" s="30" t="s">
        <v>1494</v>
      </c>
      <c r="D524" s="30">
        <v>0</v>
      </c>
      <c r="E524" s="30">
        <v>-19.059975999999999</v>
      </c>
      <c r="F524" s="30">
        <v>15.147752448712708</v>
      </c>
      <c r="G524" s="30">
        <v>19.059975860000002</v>
      </c>
      <c r="H524" s="31">
        <v>1E+100</v>
      </c>
    </row>
    <row r="525" spans="2:8" x14ac:dyDescent="0.25">
      <c r="B525" s="29" t="s">
        <v>431</v>
      </c>
      <c r="C525" s="30" t="s">
        <v>1497</v>
      </c>
      <c r="D525" s="30">
        <v>0</v>
      </c>
      <c r="E525" s="30">
        <v>-19.081939999999999</v>
      </c>
      <c r="F525" s="30">
        <v>15.125788728881162</v>
      </c>
      <c r="G525" s="30">
        <v>19.08193958</v>
      </c>
      <c r="H525" s="31">
        <v>1E+100</v>
      </c>
    </row>
    <row r="526" spans="2:8" x14ac:dyDescent="0.25">
      <c r="B526" s="29" t="s">
        <v>434</v>
      </c>
      <c r="C526" s="30" t="s">
        <v>1500</v>
      </c>
      <c r="D526" s="30">
        <v>0</v>
      </c>
      <c r="E526" s="30">
        <v>-19.142741999999998</v>
      </c>
      <c r="F526" s="30">
        <v>15.064986339857569</v>
      </c>
      <c r="G526" s="30">
        <v>19.142741969999999</v>
      </c>
      <c r="H526" s="31">
        <v>1E+100</v>
      </c>
    </row>
    <row r="527" spans="2:8" x14ac:dyDescent="0.25">
      <c r="B527" s="29" t="s">
        <v>437</v>
      </c>
      <c r="C527" s="30" t="s">
        <v>1503</v>
      </c>
      <c r="D527" s="30">
        <v>0</v>
      </c>
      <c r="E527" s="30">
        <v>-19.189437999999999</v>
      </c>
      <c r="F527" s="30">
        <v>15.01828986108012</v>
      </c>
      <c r="G527" s="30">
        <v>19.189438450000001</v>
      </c>
      <c r="H527" s="31">
        <v>1E+100</v>
      </c>
    </row>
    <row r="528" spans="2:8" x14ac:dyDescent="0.25">
      <c r="B528" s="29" t="s">
        <v>440</v>
      </c>
      <c r="C528" s="30" t="s">
        <v>1506</v>
      </c>
      <c r="D528" s="30">
        <v>0</v>
      </c>
      <c r="E528" s="30">
        <v>-19.315397000000001</v>
      </c>
      <c r="F528" s="30">
        <v>14.892331299532088</v>
      </c>
      <c r="G528" s="30">
        <v>19.315397010000002</v>
      </c>
      <c r="H528" s="31">
        <v>1E+100</v>
      </c>
    </row>
    <row r="529" spans="2:8" x14ac:dyDescent="0.25">
      <c r="B529" s="29" t="s">
        <v>443</v>
      </c>
      <c r="C529" s="30" t="s">
        <v>1509</v>
      </c>
      <c r="D529" s="30">
        <v>0</v>
      </c>
      <c r="E529" s="30">
        <v>-19.409721000000001</v>
      </c>
      <c r="F529" s="30">
        <v>14.798007067933213</v>
      </c>
      <c r="G529" s="30">
        <v>19.40972124</v>
      </c>
      <c r="H529" s="31">
        <v>1E+100</v>
      </c>
    </row>
    <row r="530" spans="2:8" x14ac:dyDescent="0.25">
      <c r="B530" s="29" t="s">
        <v>446</v>
      </c>
      <c r="C530" s="30" t="s">
        <v>1512</v>
      </c>
      <c r="D530" s="30">
        <v>0</v>
      </c>
      <c r="E530" s="30">
        <v>-19.450835999999999</v>
      </c>
      <c r="F530" s="30">
        <v>14.756892438963405</v>
      </c>
      <c r="G530" s="30">
        <v>19.450835869999999</v>
      </c>
      <c r="H530" s="31">
        <v>1E+100</v>
      </c>
    </row>
    <row r="531" spans="2:8" x14ac:dyDescent="0.25">
      <c r="B531" s="29" t="s">
        <v>449</v>
      </c>
      <c r="C531" s="30" t="s">
        <v>1515</v>
      </c>
      <c r="D531" s="30">
        <v>0</v>
      </c>
      <c r="E531" s="30">
        <v>-19.550429999999999</v>
      </c>
      <c r="F531" s="30">
        <v>14.657298461228493</v>
      </c>
      <c r="G531" s="30">
        <v>19.55042985</v>
      </c>
      <c r="H531" s="31">
        <v>1E+100</v>
      </c>
    </row>
    <row r="532" spans="2:8" x14ac:dyDescent="0.25">
      <c r="B532" s="29" t="s">
        <v>452</v>
      </c>
      <c r="C532" s="30" t="s">
        <v>1518</v>
      </c>
      <c r="D532" s="30">
        <v>0</v>
      </c>
      <c r="E532" s="30">
        <v>-19.68892</v>
      </c>
      <c r="F532" s="30">
        <v>14.518808647684637</v>
      </c>
      <c r="G532" s="30">
        <v>19.68891966</v>
      </c>
      <c r="H532" s="31">
        <v>1E+100</v>
      </c>
    </row>
    <row r="533" spans="2:8" x14ac:dyDescent="0.25">
      <c r="B533" s="29" t="s">
        <v>455</v>
      </c>
      <c r="C533" s="30" t="s">
        <v>1521</v>
      </c>
      <c r="D533" s="30">
        <v>0</v>
      </c>
      <c r="E533" s="30">
        <v>-19.721947</v>
      </c>
      <c r="F533" s="30">
        <v>14.485781786730513</v>
      </c>
      <c r="G533" s="30">
        <v>19.721946519999999</v>
      </c>
      <c r="H533" s="31">
        <v>1E+100</v>
      </c>
    </row>
    <row r="534" spans="2:8" x14ac:dyDescent="0.25">
      <c r="B534" s="29" t="s">
        <v>458</v>
      </c>
      <c r="C534" s="30" t="s">
        <v>1524</v>
      </c>
      <c r="D534" s="30">
        <v>0</v>
      </c>
      <c r="E534" s="30">
        <v>-19.745335000000001</v>
      </c>
      <c r="F534" s="30">
        <v>14.462393381181755</v>
      </c>
      <c r="G534" s="30">
        <v>19.745334929999999</v>
      </c>
      <c r="H534" s="31">
        <v>1E+100</v>
      </c>
    </row>
    <row r="535" spans="2:8" x14ac:dyDescent="0.25">
      <c r="B535" s="29" t="s">
        <v>461</v>
      </c>
      <c r="C535" s="30" t="s">
        <v>1527</v>
      </c>
      <c r="D535" s="30">
        <v>0</v>
      </c>
      <c r="E535" s="30">
        <v>-19.821466000000001</v>
      </c>
      <c r="F535" s="30">
        <v>14.386262023210293</v>
      </c>
      <c r="G535" s="30">
        <v>19.821466279999999</v>
      </c>
      <c r="H535" s="31">
        <v>1E+100</v>
      </c>
    </row>
    <row r="536" spans="2:8" x14ac:dyDescent="0.25">
      <c r="B536" s="29" t="s">
        <v>464</v>
      </c>
      <c r="C536" s="30" t="s">
        <v>1530</v>
      </c>
      <c r="D536" s="30">
        <v>0</v>
      </c>
      <c r="E536" s="30">
        <v>-19.840055</v>
      </c>
      <c r="F536" s="30">
        <v>14.367672921653138</v>
      </c>
      <c r="G536" s="30">
        <v>19.84005539</v>
      </c>
      <c r="H536" s="31">
        <v>1E+100</v>
      </c>
    </row>
    <row r="537" spans="2:8" x14ac:dyDescent="0.25">
      <c r="B537" s="29" t="s">
        <v>467</v>
      </c>
      <c r="C537" s="30" t="s">
        <v>1533</v>
      </c>
      <c r="D537" s="30">
        <v>0</v>
      </c>
      <c r="E537" s="30">
        <v>-19.922082</v>
      </c>
      <c r="F537" s="30">
        <v>14.285646248637931</v>
      </c>
      <c r="G537" s="30">
        <v>19.922082060000001</v>
      </c>
      <c r="H537" s="31">
        <v>1E+100</v>
      </c>
    </row>
    <row r="538" spans="2:8" x14ac:dyDescent="0.25">
      <c r="B538" s="29" t="s">
        <v>470</v>
      </c>
      <c r="C538" s="30" t="s">
        <v>1536</v>
      </c>
      <c r="D538" s="30">
        <v>0</v>
      </c>
      <c r="E538" s="30">
        <v>-19.924144999999999</v>
      </c>
      <c r="F538" s="30">
        <v>14.283582830539672</v>
      </c>
      <c r="G538" s="30">
        <v>19.92414548</v>
      </c>
      <c r="H538" s="31">
        <v>1E+100</v>
      </c>
    </row>
    <row r="539" spans="2:8" x14ac:dyDescent="0.25">
      <c r="B539" s="29" t="s">
        <v>473</v>
      </c>
      <c r="C539" s="30" t="s">
        <v>1539</v>
      </c>
      <c r="D539" s="30">
        <v>0</v>
      </c>
      <c r="E539" s="30">
        <v>-19.992177000000002</v>
      </c>
      <c r="F539" s="30">
        <v>14.215551297937054</v>
      </c>
      <c r="G539" s="30">
        <v>19.992177009999999</v>
      </c>
      <c r="H539" s="31">
        <v>1E+100</v>
      </c>
    </row>
    <row r="540" spans="2:8" x14ac:dyDescent="0.25">
      <c r="B540" s="29" t="s">
        <v>476</v>
      </c>
      <c r="C540" s="30" t="s">
        <v>1542</v>
      </c>
      <c r="D540" s="30">
        <v>0</v>
      </c>
      <c r="E540" s="30">
        <v>-20.042619999999999</v>
      </c>
      <c r="F540" s="30">
        <v>14.165108192522894</v>
      </c>
      <c r="G540" s="30">
        <v>20.042620110000001</v>
      </c>
      <c r="H540" s="31">
        <v>1E+100</v>
      </c>
    </row>
    <row r="541" spans="2:8" x14ac:dyDescent="0.25">
      <c r="B541" s="29" t="s">
        <v>479</v>
      </c>
      <c r="C541" s="30" t="s">
        <v>1545</v>
      </c>
      <c r="D541" s="30">
        <v>0</v>
      </c>
      <c r="E541" s="30">
        <v>-20.045852</v>
      </c>
      <c r="F541" s="30">
        <v>14.161876064274111</v>
      </c>
      <c r="G541" s="30">
        <v>20.045852239999999</v>
      </c>
      <c r="H541" s="31">
        <v>1E+100</v>
      </c>
    </row>
    <row r="542" spans="2:8" x14ac:dyDescent="0.25">
      <c r="B542" s="29" t="s">
        <v>482</v>
      </c>
      <c r="C542" s="30" t="s">
        <v>1548</v>
      </c>
      <c r="D542" s="30">
        <v>0</v>
      </c>
      <c r="E542" s="30">
        <v>-20.053878000000001</v>
      </c>
      <c r="F542" s="30">
        <v>14.153850044269348</v>
      </c>
      <c r="G542" s="30">
        <v>20.053878260000001</v>
      </c>
      <c r="H542" s="31">
        <v>1E+100</v>
      </c>
    </row>
    <row r="543" spans="2:8" x14ac:dyDescent="0.25">
      <c r="B543" s="29" t="s">
        <v>485</v>
      </c>
      <c r="C543" s="30" t="s">
        <v>1551</v>
      </c>
      <c r="D543" s="30">
        <v>0</v>
      </c>
      <c r="E543" s="30">
        <v>-20.060081</v>
      </c>
      <c r="F543" s="30">
        <v>14.14764682414534</v>
      </c>
      <c r="G543" s="30">
        <v>20.060081480000001</v>
      </c>
      <c r="H543" s="31">
        <v>1E+100</v>
      </c>
    </row>
    <row r="544" spans="2:8" x14ac:dyDescent="0.25">
      <c r="B544" s="29" t="s">
        <v>488</v>
      </c>
      <c r="C544" s="30" t="s">
        <v>1554</v>
      </c>
      <c r="D544" s="30">
        <v>0</v>
      </c>
      <c r="E544" s="30">
        <v>-20.063537</v>
      </c>
      <c r="F544" s="30">
        <v>14.1441913175222</v>
      </c>
      <c r="G544" s="30">
        <v>20.063536989999999</v>
      </c>
      <c r="H544" s="31">
        <v>1E+100</v>
      </c>
    </row>
    <row r="545" spans="2:8" x14ac:dyDescent="0.25">
      <c r="B545" s="29" t="s">
        <v>491</v>
      </c>
      <c r="C545" s="30" t="s">
        <v>1557</v>
      </c>
      <c r="D545" s="30">
        <v>0</v>
      </c>
      <c r="E545" s="30">
        <v>-20.191203000000002</v>
      </c>
      <c r="F545" s="30">
        <v>14.016525213199202</v>
      </c>
      <c r="G545" s="30">
        <v>20.191203089999998</v>
      </c>
      <c r="H545" s="31">
        <v>1E+100</v>
      </c>
    </row>
    <row r="546" spans="2:8" x14ac:dyDescent="0.25">
      <c r="B546" s="29" t="s">
        <v>494</v>
      </c>
      <c r="C546" s="30" t="s">
        <v>1560</v>
      </c>
      <c r="D546" s="30">
        <v>0</v>
      </c>
      <c r="E546" s="30">
        <v>-20.256439</v>
      </c>
      <c r="F546" s="30">
        <v>13.951289292468573</v>
      </c>
      <c r="G546" s="30">
        <v>20.256439010000001</v>
      </c>
      <c r="H546" s="31">
        <v>1E+100</v>
      </c>
    </row>
    <row r="547" spans="2:8" x14ac:dyDescent="0.25">
      <c r="B547" s="29" t="s">
        <v>497</v>
      </c>
      <c r="C547" s="30" t="s">
        <v>1563</v>
      </c>
      <c r="D547" s="30">
        <v>0</v>
      </c>
      <c r="E547" s="30">
        <v>-20.374140000000001</v>
      </c>
      <c r="F547" s="30">
        <v>13.833588212393806</v>
      </c>
      <c r="G547" s="30">
        <v>20.374140090000001</v>
      </c>
      <c r="H547" s="31">
        <v>1E+100</v>
      </c>
    </row>
    <row r="548" spans="2:8" x14ac:dyDescent="0.25">
      <c r="B548" s="29" t="s">
        <v>500</v>
      </c>
      <c r="C548" s="30" t="s">
        <v>1566</v>
      </c>
      <c r="D548" s="30">
        <v>0</v>
      </c>
      <c r="E548" s="30">
        <v>-20.392734999999998</v>
      </c>
      <c r="F548" s="30">
        <v>13.814993316889741</v>
      </c>
      <c r="G548" s="30">
        <v>20.392734990000001</v>
      </c>
      <c r="H548" s="31">
        <v>1E+100</v>
      </c>
    </row>
    <row r="549" spans="2:8" x14ac:dyDescent="0.25">
      <c r="B549" s="29" t="s">
        <v>503</v>
      </c>
      <c r="C549" s="30" t="s">
        <v>1569</v>
      </c>
      <c r="D549" s="30">
        <v>0</v>
      </c>
      <c r="E549" s="30">
        <v>-20.595355000000001</v>
      </c>
      <c r="F549" s="30">
        <v>13.612373080381076</v>
      </c>
      <c r="G549" s="30">
        <v>20.595355229999999</v>
      </c>
      <c r="H549" s="31">
        <v>1E+100</v>
      </c>
    </row>
    <row r="550" spans="2:8" x14ac:dyDescent="0.25">
      <c r="B550" s="29" t="s">
        <v>506</v>
      </c>
      <c r="C550" s="30" t="s">
        <v>1572</v>
      </c>
      <c r="D550" s="30">
        <v>0</v>
      </c>
      <c r="E550" s="30">
        <v>-20.609154</v>
      </c>
      <c r="F550" s="30">
        <v>13.598574697112781</v>
      </c>
      <c r="G550" s="30">
        <v>20.60915361</v>
      </c>
      <c r="H550" s="31">
        <v>1E+100</v>
      </c>
    </row>
    <row r="551" spans="2:8" x14ac:dyDescent="0.25">
      <c r="B551" s="29" t="s">
        <v>509</v>
      </c>
      <c r="C551" s="30" t="s">
        <v>1575</v>
      </c>
      <c r="D551" s="30">
        <v>0</v>
      </c>
      <c r="E551" s="30">
        <v>-20.649981</v>
      </c>
      <c r="F551" s="30">
        <v>13.557747286744416</v>
      </c>
      <c r="G551" s="30">
        <v>20.649981019999998</v>
      </c>
      <c r="H551" s="31">
        <v>1E+100</v>
      </c>
    </row>
    <row r="552" spans="2:8" x14ac:dyDescent="0.25">
      <c r="B552" s="29" t="s">
        <v>512</v>
      </c>
      <c r="C552" s="30" t="s">
        <v>1578</v>
      </c>
      <c r="D552" s="30">
        <v>0</v>
      </c>
      <c r="E552" s="30">
        <v>-20.696667999999999</v>
      </c>
      <c r="F552" s="30">
        <v>13.511060182820074</v>
      </c>
      <c r="G552" s="30">
        <v>20.696668119999998</v>
      </c>
      <c r="H552" s="31">
        <v>1E+100</v>
      </c>
    </row>
    <row r="553" spans="2:8" x14ac:dyDescent="0.25">
      <c r="B553" s="29" t="s">
        <v>515</v>
      </c>
      <c r="C553" s="30" t="s">
        <v>1581</v>
      </c>
      <c r="D553" s="30">
        <v>0</v>
      </c>
      <c r="E553" s="30">
        <v>-20.807131999999999</v>
      </c>
      <c r="F553" s="30">
        <v>13.400595897852327</v>
      </c>
      <c r="G553" s="30">
        <v>20.807132410000001</v>
      </c>
      <c r="H553" s="31">
        <v>1E+100</v>
      </c>
    </row>
    <row r="554" spans="2:8" x14ac:dyDescent="0.25">
      <c r="B554" s="29" t="s">
        <v>518</v>
      </c>
      <c r="C554" s="30" t="s">
        <v>1584</v>
      </c>
      <c r="D554" s="30">
        <v>0</v>
      </c>
      <c r="E554" s="30">
        <v>-20.8474</v>
      </c>
      <c r="F554" s="30">
        <v>13.360327859481913</v>
      </c>
      <c r="G554" s="30">
        <v>20.847400449999999</v>
      </c>
      <c r="H554" s="31">
        <v>1E+100</v>
      </c>
    </row>
    <row r="555" spans="2:8" x14ac:dyDescent="0.25">
      <c r="B555" s="29" t="s">
        <v>521</v>
      </c>
      <c r="C555" s="30" t="s">
        <v>1587</v>
      </c>
      <c r="D555" s="30">
        <v>0</v>
      </c>
      <c r="E555" s="30">
        <v>-20.861079</v>
      </c>
      <c r="F555" s="30">
        <v>13.346648987659137</v>
      </c>
      <c r="G555" s="30">
        <v>20.861079320000002</v>
      </c>
      <c r="H555" s="31">
        <v>1E+100</v>
      </c>
    </row>
    <row r="556" spans="2:8" x14ac:dyDescent="0.25">
      <c r="B556" s="29" t="s">
        <v>524</v>
      </c>
      <c r="C556" s="30" t="s">
        <v>1590</v>
      </c>
      <c r="D556" s="30">
        <v>0</v>
      </c>
      <c r="E556" s="30">
        <v>-20.865669</v>
      </c>
      <c r="F556" s="30">
        <v>13.342059547299868</v>
      </c>
      <c r="G556" s="30">
        <v>20.865668759999998</v>
      </c>
      <c r="H556" s="31">
        <v>1E+100</v>
      </c>
    </row>
    <row r="557" spans="2:8" x14ac:dyDescent="0.25">
      <c r="B557" s="29" t="s">
        <v>527</v>
      </c>
      <c r="C557" s="30" t="s">
        <v>1593</v>
      </c>
      <c r="D557" s="30">
        <v>0</v>
      </c>
      <c r="E557" s="30">
        <v>-20.892889</v>
      </c>
      <c r="F557" s="30">
        <v>13.314839623388252</v>
      </c>
      <c r="G557" s="30">
        <v>20.892888679999999</v>
      </c>
      <c r="H557" s="31">
        <v>1E+100</v>
      </c>
    </row>
    <row r="558" spans="2:8" x14ac:dyDescent="0.25">
      <c r="B558" s="29" t="s">
        <v>530</v>
      </c>
      <c r="C558" s="30" t="s">
        <v>1596</v>
      </c>
      <c r="D558" s="30">
        <v>0</v>
      </c>
      <c r="E558" s="30">
        <v>-20.950669000000001</v>
      </c>
      <c r="F558" s="30">
        <v>13.257059725146974</v>
      </c>
      <c r="G558" s="30">
        <v>20.950668579999999</v>
      </c>
      <c r="H558" s="31">
        <v>1E+100</v>
      </c>
    </row>
    <row r="559" spans="2:8" x14ac:dyDescent="0.25">
      <c r="B559" s="29" t="s">
        <v>533</v>
      </c>
      <c r="C559" s="30" t="s">
        <v>1599</v>
      </c>
      <c r="D559" s="30">
        <v>0</v>
      </c>
      <c r="E559" s="30">
        <v>-20.968139999999998</v>
      </c>
      <c r="F559" s="30">
        <v>13.23958871231298</v>
      </c>
      <c r="G559" s="30">
        <v>20.96813959</v>
      </c>
      <c r="H559" s="31">
        <v>1E+100</v>
      </c>
    </row>
    <row r="560" spans="2:8" x14ac:dyDescent="0.25">
      <c r="B560" s="29" t="s">
        <v>536</v>
      </c>
      <c r="C560" s="30" t="s">
        <v>1602</v>
      </c>
      <c r="D560" s="30">
        <v>0</v>
      </c>
      <c r="E560" s="30">
        <v>-20.987392</v>
      </c>
      <c r="F560" s="30">
        <v>13.220336483718711</v>
      </c>
      <c r="G560" s="30">
        <v>20.987391819999999</v>
      </c>
      <c r="H560" s="31">
        <v>1E+100</v>
      </c>
    </row>
    <row r="561" spans="2:8" x14ac:dyDescent="0.25">
      <c r="B561" s="29" t="s">
        <v>539</v>
      </c>
      <c r="C561" s="30" t="s">
        <v>1605</v>
      </c>
      <c r="D561" s="30">
        <v>0</v>
      </c>
      <c r="E561" s="30">
        <v>-21.036062000000001</v>
      </c>
      <c r="F561" s="30">
        <v>13.171665914851474</v>
      </c>
      <c r="G561" s="30">
        <v>21.036062390000001</v>
      </c>
      <c r="H561" s="31">
        <v>1E+100</v>
      </c>
    </row>
    <row r="562" spans="2:8" x14ac:dyDescent="0.25">
      <c r="B562" s="29" t="s">
        <v>542</v>
      </c>
      <c r="C562" s="30" t="s">
        <v>1608</v>
      </c>
      <c r="D562" s="30">
        <v>0</v>
      </c>
      <c r="E562" s="30">
        <v>-21.105756</v>
      </c>
      <c r="F562" s="30">
        <v>13.101972635922721</v>
      </c>
      <c r="G562" s="30">
        <v>21.105755670000001</v>
      </c>
      <c r="H562" s="31">
        <v>1E+100</v>
      </c>
    </row>
    <row r="563" spans="2:8" x14ac:dyDescent="0.25">
      <c r="B563" s="29" t="s">
        <v>545</v>
      </c>
      <c r="C563" s="30" t="s">
        <v>1611</v>
      </c>
      <c r="D563" s="30">
        <v>0</v>
      </c>
      <c r="E563" s="30">
        <v>-21.207284999999999</v>
      </c>
      <c r="F563" s="30">
        <v>13.000443666198407</v>
      </c>
      <c r="G563" s="30">
        <v>21.207284640000001</v>
      </c>
      <c r="H563" s="31">
        <v>1E+100</v>
      </c>
    </row>
    <row r="564" spans="2:8" x14ac:dyDescent="0.25">
      <c r="B564" s="29" t="s">
        <v>548</v>
      </c>
      <c r="C564" s="30" t="s">
        <v>1614</v>
      </c>
      <c r="D564" s="30">
        <v>0</v>
      </c>
      <c r="E564" s="30">
        <v>-21.208715999999999</v>
      </c>
      <c r="F564" s="30">
        <v>12.999011880834587</v>
      </c>
      <c r="G564" s="30">
        <v>21.208716429999999</v>
      </c>
      <c r="H564" s="31">
        <v>1E+100</v>
      </c>
    </row>
    <row r="565" spans="2:8" x14ac:dyDescent="0.25">
      <c r="B565" s="29" t="s">
        <v>393</v>
      </c>
      <c r="C565" s="30" t="s">
        <v>1459</v>
      </c>
      <c r="D565" s="30">
        <v>0</v>
      </c>
      <c r="E565" s="30">
        <v>-21.222470000000001</v>
      </c>
      <c r="F565" s="30">
        <v>0.21770496637327597</v>
      </c>
      <c r="G565" s="30">
        <v>21.22247029</v>
      </c>
      <c r="H565" s="31">
        <v>1E+100</v>
      </c>
    </row>
    <row r="566" spans="2:8" x14ac:dyDescent="0.25">
      <c r="B566" s="29" t="s">
        <v>551</v>
      </c>
      <c r="C566" s="30" t="s">
        <v>1617</v>
      </c>
      <c r="D566" s="30">
        <v>0</v>
      </c>
      <c r="E566" s="30">
        <v>-21.357907000000001</v>
      </c>
      <c r="F566" s="30">
        <v>12.849821325871744</v>
      </c>
      <c r="G566" s="30">
        <v>21.357906979999999</v>
      </c>
      <c r="H566" s="31">
        <v>1E+100</v>
      </c>
    </row>
    <row r="567" spans="2:8" x14ac:dyDescent="0.25">
      <c r="B567" s="29" t="s">
        <v>554</v>
      </c>
      <c r="C567" s="30" t="s">
        <v>1620</v>
      </c>
      <c r="D567" s="30">
        <v>0</v>
      </c>
      <c r="E567" s="30">
        <v>-21.367668999999999</v>
      </c>
      <c r="F567" s="30">
        <v>12.84005948540289</v>
      </c>
      <c r="G567" s="30">
        <v>21.367668819999999</v>
      </c>
      <c r="H567" s="31">
        <v>1E+100</v>
      </c>
    </row>
    <row r="568" spans="2:8" x14ac:dyDescent="0.25">
      <c r="B568" s="29" t="s">
        <v>557</v>
      </c>
      <c r="C568" s="30" t="s">
        <v>1623</v>
      </c>
      <c r="D568" s="30">
        <v>0</v>
      </c>
      <c r="E568" s="30">
        <v>-21.379581999999999</v>
      </c>
      <c r="F568" s="30">
        <v>12.828146609885152</v>
      </c>
      <c r="G568" s="30">
        <v>21.379581699999999</v>
      </c>
      <c r="H568" s="31">
        <v>1E+100</v>
      </c>
    </row>
    <row r="569" spans="2:8" x14ac:dyDescent="0.25">
      <c r="B569" s="29" t="s">
        <v>560</v>
      </c>
      <c r="C569" s="30" t="s">
        <v>1626</v>
      </c>
      <c r="D569" s="30">
        <v>0</v>
      </c>
      <c r="E569" s="30">
        <v>-21.430807999999999</v>
      </c>
      <c r="F569" s="30">
        <v>12.776920049567707</v>
      </c>
      <c r="G569" s="30">
        <v>21.430808259999999</v>
      </c>
      <c r="H569" s="31">
        <v>1E+100</v>
      </c>
    </row>
    <row r="570" spans="2:8" x14ac:dyDescent="0.25">
      <c r="B570" s="29" t="s">
        <v>563</v>
      </c>
      <c r="C570" s="30" t="s">
        <v>1629</v>
      </c>
      <c r="D570" s="30">
        <v>0</v>
      </c>
      <c r="E570" s="30">
        <v>-21.516777999999999</v>
      </c>
      <c r="F570" s="30">
        <v>12.690950470147072</v>
      </c>
      <c r="G570" s="30">
        <v>21.51677784</v>
      </c>
      <c r="H570" s="31">
        <v>1E+100</v>
      </c>
    </row>
    <row r="571" spans="2:8" x14ac:dyDescent="0.25">
      <c r="B571" s="29" t="s">
        <v>566</v>
      </c>
      <c r="C571" s="30" t="s">
        <v>1632</v>
      </c>
      <c r="D571" s="30">
        <v>0</v>
      </c>
      <c r="E571" s="30">
        <v>-21.537072999999999</v>
      </c>
      <c r="F571" s="30">
        <v>12.670655282548978</v>
      </c>
      <c r="G571" s="30">
        <v>21.537073020000001</v>
      </c>
      <c r="H571" s="31">
        <v>1E+100</v>
      </c>
    </row>
    <row r="572" spans="2:8" x14ac:dyDescent="0.25">
      <c r="B572" s="29" t="s">
        <v>569</v>
      </c>
      <c r="C572" s="30" t="s">
        <v>1635</v>
      </c>
      <c r="D572" s="30">
        <v>0</v>
      </c>
      <c r="E572" s="30">
        <v>-21.547492999999999</v>
      </c>
      <c r="F572" s="30">
        <v>12.660235310380813</v>
      </c>
      <c r="G572" s="30">
        <v>21.547492999999999</v>
      </c>
      <c r="H572" s="31">
        <v>1E+100</v>
      </c>
    </row>
    <row r="573" spans="2:8" x14ac:dyDescent="0.25">
      <c r="B573" s="29" t="s">
        <v>572</v>
      </c>
      <c r="C573" s="30" t="s">
        <v>1638</v>
      </c>
      <c r="D573" s="30">
        <v>0</v>
      </c>
      <c r="E573" s="30">
        <v>-21.581001000000001</v>
      </c>
      <c r="F573" s="30">
        <v>12.626727090915665</v>
      </c>
      <c r="G573" s="30">
        <v>21.581001220000001</v>
      </c>
      <c r="H573" s="31">
        <v>1E+100</v>
      </c>
    </row>
    <row r="574" spans="2:8" x14ac:dyDescent="0.25">
      <c r="B574" s="29" t="s">
        <v>575</v>
      </c>
      <c r="C574" s="30" t="s">
        <v>1641</v>
      </c>
      <c r="D574" s="30">
        <v>0</v>
      </c>
      <c r="E574" s="30">
        <v>-21.640435</v>
      </c>
      <c r="F574" s="30">
        <v>12.567292970546987</v>
      </c>
      <c r="G574" s="30">
        <v>21.64043534</v>
      </c>
      <c r="H574" s="31">
        <v>1E+100</v>
      </c>
    </row>
    <row r="575" spans="2:8" x14ac:dyDescent="0.25">
      <c r="B575" s="29" t="s">
        <v>578</v>
      </c>
      <c r="C575" s="30" t="s">
        <v>1644</v>
      </c>
      <c r="D575" s="30">
        <v>0</v>
      </c>
      <c r="E575" s="30">
        <v>-21.728615999999999</v>
      </c>
      <c r="F575" s="30">
        <v>12.479112014814746</v>
      </c>
      <c r="G575" s="30">
        <v>21.728616290000001</v>
      </c>
      <c r="H575" s="31">
        <v>1E+100</v>
      </c>
    </row>
    <row r="576" spans="2:8" x14ac:dyDescent="0.25">
      <c r="B576" s="29" t="s">
        <v>581</v>
      </c>
      <c r="C576" s="30" t="s">
        <v>1647</v>
      </c>
      <c r="D576" s="30">
        <v>0</v>
      </c>
      <c r="E576" s="30">
        <v>-21.821479</v>
      </c>
      <c r="F576" s="30">
        <v>12.386248975759372</v>
      </c>
      <c r="G576" s="30">
        <v>21.821479329999999</v>
      </c>
      <c r="H576" s="31">
        <v>1E+100</v>
      </c>
    </row>
    <row r="577" spans="2:8" x14ac:dyDescent="0.25">
      <c r="B577" s="29" t="s">
        <v>584</v>
      </c>
      <c r="C577" s="30" t="s">
        <v>1650</v>
      </c>
      <c r="D577" s="30">
        <v>0</v>
      </c>
      <c r="E577" s="30">
        <v>-21.878367999999998</v>
      </c>
      <c r="F577" s="30">
        <v>12.329360050629475</v>
      </c>
      <c r="G577" s="30">
        <v>21.878368259999998</v>
      </c>
      <c r="H577" s="31">
        <v>1E+100</v>
      </c>
    </row>
    <row r="578" spans="2:8" x14ac:dyDescent="0.25">
      <c r="B578" s="29" t="s">
        <v>587</v>
      </c>
      <c r="C578" s="30" t="s">
        <v>1653</v>
      </c>
      <c r="D578" s="30">
        <v>0</v>
      </c>
      <c r="E578" s="30">
        <v>-21.923507000000001</v>
      </c>
      <c r="F578" s="30">
        <v>12.284221513764351</v>
      </c>
      <c r="G578" s="30">
        <v>21.923506790000001</v>
      </c>
      <c r="H578" s="31">
        <v>1E+100</v>
      </c>
    </row>
    <row r="579" spans="2:8" x14ac:dyDescent="0.25">
      <c r="B579" s="29" t="s">
        <v>590</v>
      </c>
      <c r="C579" s="30" t="s">
        <v>1656</v>
      </c>
      <c r="D579" s="30">
        <v>0</v>
      </c>
      <c r="E579" s="30">
        <v>-22.124631000000001</v>
      </c>
      <c r="F579" s="30">
        <v>12.083097079783329</v>
      </c>
      <c r="G579" s="30">
        <v>22.124631229999999</v>
      </c>
      <c r="H579" s="31">
        <v>1E+100</v>
      </c>
    </row>
    <row r="580" spans="2:8" x14ac:dyDescent="0.25">
      <c r="B580" s="29" t="s">
        <v>593</v>
      </c>
      <c r="C580" s="30" t="s">
        <v>1659</v>
      </c>
      <c r="D580" s="30">
        <v>0</v>
      </c>
      <c r="E580" s="30">
        <v>-22.264666999999999</v>
      </c>
      <c r="F580" s="30">
        <v>11.943061194440816</v>
      </c>
      <c r="G580" s="30">
        <v>22.264667110000001</v>
      </c>
      <c r="H580" s="31">
        <v>1E+100</v>
      </c>
    </row>
    <row r="581" spans="2:8" x14ac:dyDescent="0.25">
      <c r="B581" s="29" t="s">
        <v>599</v>
      </c>
      <c r="C581" s="30" t="s">
        <v>1665</v>
      </c>
      <c r="D581" s="30">
        <v>0</v>
      </c>
      <c r="E581" s="30">
        <v>-22.305153000000001</v>
      </c>
      <c r="F581" s="30">
        <v>11.902575495114434</v>
      </c>
      <c r="G581" s="30">
        <v>22.305152809999999</v>
      </c>
      <c r="H581" s="31">
        <v>1E+100</v>
      </c>
    </row>
    <row r="582" spans="2:8" x14ac:dyDescent="0.25">
      <c r="B582" s="29" t="s">
        <v>602</v>
      </c>
      <c r="C582" s="30" t="s">
        <v>1668</v>
      </c>
      <c r="D582" s="30">
        <v>0</v>
      </c>
      <c r="E582" s="30">
        <v>-22.306816000000001</v>
      </c>
      <c r="F582" s="30">
        <v>11.900912746583344</v>
      </c>
      <c r="G582" s="30">
        <v>22.30681556</v>
      </c>
      <c r="H582" s="31">
        <v>1E+100</v>
      </c>
    </row>
    <row r="583" spans="2:8" x14ac:dyDescent="0.25">
      <c r="B583" s="29" t="s">
        <v>648</v>
      </c>
      <c r="C583" s="30" t="s">
        <v>1714</v>
      </c>
      <c r="D583" s="30">
        <v>0</v>
      </c>
      <c r="E583" s="30">
        <v>-22.307642999999999</v>
      </c>
      <c r="F583" s="30">
        <v>0.31302330706967041</v>
      </c>
      <c r="G583" s="30">
        <v>22.307642619999999</v>
      </c>
      <c r="H583" s="31">
        <v>1E+100</v>
      </c>
    </row>
    <row r="584" spans="2:8" x14ac:dyDescent="0.25">
      <c r="B584" s="29" t="s">
        <v>605</v>
      </c>
      <c r="C584" s="30" t="s">
        <v>1671</v>
      </c>
      <c r="D584" s="30">
        <v>0</v>
      </c>
      <c r="E584" s="30">
        <v>-22.338417</v>
      </c>
      <c r="F584" s="30">
        <v>11.869311292204657</v>
      </c>
      <c r="G584" s="30">
        <v>22.338417010000001</v>
      </c>
      <c r="H584" s="31">
        <v>1E+100</v>
      </c>
    </row>
    <row r="585" spans="2:8" x14ac:dyDescent="0.25">
      <c r="B585" s="29" t="s">
        <v>608</v>
      </c>
      <c r="C585" s="30" t="s">
        <v>1674</v>
      </c>
      <c r="D585" s="30">
        <v>0</v>
      </c>
      <c r="E585" s="30">
        <v>-22.404765000000001</v>
      </c>
      <c r="F585" s="30">
        <v>11.802963579699281</v>
      </c>
      <c r="G585" s="30">
        <v>22.40476473</v>
      </c>
      <c r="H585" s="31">
        <v>1E+100</v>
      </c>
    </row>
    <row r="586" spans="2:8" x14ac:dyDescent="0.25">
      <c r="B586" s="29" t="s">
        <v>611</v>
      </c>
      <c r="C586" s="30" t="s">
        <v>1677</v>
      </c>
      <c r="D586" s="30">
        <v>0</v>
      </c>
      <c r="E586" s="30">
        <v>-22.414121000000002</v>
      </c>
      <c r="F586" s="30">
        <v>11.79360746574821</v>
      </c>
      <c r="G586" s="30">
        <v>22.414120839999999</v>
      </c>
      <c r="H586" s="31">
        <v>1E+100</v>
      </c>
    </row>
    <row r="587" spans="2:8" x14ac:dyDescent="0.25">
      <c r="B587" s="29" t="s">
        <v>614</v>
      </c>
      <c r="C587" s="30" t="s">
        <v>1680</v>
      </c>
      <c r="D587" s="30">
        <v>0</v>
      </c>
      <c r="E587" s="30">
        <v>-22.551423</v>
      </c>
      <c r="F587" s="30">
        <v>11.656305361335399</v>
      </c>
      <c r="G587" s="30">
        <v>22.551422949999999</v>
      </c>
      <c r="H587" s="31">
        <v>1E+100</v>
      </c>
    </row>
    <row r="588" spans="2:8" x14ac:dyDescent="0.25">
      <c r="B588" s="29" t="s">
        <v>617</v>
      </c>
      <c r="C588" s="30" t="s">
        <v>1683</v>
      </c>
      <c r="D588" s="30">
        <v>0</v>
      </c>
      <c r="E588" s="30">
        <v>-22.590968</v>
      </c>
      <c r="F588" s="30">
        <v>11.616760458258796</v>
      </c>
      <c r="G588" s="30">
        <v>22.590967849999998</v>
      </c>
      <c r="H588" s="31">
        <v>1E+100</v>
      </c>
    </row>
    <row r="589" spans="2:8" x14ac:dyDescent="0.25">
      <c r="B589" s="29" t="s">
        <v>620</v>
      </c>
      <c r="C589" s="30" t="s">
        <v>1686</v>
      </c>
      <c r="D589" s="30">
        <v>0</v>
      </c>
      <c r="E589" s="30">
        <v>-22.663516000000001</v>
      </c>
      <c r="F589" s="30">
        <v>11.544211865402758</v>
      </c>
      <c r="G589" s="30">
        <v>22.663516439999999</v>
      </c>
      <c r="H589" s="31">
        <v>1E+100</v>
      </c>
    </row>
    <row r="590" spans="2:8" x14ac:dyDescent="0.25">
      <c r="B590" s="29" t="s">
        <v>623</v>
      </c>
      <c r="C590" s="30" t="s">
        <v>1689</v>
      </c>
      <c r="D590" s="30">
        <v>0</v>
      </c>
      <c r="E590" s="30">
        <v>-22.666035999999998</v>
      </c>
      <c r="F590" s="30">
        <v>11.54169199844182</v>
      </c>
      <c r="G590" s="30">
        <v>22.666036309999999</v>
      </c>
      <c r="H590" s="31">
        <v>1E+100</v>
      </c>
    </row>
    <row r="591" spans="2:8" x14ac:dyDescent="0.25">
      <c r="B591" s="29" t="s">
        <v>626</v>
      </c>
      <c r="C591" s="30" t="s">
        <v>1692</v>
      </c>
      <c r="D591" s="30">
        <v>0</v>
      </c>
      <c r="E591" s="30">
        <v>-22.693677999999998</v>
      </c>
      <c r="F591" s="30">
        <v>11.514050455705728</v>
      </c>
      <c r="G591" s="30">
        <v>22.69367785</v>
      </c>
      <c r="H591" s="31">
        <v>1E+100</v>
      </c>
    </row>
    <row r="592" spans="2:8" x14ac:dyDescent="0.25">
      <c r="B592" s="29" t="s">
        <v>629</v>
      </c>
      <c r="C592" s="30" t="s">
        <v>1695</v>
      </c>
      <c r="D592" s="30">
        <v>0</v>
      </c>
      <c r="E592" s="30">
        <v>-22.761149</v>
      </c>
      <c r="F592" s="30">
        <v>11.446579594994546</v>
      </c>
      <c r="G592" s="30">
        <v>22.761148710000001</v>
      </c>
      <c r="H592" s="31">
        <v>1E+100</v>
      </c>
    </row>
    <row r="593" spans="1:8" x14ac:dyDescent="0.25">
      <c r="B593" s="29" t="s">
        <v>632</v>
      </c>
      <c r="C593" s="30" t="s">
        <v>1698</v>
      </c>
      <c r="D593" s="30">
        <v>0</v>
      </c>
      <c r="E593" s="30">
        <v>-22.792075000000001</v>
      </c>
      <c r="F593" s="30">
        <v>11.415653700489202</v>
      </c>
      <c r="G593" s="30">
        <v>22.79207461</v>
      </c>
      <c r="H593" s="31">
        <v>1E+100</v>
      </c>
    </row>
    <row r="594" spans="1:8" x14ac:dyDescent="0.25">
      <c r="B594" s="29" t="s">
        <v>635</v>
      </c>
      <c r="C594" s="30" t="s">
        <v>1701</v>
      </c>
      <c r="D594" s="30">
        <v>0</v>
      </c>
      <c r="E594" s="30">
        <v>-22.868995999999999</v>
      </c>
      <c r="F594" s="30">
        <v>11.338732290038024</v>
      </c>
      <c r="G594" s="30">
        <v>22.868996020000001</v>
      </c>
      <c r="H594" s="31">
        <v>1E+100</v>
      </c>
    </row>
    <row r="595" spans="1:8" x14ac:dyDescent="0.25">
      <c r="B595" s="29" t="s">
        <v>638</v>
      </c>
      <c r="C595" s="30" t="s">
        <v>1704</v>
      </c>
      <c r="D595" s="30">
        <v>0</v>
      </c>
      <c r="E595" s="30">
        <v>-22.924256</v>
      </c>
      <c r="F595" s="30">
        <v>11.283472333263489</v>
      </c>
      <c r="G595" s="30">
        <v>22.924255970000001</v>
      </c>
      <c r="H595" s="31">
        <v>1E+100</v>
      </c>
    </row>
    <row r="596" spans="1:8" x14ac:dyDescent="0.25">
      <c r="B596" s="29" t="s">
        <v>641</v>
      </c>
      <c r="C596" s="30" t="s">
        <v>1707</v>
      </c>
      <c r="D596" s="30">
        <v>0</v>
      </c>
      <c r="E596" s="30">
        <v>-22.951371000000002</v>
      </c>
      <c r="F596" s="30">
        <v>11.256357461636071</v>
      </c>
      <c r="G596" s="30">
        <v>22.95137085</v>
      </c>
      <c r="H596" s="31">
        <v>1E+100</v>
      </c>
    </row>
    <row r="597" spans="1:8" x14ac:dyDescent="0.25">
      <c r="B597" s="29" t="s">
        <v>644</v>
      </c>
      <c r="C597" s="30" t="s">
        <v>1710</v>
      </c>
      <c r="D597" s="30">
        <v>0</v>
      </c>
      <c r="E597" s="30">
        <v>-22.983201000000001</v>
      </c>
      <c r="F597" s="30">
        <v>11.224527365135145</v>
      </c>
      <c r="G597" s="30">
        <v>22.98320094</v>
      </c>
      <c r="H597" s="31">
        <v>1E+100</v>
      </c>
    </row>
    <row r="598" spans="1:8" x14ac:dyDescent="0.25">
      <c r="B598" s="29" t="s">
        <v>647</v>
      </c>
      <c r="C598" s="30" t="s">
        <v>1713</v>
      </c>
      <c r="D598" s="30">
        <v>0</v>
      </c>
      <c r="E598" s="30">
        <v>-23.060984999999999</v>
      </c>
      <c r="F598" s="30">
        <v>11.146743562596384</v>
      </c>
      <c r="G598" s="30">
        <v>23.060984739999999</v>
      </c>
      <c r="H598" s="31">
        <v>1E+100</v>
      </c>
    </row>
    <row r="599" spans="1:8" x14ac:dyDescent="0.25">
      <c r="B599" s="29" t="s">
        <v>653</v>
      </c>
      <c r="C599" s="30" t="s">
        <v>1719</v>
      </c>
      <c r="D599" s="30">
        <v>0</v>
      </c>
      <c r="E599" s="30">
        <v>-23.132258</v>
      </c>
      <c r="F599" s="30">
        <v>11.075470718817087</v>
      </c>
      <c r="G599" s="30">
        <v>23.132257589999998</v>
      </c>
      <c r="H599" s="31">
        <v>1E+100</v>
      </c>
    </row>
    <row r="600" spans="1:8" x14ac:dyDescent="0.25">
      <c r="B600" s="29" t="s">
        <v>656</v>
      </c>
      <c r="C600" s="30" t="s">
        <v>1722</v>
      </c>
      <c r="D600" s="30">
        <v>0</v>
      </c>
      <c r="E600" s="30">
        <v>-23.18056</v>
      </c>
      <c r="F600" s="30">
        <v>11.027168444270501</v>
      </c>
      <c r="G600" s="30">
        <v>23.180559859999999</v>
      </c>
      <c r="H600" s="31">
        <v>1E+100</v>
      </c>
    </row>
    <row r="601" spans="1:8" x14ac:dyDescent="0.25">
      <c r="B601" s="29" t="s">
        <v>596</v>
      </c>
      <c r="C601" s="30" t="s">
        <v>1662</v>
      </c>
      <c r="D601" s="30">
        <v>0</v>
      </c>
      <c r="E601" s="30">
        <v>-31.372892</v>
      </c>
      <c r="F601" s="30">
        <v>2.8348362831457052</v>
      </c>
      <c r="G601" s="30">
        <v>31.372892019999998</v>
      </c>
      <c r="H601" s="31">
        <v>1E+100</v>
      </c>
    </row>
    <row r="602" spans="1:8" x14ac:dyDescent="0.25">
      <c r="B602" s="29" t="s">
        <v>650</v>
      </c>
      <c r="C602" s="30" t="s">
        <v>1716</v>
      </c>
      <c r="D602" s="30">
        <v>0</v>
      </c>
      <c r="E602" s="30">
        <v>-33.894705000000002</v>
      </c>
      <c r="F602" s="30">
        <v>0.31302330706967041</v>
      </c>
      <c r="G602" s="30">
        <v>33.894705000000002</v>
      </c>
      <c r="H602" s="31">
        <v>1E+100</v>
      </c>
    </row>
    <row r="603" spans="1:8" ht="15.75" thickBot="1" x14ac:dyDescent="0.3">
      <c r="B603" s="32" t="s">
        <v>395</v>
      </c>
      <c r="C603" s="33" t="s">
        <v>1461</v>
      </c>
      <c r="D603" s="33">
        <v>0</v>
      </c>
      <c r="E603" s="33">
        <v>-33.990023000000001</v>
      </c>
      <c r="F603" s="33">
        <v>0.21770496637327597</v>
      </c>
      <c r="G603" s="33">
        <v>33.99002334</v>
      </c>
      <c r="H603" s="34">
        <v>1E+100</v>
      </c>
    </row>
    <row r="604" spans="1:8" x14ac:dyDescent="0.25">
      <c r="B604" s="9"/>
      <c r="C604" s="9"/>
      <c r="D604" s="9"/>
      <c r="E604" s="9"/>
      <c r="F604" s="9"/>
      <c r="G604" s="9"/>
      <c r="H604" s="9"/>
    </row>
    <row r="605" spans="1:8" ht="15.75" thickBot="1" x14ac:dyDescent="0.3">
      <c r="A605" s="38" t="s">
        <v>657</v>
      </c>
      <c r="B605" s="9"/>
      <c r="C605" s="9"/>
      <c r="D605" s="9"/>
      <c r="E605" s="9"/>
      <c r="F605" s="9"/>
      <c r="G605" s="9"/>
      <c r="H605" s="9"/>
    </row>
    <row r="606" spans="1:8" ht="15.75" thickBot="1" x14ac:dyDescent="0.3">
      <c r="B606" s="35" t="s">
        <v>53</v>
      </c>
      <c r="C606" s="36" t="s">
        <v>54</v>
      </c>
      <c r="D606" s="36" t="s">
        <v>55</v>
      </c>
      <c r="E606" s="36" t="s">
        <v>658</v>
      </c>
      <c r="F606" s="36" t="s">
        <v>659</v>
      </c>
      <c r="G606" s="36" t="s">
        <v>58</v>
      </c>
      <c r="H606" s="37" t="s">
        <v>59</v>
      </c>
    </row>
    <row r="607" spans="1:8" x14ac:dyDescent="0.25">
      <c r="B607" s="29" t="s">
        <v>660</v>
      </c>
      <c r="C607" s="30" t="s">
        <v>661</v>
      </c>
      <c r="D607" s="30">
        <v>11</v>
      </c>
      <c r="E607" s="30">
        <v>16.043499000000001</v>
      </c>
      <c r="F607" s="30">
        <v>11</v>
      </c>
      <c r="G607" s="30">
        <v>0</v>
      </c>
      <c r="H607" s="31">
        <v>0</v>
      </c>
    </row>
    <row r="608" spans="1:8" x14ac:dyDescent="0.25">
      <c r="B608" s="29" t="s">
        <v>662</v>
      </c>
      <c r="C608" s="30" t="s">
        <v>663</v>
      </c>
      <c r="D608" s="30">
        <v>0</v>
      </c>
      <c r="E608" s="30">
        <v>0</v>
      </c>
      <c r="F608" s="30">
        <v>0</v>
      </c>
      <c r="G608" s="30">
        <v>0</v>
      </c>
      <c r="H608" s="31">
        <v>0</v>
      </c>
    </row>
    <row r="609" spans="2:8" x14ac:dyDescent="0.25">
      <c r="B609" s="29" t="s">
        <v>664</v>
      </c>
      <c r="C609" s="30" t="s">
        <v>665</v>
      </c>
      <c r="D609" s="30">
        <v>2</v>
      </c>
      <c r="E609" s="30">
        <v>0</v>
      </c>
      <c r="F609" s="30">
        <v>3</v>
      </c>
      <c r="G609" s="30">
        <v>1E+100</v>
      </c>
      <c r="H609" s="31">
        <v>1</v>
      </c>
    </row>
    <row r="610" spans="2:8" x14ac:dyDescent="0.25">
      <c r="B610" s="29" t="s">
        <v>666</v>
      </c>
      <c r="C610" s="30" t="s">
        <v>667</v>
      </c>
      <c r="D610" s="30">
        <v>0</v>
      </c>
      <c r="E610" s="30">
        <v>0</v>
      </c>
      <c r="F610" s="30">
        <v>3</v>
      </c>
      <c r="G610" s="30">
        <v>1E+100</v>
      </c>
      <c r="H610" s="31">
        <v>3</v>
      </c>
    </row>
    <row r="611" spans="2:8" x14ac:dyDescent="0.25">
      <c r="B611" s="29" t="s">
        <v>668</v>
      </c>
      <c r="C611" s="30" t="s">
        <v>670</v>
      </c>
      <c r="D611" s="30">
        <v>0</v>
      </c>
      <c r="E611" s="30">
        <v>0</v>
      </c>
      <c r="F611" s="30">
        <v>3</v>
      </c>
      <c r="G611" s="30">
        <v>1E+100</v>
      </c>
      <c r="H611" s="31">
        <v>3</v>
      </c>
    </row>
    <row r="612" spans="2:8" x14ac:dyDescent="0.25">
      <c r="B612" s="29" t="s">
        <v>669</v>
      </c>
      <c r="C612" s="30" t="s">
        <v>672</v>
      </c>
      <c r="D612" s="30">
        <v>0.8</v>
      </c>
      <c r="E612" s="30">
        <v>0</v>
      </c>
      <c r="F612" s="30">
        <v>3</v>
      </c>
      <c r="G612" s="30">
        <v>1E+100</v>
      </c>
      <c r="H612" s="31">
        <v>2.2000000000000002</v>
      </c>
    </row>
    <row r="613" spans="2:8" x14ac:dyDescent="0.25">
      <c r="B613" s="29" t="s">
        <v>671</v>
      </c>
      <c r="C613" s="30" t="s">
        <v>674</v>
      </c>
      <c r="D613" s="30">
        <v>0</v>
      </c>
      <c r="E613" s="30">
        <v>0</v>
      </c>
      <c r="F613" s="30">
        <v>3</v>
      </c>
      <c r="G613" s="30">
        <v>1E+100</v>
      </c>
      <c r="H613" s="31">
        <v>3</v>
      </c>
    </row>
    <row r="614" spans="2:8" x14ac:dyDescent="0.25">
      <c r="B614" s="29" t="s">
        <v>673</v>
      </c>
      <c r="C614" s="30" t="s">
        <v>676</v>
      </c>
      <c r="D614" s="30">
        <v>2</v>
      </c>
      <c r="E614" s="30">
        <v>0</v>
      </c>
      <c r="F614" s="30">
        <v>3</v>
      </c>
      <c r="G614" s="30">
        <v>1E+100</v>
      </c>
      <c r="H614" s="31">
        <v>1</v>
      </c>
    </row>
    <row r="615" spans="2:8" x14ac:dyDescent="0.25">
      <c r="B615" s="29" t="s">
        <v>675</v>
      </c>
      <c r="C615" s="30" t="s">
        <v>1723</v>
      </c>
      <c r="D615" s="30">
        <v>3</v>
      </c>
      <c r="E615" s="30">
        <v>0</v>
      </c>
      <c r="F615" s="30">
        <v>3</v>
      </c>
      <c r="G615" s="30">
        <v>0</v>
      </c>
      <c r="H615" s="31">
        <v>0</v>
      </c>
    </row>
    <row r="616" spans="2:8" x14ac:dyDescent="0.25">
      <c r="B616" s="29" t="s">
        <v>677</v>
      </c>
      <c r="C616" s="30" t="s">
        <v>678</v>
      </c>
      <c r="D616" s="30">
        <v>0</v>
      </c>
      <c r="E616" s="30">
        <v>0</v>
      </c>
      <c r="F616" s="30">
        <v>3</v>
      </c>
      <c r="G616" s="30">
        <v>1E+100</v>
      </c>
      <c r="H616" s="31">
        <v>3</v>
      </c>
    </row>
    <row r="617" spans="2:8" x14ac:dyDescent="0.25">
      <c r="B617" s="29" t="s">
        <v>679</v>
      </c>
      <c r="C617" s="30" t="s">
        <v>680</v>
      </c>
      <c r="D617" s="30">
        <v>0</v>
      </c>
      <c r="E617" s="30">
        <v>0</v>
      </c>
      <c r="F617" s="30">
        <v>3</v>
      </c>
      <c r="G617" s="30">
        <v>1E+100</v>
      </c>
      <c r="H617" s="31">
        <v>3</v>
      </c>
    </row>
    <row r="618" spans="2:8" x14ac:dyDescent="0.25">
      <c r="B618" s="29" t="s">
        <v>681</v>
      </c>
      <c r="C618" s="30" t="s">
        <v>682</v>
      </c>
      <c r="D618" s="30">
        <v>0</v>
      </c>
      <c r="E618" s="30">
        <v>0</v>
      </c>
      <c r="F618" s="30">
        <v>3</v>
      </c>
      <c r="G618" s="30">
        <v>1E+100</v>
      </c>
      <c r="H618" s="31">
        <v>3</v>
      </c>
    </row>
    <row r="619" spans="2:8" x14ac:dyDescent="0.25">
      <c r="B619" s="29" t="s">
        <v>683</v>
      </c>
      <c r="C619" s="30" t="s">
        <v>1724</v>
      </c>
      <c r="D619" s="30">
        <v>3</v>
      </c>
      <c r="E619" s="30">
        <v>0</v>
      </c>
      <c r="F619" s="30">
        <v>3</v>
      </c>
      <c r="G619" s="30">
        <v>0</v>
      </c>
      <c r="H619" s="31">
        <v>0</v>
      </c>
    </row>
    <row r="620" spans="2:8" x14ac:dyDescent="0.25">
      <c r="B620" s="29" t="s">
        <v>685</v>
      </c>
      <c r="C620" s="30" t="s">
        <v>1725</v>
      </c>
      <c r="D620" s="30">
        <v>3</v>
      </c>
      <c r="E620" s="30">
        <v>0</v>
      </c>
      <c r="F620" s="30">
        <v>3</v>
      </c>
      <c r="G620" s="30">
        <v>0</v>
      </c>
      <c r="H620" s="31">
        <v>0</v>
      </c>
    </row>
    <row r="621" spans="2:8" x14ac:dyDescent="0.25">
      <c r="B621" s="29" t="s">
        <v>687</v>
      </c>
      <c r="C621" s="30" t="s">
        <v>684</v>
      </c>
      <c r="D621" s="30">
        <v>1</v>
      </c>
      <c r="E621" s="30">
        <v>0</v>
      </c>
      <c r="F621" s="30">
        <v>3</v>
      </c>
      <c r="G621" s="30">
        <v>1E+100</v>
      </c>
      <c r="H621" s="31">
        <v>2</v>
      </c>
    </row>
    <row r="622" spans="2:8" x14ac:dyDescent="0.25">
      <c r="B622" s="29" t="s">
        <v>689</v>
      </c>
      <c r="C622" s="30" t="s">
        <v>686</v>
      </c>
      <c r="D622" s="30">
        <v>0</v>
      </c>
      <c r="E622" s="30">
        <v>0</v>
      </c>
      <c r="F622" s="30">
        <v>3</v>
      </c>
      <c r="G622" s="30">
        <v>1E+100</v>
      </c>
      <c r="H622" s="31">
        <v>3</v>
      </c>
    </row>
    <row r="623" spans="2:8" x14ac:dyDescent="0.25">
      <c r="B623" s="29" t="s">
        <v>691</v>
      </c>
      <c r="C623" s="30" t="s">
        <v>688</v>
      </c>
      <c r="D623" s="30">
        <v>1.2</v>
      </c>
      <c r="E623" s="30">
        <v>0</v>
      </c>
      <c r="F623" s="30">
        <v>3</v>
      </c>
      <c r="G623" s="30">
        <v>1E+100</v>
      </c>
      <c r="H623" s="31">
        <v>1.8</v>
      </c>
    </row>
    <row r="624" spans="2:8" x14ac:dyDescent="0.25">
      <c r="B624" s="29" t="s">
        <v>693</v>
      </c>
      <c r="C624" s="30" t="s">
        <v>690</v>
      </c>
      <c r="D624" s="30">
        <v>2</v>
      </c>
      <c r="E624" s="30">
        <v>0</v>
      </c>
      <c r="F624" s="30">
        <v>3</v>
      </c>
      <c r="G624" s="30">
        <v>1E+100</v>
      </c>
      <c r="H624" s="31">
        <v>1</v>
      </c>
    </row>
    <row r="625" spans="2:8" x14ac:dyDescent="0.25">
      <c r="B625" s="29" t="s">
        <v>695</v>
      </c>
      <c r="C625" s="30" t="s">
        <v>692</v>
      </c>
      <c r="D625" s="30">
        <v>0</v>
      </c>
      <c r="E625" s="30">
        <v>0</v>
      </c>
      <c r="F625" s="30">
        <v>3</v>
      </c>
      <c r="G625" s="30">
        <v>1E+100</v>
      </c>
      <c r="H625" s="31">
        <v>3</v>
      </c>
    </row>
    <row r="626" spans="2:8" x14ac:dyDescent="0.25">
      <c r="B626" s="29" t="s">
        <v>697</v>
      </c>
      <c r="C626" s="30" t="s">
        <v>694</v>
      </c>
      <c r="D626" s="30">
        <v>1</v>
      </c>
      <c r="E626" s="30">
        <v>0</v>
      </c>
      <c r="F626" s="30">
        <v>3</v>
      </c>
      <c r="G626" s="30">
        <v>1E+100</v>
      </c>
      <c r="H626" s="31">
        <v>2</v>
      </c>
    </row>
    <row r="627" spans="2:8" x14ac:dyDescent="0.25">
      <c r="B627" s="29" t="s">
        <v>699</v>
      </c>
      <c r="C627" s="30" t="s">
        <v>698</v>
      </c>
      <c r="D627" s="30">
        <v>1</v>
      </c>
      <c r="E627" s="30">
        <v>0</v>
      </c>
      <c r="F627" s="30">
        <v>3</v>
      </c>
      <c r="G627" s="30">
        <v>1E+100</v>
      </c>
      <c r="H627" s="31">
        <v>2</v>
      </c>
    </row>
    <row r="628" spans="2:8" x14ac:dyDescent="0.25">
      <c r="B628" s="29" t="s">
        <v>700</v>
      </c>
      <c r="C628" s="30" t="s">
        <v>696</v>
      </c>
      <c r="D628" s="30">
        <v>0</v>
      </c>
      <c r="E628" s="30">
        <v>0</v>
      </c>
      <c r="F628" s="30">
        <v>3</v>
      </c>
      <c r="G628" s="30">
        <v>1E+100</v>
      </c>
      <c r="H628" s="31">
        <v>3</v>
      </c>
    </row>
    <row r="629" spans="2:8" x14ac:dyDescent="0.25">
      <c r="B629" s="29" t="s">
        <v>701</v>
      </c>
      <c r="C629" s="30" t="s">
        <v>1726</v>
      </c>
      <c r="D629" s="30">
        <v>83</v>
      </c>
      <c r="E629" s="30">
        <v>1.1992613000000001</v>
      </c>
      <c r="F629" s="30">
        <v>83</v>
      </c>
      <c r="G629" s="30">
        <v>6</v>
      </c>
      <c r="H629" s="31">
        <v>1.5</v>
      </c>
    </row>
    <row r="630" spans="2:8" x14ac:dyDescent="0.25">
      <c r="B630" s="29" t="s">
        <v>702</v>
      </c>
      <c r="C630" s="30" t="s">
        <v>1727</v>
      </c>
      <c r="D630" s="30">
        <v>1</v>
      </c>
      <c r="E630" s="30">
        <v>34.207728000000003</v>
      </c>
      <c r="F630" s="30">
        <v>1</v>
      </c>
      <c r="G630" s="30">
        <v>0</v>
      </c>
      <c r="H630" s="31">
        <v>1</v>
      </c>
    </row>
    <row r="631" spans="2:8" x14ac:dyDescent="0.25">
      <c r="B631" s="29" t="s">
        <v>703</v>
      </c>
      <c r="C631" s="30" t="s">
        <v>704</v>
      </c>
      <c r="D631" s="30">
        <v>1</v>
      </c>
      <c r="E631" s="30">
        <v>-1.4523429999999999</v>
      </c>
      <c r="F631" s="30">
        <v>1</v>
      </c>
      <c r="G631" s="30">
        <v>0</v>
      </c>
      <c r="H631" s="31">
        <v>0</v>
      </c>
    </row>
    <row r="632" spans="2:8" x14ac:dyDescent="0.25">
      <c r="B632" s="29" t="s">
        <v>705</v>
      </c>
      <c r="C632" s="30" t="s">
        <v>706</v>
      </c>
      <c r="D632" s="30">
        <v>3</v>
      </c>
      <c r="E632" s="30">
        <v>0</v>
      </c>
      <c r="F632" s="30">
        <v>3</v>
      </c>
      <c r="G632" s="30">
        <v>0</v>
      </c>
      <c r="H632" s="31">
        <v>0</v>
      </c>
    </row>
    <row r="633" spans="2:8" x14ac:dyDescent="0.25">
      <c r="B633" s="29" t="s">
        <v>707</v>
      </c>
      <c r="C633" s="30" t="s">
        <v>708</v>
      </c>
      <c r="D633" s="30">
        <v>4</v>
      </c>
      <c r="E633" s="30">
        <v>-0.61840130999999998</v>
      </c>
      <c r="F633" s="30">
        <v>4</v>
      </c>
      <c r="G633" s="30">
        <v>0</v>
      </c>
      <c r="H633" s="31">
        <v>0</v>
      </c>
    </row>
    <row r="634" spans="2:8" x14ac:dyDescent="0.25">
      <c r="B634" s="29" t="s">
        <v>709</v>
      </c>
      <c r="C634" s="30" t="s">
        <v>710</v>
      </c>
      <c r="D634" s="30">
        <v>3</v>
      </c>
      <c r="E634" s="30">
        <v>-3.2171555000000001</v>
      </c>
      <c r="F634" s="30">
        <v>3</v>
      </c>
      <c r="G634" s="30">
        <v>0</v>
      </c>
      <c r="H634" s="31">
        <v>0</v>
      </c>
    </row>
    <row r="635" spans="2:8" x14ac:dyDescent="0.25">
      <c r="B635" s="29" t="s">
        <v>711</v>
      </c>
      <c r="C635" s="30" t="s">
        <v>712</v>
      </c>
      <c r="D635" s="30">
        <v>1</v>
      </c>
      <c r="E635" s="30">
        <v>0</v>
      </c>
      <c r="F635" s="30">
        <v>1</v>
      </c>
      <c r="G635" s="30">
        <v>0</v>
      </c>
      <c r="H635" s="31">
        <v>1E+100</v>
      </c>
    </row>
    <row r="636" spans="2:8" x14ac:dyDescent="0.25">
      <c r="B636" s="29" t="s">
        <v>713</v>
      </c>
      <c r="C636" s="30" t="s">
        <v>714</v>
      </c>
      <c r="D636" s="30">
        <v>3</v>
      </c>
      <c r="E636" s="30">
        <v>0</v>
      </c>
      <c r="F636" s="30">
        <v>3</v>
      </c>
      <c r="G636" s="30">
        <v>0</v>
      </c>
      <c r="H636" s="31">
        <v>1E+100</v>
      </c>
    </row>
    <row r="637" spans="2:8" x14ac:dyDescent="0.25">
      <c r="B637" s="29" t="s">
        <v>715</v>
      </c>
      <c r="C637" s="30" t="s">
        <v>716</v>
      </c>
      <c r="D637" s="30">
        <v>4</v>
      </c>
      <c r="E637" s="30">
        <v>0</v>
      </c>
      <c r="F637" s="30">
        <v>2</v>
      </c>
      <c r="G637" s="30">
        <v>2</v>
      </c>
      <c r="H637" s="31">
        <v>1E+100</v>
      </c>
    </row>
    <row r="638" spans="2:8" x14ac:dyDescent="0.25">
      <c r="B638" s="29" t="s">
        <v>717</v>
      </c>
      <c r="C638" s="30" t="s">
        <v>718</v>
      </c>
      <c r="D638" s="30">
        <v>3</v>
      </c>
      <c r="E638" s="30">
        <v>0</v>
      </c>
      <c r="F638" s="30">
        <v>1</v>
      </c>
      <c r="G638" s="30">
        <v>2</v>
      </c>
      <c r="H638" s="31">
        <v>1E+100</v>
      </c>
    </row>
    <row r="639" spans="2:8" x14ac:dyDescent="0.25">
      <c r="B639" s="29" t="s">
        <v>719</v>
      </c>
      <c r="C639" s="30" t="s">
        <v>712</v>
      </c>
      <c r="D639" s="30">
        <v>1</v>
      </c>
      <c r="E639" s="30">
        <v>0</v>
      </c>
      <c r="F639" s="30">
        <v>1</v>
      </c>
      <c r="G639" s="30">
        <v>1E+100</v>
      </c>
      <c r="H639" s="31">
        <v>0</v>
      </c>
    </row>
    <row r="640" spans="2:8" x14ac:dyDescent="0.25">
      <c r="B640" s="29" t="s">
        <v>720</v>
      </c>
      <c r="C640" s="30" t="s">
        <v>714</v>
      </c>
      <c r="D640" s="30">
        <v>3</v>
      </c>
      <c r="E640" s="30">
        <v>0</v>
      </c>
      <c r="F640" s="30">
        <v>5</v>
      </c>
      <c r="G640" s="30">
        <v>1E+100</v>
      </c>
      <c r="H640" s="31">
        <v>2</v>
      </c>
    </row>
    <row r="641" spans="2:8" x14ac:dyDescent="0.25">
      <c r="B641" s="29" t="s">
        <v>721</v>
      </c>
      <c r="C641" s="30" t="s">
        <v>716</v>
      </c>
      <c r="D641" s="30">
        <v>4</v>
      </c>
      <c r="E641" s="30">
        <v>0</v>
      </c>
      <c r="F641" s="30">
        <v>5</v>
      </c>
      <c r="G641" s="30">
        <v>1E+100</v>
      </c>
      <c r="H641" s="31">
        <v>1</v>
      </c>
    </row>
    <row r="642" spans="2:8" x14ac:dyDescent="0.25">
      <c r="B642" s="29" t="s">
        <v>722</v>
      </c>
      <c r="C642" s="30" t="s">
        <v>718</v>
      </c>
      <c r="D642" s="30">
        <v>3</v>
      </c>
      <c r="E642" s="30">
        <v>0</v>
      </c>
      <c r="F642" s="30">
        <v>3</v>
      </c>
      <c r="G642" s="30">
        <v>1E+100</v>
      </c>
      <c r="H642" s="31">
        <v>0</v>
      </c>
    </row>
    <row r="643" spans="2:8" x14ac:dyDescent="0.25">
      <c r="B643" s="29" t="s">
        <v>723</v>
      </c>
      <c r="C643" s="30" t="s">
        <v>1128</v>
      </c>
      <c r="D643" s="30">
        <v>0</v>
      </c>
      <c r="E643" s="30">
        <v>0</v>
      </c>
      <c r="F643" s="30">
        <v>0</v>
      </c>
      <c r="G643" s="30">
        <v>1E+100</v>
      </c>
      <c r="H643" s="31">
        <v>0</v>
      </c>
    </row>
    <row r="644" spans="2:8" x14ac:dyDescent="0.25">
      <c r="B644" s="29" t="s">
        <v>724</v>
      </c>
      <c r="C644" s="30" t="s">
        <v>1131</v>
      </c>
      <c r="D644" s="30">
        <v>-1</v>
      </c>
      <c r="E644" s="30">
        <v>0</v>
      </c>
      <c r="F644" s="30">
        <v>0</v>
      </c>
      <c r="G644" s="30">
        <v>1E+100</v>
      </c>
      <c r="H644" s="31">
        <v>1</v>
      </c>
    </row>
    <row r="645" spans="2:8" x14ac:dyDescent="0.25">
      <c r="B645" s="29" t="s">
        <v>725</v>
      </c>
      <c r="C645" s="30" t="s">
        <v>1134</v>
      </c>
      <c r="D645" s="30">
        <v>-1</v>
      </c>
      <c r="E645" s="30">
        <v>0</v>
      </c>
      <c r="F645" s="30">
        <v>0</v>
      </c>
      <c r="G645" s="30">
        <v>1E+100</v>
      </c>
      <c r="H645" s="31">
        <v>1</v>
      </c>
    </row>
    <row r="646" spans="2:8" x14ac:dyDescent="0.25">
      <c r="B646" s="29" t="s">
        <v>726</v>
      </c>
      <c r="C646" s="30" t="s">
        <v>1137</v>
      </c>
      <c r="D646" s="30">
        <v>-1</v>
      </c>
      <c r="E646" s="30">
        <v>0</v>
      </c>
      <c r="F646" s="30">
        <v>0</v>
      </c>
      <c r="G646" s="30">
        <v>1E+100</v>
      </c>
      <c r="H646" s="31">
        <v>1</v>
      </c>
    </row>
    <row r="647" spans="2:8" x14ac:dyDescent="0.25">
      <c r="B647" s="29" t="s">
        <v>727</v>
      </c>
      <c r="C647" s="30" t="s">
        <v>1140</v>
      </c>
      <c r="D647" s="30">
        <v>-1</v>
      </c>
      <c r="E647" s="30">
        <v>0</v>
      </c>
      <c r="F647" s="30">
        <v>0</v>
      </c>
      <c r="G647" s="30">
        <v>1E+100</v>
      </c>
      <c r="H647" s="31">
        <v>1</v>
      </c>
    </row>
    <row r="648" spans="2:8" x14ac:dyDescent="0.25">
      <c r="B648" s="29" t="s">
        <v>728</v>
      </c>
      <c r="C648" s="30" t="s">
        <v>1143</v>
      </c>
      <c r="D648" s="30">
        <v>-1</v>
      </c>
      <c r="E648" s="30">
        <v>0</v>
      </c>
      <c r="F648" s="30">
        <v>0</v>
      </c>
      <c r="G648" s="30">
        <v>1E+100</v>
      </c>
      <c r="H648" s="31">
        <v>1</v>
      </c>
    </row>
    <row r="649" spans="2:8" x14ac:dyDescent="0.25">
      <c r="B649" s="29" t="s">
        <v>729</v>
      </c>
      <c r="C649" s="30" t="s">
        <v>1146</v>
      </c>
      <c r="D649" s="30">
        <v>-1</v>
      </c>
      <c r="E649" s="30">
        <v>0</v>
      </c>
      <c r="F649" s="30">
        <v>0</v>
      </c>
      <c r="G649" s="30">
        <v>1E+100</v>
      </c>
      <c r="H649" s="31">
        <v>1</v>
      </c>
    </row>
    <row r="650" spans="2:8" x14ac:dyDescent="0.25">
      <c r="B650" s="29" t="s">
        <v>730</v>
      </c>
      <c r="C650" s="30" t="s">
        <v>1149</v>
      </c>
      <c r="D650" s="30">
        <v>-1</v>
      </c>
      <c r="E650" s="30">
        <v>0</v>
      </c>
      <c r="F650" s="30">
        <v>0</v>
      </c>
      <c r="G650" s="30">
        <v>1E+100</v>
      </c>
      <c r="H650" s="31">
        <v>1</v>
      </c>
    </row>
    <row r="651" spans="2:8" x14ac:dyDescent="0.25">
      <c r="B651" s="29" t="s">
        <v>731</v>
      </c>
      <c r="C651" s="30" t="s">
        <v>1152</v>
      </c>
      <c r="D651" s="30">
        <v>-1</v>
      </c>
      <c r="E651" s="30">
        <v>0</v>
      </c>
      <c r="F651" s="30">
        <v>0</v>
      </c>
      <c r="G651" s="30">
        <v>1E+100</v>
      </c>
      <c r="H651" s="31">
        <v>1</v>
      </c>
    </row>
    <row r="652" spans="2:8" x14ac:dyDescent="0.25">
      <c r="B652" s="29" t="s">
        <v>732</v>
      </c>
      <c r="C652" s="30" t="s">
        <v>1155</v>
      </c>
      <c r="D652" s="30">
        <v>-1</v>
      </c>
      <c r="E652" s="30">
        <v>0</v>
      </c>
      <c r="F652" s="30">
        <v>0</v>
      </c>
      <c r="G652" s="30">
        <v>1E+100</v>
      </c>
      <c r="H652" s="31">
        <v>1</v>
      </c>
    </row>
    <row r="653" spans="2:8" x14ac:dyDescent="0.25">
      <c r="B653" s="29" t="s">
        <v>733</v>
      </c>
      <c r="C653" s="30" t="s">
        <v>1158</v>
      </c>
      <c r="D653" s="30">
        <v>-0.8</v>
      </c>
      <c r="E653" s="30">
        <v>0</v>
      </c>
      <c r="F653" s="30">
        <v>0</v>
      </c>
      <c r="G653" s="30">
        <v>1E+100</v>
      </c>
      <c r="H653" s="31">
        <v>0.8</v>
      </c>
    </row>
    <row r="654" spans="2:8" x14ac:dyDescent="0.25">
      <c r="B654" s="29" t="s">
        <v>734</v>
      </c>
      <c r="C654" s="30" t="s">
        <v>1161</v>
      </c>
      <c r="D654" s="30">
        <v>-0.2</v>
      </c>
      <c r="E654" s="30">
        <v>0</v>
      </c>
      <c r="F654" s="30">
        <v>0</v>
      </c>
      <c r="G654" s="30">
        <v>1E+100</v>
      </c>
      <c r="H654" s="31">
        <v>0.2</v>
      </c>
    </row>
    <row r="655" spans="2:8" x14ac:dyDescent="0.25">
      <c r="B655" s="29" t="s">
        <v>735</v>
      </c>
      <c r="C655" s="30" t="s">
        <v>1164</v>
      </c>
      <c r="D655" s="30">
        <v>0</v>
      </c>
      <c r="E655" s="30">
        <v>0</v>
      </c>
      <c r="F655" s="30">
        <v>0</v>
      </c>
      <c r="G655" s="30">
        <v>1E+100</v>
      </c>
      <c r="H655" s="31">
        <v>0</v>
      </c>
    </row>
    <row r="656" spans="2:8" x14ac:dyDescent="0.25">
      <c r="B656" s="29" t="s">
        <v>736</v>
      </c>
      <c r="C656" s="30" t="s">
        <v>1167</v>
      </c>
      <c r="D656" s="30">
        <v>0</v>
      </c>
      <c r="E656" s="30">
        <v>0</v>
      </c>
      <c r="F656" s="30">
        <v>0</v>
      </c>
      <c r="G656" s="30">
        <v>1E+100</v>
      </c>
      <c r="H656" s="31">
        <v>0</v>
      </c>
    </row>
    <row r="657" spans="2:8" x14ac:dyDescent="0.25">
      <c r="B657" s="29" t="s">
        <v>737</v>
      </c>
      <c r="C657" s="30" t="s">
        <v>1170</v>
      </c>
      <c r="D657" s="30">
        <v>0</v>
      </c>
      <c r="E657" s="30">
        <v>0</v>
      </c>
      <c r="F657" s="30">
        <v>0</v>
      </c>
      <c r="G657" s="30">
        <v>1E+100</v>
      </c>
      <c r="H657" s="31">
        <v>0</v>
      </c>
    </row>
    <row r="658" spans="2:8" x14ac:dyDescent="0.25">
      <c r="B658" s="29" t="s">
        <v>738</v>
      </c>
      <c r="C658" s="30" t="s">
        <v>1173</v>
      </c>
      <c r="D658" s="30">
        <v>0</v>
      </c>
      <c r="E658" s="30">
        <v>0</v>
      </c>
      <c r="F658" s="30">
        <v>0</v>
      </c>
      <c r="G658" s="30">
        <v>1E+100</v>
      </c>
      <c r="H658" s="31">
        <v>0</v>
      </c>
    </row>
    <row r="659" spans="2:8" x14ac:dyDescent="0.25">
      <c r="B659" s="29" t="s">
        <v>739</v>
      </c>
      <c r="C659" s="30" t="s">
        <v>1176</v>
      </c>
      <c r="D659" s="30">
        <v>0</v>
      </c>
      <c r="E659" s="30">
        <v>0</v>
      </c>
      <c r="F659" s="30">
        <v>0</v>
      </c>
      <c r="G659" s="30">
        <v>1E+100</v>
      </c>
      <c r="H659" s="31">
        <v>0</v>
      </c>
    </row>
    <row r="660" spans="2:8" x14ac:dyDescent="0.25">
      <c r="B660" s="29" t="s">
        <v>740</v>
      </c>
      <c r="C660" s="30" t="s">
        <v>1179</v>
      </c>
      <c r="D660" s="30">
        <v>0</v>
      </c>
      <c r="E660" s="30">
        <v>0</v>
      </c>
      <c r="F660" s="30">
        <v>0</v>
      </c>
      <c r="G660" s="30">
        <v>1E+100</v>
      </c>
      <c r="H660" s="31">
        <v>0</v>
      </c>
    </row>
    <row r="661" spans="2:8" x14ac:dyDescent="0.25">
      <c r="B661" s="29" t="s">
        <v>741</v>
      </c>
      <c r="C661" s="30" t="s">
        <v>1182</v>
      </c>
      <c r="D661" s="30">
        <v>0</v>
      </c>
      <c r="E661" s="30">
        <v>0</v>
      </c>
      <c r="F661" s="30">
        <v>0</v>
      </c>
      <c r="G661" s="30">
        <v>1E+100</v>
      </c>
      <c r="H661" s="31">
        <v>0</v>
      </c>
    </row>
    <row r="662" spans="2:8" x14ac:dyDescent="0.25">
      <c r="B662" s="29" t="s">
        <v>742</v>
      </c>
      <c r="C662" s="30" t="s">
        <v>1185</v>
      </c>
      <c r="D662" s="30">
        <v>0</v>
      </c>
      <c r="E662" s="30">
        <v>0</v>
      </c>
      <c r="F662" s="30">
        <v>0</v>
      </c>
      <c r="G662" s="30">
        <v>1E+100</v>
      </c>
      <c r="H662" s="31">
        <v>0</v>
      </c>
    </row>
    <row r="663" spans="2:8" x14ac:dyDescent="0.25">
      <c r="B663" s="29" t="s">
        <v>743</v>
      </c>
      <c r="C663" s="30" t="s">
        <v>1188</v>
      </c>
      <c r="D663" s="30">
        <v>0</v>
      </c>
      <c r="E663" s="30">
        <v>0</v>
      </c>
      <c r="F663" s="30">
        <v>0</v>
      </c>
      <c r="G663" s="30">
        <v>1E+100</v>
      </c>
      <c r="H663" s="31">
        <v>0</v>
      </c>
    </row>
    <row r="664" spans="2:8" x14ac:dyDescent="0.25">
      <c r="B664" s="29" t="s">
        <v>744</v>
      </c>
      <c r="C664" s="30" t="s">
        <v>1191</v>
      </c>
      <c r="D664" s="30">
        <v>0</v>
      </c>
      <c r="E664" s="30">
        <v>0</v>
      </c>
      <c r="F664" s="30">
        <v>0</v>
      </c>
      <c r="G664" s="30">
        <v>1E+100</v>
      </c>
      <c r="H664" s="31">
        <v>0</v>
      </c>
    </row>
    <row r="665" spans="2:8" x14ac:dyDescent="0.25">
      <c r="B665" s="29" t="s">
        <v>745</v>
      </c>
      <c r="C665" s="30" t="s">
        <v>1194</v>
      </c>
      <c r="D665" s="30">
        <v>0</v>
      </c>
      <c r="E665" s="30">
        <v>0</v>
      </c>
      <c r="F665" s="30">
        <v>0</v>
      </c>
      <c r="G665" s="30">
        <v>1E+100</v>
      </c>
      <c r="H665" s="31">
        <v>0</v>
      </c>
    </row>
    <row r="666" spans="2:8" x14ac:dyDescent="0.25">
      <c r="B666" s="29" t="s">
        <v>746</v>
      </c>
      <c r="C666" s="30" t="s">
        <v>1197</v>
      </c>
      <c r="D666" s="30">
        <v>0</v>
      </c>
      <c r="E666" s="30">
        <v>0</v>
      </c>
      <c r="F666" s="30">
        <v>0</v>
      </c>
      <c r="G666" s="30">
        <v>1E+100</v>
      </c>
      <c r="H666" s="31">
        <v>0</v>
      </c>
    </row>
    <row r="667" spans="2:8" x14ac:dyDescent="0.25">
      <c r="B667" s="29" t="s">
        <v>747</v>
      </c>
      <c r="C667" s="30" t="s">
        <v>1200</v>
      </c>
      <c r="D667" s="30">
        <v>0</v>
      </c>
      <c r="E667" s="30">
        <v>0</v>
      </c>
      <c r="F667" s="30">
        <v>0</v>
      </c>
      <c r="G667" s="30">
        <v>1E+100</v>
      </c>
      <c r="H667" s="31">
        <v>0</v>
      </c>
    </row>
    <row r="668" spans="2:8" x14ac:dyDescent="0.25">
      <c r="B668" s="29" t="s">
        <v>748</v>
      </c>
      <c r="C668" s="30" t="s">
        <v>1203</v>
      </c>
      <c r="D668" s="30">
        <v>0</v>
      </c>
      <c r="E668" s="30">
        <v>0</v>
      </c>
      <c r="F668" s="30">
        <v>0</v>
      </c>
      <c r="G668" s="30">
        <v>1E+100</v>
      </c>
      <c r="H668" s="31">
        <v>0</v>
      </c>
    </row>
    <row r="669" spans="2:8" x14ac:dyDescent="0.25">
      <c r="B669" s="29" t="s">
        <v>749</v>
      </c>
      <c r="C669" s="30" t="s">
        <v>1206</v>
      </c>
      <c r="D669" s="30">
        <v>0</v>
      </c>
      <c r="E669" s="30">
        <v>0</v>
      </c>
      <c r="F669" s="30">
        <v>0</v>
      </c>
      <c r="G669" s="30">
        <v>1E+100</v>
      </c>
      <c r="H669" s="31">
        <v>0</v>
      </c>
    </row>
    <row r="670" spans="2:8" x14ac:dyDescent="0.25">
      <c r="B670" s="29" t="s">
        <v>750</v>
      </c>
      <c r="C670" s="30" t="s">
        <v>1209</v>
      </c>
      <c r="D670" s="30">
        <v>0</v>
      </c>
      <c r="E670" s="30">
        <v>0</v>
      </c>
      <c r="F670" s="30">
        <v>0</v>
      </c>
      <c r="G670" s="30">
        <v>1E+100</v>
      </c>
      <c r="H670" s="31">
        <v>0</v>
      </c>
    </row>
    <row r="671" spans="2:8" x14ac:dyDescent="0.25">
      <c r="B671" s="29" t="s">
        <v>751</v>
      </c>
      <c r="C671" s="30" t="s">
        <v>1212</v>
      </c>
      <c r="D671" s="30">
        <v>0</v>
      </c>
      <c r="E671" s="30">
        <v>0</v>
      </c>
      <c r="F671" s="30">
        <v>0</v>
      </c>
      <c r="G671" s="30">
        <v>1E+100</v>
      </c>
      <c r="H671" s="31">
        <v>0</v>
      </c>
    </row>
    <row r="672" spans="2:8" x14ac:dyDescent="0.25">
      <c r="B672" s="29" t="s">
        <v>752</v>
      </c>
      <c r="C672" s="30" t="s">
        <v>1215</v>
      </c>
      <c r="D672" s="30">
        <v>0</v>
      </c>
      <c r="E672" s="30">
        <v>0</v>
      </c>
      <c r="F672" s="30">
        <v>0</v>
      </c>
      <c r="G672" s="30">
        <v>1E+100</v>
      </c>
      <c r="H672" s="31">
        <v>0</v>
      </c>
    </row>
    <row r="673" spans="2:8" x14ac:dyDescent="0.25">
      <c r="B673" s="29" t="s">
        <v>753</v>
      </c>
      <c r="C673" s="30" t="s">
        <v>1218</v>
      </c>
      <c r="D673" s="30">
        <v>0</v>
      </c>
      <c r="E673" s="30">
        <v>0</v>
      </c>
      <c r="F673" s="30">
        <v>0</v>
      </c>
      <c r="G673" s="30">
        <v>1E+100</v>
      </c>
      <c r="H673" s="31">
        <v>0</v>
      </c>
    </row>
    <row r="674" spans="2:8" x14ac:dyDescent="0.25">
      <c r="B674" s="29" t="s">
        <v>754</v>
      </c>
      <c r="C674" s="30" t="s">
        <v>1221</v>
      </c>
      <c r="D674" s="30">
        <v>0</v>
      </c>
      <c r="E674" s="30">
        <v>0</v>
      </c>
      <c r="F674" s="30">
        <v>0</v>
      </c>
      <c r="G674" s="30">
        <v>1E+100</v>
      </c>
      <c r="H674" s="31">
        <v>0</v>
      </c>
    </row>
    <row r="675" spans="2:8" x14ac:dyDescent="0.25">
      <c r="B675" s="29" t="s">
        <v>755</v>
      </c>
      <c r="C675" s="30" t="s">
        <v>1224</v>
      </c>
      <c r="D675" s="30">
        <v>0</v>
      </c>
      <c r="E675" s="30">
        <v>0</v>
      </c>
      <c r="F675" s="30">
        <v>0</v>
      </c>
      <c r="G675" s="30">
        <v>1E+100</v>
      </c>
      <c r="H675" s="31">
        <v>0</v>
      </c>
    </row>
    <row r="676" spans="2:8" x14ac:dyDescent="0.25">
      <c r="B676" s="29" t="s">
        <v>756</v>
      </c>
      <c r="C676" s="30" t="s">
        <v>1227</v>
      </c>
      <c r="D676" s="30">
        <v>0</v>
      </c>
      <c r="E676" s="30">
        <v>0</v>
      </c>
      <c r="F676" s="30">
        <v>0</v>
      </c>
      <c r="G676" s="30">
        <v>1E+100</v>
      </c>
      <c r="H676" s="31">
        <v>0</v>
      </c>
    </row>
    <row r="677" spans="2:8" x14ac:dyDescent="0.25">
      <c r="B677" s="29" t="s">
        <v>757</v>
      </c>
      <c r="C677" s="30" t="s">
        <v>1230</v>
      </c>
      <c r="D677" s="30">
        <v>0</v>
      </c>
      <c r="E677" s="30">
        <v>0</v>
      </c>
      <c r="F677" s="30">
        <v>0</v>
      </c>
      <c r="G677" s="30">
        <v>1E+100</v>
      </c>
      <c r="H677" s="31">
        <v>0</v>
      </c>
    </row>
    <row r="678" spans="2:8" x14ac:dyDescent="0.25">
      <c r="B678" s="29" t="s">
        <v>758</v>
      </c>
      <c r="C678" s="30" t="s">
        <v>1233</v>
      </c>
      <c r="D678" s="30">
        <v>0</v>
      </c>
      <c r="E678" s="30">
        <v>0</v>
      </c>
      <c r="F678" s="30">
        <v>0</v>
      </c>
      <c r="G678" s="30">
        <v>1E+100</v>
      </c>
      <c r="H678" s="31">
        <v>0</v>
      </c>
    </row>
    <row r="679" spans="2:8" x14ac:dyDescent="0.25">
      <c r="B679" s="29" t="s">
        <v>759</v>
      </c>
      <c r="C679" s="30" t="s">
        <v>1236</v>
      </c>
      <c r="D679" s="30">
        <v>0</v>
      </c>
      <c r="E679" s="30">
        <v>0</v>
      </c>
      <c r="F679" s="30">
        <v>0</v>
      </c>
      <c r="G679" s="30">
        <v>1E+100</v>
      </c>
      <c r="H679" s="31">
        <v>0</v>
      </c>
    </row>
    <row r="680" spans="2:8" x14ac:dyDescent="0.25">
      <c r="B680" s="29" t="s">
        <v>760</v>
      </c>
      <c r="C680" s="30" t="s">
        <v>1239</v>
      </c>
      <c r="D680" s="30">
        <v>0</v>
      </c>
      <c r="E680" s="30">
        <v>0</v>
      </c>
      <c r="F680" s="30">
        <v>0</v>
      </c>
      <c r="G680" s="30">
        <v>1E+100</v>
      </c>
      <c r="H680" s="31">
        <v>0</v>
      </c>
    </row>
    <row r="681" spans="2:8" x14ac:dyDescent="0.25">
      <c r="B681" s="29" t="s">
        <v>761</v>
      </c>
      <c r="C681" s="30" t="s">
        <v>1242</v>
      </c>
      <c r="D681" s="30">
        <v>0</v>
      </c>
      <c r="E681" s="30">
        <v>0</v>
      </c>
      <c r="F681" s="30">
        <v>0</v>
      </c>
      <c r="G681" s="30">
        <v>1E+100</v>
      </c>
      <c r="H681" s="31">
        <v>0</v>
      </c>
    </row>
    <row r="682" spans="2:8" x14ac:dyDescent="0.25">
      <c r="B682" s="29" t="s">
        <v>762</v>
      </c>
      <c r="C682" s="30" t="s">
        <v>1245</v>
      </c>
      <c r="D682" s="30">
        <v>0</v>
      </c>
      <c r="E682" s="30">
        <v>0</v>
      </c>
      <c r="F682" s="30">
        <v>0</v>
      </c>
      <c r="G682" s="30">
        <v>1E+100</v>
      </c>
      <c r="H682" s="31">
        <v>0</v>
      </c>
    </row>
    <row r="683" spans="2:8" x14ac:dyDescent="0.25">
      <c r="B683" s="29" t="s">
        <v>763</v>
      </c>
      <c r="C683" s="30" t="s">
        <v>1248</v>
      </c>
      <c r="D683" s="30">
        <v>0</v>
      </c>
      <c r="E683" s="30">
        <v>0</v>
      </c>
      <c r="F683" s="30">
        <v>0</v>
      </c>
      <c r="G683" s="30">
        <v>1E+100</v>
      </c>
      <c r="H683" s="31">
        <v>0</v>
      </c>
    </row>
    <row r="684" spans="2:8" x14ac:dyDescent="0.25">
      <c r="B684" s="29" t="s">
        <v>764</v>
      </c>
      <c r="C684" s="30" t="s">
        <v>1251</v>
      </c>
      <c r="D684" s="30">
        <v>0</v>
      </c>
      <c r="E684" s="30">
        <v>0</v>
      </c>
      <c r="F684" s="30">
        <v>0</v>
      </c>
      <c r="G684" s="30">
        <v>1E+100</v>
      </c>
      <c r="H684" s="31">
        <v>0</v>
      </c>
    </row>
    <row r="685" spans="2:8" x14ac:dyDescent="0.25">
      <c r="B685" s="29" t="s">
        <v>765</v>
      </c>
      <c r="C685" s="30" t="s">
        <v>1254</v>
      </c>
      <c r="D685" s="30">
        <v>0</v>
      </c>
      <c r="E685" s="30">
        <v>0</v>
      </c>
      <c r="F685" s="30">
        <v>0</v>
      </c>
      <c r="G685" s="30">
        <v>1E+100</v>
      </c>
      <c r="H685" s="31">
        <v>0</v>
      </c>
    </row>
    <row r="686" spans="2:8" x14ac:dyDescent="0.25">
      <c r="B686" s="29" t="s">
        <v>766</v>
      </c>
      <c r="C686" s="30" t="s">
        <v>1257</v>
      </c>
      <c r="D686" s="30">
        <v>0</v>
      </c>
      <c r="E686" s="30">
        <v>0</v>
      </c>
      <c r="F686" s="30">
        <v>0</v>
      </c>
      <c r="G686" s="30">
        <v>1E+100</v>
      </c>
      <c r="H686" s="31">
        <v>0</v>
      </c>
    </row>
    <row r="687" spans="2:8" x14ac:dyDescent="0.25">
      <c r="B687" s="29" t="s">
        <v>767</v>
      </c>
      <c r="C687" s="30" t="s">
        <v>1260</v>
      </c>
      <c r="D687" s="30">
        <v>0</v>
      </c>
      <c r="E687" s="30">
        <v>0</v>
      </c>
      <c r="F687" s="30">
        <v>0</v>
      </c>
      <c r="G687" s="30">
        <v>1E+100</v>
      </c>
      <c r="H687" s="31">
        <v>0</v>
      </c>
    </row>
    <row r="688" spans="2:8" x14ac:dyDescent="0.25">
      <c r="B688" s="29" t="s">
        <v>768</v>
      </c>
      <c r="C688" s="30" t="s">
        <v>1263</v>
      </c>
      <c r="D688" s="30">
        <v>0</v>
      </c>
      <c r="E688" s="30">
        <v>0</v>
      </c>
      <c r="F688" s="30">
        <v>0</v>
      </c>
      <c r="G688" s="30">
        <v>1E+100</v>
      </c>
      <c r="H688" s="31">
        <v>0</v>
      </c>
    </row>
    <row r="689" spans="2:8" x14ac:dyDescent="0.25">
      <c r="B689" s="29" t="s">
        <v>769</v>
      </c>
      <c r="C689" s="30" t="s">
        <v>1266</v>
      </c>
      <c r="D689" s="30">
        <v>0</v>
      </c>
      <c r="E689" s="30">
        <v>0</v>
      </c>
      <c r="F689" s="30">
        <v>0</v>
      </c>
      <c r="G689" s="30">
        <v>1E+100</v>
      </c>
      <c r="H689" s="31">
        <v>0</v>
      </c>
    </row>
    <row r="690" spans="2:8" x14ac:dyDescent="0.25">
      <c r="B690" s="29" t="s">
        <v>770</v>
      </c>
      <c r="C690" s="30" t="s">
        <v>1269</v>
      </c>
      <c r="D690" s="30">
        <v>0</v>
      </c>
      <c r="E690" s="30">
        <v>0</v>
      </c>
      <c r="F690" s="30">
        <v>0</v>
      </c>
      <c r="G690" s="30">
        <v>1E+100</v>
      </c>
      <c r="H690" s="31">
        <v>0</v>
      </c>
    </row>
    <row r="691" spans="2:8" x14ac:dyDescent="0.25">
      <c r="B691" s="29" t="s">
        <v>771</v>
      </c>
      <c r="C691" s="30" t="s">
        <v>1272</v>
      </c>
      <c r="D691" s="30">
        <v>0</v>
      </c>
      <c r="E691" s="30">
        <v>0</v>
      </c>
      <c r="F691" s="30">
        <v>0</v>
      </c>
      <c r="G691" s="30">
        <v>1E+100</v>
      </c>
      <c r="H691" s="31">
        <v>0</v>
      </c>
    </row>
    <row r="692" spans="2:8" x14ac:dyDescent="0.25">
      <c r="B692" s="29" t="s">
        <v>772</v>
      </c>
      <c r="C692" s="30" t="s">
        <v>1275</v>
      </c>
      <c r="D692" s="30">
        <v>0</v>
      </c>
      <c r="E692" s="30">
        <v>0</v>
      </c>
      <c r="F692" s="30">
        <v>0</v>
      </c>
      <c r="G692" s="30">
        <v>1E+100</v>
      </c>
      <c r="H692" s="31">
        <v>0</v>
      </c>
    </row>
    <row r="693" spans="2:8" x14ac:dyDescent="0.25">
      <c r="B693" s="29" t="s">
        <v>773</v>
      </c>
      <c r="C693" s="30" t="s">
        <v>1278</v>
      </c>
      <c r="D693" s="30">
        <v>0</v>
      </c>
      <c r="E693" s="30">
        <v>0</v>
      </c>
      <c r="F693" s="30">
        <v>0</v>
      </c>
      <c r="G693" s="30">
        <v>1E+100</v>
      </c>
      <c r="H693" s="31">
        <v>0</v>
      </c>
    </row>
    <row r="694" spans="2:8" x14ac:dyDescent="0.25">
      <c r="B694" s="29" t="s">
        <v>774</v>
      </c>
      <c r="C694" s="30" t="s">
        <v>1281</v>
      </c>
      <c r="D694" s="30">
        <v>0</v>
      </c>
      <c r="E694" s="30">
        <v>0</v>
      </c>
      <c r="F694" s="30">
        <v>0</v>
      </c>
      <c r="G694" s="30">
        <v>1E+100</v>
      </c>
      <c r="H694" s="31">
        <v>0</v>
      </c>
    </row>
    <row r="695" spans="2:8" x14ac:dyDescent="0.25">
      <c r="B695" s="29" t="s">
        <v>775</v>
      </c>
      <c r="C695" s="30" t="s">
        <v>1284</v>
      </c>
      <c r="D695" s="30">
        <v>0</v>
      </c>
      <c r="E695" s="30">
        <v>0</v>
      </c>
      <c r="F695" s="30">
        <v>0</v>
      </c>
      <c r="G695" s="30">
        <v>1E+100</v>
      </c>
      <c r="H695" s="31">
        <v>0</v>
      </c>
    </row>
    <row r="696" spans="2:8" x14ac:dyDescent="0.25">
      <c r="B696" s="29" t="s">
        <v>776</v>
      </c>
      <c r="C696" s="30" t="s">
        <v>1287</v>
      </c>
      <c r="D696" s="30">
        <v>0</v>
      </c>
      <c r="E696" s="30">
        <v>0</v>
      </c>
      <c r="F696" s="30">
        <v>0</v>
      </c>
      <c r="G696" s="30">
        <v>1E+100</v>
      </c>
      <c r="H696" s="31">
        <v>0</v>
      </c>
    </row>
    <row r="697" spans="2:8" x14ac:dyDescent="0.25">
      <c r="B697" s="29" t="s">
        <v>777</v>
      </c>
      <c r="C697" s="30" t="s">
        <v>1290</v>
      </c>
      <c r="D697" s="30">
        <v>0</v>
      </c>
      <c r="E697" s="30">
        <v>0</v>
      </c>
      <c r="F697" s="30">
        <v>0</v>
      </c>
      <c r="G697" s="30">
        <v>1E+100</v>
      </c>
      <c r="H697" s="31">
        <v>0</v>
      </c>
    </row>
    <row r="698" spans="2:8" x14ac:dyDescent="0.25">
      <c r="B698" s="29" t="s">
        <v>778</v>
      </c>
      <c r="C698" s="30" t="s">
        <v>1293</v>
      </c>
      <c r="D698" s="30">
        <v>0</v>
      </c>
      <c r="E698" s="30">
        <v>0</v>
      </c>
      <c r="F698" s="30">
        <v>0</v>
      </c>
      <c r="G698" s="30">
        <v>1E+100</v>
      </c>
      <c r="H698" s="31">
        <v>0</v>
      </c>
    </row>
    <row r="699" spans="2:8" x14ac:dyDescent="0.25">
      <c r="B699" s="29" t="s">
        <v>779</v>
      </c>
      <c r="C699" s="30" t="s">
        <v>1296</v>
      </c>
      <c r="D699" s="30">
        <v>0</v>
      </c>
      <c r="E699" s="30">
        <v>0</v>
      </c>
      <c r="F699" s="30">
        <v>0</v>
      </c>
      <c r="G699" s="30">
        <v>1E+100</v>
      </c>
      <c r="H699" s="31">
        <v>0</v>
      </c>
    </row>
    <row r="700" spans="2:8" x14ac:dyDescent="0.25">
      <c r="B700" s="29" t="s">
        <v>780</v>
      </c>
      <c r="C700" s="30" t="s">
        <v>1299</v>
      </c>
      <c r="D700" s="30">
        <v>0</v>
      </c>
      <c r="E700" s="30">
        <v>0</v>
      </c>
      <c r="F700" s="30">
        <v>0</v>
      </c>
      <c r="G700" s="30">
        <v>1E+100</v>
      </c>
      <c r="H700" s="31">
        <v>0</v>
      </c>
    </row>
    <row r="701" spans="2:8" x14ac:dyDescent="0.25">
      <c r="B701" s="29" t="s">
        <v>781</v>
      </c>
      <c r="C701" s="30" t="s">
        <v>1302</v>
      </c>
      <c r="D701" s="30">
        <v>0</v>
      </c>
      <c r="E701" s="30">
        <v>0</v>
      </c>
      <c r="F701" s="30">
        <v>0</v>
      </c>
      <c r="G701" s="30">
        <v>1E+100</v>
      </c>
      <c r="H701" s="31">
        <v>0</v>
      </c>
    </row>
    <row r="702" spans="2:8" x14ac:dyDescent="0.25">
      <c r="B702" s="29" t="s">
        <v>782</v>
      </c>
      <c r="C702" s="30" t="s">
        <v>1305</v>
      </c>
      <c r="D702" s="30">
        <v>0</v>
      </c>
      <c r="E702" s="30">
        <v>0</v>
      </c>
      <c r="F702" s="30">
        <v>0</v>
      </c>
      <c r="G702" s="30">
        <v>1E+100</v>
      </c>
      <c r="H702" s="31">
        <v>0</v>
      </c>
    </row>
    <row r="703" spans="2:8" x14ac:dyDescent="0.25">
      <c r="B703" s="29" t="s">
        <v>783</v>
      </c>
      <c r="C703" s="30" t="s">
        <v>1308</v>
      </c>
      <c r="D703" s="30">
        <v>0</v>
      </c>
      <c r="E703" s="30">
        <v>0</v>
      </c>
      <c r="F703" s="30">
        <v>0</v>
      </c>
      <c r="G703" s="30">
        <v>1E+100</v>
      </c>
      <c r="H703" s="31">
        <v>0</v>
      </c>
    </row>
    <row r="704" spans="2:8" x14ac:dyDescent="0.25">
      <c r="B704" s="29" t="s">
        <v>784</v>
      </c>
      <c r="C704" s="30" t="s">
        <v>1311</v>
      </c>
      <c r="D704" s="30">
        <v>0</v>
      </c>
      <c r="E704" s="30">
        <v>0</v>
      </c>
      <c r="F704" s="30">
        <v>0</v>
      </c>
      <c r="G704" s="30">
        <v>1E+100</v>
      </c>
      <c r="H704" s="31">
        <v>0</v>
      </c>
    </row>
    <row r="705" spans="2:8" x14ac:dyDescent="0.25">
      <c r="B705" s="29" t="s">
        <v>785</v>
      </c>
      <c r="C705" s="30" t="s">
        <v>1314</v>
      </c>
      <c r="D705" s="30">
        <v>0</v>
      </c>
      <c r="E705" s="30">
        <v>0</v>
      </c>
      <c r="F705" s="30">
        <v>0</v>
      </c>
      <c r="G705" s="30">
        <v>1E+100</v>
      </c>
      <c r="H705" s="31">
        <v>0</v>
      </c>
    </row>
    <row r="706" spans="2:8" x14ac:dyDescent="0.25">
      <c r="B706" s="29" t="s">
        <v>786</v>
      </c>
      <c r="C706" s="30" t="s">
        <v>1317</v>
      </c>
      <c r="D706" s="30">
        <v>0</v>
      </c>
      <c r="E706" s="30">
        <v>0</v>
      </c>
      <c r="F706" s="30">
        <v>0</v>
      </c>
      <c r="G706" s="30">
        <v>1E+100</v>
      </c>
      <c r="H706" s="31">
        <v>0</v>
      </c>
    </row>
    <row r="707" spans="2:8" x14ac:dyDescent="0.25">
      <c r="B707" s="29" t="s">
        <v>787</v>
      </c>
      <c r="C707" s="30" t="s">
        <v>1320</v>
      </c>
      <c r="D707" s="30">
        <v>0</v>
      </c>
      <c r="E707" s="30">
        <v>0</v>
      </c>
      <c r="F707" s="30">
        <v>0</v>
      </c>
      <c r="G707" s="30">
        <v>1E+100</v>
      </c>
      <c r="H707" s="31">
        <v>0</v>
      </c>
    </row>
    <row r="708" spans="2:8" x14ac:dyDescent="0.25">
      <c r="B708" s="29" t="s">
        <v>788</v>
      </c>
      <c r="C708" s="30" t="s">
        <v>1323</v>
      </c>
      <c r="D708" s="30">
        <v>0</v>
      </c>
      <c r="E708" s="30">
        <v>0</v>
      </c>
      <c r="F708" s="30">
        <v>0</v>
      </c>
      <c r="G708" s="30">
        <v>1E+100</v>
      </c>
      <c r="H708" s="31">
        <v>0</v>
      </c>
    </row>
    <row r="709" spans="2:8" x14ac:dyDescent="0.25">
      <c r="B709" s="29" t="s">
        <v>789</v>
      </c>
      <c r="C709" s="30" t="s">
        <v>1326</v>
      </c>
      <c r="D709" s="30">
        <v>0</v>
      </c>
      <c r="E709" s="30">
        <v>0</v>
      </c>
      <c r="F709" s="30">
        <v>0</v>
      </c>
      <c r="G709" s="30">
        <v>1E+100</v>
      </c>
      <c r="H709" s="31">
        <v>0</v>
      </c>
    </row>
    <row r="710" spans="2:8" x14ac:dyDescent="0.25">
      <c r="B710" s="29" t="s">
        <v>790</v>
      </c>
      <c r="C710" s="30" t="s">
        <v>1329</v>
      </c>
      <c r="D710" s="30">
        <v>0</v>
      </c>
      <c r="E710" s="30">
        <v>0</v>
      </c>
      <c r="F710" s="30">
        <v>0</v>
      </c>
      <c r="G710" s="30">
        <v>1E+100</v>
      </c>
      <c r="H710" s="31">
        <v>0</v>
      </c>
    </row>
    <row r="711" spans="2:8" x14ac:dyDescent="0.25">
      <c r="B711" s="29" t="s">
        <v>791</v>
      </c>
      <c r="C711" s="30" t="s">
        <v>1332</v>
      </c>
      <c r="D711" s="30">
        <v>0</v>
      </c>
      <c r="E711" s="30">
        <v>0</v>
      </c>
      <c r="F711" s="30">
        <v>0</v>
      </c>
      <c r="G711" s="30">
        <v>1E+100</v>
      </c>
      <c r="H711" s="31">
        <v>0</v>
      </c>
    </row>
    <row r="712" spans="2:8" x14ac:dyDescent="0.25">
      <c r="B712" s="29" t="s">
        <v>792</v>
      </c>
      <c r="C712" s="30" t="s">
        <v>1335</v>
      </c>
      <c r="D712" s="30">
        <v>0</v>
      </c>
      <c r="E712" s="30">
        <v>0</v>
      </c>
      <c r="F712" s="30">
        <v>0</v>
      </c>
      <c r="G712" s="30">
        <v>1E+100</v>
      </c>
      <c r="H712" s="31">
        <v>0</v>
      </c>
    </row>
    <row r="713" spans="2:8" x14ac:dyDescent="0.25">
      <c r="B713" s="29" t="s">
        <v>793</v>
      </c>
      <c r="C713" s="30" t="s">
        <v>1338</v>
      </c>
      <c r="D713" s="30">
        <v>0</v>
      </c>
      <c r="E713" s="30">
        <v>0</v>
      </c>
      <c r="F713" s="30">
        <v>0</v>
      </c>
      <c r="G713" s="30">
        <v>1E+100</v>
      </c>
      <c r="H713" s="31">
        <v>0</v>
      </c>
    </row>
    <row r="714" spans="2:8" x14ac:dyDescent="0.25">
      <c r="B714" s="29" t="s">
        <v>794</v>
      </c>
      <c r="C714" s="30" t="s">
        <v>1341</v>
      </c>
      <c r="D714" s="30">
        <v>0</v>
      </c>
      <c r="E714" s="30">
        <v>0</v>
      </c>
      <c r="F714" s="30">
        <v>0</v>
      </c>
      <c r="G714" s="30">
        <v>1E+100</v>
      </c>
      <c r="H714" s="31">
        <v>0</v>
      </c>
    </row>
    <row r="715" spans="2:8" x14ac:dyDescent="0.25">
      <c r="B715" s="29" t="s">
        <v>795</v>
      </c>
      <c r="C715" s="30" t="s">
        <v>1344</v>
      </c>
      <c r="D715" s="30">
        <v>0</v>
      </c>
      <c r="E715" s="30">
        <v>0</v>
      </c>
      <c r="F715" s="30">
        <v>0</v>
      </c>
      <c r="G715" s="30">
        <v>1E+100</v>
      </c>
      <c r="H715" s="31">
        <v>0</v>
      </c>
    </row>
    <row r="716" spans="2:8" x14ac:dyDescent="0.25">
      <c r="B716" s="29" t="s">
        <v>796</v>
      </c>
      <c r="C716" s="30" t="s">
        <v>1347</v>
      </c>
      <c r="D716" s="30">
        <v>0</v>
      </c>
      <c r="E716" s="30">
        <v>0</v>
      </c>
      <c r="F716" s="30">
        <v>0</v>
      </c>
      <c r="G716" s="30">
        <v>1E+100</v>
      </c>
      <c r="H716" s="31">
        <v>0</v>
      </c>
    </row>
    <row r="717" spans="2:8" x14ac:dyDescent="0.25">
      <c r="B717" s="29" t="s">
        <v>797</v>
      </c>
      <c r="C717" s="30" t="s">
        <v>1350</v>
      </c>
      <c r="D717" s="30">
        <v>0</v>
      </c>
      <c r="E717" s="30">
        <v>0</v>
      </c>
      <c r="F717" s="30">
        <v>0</v>
      </c>
      <c r="G717" s="30">
        <v>1E+100</v>
      </c>
      <c r="H717" s="31">
        <v>0</v>
      </c>
    </row>
    <row r="718" spans="2:8" x14ac:dyDescent="0.25">
      <c r="B718" s="29" t="s">
        <v>798</v>
      </c>
      <c r="C718" s="30" t="s">
        <v>1353</v>
      </c>
      <c r="D718" s="30">
        <v>0</v>
      </c>
      <c r="E718" s="30">
        <v>0</v>
      </c>
      <c r="F718" s="30">
        <v>0</v>
      </c>
      <c r="G718" s="30">
        <v>1E+100</v>
      </c>
      <c r="H718" s="31">
        <v>0</v>
      </c>
    </row>
    <row r="719" spans="2:8" x14ac:dyDescent="0.25">
      <c r="B719" s="29" t="s">
        <v>799</v>
      </c>
      <c r="C719" s="30" t="s">
        <v>1356</v>
      </c>
      <c r="D719" s="30">
        <v>0</v>
      </c>
      <c r="E719" s="30">
        <v>0</v>
      </c>
      <c r="F719" s="30">
        <v>0</v>
      </c>
      <c r="G719" s="30">
        <v>1E+100</v>
      </c>
      <c r="H719" s="31">
        <v>0</v>
      </c>
    </row>
    <row r="720" spans="2:8" x14ac:dyDescent="0.25">
      <c r="B720" s="29" t="s">
        <v>800</v>
      </c>
      <c r="C720" s="30" t="s">
        <v>1359</v>
      </c>
      <c r="D720" s="30">
        <v>0</v>
      </c>
      <c r="E720" s="30">
        <v>0</v>
      </c>
      <c r="F720" s="30">
        <v>0</v>
      </c>
      <c r="G720" s="30">
        <v>1E+100</v>
      </c>
      <c r="H720" s="31">
        <v>0</v>
      </c>
    </row>
    <row r="721" spans="2:8" x14ac:dyDescent="0.25">
      <c r="B721" s="29" t="s">
        <v>801</v>
      </c>
      <c r="C721" s="30" t="s">
        <v>1362</v>
      </c>
      <c r="D721" s="30">
        <v>0</v>
      </c>
      <c r="E721" s="30">
        <v>0</v>
      </c>
      <c r="F721" s="30">
        <v>0</v>
      </c>
      <c r="G721" s="30">
        <v>1E+100</v>
      </c>
      <c r="H721" s="31">
        <v>0</v>
      </c>
    </row>
    <row r="722" spans="2:8" x14ac:dyDescent="0.25">
      <c r="B722" s="29" t="s">
        <v>802</v>
      </c>
      <c r="C722" s="30" t="s">
        <v>1365</v>
      </c>
      <c r="D722" s="30">
        <v>0</v>
      </c>
      <c r="E722" s="30">
        <v>0</v>
      </c>
      <c r="F722" s="30">
        <v>0</v>
      </c>
      <c r="G722" s="30">
        <v>1E+100</v>
      </c>
      <c r="H722" s="31">
        <v>0</v>
      </c>
    </row>
    <row r="723" spans="2:8" x14ac:dyDescent="0.25">
      <c r="B723" s="29" t="s">
        <v>803</v>
      </c>
      <c r="C723" s="30" t="s">
        <v>1368</v>
      </c>
      <c r="D723" s="30">
        <v>0</v>
      </c>
      <c r="E723" s="30">
        <v>0</v>
      </c>
      <c r="F723" s="30">
        <v>0</v>
      </c>
      <c r="G723" s="30">
        <v>1E+100</v>
      </c>
      <c r="H723" s="31">
        <v>0</v>
      </c>
    </row>
    <row r="724" spans="2:8" x14ac:dyDescent="0.25">
      <c r="B724" s="29" t="s">
        <v>804</v>
      </c>
      <c r="C724" s="30" t="s">
        <v>1371</v>
      </c>
      <c r="D724" s="30">
        <v>0</v>
      </c>
      <c r="E724" s="30">
        <v>0</v>
      </c>
      <c r="F724" s="30">
        <v>0</v>
      </c>
      <c r="G724" s="30">
        <v>1E+100</v>
      </c>
      <c r="H724" s="31">
        <v>0</v>
      </c>
    </row>
    <row r="725" spans="2:8" x14ac:dyDescent="0.25">
      <c r="B725" s="29" t="s">
        <v>805</v>
      </c>
      <c r="C725" s="30" t="s">
        <v>1374</v>
      </c>
      <c r="D725" s="30">
        <v>0</v>
      </c>
      <c r="E725" s="30">
        <v>0</v>
      </c>
      <c r="F725" s="30">
        <v>0</v>
      </c>
      <c r="G725" s="30">
        <v>1E+100</v>
      </c>
      <c r="H725" s="31">
        <v>0</v>
      </c>
    </row>
    <row r="726" spans="2:8" x14ac:dyDescent="0.25">
      <c r="B726" s="29" t="s">
        <v>806</v>
      </c>
      <c r="C726" s="30" t="s">
        <v>1377</v>
      </c>
      <c r="D726" s="30">
        <v>0</v>
      </c>
      <c r="E726" s="30">
        <v>0</v>
      </c>
      <c r="F726" s="30">
        <v>0</v>
      </c>
      <c r="G726" s="30">
        <v>1E+100</v>
      </c>
      <c r="H726" s="31">
        <v>0</v>
      </c>
    </row>
    <row r="727" spans="2:8" x14ac:dyDescent="0.25">
      <c r="B727" s="29" t="s">
        <v>807</v>
      </c>
      <c r="C727" s="30" t="s">
        <v>1380</v>
      </c>
      <c r="D727" s="30">
        <v>0</v>
      </c>
      <c r="E727" s="30">
        <v>0</v>
      </c>
      <c r="F727" s="30">
        <v>0</v>
      </c>
      <c r="G727" s="30">
        <v>1E+100</v>
      </c>
      <c r="H727" s="31">
        <v>0</v>
      </c>
    </row>
    <row r="728" spans="2:8" x14ac:dyDescent="0.25">
      <c r="B728" s="29" t="s">
        <v>808</v>
      </c>
      <c r="C728" s="30" t="s">
        <v>1383</v>
      </c>
      <c r="D728" s="30">
        <v>0</v>
      </c>
      <c r="E728" s="30">
        <v>0</v>
      </c>
      <c r="F728" s="30">
        <v>0</v>
      </c>
      <c r="G728" s="30">
        <v>1E+100</v>
      </c>
      <c r="H728" s="31">
        <v>0</v>
      </c>
    </row>
    <row r="729" spans="2:8" x14ac:dyDescent="0.25">
      <c r="B729" s="29" t="s">
        <v>809</v>
      </c>
      <c r="C729" s="30" t="s">
        <v>1386</v>
      </c>
      <c r="D729" s="30">
        <v>0</v>
      </c>
      <c r="E729" s="30">
        <v>0</v>
      </c>
      <c r="F729" s="30">
        <v>0</v>
      </c>
      <c r="G729" s="30">
        <v>1E+100</v>
      </c>
      <c r="H729" s="31">
        <v>0</v>
      </c>
    </row>
    <row r="730" spans="2:8" x14ac:dyDescent="0.25">
      <c r="B730" s="29" t="s">
        <v>810</v>
      </c>
      <c r="C730" s="30" t="s">
        <v>1389</v>
      </c>
      <c r="D730" s="30">
        <v>0</v>
      </c>
      <c r="E730" s="30">
        <v>0</v>
      </c>
      <c r="F730" s="30">
        <v>0</v>
      </c>
      <c r="G730" s="30">
        <v>1E+100</v>
      </c>
      <c r="H730" s="31">
        <v>0</v>
      </c>
    </row>
    <row r="731" spans="2:8" x14ac:dyDescent="0.25">
      <c r="B731" s="29" t="s">
        <v>811</v>
      </c>
      <c r="C731" s="30" t="s">
        <v>1392</v>
      </c>
      <c r="D731" s="30">
        <v>0</v>
      </c>
      <c r="E731" s="30">
        <v>0</v>
      </c>
      <c r="F731" s="30">
        <v>0</v>
      </c>
      <c r="G731" s="30">
        <v>1E+100</v>
      </c>
      <c r="H731" s="31">
        <v>0</v>
      </c>
    </row>
    <row r="732" spans="2:8" x14ac:dyDescent="0.25">
      <c r="B732" s="29" t="s">
        <v>812</v>
      </c>
      <c r="C732" s="30" t="s">
        <v>1395</v>
      </c>
      <c r="D732" s="30">
        <v>0</v>
      </c>
      <c r="E732" s="30">
        <v>0</v>
      </c>
      <c r="F732" s="30">
        <v>0</v>
      </c>
      <c r="G732" s="30">
        <v>1E+100</v>
      </c>
      <c r="H732" s="31">
        <v>0</v>
      </c>
    </row>
    <row r="733" spans="2:8" x14ac:dyDescent="0.25">
      <c r="B733" s="29" t="s">
        <v>813</v>
      </c>
      <c r="C733" s="30" t="s">
        <v>1398</v>
      </c>
      <c r="D733" s="30">
        <v>0</v>
      </c>
      <c r="E733" s="30">
        <v>0</v>
      </c>
      <c r="F733" s="30">
        <v>0</v>
      </c>
      <c r="G733" s="30">
        <v>1E+100</v>
      </c>
      <c r="H733" s="31">
        <v>0</v>
      </c>
    </row>
    <row r="734" spans="2:8" x14ac:dyDescent="0.25">
      <c r="B734" s="29" t="s">
        <v>814</v>
      </c>
      <c r="C734" s="30" t="s">
        <v>1401</v>
      </c>
      <c r="D734" s="30">
        <v>0</v>
      </c>
      <c r="E734" s="30">
        <v>0</v>
      </c>
      <c r="F734" s="30">
        <v>0</v>
      </c>
      <c r="G734" s="30">
        <v>1E+100</v>
      </c>
      <c r="H734" s="31">
        <v>0</v>
      </c>
    </row>
    <row r="735" spans="2:8" x14ac:dyDescent="0.25">
      <c r="B735" s="29" t="s">
        <v>815</v>
      </c>
      <c r="C735" s="30" t="s">
        <v>1404</v>
      </c>
      <c r="D735" s="30">
        <v>0</v>
      </c>
      <c r="E735" s="30">
        <v>0</v>
      </c>
      <c r="F735" s="30">
        <v>0</v>
      </c>
      <c r="G735" s="30">
        <v>1E+100</v>
      </c>
      <c r="H735" s="31">
        <v>0</v>
      </c>
    </row>
    <row r="736" spans="2:8" x14ac:dyDescent="0.25">
      <c r="B736" s="29" t="s">
        <v>816</v>
      </c>
      <c r="C736" s="30" t="s">
        <v>1407</v>
      </c>
      <c r="D736" s="30">
        <v>0</v>
      </c>
      <c r="E736" s="30">
        <v>0</v>
      </c>
      <c r="F736" s="30">
        <v>0</v>
      </c>
      <c r="G736" s="30">
        <v>1E+100</v>
      </c>
      <c r="H736" s="31">
        <v>0</v>
      </c>
    </row>
    <row r="737" spans="2:8" x14ac:dyDescent="0.25">
      <c r="B737" s="29" t="s">
        <v>817</v>
      </c>
      <c r="C737" s="30" t="s">
        <v>1410</v>
      </c>
      <c r="D737" s="30">
        <v>0</v>
      </c>
      <c r="E737" s="30">
        <v>0</v>
      </c>
      <c r="F737" s="30">
        <v>0</v>
      </c>
      <c r="G737" s="30">
        <v>1E+100</v>
      </c>
      <c r="H737" s="31">
        <v>0</v>
      </c>
    </row>
    <row r="738" spans="2:8" x14ac:dyDescent="0.25">
      <c r="B738" s="29" t="s">
        <v>818</v>
      </c>
      <c r="C738" s="30" t="s">
        <v>1413</v>
      </c>
      <c r="D738" s="30">
        <v>0</v>
      </c>
      <c r="E738" s="30">
        <v>0</v>
      </c>
      <c r="F738" s="30">
        <v>0</v>
      </c>
      <c r="G738" s="30">
        <v>1E+100</v>
      </c>
      <c r="H738" s="31">
        <v>0</v>
      </c>
    </row>
    <row r="739" spans="2:8" x14ac:dyDescent="0.25">
      <c r="B739" s="29" t="s">
        <v>819</v>
      </c>
      <c r="C739" s="30" t="s">
        <v>1416</v>
      </c>
      <c r="D739" s="30">
        <v>0</v>
      </c>
      <c r="E739" s="30">
        <v>0</v>
      </c>
      <c r="F739" s="30">
        <v>0</v>
      </c>
      <c r="G739" s="30">
        <v>1E+100</v>
      </c>
      <c r="H739" s="31">
        <v>0</v>
      </c>
    </row>
    <row r="740" spans="2:8" x14ac:dyDescent="0.25">
      <c r="B740" s="29" t="s">
        <v>820</v>
      </c>
      <c r="C740" s="30" t="s">
        <v>1419</v>
      </c>
      <c r="D740" s="30">
        <v>0</v>
      </c>
      <c r="E740" s="30">
        <v>0</v>
      </c>
      <c r="F740" s="30">
        <v>0</v>
      </c>
      <c r="G740" s="30">
        <v>1E+100</v>
      </c>
      <c r="H740" s="31">
        <v>0</v>
      </c>
    </row>
    <row r="741" spans="2:8" x14ac:dyDescent="0.25">
      <c r="B741" s="29" t="s">
        <v>821</v>
      </c>
      <c r="C741" s="30" t="s">
        <v>1422</v>
      </c>
      <c r="D741" s="30">
        <v>0</v>
      </c>
      <c r="E741" s="30">
        <v>0</v>
      </c>
      <c r="F741" s="30">
        <v>0</v>
      </c>
      <c r="G741" s="30">
        <v>1E+100</v>
      </c>
      <c r="H741" s="31">
        <v>0</v>
      </c>
    </row>
    <row r="742" spans="2:8" x14ac:dyDescent="0.25">
      <c r="B742" s="29" t="s">
        <v>822</v>
      </c>
      <c r="C742" s="30" t="s">
        <v>1425</v>
      </c>
      <c r="D742" s="30">
        <v>0</v>
      </c>
      <c r="E742" s="30">
        <v>0</v>
      </c>
      <c r="F742" s="30">
        <v>0</v>
      </c>
      <c r="G742" s="30">
        <v>1E+100</v>
      </c>
      <c r="H742" s="31">
        <v>0</v>
      </c>
    </row>
    <row r="743" spans="2:8" x14ac:dyDescent="0.25">
      <c r="B743" s="29" t="s">
        <v>823</v>
      </c>
      <c r="C743" s="30" t="s">
        <v>1428</v>
      </c>
      <c r="D743" s="30">
        <v>0</v>
      </c>
      <c r="E743" s="30">
        <v>0</v>
      </c>
      <c r="F743" s="30">
        <v>0</v>
      </c>
      <c r="G743" s="30">
        <v>1E+100</v>
      </c>
      <c r="H743" s="31">
        <v>0</v>
      </c>
    </row>
    <row r="744" spans="2:8" x14ac:dyDescent="0.25">
      <c r="B744" s="29" t="s">
        <v>824</v>
      </c>
      <c r="C744" s="30" t="s">
        <v>1431</v>
      </c>
      <c r="D744" s="30">
        <v>0</v>
      </c>
      <c r="E744" s="30">
        <v>0</v>
      </c>
      <c r="F744" s="30">
        <v>0</v>
      </c>
      <c r="G744" s="30">
        <v>1E+100</v>
      </c>
      <c r="H744" s="31">
        <v>0</v>
      </c>
    </row>
    <row r="745" spans="2:8" x14ac:dyDescent="0.25">
      <c r="B745" s="29" t="s">
        <v>825</v>
      </c>
      <c r="C745" s="30" t="s">
        <v>1434</v>
      </c>
      <c r="D745" s="30">
        <v>0</v>
      </c>
      <c r="E745" s="30">
        <v>0</v>
      </c>
      <c r="F745" s="30">
        <v>0</v>
      </c>
      <c r="G745" s="30">
        <v>1E+100</v>
      </c>
      <c r="H745" s="31">
        <v>0</v>
      </c>
    </row>
    <row r="746" spans="2:8" x14ac:dyDescent="0.25">
      <c r="B746" s="29" t="s">
        <v>826</v>
      </c>
      <c r="C746" s="30" t="s">
        <v>1437</v>
      </c>
      <c r="D746" s="30">
        <v>0</v>
      </c>
      <c r="E746" s="30">
        <v>0</v>
      </c>
      <c r="F746" s="30">
        <v>0</v>
      </c>
      <c r="G746" s="30">
        <v>1E+100</v>
      </c>
      <c r="H746" s="31">
        <v>0</v>
      </c>
    </row>
    <row r="747" spans="2:8" x14ac:dyDescent="0.25">
      <c r="B747" s="29" t="s">
        <v>827</v>
      </c>
      <c r="C747" s="30" t="s">
        <v>1440</v>
      </c>
      <c r="D747" s="30">
        <v>0</v>
      </c>
      <c r="E747" s="30">
        <v>0</v>
      </c>
      <c r="F747" s="30">
        <v>0</v>
      </c>
      <c r="G747" s="30">
        <v>1E+100</v>
      </c>
      <c r="H747" s="31">
        <v>0</v>
      </c>
    </row>
    <row r="748" spans="2:8" x14ac:dyDescent="0.25">
      <c r="B748" s="29" t="s">
        <v>828</v>
      </c>
      <c r="C748" s="30" t="s">
        <v>1443</v>
      </c>
      <c r="D748" s="30">
        <v>0</v>
      </c>
      <c r="E748" s="30">
        <v>0</v>
      </c>
      <c r="F748" s="30">
        <v>0</v>
      </c>
      <c r="G748" s="30">
        <v>1E+100</v>
      </c>
      <c r="H748" s="31">
        <v>0</v>
      </c>
    </row>
    <row r="749" spans="2:8" x14ac:dyDescent="0.25">
      <c r="B749" s="29" t="s">
        <v>829</v>
      </c>
      <c r="C749" s="30" t="s">
        <v>1446</v>
      </c>
      <c r="D749" s="30">
        <v>0</v>
      </c>
      <c r="E749" s="30">
        <v>0</v>
      </c>
      <c r="F749" s="30">
        <v>0</v>
      </c>
      <c r="G749" s="30">
        <v>1E+100</v>
      </c>
      <c r="H749" s="31">
        <v>0</v>
      </c>
    </row>
    <row r="750" spans="2:8" x14ac:dyDescent="0.25">
      <c r="B750" s="29" t="s">
        <v>830</v>
      </c>
      <c r="C750" s="30" t="s">
        <v>1449</v>
      </c>
      <c r="D750" s="30">
        <v>0</v>
      </c>
      <c r="E750" s="30">
        <v>0</v>
      </c>
      <c r="F750" s="30">
        <v>0</v>
      </c>
      <c r="G750" s="30">
        <v>1E+100</v>
      </c>
      <c r="H750" s="31">
        <v>0</v>
      </c>
    </row>
    <row r="751" spans="2:8" x14ac:dyDescent="0.25">
      <c r="B751" s="29" t="s">
        <v>831</v>
      </c>
      <c r="C751" s="30" t="s">
        <v>1452</v>
      </c>
      <c r="D751" s="30">
        <v>0</v>
      </c>
      <c r="E751" s="30">
        <v>0</v>
      </c>
      <c r="F751" s="30">
        <v>0</v>
      </c>
      <c r="G751" s="30">
        <v>1E+100</v>
      </c>
      <c r="H751" s="31">
        <v>0</v>
      </c>
    </row>
    <row r="752" spans="2:8" x14ac:dyDescent="0.25">
      <c r="B752" s="29" t="s">
        <v>832</v>
      </c>
      <c r="C752" s="30" t="s">
        <v>1455</v>
      </c>
      <c r="D752" s="30">
        <v>0</v>
      </c>
      <c r="E752" s="30">
        <v>0</v>
      </c>
      <c r="F752" s="30">
        <v>0</v>
      </c>
      <c r="G752" s="30">
        <v>1E+100</v>
      </c>
      <c r="H752" s="31">
        <v>0</v>
      </c>
    </row>
    <row r="753" spans="2:8" x14ac:dyDescent="0.25">
      <c r="B753" s="29" t="s">
        <v>833</v>
      </c>
      <c r="C753" s="30" t="s">
        <v>1458</v>
      </c>
      <c r="D753" s="30">
        <v>0</v>
      </c>
      <c r="E753" s="30">
        <v>0</v>
      </c>
      <c r="F753" s="30">
        <v>0</v>
      </c>
      <c r="G753" s="30">
        <v>1E+100</v>
      </c>
      <c r="H753" s="31">
        <v>0</v>
      </c>
    </row>
    <row r="754" spans="2:8" x14ac:dyDescent="0.25">
      <c r="B754" s="29" t="s">
        <v>834</v>
      </c>
      <c r="C754" s="30" t="s">
        <v>1461</v>
      </c>
      <c r="D754" s="30">
        <v>0</v>
      </c>
      <c r="E754" s="30">
        <v>0</v>
      </c>
      <c r="F754" s="30">
        <v>0</v>
      </c>
      <c r="G754" s="30">
        <v>1E+100</v>
      </c>
      <c r="H754" s="31">
        <v>0</v>
      </c>
    </row>
    <row r="755" spans="2:8" x14ac:dyDescent="0.25">
      <c r="B755" s="29" t="s">
        <v>835</v>
      </c>
      <c r="C755" s="30" t="s">
        <v>1464</v>
      </c>
      <c r="D755" s="30">
        <v>0</v>
      </c>
      <c r="E755" s="30">
        <v>0</v>
      </c>
      <c r="F755" s="30">
        <v>0</v>
      </c>
      <c r="G755" s="30">
        <v>1E+100</v>
      </c>
      <c r="H755" s="31">
        <v>0</v>
      </c>
    </row>
    <row r="756" spans="2:8" x14ac:dyDescent="0.25">
      <c r="B756" s="29" t="s">
        <v>836</v>
      </c>
      <c r="C756" s="30" t="s">
        <v>1467</v>
      </c>
      <c r="D756" s="30">
        <v>0</v>
      </c>
      <c r="E756" s="30">
        <v>0</v>
      </c>
      <c r="F756" s="30">
        <v>0</v>
      </c>
      <c r="G756" s="30">
        <v>1E+100</v>
      </c>
      <c r="H756" s="31">
        <v>0</v>
      </c>
    </row>
    <row r="757" spans="2:8" x14ac:dyDescent="0.25">
      <c r="B757" s="29" t="s">
        <v>837</v>
      </c>
      <c r="C757" s="30" t="s">
        <v>1470</v>
      </c>
      <c r="D757" s="30">
        <v>0</v>
      </c>
      <c r="E757" s="30">
        <v>0</v>
      </c>
      <c r="F757" s="30">
        <v>0</v>
      </c>
      <c r="G757" s="30">
        <v>1E+100</v>
      </c>
      <c r="H757" s="31">
        <v>0</v>
      </c>
    </row>
    <row r="758" spans="2:8" x14ac:dyDescent="0.25">
      <c r="B758" s="29" t="s">
        <v>838</v>
      </c>
      <c r="C758" s="30" t="s">
        <v>1473</v>
      </c>
      <c r="D758" s="30">
        <v>0</v>
      </c>
      <c r="E758" s="30">
        <v>0</v>
      </c>
      <c r="F758" s="30">
        <v>0</v>
      </c>
      <c r="G758" s="30">
        <v>1E+100</v>
      </c>
      <c r="H758" s="31">
        <v>0</v>
      </c>
    </row>
    <row r="759" spans="2:8" x14ac:dyDescent="0.25">
      <c r="B759" s="29" t="s">
        <v>839</v>
      </c>
      <c r="C759" s="30" t="s">
        <v>1476</v>
      </c>
      <c r="D759" s="30">
        <v>0</v>
      </c>
      <c r="E759" s="30">
        <v>0</v>
      </c>
      <c r="F759" s="30">
        <v>0</v>
      </c>
      <c r="G759" s="30">
        <v>1E+100</v>
      </c>
      <c r="H759" s="31">
        <v>0</v>
      </c>
    </row>
    <row r="760" spans="2:8" x14ac:dyDescent="0.25">
      <c r="B760" s="29" t="s">
        <v>840</v>
      </c>
      <c r="C760" s="30" t="s">
        <v>1479</v>
      </c>
      <c r="D760" s="30">
        <v>0</v>
      </c>
      <c r="E760" s="30">
        <v>0</v>
      </c>
      <c r="F760" s="30">
        <v>0</v>
      </c>
      <c r="G760" s="30">
        <v>1E+100</v>
      </c>
      <c r="H760" s="31">
        <v>0</v>
      </c>
    </row>
    <row r="761" spans="2:8" x14ac:dyDescent="0.25">
      <c r="B761" s="29" t="s">
        <v>841</v>
      </c>
      <c r="C761" s="30" t="s">
        <v>1482</v>
      </c>
      <c r="D761" s="30">
        <v>0</v>
      </c>
      <c r="E761" s="30">
        <v>0</v>
      </c>
      <c r="F761" s="30">
        <v>0</v>
      </c>
      <c r="G761" s="30">
        <v>1E+100</v>
      </c>
      <c r="H761" s="31">
        <v>0</v>
      </c>
    </row>
    <row r="762" spans="2:8" x14ac:dyDescent="0.25">
      <c r="B762" s="29" t="s">
        <v>842</v>
      </c>
      <c r="C762" s="30" t="s">
        <v>1485</v>
      </c>
      <c r="D762" s="30">
        <v>0</v>
      </c>
      <c r="E762" s="30">
        <v>0</v>
      </c>
      <c r="F762" s="30">
        <v>0</v>
      </c>
      <c r="G762" s="30">
        <v>1E+100</v>
      </c>
      <c r="H762" s="31">
        <v>0</v>
      </c>
    </row>
    <row r="763" spans="2:8" x14ac:dyDescent="0.25">
      <c r="B763" s="29" t="s">
        <v>843</v>
      </c>
      <c r="C763" s="30" t="s">
        <v>1488</v>
      </c>
      <c r="D763" s="30">
        <v>0</v>
      </c>
      <c r="E763" s="30">
        <v>0</v>
      </c>
      <c r="F763" s="30">
        <v>0</v>
      </c>
      <c r="G763" s="30">
        <v>1E+100</v>
      </c>
      <c r="H763" s="31">
        <v>0</v>
      </c>
    </row>
    <row r="764" spans="2:8" x14ac:dyDescent="0.25">
      <c r="B764" s="29" t="s">
        <v>844</v>
      </c>
      <c r="C764" s="30" t="s">
        <v>1491</v>
      </c>
      <c r="D764" s="30">
        <v>0</v>
      </c>
      <c r="E764" s="30">
        <v>0</v>
      </c>
      <c r="F764" s="30">
        <v>0</v>
      </c>
      <c r="G764" s="30">
        <v>1E+100</v>
      </c>
      <c r="H764" s="31">
        <v>0</v>
      </c>
    </row>
    <row r="765" spans="2:8" x14ac:dyDescent="0.25">
      <c r="B765" s="29" t="s">
        <v>845</v>
      </c>
      <c r="C765" s="30" t="s">
        <v>1494</v>
      </c>
      <c r="D765" s="30">
        <v>0</v>
      </c>
      <c r="E765" s="30">
        <v>0</v>
      </c>
      <c r="F765" s="30">
        <v>0</v>
      </c>
      <c r="G765" s="30">
        <v>1E+100</v>
      </c>
      <c r="H765" s="31">
        <v>0</v>
      </c>
    </row>
    <row r="766" spans="2:8" x14ac:dyDescent="0.25">
      <c r="B766" s="29" t="s">
        <v>846</v>
      </c>
      <c r="C766" s="30" t="s">
        <v>1497</v>
      </c>
      <c r="D766" s="30">
        <v>0</v>
      </c>
      <c r="E766" s="30">
        <v>0</v>
      </c>
      <c r="F766" s="30">
        <v>0</v>
      </c>
      <c r="G766" s="30">
        <v>1E+100</v>
      </c>
      <c r="H766" s="31">
        <v>0</v>
      </c>
    </row>
    <row r="767" spans="2:8" x14ac:dyDescent="0.25">
      <c r="B767" s="29" t="s">
        <v>847</v>
      </c>
      <c r="C767" s="30" t="s">
        <v>1500</v>
      </c>
      <c r="D767" s="30">
        <v>0</v>
      </c>
      <c r="E767" s="30">
        <v>0</v>
      </c>
      <c r="F767" s="30">
        <v>0</v>
      </c>
      <c r="G767" s="30">
        <v>1E+100</v>
      </c>
      <c r="H767" s="31">
        <v>0</v>
      </c>
    </row>
    <row r="768" spans="2:8" x14ac:dyDescent="0.25">
      <c r="B768" s="29" t="s">
        <v>848</v>
      </c>
      <c r="C768" s="30" t="s">
        <v>1503</v>
      </c>
      <c r="D768" s="30">
        <v>0</v>
      </c>
      <c r="E768" s="30">
        <v>0</v>
      </c>
      <c r="F768" s="30">
        <v>0</v>
      </c>
      <c r="G768" s="30">
        <v>1E+100</v>
      </c>
      <c r="H768" s="31">
        <v>0</v>
      </c>
    </row>
    <row r="769" spans="2:8" x14ac:dyDescent="0.25">
      <c r="B769" s="29" t="s">
        <v>849</v>
      </c>
      <c r="C769" s="30" t="s">
        <v>1506</v>
      </c>
      <c r="D769" s="30">
        <v>0</v>
      </c>
      <c r="E769" s="30">
        <v>0</v>
      </c>
      <c r="F769" s="30">
        <v>0</v>
      </c>
      <c r="G769" s="30">
        <v>1E+100</v>
      </c>
      <c r="H769" s="31">
        <v>0</v>
      </c>
    </row>
    <row r="770" spans="2:8" x14ac:dyDescent="0.25">
      <c r="B770" s="29" t="s">
        <v>850</v>
      </c>
      <c r="C770" s="30" t="s">
        <v>1509</v>
      </c>
      <c r="D770" s="30">
        <v>0</v>
      </c>
      <c r="E770" s="30">
        <v>0</v>
      </c>
      <c r="F770" s="30">
        <v>0</v>
      </c>
      <c r="G770" s="30">
        <v>1E+100</v>
      </c>
      <c r="H770" s="31">
        <v>0</v>
      </c>
    </row>
    <row r="771" spans="2:8" x14ac:dyDescent="0.25">
      <c r="B771" s="29" t="s">
        <v>851</v>
      </c>
      <c r="C771" s="30" t="s">
        <v>1512</v>
      </c>
      <c r="D771" s="30">
        <v>0</v>
      </c>
      <c r="E771" s="30">
        <v>0</v>
      </c>
      <c r="F771" s="30">
        <v>0</v>
      </c>
      <c r="G771" s="30">
        <v>1E+100</v>
      </c>
      <c r="H771" s="31">
        <v>0</v>
      </c>
    </row>
    <row r="772" spans="2:8" x14ac:dyDescent="0.25">
      <c r="B772" s="29" t="s">
        <v>852</v>
      </c>
      <c r="C772" s="30" t="s">
        <v>1515</v>
      </c>
      <c r="D772" s="30">
        <v>0</v>
      </c>
      <c r="E772" s="30">
        <v>0</v>
      </c>
      <c r="F772" s="30">
        <v>0</v>
      </c>
      <c r="G772" s="30">
        <v>1E+100</v>
      </c>
      <c r="H772" s="31">
        <v>0</v>
      </c>
    </row>
    <row r="773" spans="2:8" x14ac:dyDescent="0.25">
      <c r="B773" s="29" t="s">
        <v>853</v>
      </c>
      <c r="C773" s="30" t="s">
        <v>1518</v>
      </c>
      <c r="D773" s="30">
        <v>0</v>
      </c>
      <c r="E773" s="30">
        <v>0</v>
      </c>
      <c r="F773" s="30">
        <v>0</v>
      </c>
      <c r="G773" s="30">
        <v>1E+100</v>
      </c>
      <c r="H773" s="31">
        <v>0</v>
      </c>
    </row>
    <row r="774" spans="2:8" x14ac:dyDescent="0.25">
      <c r="B774" s="29" t="s">
        <v>854</v>
      </c>
      <c r="C774" s="30" t="s">
        <v>1521</v>
      </c>
      <c r="D774" s="30">
        <v>0</v>
      </c>
      <c r="E774" s="30">
        <v>0</v>
      </c>
      <c r="F774" s="30">
        <v>0</v>
      </c>
      <c r="G774" s="30">
        <v>1E+100</v>
      </c>
      <c r="H774" s="31">
        <v>0</v>
      </c>
    </row>
    <row r="775" spans="2:8" x14ac:dyDescent="0.25">
      <c r="B775" s="29" t="s">
        <v>855</v>
      </c>
      <c r="C775" s="30" t="s">
        <v>1524</v>
      </c>
      <c r="D775" s="30">
        <v>0</v>
      </c>
      <c r="E775" s="30">
        <v>0</v>
      </c>
      <c r="F775" s="30">
        <v>0</v>
      </c>
      <c r="G775" s="30">
        <v>1E+100</v>
      </c>
      <c r="H775" s="31">
        <v>0</v>
      </c>
    </row>
    <row r="776" spans="2:8" x14ac:dyDescent="0.25">
      <c r="B776" s="29" t="s">
        <v>856</v>
      </c>
      <c r="C776" s="30" t="s">
        <v>1527</v>
      </c>
      <c r="D776" s="30">
        <v>0</v>
      </c>
      <c r="E776" s="30">
        <v>0</v>
      </c>
      <c r="F776" s="30">
        <v>0</v>
      </c>
      <c r="G776" s="30">
        <v>1E+100</v>
      </c>
      <c r="H776" s="31">
        <v>0</v>
      </c>
    </row>
    <row r="777" spans="2:8" x14ac:dyDescent="0.25">
      <c r="B777" s="29" t="s">
        <v>857</v>
      </c>
      <c r="C777" s="30" t="s">
        <v>1530</v>
      </c>
      <c r="D777" s="30">
        <v>0</v>
      </c>
      <c r="E777" s="30">
        <v>0</v>
      </c>
      <c r="F777" s="30">
        <v>0</v>
      </c>
      <c r="G777" s="30">
        <v>1E+100</v>
      </c>
      <c r="H777" s="31">
        <v>0</v>
      </c>
    </row>
    <row r="778" spans="2:8" x14ac:dyDescent="0.25">
      <c r="B778" s="29" t="s">
        <v>858</v>
      </c>
      <c r="C778" s="30" t="s">
        <v>1533</v>
      </c>
      <c r="D778" s="30">
        <v>0</v>
      </c>
      <c r="E778" s="30">
        <v>0</v>
      </c>
      <c r="F778" s="30">
        <v>0</v>
      </c>
      <c r="G778" s="30">
        <v>1E+100</v>
      </c>
      <c r="H778" s="31">
        <v>0</v>
      </c>
    </row>
    <row r="779" spans="2:8" x14ac:dyDescent="0.25">
      <c r="B779" s="29" t="s">
        <v>859</v>
      </c>
      <c r="C779" s="30" t="s">
        <v>1536</v>
      </c>
      <c r="D779" s="30">
        <v>0</v>
      </c>
      <c r="E779" s="30">
        <v>0</v>
      </c>
      <c r="F779" s="30">
        <v>0</v>
      </c>
      <c r="G779" s="30">
        <v>1E+100</v>
      </c>
      <c r="H779" s="31">
        <v>0</v>
      </c>
    </row>
    <row r="780" spans="2:8" x14ac:dyDescent="0.25">
      <c r="B780" s="29" t="s">
        <v>860</v>
      </c>
      <c r="C780" s="30" t="s">
        <v>1539</v>
      </c>
      <c r="D780" s="30">
        <v>0</v>
      </c>
      <c r="E780" s="30">
        <v>0</v>
      </c>
      <c r="F780" s="30">
        <v>0</v>
      </c>
      <c r="G780" s="30">
        <v>1E+100</v>
      </c>
      <c r="H780" s="31">
        <v>0</v>
      </c>
    </row>
    <row r="781" spans="2:8" x14ac:dyDescent="0.25">
      <c r="B781" s="29" t="s">
        <v>861</v>
      </c>
      <c r="C781" s="30" t="s">
        <v>1542</v>
      </c>
      <c r="D781" s="30">
        <v>0</v>
      </c>
      <c r="E781" s="30">
        <v>0</v>
      </c>
      <c r="F781" s="30">
        <v>0</v>
      </c>
      <c r="G781" s="30">
        <v>1E+100</v>
      </c>
      <c r="H781" s="31">
        <v>0</v>
      </c>
    </row>
    <row r="782" spans="2:8" x14ac:dyDescent="0.25">
      <c r="B782" s="29" t="s">
        <v>862</v>
      </c>
      <c r="C782" s="30" t="s">
        <v>1545</v>
      </c>
      <c r="D782" s="30">
        <v>0</v>
      </c>
      <c r="E782" s="30">
        <v>0</v>
      </c>
      <c r="F782" s="30">
        <v>0</v>
      </c>
      <c r="G782" s="30">
        <v>1E+100</v>
      </c>
      <c r="H782" s="31">
        <v>0</v>
      </c>
    </row>
    <row r="783" spans="2:8" x14ac:dyDescent="0.25">
      <c r="B783" s="29" t="s">
        <v>863</v>
      </c>
      <c r="C783" s="30" t="s">
        <v>1548</v>
      </c>
      <c r="D783" s="30">
        <v>0</v>
      </c>
      <c r="E783" s="30">
        <v>0</v>
      </c>
      <c r="F783" s="30">
        <v>0</v>
      </c>
      <c r="G783" s="30">
        <v>1E+100</v>
      </c>
      <c r="H783" s="31">
        <v>0</v>
      </c>
    </row>
    <row r="784" spans="2:8" x14ac:dyDescent="0.25">
      <c r="B784" s="29" t="s">
        <v>864</v>
      </c>
      <c r="C784" s="30" t="s">
        <v>1551</v>
      </c>
      <c r="D784" s="30">
        <v>0</v>
      </c>
      <c r="E784" s="30">
        <v>0</v>
      </c>
      <c r="F784" s="30">
        <v>0</v>
      </c>
      <c r="G784" s="30">
        <v>1E+100</v>
      </c>
      <c r="H784" s="31">
        <v>0</v>
      </c>
    </row>
    <row r="785" spans="2:8" x14ac:dyDescent="0.25">
      <c r="B785" s="29" t="s">
        <v>865</v>
      </c>
      <c r="C785" s="30" t="s">
        <v>1554</v>
      </c>
      <c r="D785" s="30">
        <v>0</v>
      </c>
      <c r="E785" s="30">
        <v>0</v>
      </c>
      <c r="F785" s="30">
        <v>0</v>
      </c>
      <c r="G785" s="30">
        <v>1E+100</v>
      </c>
      <c r="H785" s="31">
        <v>0</v>
      </c>
    </row>
    <row r="786" spans="2:8" x14ac:dyDescent="0.25">
      <c r="B786" s="29" t="s">
        <v>866</v>
      </c>
      <c r="C786" s="30" t="s">
        <v>1557</v>
      </c>
      <c r="D786" s="30">
        <v>0</v>
      </c>
      <c r="E786" s="30">
        <v>0</v>
      </c>
      <c r="F786" s="30">
        <v>0</v>
      </c>
      <c r="G786" s="30">
        <v>1E+100</v>
      </c>
      <c r="H786" s="31">
        <v>0</v>
      </c>
    </row>
    <row r="787" spans="2:8" x14ac:dyDescent="0.25">
      <c r="B787" s="29" t="s">
        <v>867</v>
      </c>
      <c r="C787" s="30" t="s">
        <v>1560</v>
      </c>
      <c r="D787" s="30">
        <v>0</v>
      </c>
      <c r="E787" s="30">
        <v>0</v>
      </c>
      <c r="F787" s="30">
        <v>0</v>
      </c>
      <c r="G787" s="30">
        <v>1E+100</v>
      </c>
      <c r="H787" s="31">
        <v>0</v>
      </c>
    </row>
    <row r="788" spans="2:8" x14ac:dyDescent="0.25">
      <c r="B788" s="29" t="s">
        <v>868</v>
      </c>
      <c r="C788" s="30" t="s">
        <v>1563</v>
      </c>
      <c r="D788" s="30">
        <v>0</v>
      </c>
      <c r="E788" s="30">
        <v>0</v>
      </c>
      <c r="F788" s="30">
        <v>0</v>
      </c>
      <c r="G788" s="30">
        <v>1E+100</v>
      </c>
      <c r="H788" s="31">
        <v>0</v>
      </c>
    </row>
    <row r="789" spans="2:8" x14ac:dyDescent="0.25">
      <c r="B789" s="29" t="s">
        <v>869</v>
      </c>
      <c r="C789" s="30" t="s">
        <v>1566</v>
      </c>
      <c r="D789" s="30">
        <v>0</v>
      </c>
      <c r="E789" s="30">
        <v>0</v>
      </c>
      <c r="F789" s="30">
        <v>0</v>
      </c>
      <c r="G789" s="30">
        <v>1E+100</v>
      </c>
      <c r="H789" s="31">
        <v>0</v>
      </c>
    </row>
    <row r="790" spans="2:8" x14ac:dyDescent="0.25">
      <c r="B790" s="29" t="s">
        <v>870</v>
      </c>
      <c r="C790" s="30" t="s">
        <v>1569</v>
      </c>
      <c r="D790" s="30">
        <v>0</v>
      </c>
      <c r="E790" s="30">
        <v>0</v>
      </c>
      <c r="F790" s="30">
        <v>0</v>
      </c>
      <c r="G790" s="30">
        <v>1E+100</v>
      </c>
      <c r="H790" s="31">
        <v>0</v>
      </c>
    </row>
    <row r="791" spans="2:8" x14ac:dyDescent="0.25">
      <c r="B791" s="29" t="s">
        <v>871</v>
      </c>
      <c r="C791" s="30" t="s">
        <v>1572</v>
      </c>
      <c r="D791" s="30">
        <v>0</v>
      </c>
      <c r="E791" s="30">
        <v>0</v>
      </c>
      <c r="F791" s="30">
        <v>0</v>
      </c>
      <c r="G791" s="30">
        <v>1E+100</v>
      </c>
      <c r="H791" s="31">
        <v>0</v>
      </c>
    </row>
    <row r="792" spans="2:8" x14ac:dyDescent="0.25">
      <c r="B792" s="29" t="s">
        <v>872</v>
      </c>
      <c r="C792" s="30" t="s">
        <v>1575</v>
      </c>
      <c r="D792" s="30">
        <v>0</v>
      </c>
      <c r="E792" s="30">
        <v>0</v>
      </c>
      <c r="F792" s="30">
        <v>0</v>
      </c>
      <c r="G792" s="30">
        <v>1E+100</v>
      </c>
      <c r="H792" s="31">
        <v>0</v>
      </c>
    </row>
    <row r="793" spans="2:8" x14ac:dyDescent="0.25">
      <c r="B793" s="29" t="s">
        <v>873</v>
      </c>
      <c r="C793" s="30" t="s">
        <v>1578</v>
      </c>
      <c r="D793" s="30">
        <v>0</v>
      </c>
      <c r="E793" s="30">
        <v>0</v>
      </c>
      <c r="F793" s="30">
        <v>0</v>
      </c>
      <c r="G793" s="30">
        <v>1E+100</v>
      </c>
      <c r="H793" s="31">
        <v>0</v>
      </c>
    </row>
    <row r="794" spans="2:8" x14ac:dyDescent="0.25">
      <c r="B794" s="29" t="s">
        <v>874</v>
      </c>
      <c r="C794" s="30" t="s">
        <v>1581</v>
      </c>
      <c r="D794" s="30">
        <v>0</v>
      </c>
      <c r="E794" s="30">
        <v>0</v>
      </c>
      <c r="F794" s="30">
        <v>0</v>
      </c>
      <c r="G794" s="30">
        <v>1E+100</v>
      </c>
      <c r="H794" s="31">
        <v>0</v>
      </c>
    </row>
    <row r="795" spans="2:8" x14ac:dyDescent="0.25">
      <c r="B795" s="29" t="s">
        <v>875</v>
      </c>
      <c r="C795" s="30" t="s">
        <v>1584</v>
      </c>
      <c r="D795" s="30">
        <v>0</v>
      </c>
      <c r="E795" s="30">
        <v>0</v>
      </c>
      <c r="F795" s="30">
        <v>0</v>
      </c>
      <c r="G795" s="30">
        <v>1E+100</v>
      </c>
      <c r="H795" s="31">
        <v>0</v>
      </c>
    </row>
    <row r="796" spans="2:8" x14ac:dyDescent="0.25">
      <c r="B796" s="29" t="s">
        <v>876</v>
      </c>
      <c r="C796" s="30" t="s">
        <v>1587</v>
      </c>
      <c r="D796" s="30">
        <v>0</v>
      </c>
      <c r="E796" s="30">
        <v>0</v>
      </c>
      <c r="F796" s="30">
        <v>0</v>
      </c>
      <c r="G796" s="30">
        <v>1E+100</v>
      </c>
      <c r="H796" s="31">
        <v>0</v>
      </c>
    </row>
    <row r="797" spans="2:8" x14ac:dyDescent="0.25">
      <c r="B797" s="29" t="s">
        <v>877</v>
      </c>
      <c r="C797" s="30" t="s">
        <v>1590</v>
      </c>
      <c r="D797" s="30">
        <v>0</v>
      </c>
      <c r="E797" s="30">
        <v>0</v>
      </c>
      <c r="F797" s="30">
        <v>0</v>
      </c>
      <c r="G797" s="30">
        <v>1E+100</v>
      </c>
      <c r="H797" s="31">
        <v>0</v>
      </c>
    </row>
    <row r="798" spans="2:8" x14ac:dyDescent="0.25">
      <c r="B798" s="29" t="s">
        <v>878</v>
      </c>
      <c r="C798" s="30" t="s">
        <v>1593</v>
      </c>
      <c r="D798" s="30">
        <v>0</v>
      </c>
      <c r="E798" s="30">
        <v>0</v>
      </c>
      <c r="F798" s="30">
        <v>0</v>
      </c>
      <c r="G798" s="30">
        <v>1E+100</v>
      </c>
      <c r="H798" s="31">
        <v>0</v>
      </c>
    </row>
    <row r="799" spans="2:8" x14ac:dyDescent="0.25">
      <c r="B799" s="29" t="s">
        <v>879</v>
      </c>
      <c r="C799" s="30" t="s">
        <v>1596</v>
      </c>
      <c r="D799" s="30">
        <v>0</v>
      </c>
      <c r="E799" s="30">
        <v>0</v>
      </c>
      <c r="F799" s="30">
        <v>0</v>
      </c>
      <c r="G799" s="30">
        <v>1E+100</v>
      </c>
      <c r="H799" s="31">
        <v>0</v>
      </c>
    </row>
    <row r="800" spans="2:8" x14ac:dyDescent="0.25">
      <c r="B800" s="29" t="s">
        <v>880</v>
      </c>
      <c r="C800" s="30" t="s">
        <v>1599</v>
      </c>
      <c r="D800" s="30">
        <v>0</v>
      </c>
      <c r="E800" s="30">
        <v>0</v>
      </c>
      <c r="F800" s="30">
        <v>0</v>
      </c>
      <c r="G800" s="30">
        <v>1E+100</v>
      </c>
      <c r="H800" s="31">
        <v>0</v>
      </c>
    </row>
    <row r="801" spans="2:8" x14ac:dyDescent="0.25">
      <c r="B801" s="29" t="s">
        <v>881</v>
      </c>
      <c r="C801" s="30" t="s">
        <v>1602</v>
      </c>
      <c r="D801" s="30">
        <v>0</v>
      </c>
      <c r="E801" s="30">
        <v>0</v>
      </c>
      <c r="F801" s="30">
        <v>0</v>
      </c>
      <c r="G801" s="30">
        <v>1E+100</v>
      </c>
      <c r="H801" s="31">
        <v>0</v>
      </c>
    </row>
    <row r="802" spans="2:8" x14ac:dyDescent="0.25">
      <c r="B802" s="29" t="s">
        <v>882</v>
      </c>
      <c r="C802" s="30" t="s">
        <v>1605</v>
      </c>
      <c r="D802" s="30">
        <v>0</v>
      </c>
      <c r="E802" s="30">
        <v>0</v>
      </c>
      <c r="F802" s="30">
        <v>0</v>
      </c>
      <c r="G802" s="30">
        <v>1E+100</v>
      </c>
      <c r="H802" s="31">
        <v>0</v>
      </c>
    </row>
    <row r="803" spans="2:8" x14ac:dyDescent="0.25">
      <c r="B803" s="29" t="s">
        <v>883</v>
      </c>
      <c r="C803" s="30" t="s">
        <v>1608</v>
      </c>
      <c r="D803" s="30">
        <v>0</v>
      </c>
      <c r="E803" s="30">
        <v>0</v>
      </c>
      <c r="F803" s="30">
        <v>0</v>
      </c>
      <c r="G803" s="30">
        <v>1E+100</v>
      </c>
      <c r="H803" s="31">
        <v>0</v>
      </c>
    </row>
    <row r="804" spans="2:8" x14ac:dyDescent="0.25">
      <c r="B804" s="29" t="s">
        <v>884</v>
      </c>
      <c r="C804" s="30" t="s">
        <v>1611</v>
      </c>
      <c r="D804" s="30">
        <v>0</v>
      </c>
      <c r="E804" s="30">
        <v>0</v>
      </c>
      <c r="F804" s="30">
        <v>0</v>
      </c>
      <c r="G804" s="30">
        <v>1E+100</v>
      </c>
      <c r="H804" s="31">
        <v>0</v>
      </c>
    </row>
    <row r="805" spans="2:8" x14ac:dyDescent="0.25">
      <c r="B805" s="29" t="s">
        <v>885</v>
      </c>
      <c r="C805" s="30" t="s">
        <v>1614</v>
      </c>
      <c r="D805" s="30">
        <v>0</v>
      </c>
      <c r="E805" s="30">
        <v>0</v>
      </c>
      <c r="F805" s="30">
        <v>0</v>
      </c>
      <c r="G805" s="30">
        <v>1E+100</v>
      </c>
      <c r="H805" s="31">
        <v>0</v>
      </c>
    </row>
    <row r="806" spans="2:8" x14ac:dyDescent="0.25">
      <c r="B806" s="29" t="s">
        <v>886</v>
      </c>
      <c r="C806" s="30" t="s">
        <v>1617</v>
      </c>
      <c r="D806" s="30">
        <v>0</v>
      </c>
      <c r="E806" s="30">
        <v>0</v>
      </c>
      <c r="F806" s="30">
        <v>0</v>
      </c>
      <c r="G806" s="30">
        <v>1E+100</v>
      </c>
      <c r="H806" s="31">
        <v>0</v>
      </c>
    </row>
    <row r="807" spans="2:8" x14ac:dyDescent="0.25">
      <c r="B807" s="29" t="s">
        <v>887</v>
      </c>
      <c r="C807" s="30" t="s">
        <v>1620</v>
      </c>
      <c r="D807" s="30">
        <v>0</v>
      </c>
      <c r="E807" s="30">
        <v>0</v>
      </c>
      <c r="F807" s="30">
        <v>0</v>
      </c>
      <c r="G807" s="30">
        <v>1E+100</v>
      </c>
      <c r="H807" s="31">
        <v>0</v>
      </c>
    </row>
    <row r="808" spans="2:8" x14ac:dyDescent="0.25">
      <c r="B808" s="29" t="s">
        <v>888</v>
      </c>
      <c r="C808" s="30" t="s">
        <v>1623</v>
      </c>
      <c r="D808" s="30">
        <v>0</v>
      </c>
      <c r="E808" s="30">
        <v>0</v>
      </c>
      <c r="F808" s="30">
        <v>0</v>
      </c>
      <c r="G808" s="30">
        <v>1E+100</v>
      </c>
      <c r="H808" s="31">
        <v>0</v>
      </c>
    </row>
    <row r="809" spans="2:8" x14ac:dyDescent="0.25">
      <c r="B809" s="29" t="s">
        <v>889</v>
      </c>
      <c r="C809" s="30" t="s">
        <v>1626</v>
      </c>
      <c r="D809" s="30">
        <v>0</v>
      </c>
      <c r="E809" s="30">
        <v>0</v>
      </c>
      <c r="F809" s="30">
        <v>0</v>
      </c>
      <c r="G809" s="30">
        <v>1E+100</v>
      </c>
      <c r="H809" s="31">
        <v>0</v>
      </c>
    </row>
    <row r="810" spans="2:8" x14ac:dyDescent="0.25">
      <c r="B810" s="29" t="s">
        <v>890</v>
      </c>
      <c r="C810" s="30" t="s">
        <v>1629</v>
      </c>
      <c r="D810" s="30">
        <v>0</v>
      </c>
      <c r="E810" s="30">
        <v>0</v>
      </c>
      <c r="F810" s="30">
        <v>0</v>
      </c>
      <c r="G810" s="30">
        <v>1E+100</v>
      </c>
      <c r="H810" s="31">
        <v>0</v>
      </c>
    </row>
    <row r="811" spans="2:8" x14ac:dyDescent="0.25">
      <c r="B811" s="29" t="s">
        <v>891</v>
      </c>
      <c r="C811" s="30" t="s">
        <v>1632</v>
      </c>
      <c r="D811" s="30">
        <v>0</v>
      </c>
      <c r="E811" s="30">
        <v>0</v>
      </c>
      <c r="F811" s="30">
        <v>0</v>
      </c>
      <c r="G811" s="30">
        <v>1E+100</v>
      </c>
      <c r="H811" s="31">
        <v>0</v>
      </c>
    </row>
    <row r="812" spans="2:8" x14ac:dyDescent="0.25">
      <c r="B812" s="29" t="s">
        <v>892</v>
      </c>
      <c r="C812" s="30" t="s">
        <v>1635</v>
      </c>
      <c r="D812" s="30">
        <v>0</v>
      </c>
      <c r="E812" s="30">
        <v>0</v>
      </c>
      <c r="F812" s="30">
        <v>0</v>
      </c>
      <c r="G812" s="30">
        <v>1E+100</v>
      </c>
      <c r="H812" s="31">
        <v>0</v>
      </c>
    </row>
    <row r="813" spans="2:8" x14ac:dyDescent="0.25">
      <c r="B813" s="29" t="s">
        <v>893</v>
      </c>
      <c r="C813" s="30" t="s">
        <v>1638</v>
      </c>
      <c r="D813" s="30">
        <v>0</v>
      </c>
      <c r="E813" s="30">
        <v>0</v>
      </c>
      <c r="F813" s="30">
        <v>0</v>
      </c>
      <c r="G813" s="30">
        <v>1E+100</v>
      </c>
      <c r="H813" s="31">
        <v>0</v>
      </c>
    </row>
    <row r="814" spans="2:8" x14ac:dyDescent="0.25">
      <c r="B814" s="29" t="s">
        <v>894</v>
      </c>
      <c r="C814" s="30" t="s">
        <v>1641</v>
      </c>
      <c r="D814" s="30">
        <v>0</v>
      </c>
      <c r="E814" s="30">
        <v>0</v>
      </c>
      <c r="F814" s="30">
        <v>0</v>
      </c>
      <c r="G814" s="30">
        <v>1E+100</v>
      </c>
      <c r="H814" s="31">
        <v>0</v>
      </c>
    </row>
    <row r="815" spans="2:8" x14ac:dyDescent="0.25">
      <c r="B815" s="29" t="s">
        <v>895</v>
      </c>
      <c r="C815" s="30" t="s">
        <v>1644</v>
      </c>
      <c r="D815" s="30">
        <v>0</v>
      </c>
      <c r="E815" s="30">
        <v>0</v>
      </c>
      <c r="F815" s="30">
        <v>0</v>
      </c>
      <c r="G815" s="30">
        <v>1E+100</v>
      </c>
      <c r="H815" s="31">
        <v>0</v>
      </c>
    </row>
    <row r="816" spans="2:8" x14ac:dyDescent="0.25">
      <c r="B816" s="29" t="s">
        <v>896</v>
      </c>
      <c r="C816" s="30" t="s">
        <v>1647</v>
      </c>
      <c r="D816" s="30">
        <v>0</v>
      </c>
      <c r="E816" s="30">
        <v>0</v>
      </c>
      <c r="F816" s="30">
        <v>0</v>
      </c>
      <c r="G816" s="30">
        <v>1E+100</v>
      </c>
      <c r="H816" s="31">
        <v>0</v>
      </c>
    </row>
    <row r="817" spans="2:8" x14ac:dyDescent="0.25">
      <c r="B817" s="29" t="s">
        <v>897</v>
      </c>
      <c r="C817" s="30" t="s">
        <v>1650</v>
      </c>
      <c r="D817" s="30">
        <v>0</v>
      </c>
      <c r="E817" s="30">
        <v>0</v>
      </c>
      <c r="F817" s="30">
        <v>0</v>
      </c>
      <c r="G817" s="30">
        <v>1E+100</v>
      </c>
      <c r="H817" s="31">
        <v>0</v>
      </c>
    </row>
    <row r="818" spans="2:8" x14ac:dyDescent="0.25">
      <c r="B818" s="29" t="s">
        <v>898</v>
      </c>
      <c r="C818" s="30" t="s">
        <v>1653</v>
      </c>
      <c r="D818" s="30">
        <v>0</v>
      </c>
      <c r="E818" s="30">
        <v>0</v>
      </c>
      <c r="F818" s="30">
        <v>0</v>
      </c>
      <c r="G818" s="30">
        <v>1E+100</v>
      </c>
      <c r="H818" s="31">
        <v>0</v>
      </c>
    </row>
    <row r="819" spans="2:8" x14ac:dyDescent="0.25">
      <c r="B819" s="29" t="s">
        <v>899</v>
      </c>
      <c r="C819" s="30" t="s">
        <v>1656</v>
      </c>
      <c r="D819" s="30">
        <v>0</v>
      </c>
      <c r="E819" s="30">
        <v>0</v>
      </c>
      <c r="F819" s="30">
        <v>0</v>
      </c>
      <c r="G819" s="30">
        <v>1E+100</v>
      </c>
      <c r="H819" s="31">
        <v>0</v>
      </c>
    </row>
    <row r="820" spans="2:8" x14ac:dyDescent="0.25">
      <c r="B820" s="29" t="s">
        <v>900</v>
      </c>
      <c r="C820" s="30" t="s">
        <v>1659</v>
      </c>
      <c r="D820" s="30">
        <v>0</v>
      </c>
      <c r="E820" s="30">
        <v>0</v>
      </c>
      <c r="F820" s="30">
        <v>0</v>
      </c>
      <c r="G820" s="30">
        <v>1E+100</v>
      </c>
      <c r="H820" s="31">
        <v>0</v>
      </c>
    </row>
    <row r="821" spans="2:8" x14ac:dyDescent="0.25">
      <c r="B821" s="29" t="s">
        <v>901</v>
      </c>
      <c r="C821" s="30" t="s">
        <v>1662</v>
      </c>
      <c r="D821" s="30">
        <v>0</v>
      </c>
      <c r="E821" s="30">
        <v>0</v>
      </c>
      <c r="F821" s="30">
        <v>0</v>
      </c>
      <c r="G821" s="30">
        <v>1E+100</v>
      </c>
      <c r="H821" s="31">
        <v>0</v>
      </c>
    </row>
    <row r="822" spans="2:8" x14ac:dyDescent="0.25">
      <c r="B822" s="29" t="s">
        <v>902</v>
      </c>
      <c r="C822" s="30" t="s">
        <v>1665</v>
      </c>
      <c r="D822" s="30">
        <v>0</v>
      </c>
      <c r="E822" s="30">
        <v>0</v>
      </c>
      <c r="F822" s="30">
        <v>0</v>
      </c>
      <c r="G822" s="30">
        <v>1E+100</v>
      </c>
      <c r="H822" s="31">
        <v>0</v>
      </c>
    </row>
    <row r="823" spans="2:8" x14ac:dyDescent="0.25">
      <c r="B823" s="29" t="s">
        <v>903</v>
      </c>
      <c r="C823" s="30" t="s">
        <v>1668</v>
      </c>
      <c r="D823" s="30">
        <v>0</v>
      </c>
      <c r="E823" s="30">
        <v>0</v>
      </c>
      <c r="F823" s="30">
        <v>0</v>
      </c>
      <c r="G823" s="30">
        <v>1E+100</v>
      </c>
      <c r="H823" s="31">
        <v>0</v>
      </c>
    </row>
    <row r="824" spans="2:8" x14ac:dyDescent="0.25">
      <c r="B824" s="29" t="s">
        <v>904</v>
      </c>
      <c r="C824" s="30" t="s">
        <v>1671</v>
      </c>
      <c r="D824" s="30">
        <v>0</v>
      </c>
      <c r="E824" s="30">
        <v>0</v>
      </c>
      <c r="F824" s="30">
        <v>0</v>
      </c>
      <c r="G824" s="30">
        <v>1E+100</v>
      </c>
      <c r="H824" s="31">
        <v>0</v>
      </c>
    </row>
    <row r="825" spans="2:8" x14ac:dyDescent="0.25">
      <c r="B825" s="29" t="s">
        <v>905</v>
      </c>
      <c r="C825" s="30" t="s">
        <v>1674</v>
      </c>
      <c r="D825" s="30">
        <v>0</v>
      </c>
      <c r="E825" s="30">
        <v>0</v>
      </c>
      <c r="F825" s="30">
        <v>0</v>
      </c>
      <c r="G825" s="30">
        <v>1E+100</v>
      </c>
      <c r="H825" s="31">
        <v>0</v>
      </c>
    </row>
    <row r="826" spans="2:8" x14ac:dyDescent="0.25">
      <c r="B826" s="29" t="s">
        <v>906</v>
      </c>
      <c r="C826" s="30" t="s">
        <v>1677</v>
      </c>
      <c r="D826" s="30">
        <v>0</v>
      </c>
      <c r="E826" s="30">
        <v>0</v>
      </c>
      <c r="F826" s="30">
        <v>0</v>
      </c>
      <c r="G826" s="30">
        <v>1E+100</v>
      </c>
      <c r="H826" s="31">
        <v>0</v>
      </c>
    </row>
    <row r="827" spans="2:8" x14ac:dyDescent="0.25">
      <c r="B827" s="29" t="s">
        <v>907</v>
      </c>
      <c r="C827" s="30" t="s">
        <v>1680</v>
      </c>
      <c r="D827" s="30">
        <v>0</v>
      </c>
      <c r="E827" s="30">
        <v>0</v>
      </c>
      <c r="F827" s="30">
        <v>0</v>
      </c>
      <c r="G827" s="30">
        <v>1E+100</v>
      </c>
      <c r="H827" s="31">
        <v>0</v>
      </c>
    </row>
    <row r="828" spans="2:8" x14ac:dyDescent="0.25">
      <c r="B828" s="29" t="s">
        <v>908</v>
      </c>
      <c r="C828" s="30" t="s">
        <v>1683</v>
      </c>
      <c r="D828" s="30">
        <v>0</v>
      </c>
      <c r="E828" s="30">
        <v>0</v>
      </c>
      <c r="F828" s="30">
        <v>0</v>
      </c>
      <c r="G828" s="30">
        <v>1E+100</v>
      </c>
      <c r="H828" s="31">
        <v>0</v>
      </c>
    </row>
    <row r="829" spans="2:8" x14ac:dyDescent="0.25">
      <c r="B829" s="29" t="s">
        <v>909</v>
      </c>
      <c r="C829" s="30" t="s">
        <v>1686</v>
      </c>
      <c r="D829" s="30">
        <v>0</v>
      </c>
      <c r="E829" s="30">
        <v>0</v>
      </c>
      <c r="F829" s="30">
        <v>0</v>
      </c>
      <c r="G829" s="30">
        <v>1E+100</v>
      </c>
      <c r="H829" s="31">
        <v>0</v>
      </c>
    </row>
    <row r="830" spans="2:8" x14ac:dyDescent="0.25">
      <c r="B830" s="29" t="s">
        <v>910</v>
      </c>
      <c r="C830" s="30" t="s">
        <v>1689</v>
      </c>
      <c r="D830" s="30">
        <v>0</v>
      </c>
      <c r="E830" s="30">
        <v>0</v>
      </c>
      <c r="F830" s="30">
        <v>0</v>
      </c>
      <c r="G830" s="30">
        <v>1E+100</v>
      </c>
      <c r="H830" s="31">
        <v>0</v>
      </c>
    </row>
    <row r="831" spans="2:8" x14ac:dyDescent="0.25">
      <c r="B831" s="29" t="s">
        <v>911</v>
      </c>
      <c r="C831" s="30" t="s">
        <v>1692</v>
      </c>
      <c r="D831" s="30">
        <v>0</v>
      </c>
      <c r="E831" s="30">
        <v>0</v>
      </c>
      <c r="F831" s="30">
        <v>0</v>
      </c>
      <c r="G831" s="30">
        <v>1E+100</v>
      </c>
      <c r="H831" s="31">
        <v>0</v>
      </c>
    </row>
    <row r="832" spans="2:8" x14ac:dyDescent="0.25">
      <c r="B832" s="29" t="s">
        <v>912</v>
      </c>
      <c r="C832" s="30" t="s">
        <v>1695</v>
      </c>
      <c r="D832" s="30">
        <v>0</v>
      </c>
      <c r="E832" s="30">
        <v>0</v>
      </c>
      <c r="F832" s="30">
        <v>0</v>
      </c>
      <c r="G832" s="30">
        <v>1E+100</v>
      </c>
      <c r="H832" s="31">
        <v>0</v>
      </c>
    </row>
    <row r="833" spans="2:8" x14ac:dyDescent="0.25">
      <c r="B833" s="29" t="s">
        <v>913</v>
      </c>
      <c r="C833" s="30" t="s">
        <v>1698</v>
      </c>
      <c r="D833" s="30">
        <v>0</v>
      </c>
      <c r="E833" s="30">
        <v>0</v>
      </c>
      <c r="F833" s="30">
        <v>0</v>
      </c>
      <c r="G833" s="30">
        <v>1E+100</v>
      </c>
      <c r="H833" s="31">
        <v>0</v>
      </c>
    </row>
    <row r="834" spans="2:8" x14ac:dyDescent="0.25">
      <c r="B834" s="29" t="s">
        <v>914</v>
      </c>
      <c r="C834" s="30" t="s">
        <v>1701</v>
      </c>
      <c r="D834" s="30">
        <v>0</v>
      </c>
      <c r="E834" s="30">
        <v>0</v>
      </c>
      <c r="F834" s="30">
        <v>0</v>
      </c>
      <c r="G834" s="30">
        <v>1E+100</v>
      </c>
      <c r="H834" s="31">
        <v>0</v>
      </c>
    </row>
    <row r="835" spans="2:8" x14ac:dyDescent="0.25">
      <c r="B835" s="29" t="s">
        <v>915</v>
      </c>
      <c r="C835" s="30" t="s">
        <v>1704</v>
      </c>
      <c r="D835" s="30">
        <v>0</v>
      </c>
      <c r="E835" s="30">
        <v>0</v>
      </c>
      <c r="F835" s="30">
        <v>0</v>
      </c>
      <c r="G835" s="30">
        <v>1E+100</v>
      </c>
      <c r="H835" s="31">
        <v>0</v>
      </c>
    </row>
    <row r="836" spans="2:8" x14ac:dyDescent="0.25">
      <c r="B836" s="29" t="s">
        <v>916</v>
      </c>
      <c r="C836" s="30" t="s">
        <v>1707</v>
      </c>
      <c r="D836" s="30">
        <v>0</v>
      </c>
      <c r="E836" s="30">
        <v>0</v>
      </c>
      <c r="F836" s="30">
        <v>0</v>
      </c>
      <c r="G836" s="30">
        <v>1E+100</v>
      </c>
      <c r="H836" s="31">
        <v>0</v>
      </c>
    </row>
    <row r="837" spans="2:8" x14ac:dyDescent="0.25">
      <c r="B837" s="29" t="s">
        <v>917</v>
      </c>
      <c r="C837" s="30" t="s">
        <v>1710</v>
      </c>
      <c r="D837" s="30">
        <v>0</v>
      </c>
      <c r="E837" s="30">
        <v>0</v>
      </c>
      <c r="F837" s="30">
        <v>0</v>
      </c>
      <c r="G837" s="30">
        <v>1E+100</v>
      </c>
      <c r="H837" s="31">
        <v>0</v>
      </c>
    </row>
    <row r="838" spans="2:8" x14ac:dyDescent="0.25">
      <c r="B838" s="29" t="s">
        <v>918</v>
      </c>
      <c r="C838" s="30" t="s">
        <v>1713</v>
      </c>
      <c r="D838" s="30">
        <v>0</v>
      </c>
      <c r="E838" s="30">
        <v>0</v>
      </c>
      <c r="F838" s="30">
        <v>0</v>
      </c>
      <c r="G838" s="30">
        <v>1E+100</v>
      </c>
      <c r="H838" s="31">
        <v>0</v>
      </c>
    </row>
    <row r="839" spans="2:8" x14ac:dyDescent="0.25">
      <c r="B839" s="29" t="s">
        <v>919</v>
      </c>
      <c r="C839" s="30" t="s">
        <v>1716</v>
      </c>
      <c r="D839" s="30">
        <v>0</v>
      </c>
      <c r="E839" s="30">
        <v>0</v>
      </c>
      <c r="F839" s="30">
        <v>0</v>
      </c>
      <c r="G839" s="30">
        <v>1E+100</v>
      </c>
      <c r="H839" s="31">
        <v>0</v>
      </c>
    </row>
    <row r="840" spans="2:8" x14ac:dyDescent="0.25">
      <c r="B840" s="29" t="s">
        <v>920</v>
      </c>
      <c r="C840" s="30" t="s">
        <v>1719</v>
      </c>
      <c r="D840" s="30">
        <v>0</v>
      </c>
      <c r="E840" s="30">
        <v>0</v>
      </c>
      <c r="F840" s="30">
        <v>0</v>
      </c>
      <c r="G840" s="30">
        <v>1E+100</v>
      </c>
      <c r="H840" s="31">
        <v>0</v>
      </c>
    </row>
    <row r="841" spans="2:8" x14ac:dyDescent="0.25">
      <c r="B841" s="29" t="s">
        <v>921</v>
      </c>
      <c r="C841" s="30" t="s">
        <v>1722</v>
      </c>
      <c r="D841" s="30">
        <v>0</v>
      </c>
      <c r="E841" s="30">
        <v>0</v>
      </c>
      <c r="F841" s="30">
        <v>0</v>
      </c>
      <c r="G841" s="30">
        <v>1E+100</v>
      </c>
      <c r="H841" s="31">
        <v>0</v>
      </c>
    </row>
    <row r="842" spans="2:8" x14ac:dyDescent="0.25">
      <c r="B842" s="29" t="s">
        <v>922</v>
      </c>
      <c r="C842" s="30" t="s">
        <v>1728</v>
      </c>
      <c r="D842" s="30">
        <v>1</v>
      </c>
      <c r="E842" s="30">
        <v>4.3914945000000003</v>
      </c>
      <c r="F842" s="30">
        <v>1</v>
      </c>
      <c r="G842" s="30">
        <v>0</v>
      </c>
      <c r="H842" s="31">
        <v>0</v>
      </c>
    </row>
    <row r="843" spans="2:8" x14ac:dyDescent="0.25">
      <c r="B843" s="29" t="s">
        <v>923</v>
      </c>
      <c r="C843" s="30" t="s">
        <v>1729</v>
      </c>
      <c r="D843" s="30">
        <v>1</v>
      </c>
      <c r="E843" s="30">
        <v>3.7318874000000002</v>
      </c>
      <c r="F843" s="30">
        <v>1</v>
      </c>
      <c r="G843" s="30">
        <v>0.5</v>
      </c>
      <c r="H843" s="31">
        <v>0</v>
      </c>
    </row>
    <row r="844" spans="2:8" x14ac:dyDescent="0.25">
      <c r="B844" s="29" t="s">
        <v>924</v>
      </c>
      <c r="C844" s="30" t="s">
        <v>1730</v>
      </c>
      <c r="D844" s="30">
        <v>1</v>
      </c>
      <c r="E844" s="30">
        <v>3.5311485</v>
      </c>
      <c r="F844" s="30">
        <v>1</v>
      </c>
      <c r="G844" s="30">
        <v>0</v>
      </c>
      <c r="H844" s="31">
        <v>1</v>
      </c>
    </row>
    <row r="845" spans="2:8" x14ac:dyDescent="0.25">
      <c r="B845" s="29" t="s">
        <v>925</v>
      </c>
      <c r="C845" s="30" t="s">
        <v>1731</v>
      </c>
      <c r="D845" s="30">
        <v>1</v>
      </c>
      <c r="E845" s="30">
        <v>2.8873329999999999</v>
      </c>
      <c r="F845" s="30">
        <v>1</v>
      </c>
      <c r="G845" s="30">
        <v>0</v>
      </c>
      <c r="H845" s="31">
        <v>1</v>
      </c>
    </row>
    <row r="846" spans="2:8" x14ac:dyDescent="0.25">
      <c r="B846" s="29" t="s">
        <v>926</v>
      </c>
      <c r="C846" s="30" t="s">
        <v>1732</v>
      </c>
      <c r="D846" s="30">
        <v>1</v>
      </c>
      <c r="E846" s="30">
        <v>0.85548511000000005</v>
      </c>
      <c r="F846" s="30">
        <v>1</v>
      </c>
      <c r="G846" s="30">
        <v>0</v>
      </c>
      <c r="H846" s="31">
        <v>1</v>
      </c>
    </row>
    <row r="847" spans="2:8" x14ac:dyDescent="0.25">
      <c r="B847" s="29" t="s">
        <v>927</v>
      </c>
      <c r="C847" s="30" t="s">
        <v>1733</v>
      </c>
      <c r="D847" s="30">
        <v>1</v>
      </c>
      <c r="E847" s="30">
        <v>1.0721951000000001</v>
      </c>
      <c r="F847" s="30">
        <v>1</v>
      </c>
      <c r="G847" s="30">
        <v>1</v>
      </c>
      <c r="H847" s="31">
        <v>0</v>
      </c>
    </row>
    <row r="848" spans="2:8" x14ac:dyDescent="0.25">
      <c r="B848" s="29" t="s">
        <v>928</v>
      </c>
      <c r="C848" s="30" t="s">
        <v>1734</v>
      </c>
      <c r="D848" s="30">
        <v>1</v>
      </c>
      <c r="E848" s="30">
        <v>1.1537046</v>
      </c>
      <c r="F848" s="30">
        <v>1</v>
      </c>
      <c r="G848" s="30">
        <v>0.75</v>
      </c>
      <c r="H848" s="31">
        <v>0.1875</v>
      </c>
    </row>
    <row r="849" spans="2:8" x14ac:dyDescent="0.25">
      <c r="B849" s="29" t="s">
        <v>929</v>
      </c>
      <c r="C849" s="30" t="s">
        <v>1735</v>
      </c>
      <c r="D849" s="30">
        <v>1</v>
      </c>
      <c r="E849" s="30">
        <v>0</v>
      </c>
      <c r="F849" s="30">
        <v>1</v>
      </c>
      <c r="G849" s="30">
        <v>1E+100</v>
      </c>
      <c r="H849" s="31">
        <v>0</v>
      </c>
    </row>
    <row r="850" spans="2:8" x14ac:dyDescent="0.25">
      <c r="B850" s="29" t="s">
        <v>930</v>
      </c>
      <c r="C850" s="30" t="s">
        <v>1736</v>
      </c>
      <c r="D850" s="30">
        <v>1</v>
      </c>
      <c r="E850" s="30">
        <v>1.8999248</v>
      </c>
      <c r="F850" s="30">
        <v>1</v>
      </c>
      <c r="G850" s="30">
        <v>0.63157894739999998</v>
      </c>
      <c r="H850" s="31">
        <v>0.15789473679999999</v>
      </c>
    </row>
    <row r="851" spans="2:8" x14ac:dyDescent="0.25">
      <c r="B851" s="29" t="s">
        <v>931</v>
      </c>
      <c r="C851" s="30" t="s">
        <v>1737</v>
      </c>
      <c r="D851" s="30">
        <v>1</v>
      </c>
      <c r="E851" s="30">
        <v>0</v>
      </c>
      <c r="F851" s="30">
        <v>1</v>
      </c>
      <c r="G851" s="30">
        <v>1E+100</v>
      </c>
      <c r="H851" s="31">
        <v>0</v>
      </c>
    </row>
    <row r="852" spans="2:8" x14ac:dyDescent="0.25">
      <c r="B852" s="29" t="s">
        <v>932</v>
      </c>
      <c r="C852" s="30" t="s">
        <v>1738</v>
      </c>
      <c r="D852" s="30">
        <v>0.8</v>
      </c>
      <c r="E852" s="30">
        <v>0</v>
      </c>
      <c r="F852" s="30">
        <v>1</v>
      </c>
      <c r="G852" s="30">
        <v>1E+100</v>
      </c>
      <c r="H852" s="31">
        <v>0.2</v>
      </c>
    </row>
    <row r="853" spans="2:8" x14ac:dyDescent="0.25">
      <c r="B853" s="29" t="s">
        <v>933</v>
      </c>
      <c r="C853" s="30" t="s">
        <v>1739</v>
      </c>
      <c r="D853" s="30">
        <v>0.2</v>
      </c>
      <c r="E853" s="30">
        <v>0</v>
      </c>
      <c r="F853" s="30">
        <v>1</v>
      </c>
      <c r="G853" s="30">
        <v>1E+100</v>
      </c>
      <c r="H853" s="31">
        <v>0.8</v>
      </c>
    </row>
    <row r="854" spans="2:8" x14ac:dyDescent="0.25">
      <c r="B854" s="29" t="s">
        <v>934</v>
      </c>
      <c r="C854" s="30" t="s">
        <v>1740</v>
      </c>
      <c r="D854" s="30">
        <v>0</v>
      </c>
      <c r="E854" s="30">
        <v>0</v>
      </c>
      <c r="F854" s="30">
        <v>1</v>
      </c>
      <c r="G854" s="30">
        <v>1E+100</v>
      </c>
      <c r="H854" s="31">
        <v>1</v>
      </c>
    </row>
    <row r="855" spans="2:8" x14ac:dyDescent="0.25">
      <c r="B855" s="29" t="s">
        <v>935</v>
      </c>
      <c r="C855" s="30" t="s">
        <v>1741</v>
      </c>
      <c r="D855" s="30">
        <v>0</v>
      </c>
      <c r="E855" s="30">
        <v>0</v>
      </c>
      <c r="F855" s="30">
        <v>1</v>
      </c>
      <c r="G855" s="30">
        <v>1E+100</v>
      </c>
      <c r="H855" s="31">
        <v>1</v>
      </c>
    </row>
    <row r="856" spans="2:8" x14ac:dyDescent="0.25">
      <c r="B856" s="29" t="s">
        <v>936</v>
      </c>
      <c r="C856" s="30" t="s">
        <v>1742</v>
      </c>
      <c r="D856" s="30">
        <v>0</v>
      </c>
      <c r="E856" s="30">
        <v>0</v>
      </c>
      <c r="F856" s="30">
        <v>1</v>
      </c>
      <c r="G856" s="30">
        <v>1E+100</v>
      </c>
      <c r="H856" s="31">
        <v>1</v>
      </c>
    </row>
    <row r="857" spans="2:8" x14ac:dyDescent="0.25">
      <c r="B857" s="29" t="s">
        <v>937</v>
      </c>
      <c r="C857" s="30" t="s">
        <v>1743</v>
      </c>
      <c r="D857" s="30">
        <v>0</v>
      </c>
      <c r="E857" s="30">
        <v>0</v>
      </c>
      <c r="F857" s="30">
        <v>1</v>
      </c>
      <c r="G857" s="30">
        <v>1E+100</v>
      </c>
      <c r="H857" s="31">
        <v>1</v>
      </c>
    </row>
    <row r="858" spans="2:8" x14ac:dyDescent="0.25">
      <c r="B858" s="29" t="s">
        <v>938</v>
      </c>
      <c r="C858" s="30" t="s">
        <v>1744</v>
      </c>
      <c r="D858" s="30">
        <v>0</v>
      </c>
      <c r="E858" s="30">
        <v>0</v>
      </c>
      <c r="F858" s="30">
        <v>1</v>
      </c>
      <c r="G858" s="30">
        <v>1E+100</v>
      </c>
      <c r="H858" s="31">
        <v>1</v>
      </c>
    </row>
    <row r="859" spans="2:8" x14ac:dyDescent="0.25">
      <c r="B859" s="29" t="s">
        <v>939</v>
      </c>
      <c r="C859" s="30" t="s">
        <v>1745</v>
      </c>
      <c r="D859" s="30">
        <v>0</v>
      </c>
      <c r="E859" s="30">
        <v>0</v>
      </c>
      <c r="F859" s="30">
        <v>1</v>
      </c>
      <c r="G859" s="30">
        <v>1E+100</v>
      </c>
      <c r="H859" s="31">
        <v>1</v>
      </c>
    </row>
    <row r="860" spans="2:8" x14ac:dyDescent="0.25">
      <c r="B860" s="29" t="s">
        <v>940</v>
      </c>
      <c r="C860" s="30" t="s">
        <v>1746</v>
      </c>
      <c r="D860" s="30">
        <v>0</v>
      </c>
      <c r="E860" s="30">
        <v>0</v>
      </c>
      <c r="F860" s="30">
        <v>1</v>
      </c>
      <c r="G860" s="30">
        <v>1E+100</v>
      </c>
      <c r="H860" s="31">
        <v>1</v>
      </c>
    </row>
    <row r="861" spans="2:8" x14ac:dyDescent="0.25">
      <c r="B861" s="29" t="s">
        <v>941</v>
      </c>
      <c r="C861" s="30" t="s">
        <v>1747</v>
      </c>
      <c r="D861" s="30">
        <v>0</v>
      </c>
      <c r="E861" s="30">
        <v>0</v>
      </c>
      <c r="F861" s="30">
        <v>1</v>
      </c>
      <c r="G861" s="30">
        <v>1E+100</v>
      </c>
      <c r="H861" s="31">
        <v>1</v>
      </c>
    </row>
    <row r="862" spans="2:8" x14ac:dyDescent="0.25">
      <c r="B862" s="29" t="s">
        <v>942</v>
      </c>
      <c r="C862" s="30" t="s">
        <v>1748</v>
      </c>
      <c r="D862" s="30">
        <v>0</v>
      </c>
      <c r="E862" s="30">
        <v>0</v>
      </c>
      <c r="F862" s="30">
        <v>1</v>
      </c>
      <c r="G862" s="30">
        <v>1E+100</v>
      </c>
      <c r="H862" s="31">
        <v>1</v>
      </c>
    </row>
    <row r="863" spans="2:8" x14ac:dyDescent="0.25">
      <c r="B863" s="29" t="s">
        <v>943</v>
      </c>
      <c r="C863" s="30" t="s">
        <v>1749</v>
      </c>
      <c r="D863" s="30">
        <v>0</v>
      </c>
      <c r="E863" s="30">
        <v>0</v>
      </c>
      <c r="F863" s="30">
        <v>1</v>
      </c>
      <c r="G863" s="30">
        <v>1E+100</v>
      </c>
      <c r="H863" s="31">
        <v>1</v>
      </c>
    </row>
    <row r="864" spans="2:8" x14ac:dyDescent="0.25">
      <c r="B864" s="29" t="s">
        <v>944</v>
      </c>
      <c r="C864" s="30" t="s">
        <v>1750</v>
      </c>
      <c r="D864" s="30">
        <v>0</v>
      </c>
      <c r="E864" s="30">
        <v>0</v>
      </c>
      <c r="F864" s="30">
        <v>1</v>
      </c>
      <c r="G864" s="30">
        <v>1E+100</v>
      </c>
      <c r="H864" s="31">
        <v>1</v>
      </c>
    </row>
    <row r="865" spans="2:8" x14ac:dyDescent="0.25">
      <c r="B865" s="29" t="s">
        <v>945</v>
      </c>
      <c r="C865" s="30" t="s">
        <v>1751</v>
      </c>
      <c r="D865" s="30">
        <v>0</v>
      </c>
      <c r="E865" s="30">
        <v>0</v>
      </c>
      <c r="F865" s="30">
        <v>1</v>
      </c>
      <c r="G865" s="30">
        <v>1E+100</v>
      </c>
      <c r="H865" s="31">
        <v>1</v>
      </c>
    </row>
    <row r="866" spans="2:8" x14ac:dyDescent="0.25">
      <c r="B866" s="29" t="s">
        <v>946</v>
      </c>
      <c r="C866" s="30" t="s">
        <v>1752</v>
      </c>
      <c r="D866" s="30">
        <v>0</v>
      </c>
      <c r="E866" s="30">
        <v>0</v>
      </c>
      <c r="F866" s="30">
        <v>1</v>
      </c>
      <c r="G866" s="30">
        <v>1E+100</v>
      </c>
      <c r="H866" s="31">
        <v>1</v>
      </c>
    </row>
    <row r="867" spans="2:8" x14ac:dyDescent="0.25">
      <c r="B867" s="29" t="s">
        <v>947</v>
      </c>
      <c r="C867" s="30" t="s">
        <v>1753</v>
      </c>
      <c r="D867" s="30">
        <v>0</v>
      </c>
      <c r="E867" s="30">
        <v>0</v>
      </c>
      <c r="F867" s="30">
        <v>1</v>
      </c>
      <c r="G867" s="30">
        <v>1E+100</v>
      </c>
      <c r="H867" s="31">
        <v>1</v>
      </c>
    </row>
    <row r="868" spans="2:8" x14ac:dyDescent="0.25">
      <c r="B868" s="29" t="s">
        <v>948</v>
      </c>
      <c r="C868" s="30" t="s">
        <v>1754</v>
      </c>
      <c r="D868" s="30">
        <v>0</v>
      </c>
      <c r="E868" s="30">
        <v>0</v>
      </c>
      <c r="F868" s="30">
        <v>1</v>
      </c>
      <c r="G868" s="30">
        <v>1E+100</v>
      </c>
      <c r="H868" s="31">
        <v>1</v>
      </c>
    </row>
    <row r="869" spans="2:8" x14ac:dyDescent="0.25">
      <c r="B869" s="29" t="s">
        <v>949</v>
      </c>
      <c r="C869" s="30" t="s">
        <v>1755</v>
      </c>
      <c r="D869" s="30">
        <v>0</v>
      </c>
      <c r="E869" s="30">
        <v>0</v>
      </c>
      <c r="F869" s="30">
        <v>1</v>
      </c>
      <c r="G869" s="30">
        <v>1E+100</v>
      </c>
      <c r="H869" s="31">
        <v>1</v>
      </c>
    </row>
    <row r="870" spans="2:8" x14ac:dyDescent="0.25">
      <c r="B870" s="29" t="s">
        <v>950</v>
      </c>
      <c r="C870" s="30" t="s">
        <v>1756</v>
      </c>
      <c r="D870" s="30">
        <v>0</v>
      </c>
      <c r="E870" s="30">
        <v>0</v>
      </c>
      <c r="F870" s="30">
        <v>1</v>
      </c>
      <c r="G870" s="30">
        <v>1E+100</v>
      </c>
      <c r="H870" s="31">
        <v>1</v>
      </c>
    </row>
    <row r="871" spans="2:8" x14ac:dyDescent="0.25">
      <c r="B871" s="29" t="s">
        <v>951</v>
      </c>
      <c r="C871" s="30" t="s">
        <v>1757</v>
      </c>
      <c r="D871" s="30">
        <v>0</v>
      </c>
      <c r="E871" s="30">
        <v>0</v>
      </c>
      <c r="F871" s="30">
        <v>1</v>
      </c>
      <c r="G871" s="30">
        <v>1E+100</v>
      </c>
      <c r="H871" s="31">
        <v>1</v>
      </c>
    </row>
    <row r="872" spans="2:8" x14ac:dyDescent="0.25">
      <c r="B872" s="29" t="s">
        <v>952</v>
      </c>
      <c r="C872" s="30" t="s">
        <v>1758</v>
      </c>
      <c r="D872" s="30">
        <v>0</v>
      </c>
      <c r="E872" s="30">
        <v>0</v>
      </c>
      <c r="F872" s="30">
        <v>1</v>
      </c>
      <c r="G872" s="30">
        <v>1E+100</v>
      </c>
      <c r="H872" s="31">
        <v>1</v>
      </c>
    </row>
    <row r="873" spans="2:8" x14ac:dyDescent="0.25">
      <c r="B873" s="29" t="s">
        <v>953</v>
      </c>
      <c r="C873" s="30" t="s">
        <v>1759</v>
      </c>
      <c r="D873" s="30">
        <v>0</v>
      </c>
      <c r="E873" s="30">
        <v>0</v>
      </c>
      <c r="F873" s="30">
        <v>1</v>
      </c>
      <c r="G873" s="30">
        <v>1E+100</v>
      </c>
      <c r="H873" s="31">
        <v>1</v>
      </c>
    </row>
    <row r="874" spans="2:8" x14ac:dyDescent="0.25">
      <c r="B874" s="29" t="s">
        <v>954</v>
      </c>
      <c r="C874" s="30" t="s">
        <v>1760</v>
      </c>
      <c r="D874" s="30">
        <v>0</v>
      </c>
      <c r="E874" s="30">
        <v>0</v>
      </c>
      <c r="F874" s="30">
        <v>1</v>
      </c>
      <c r="G874" s="30">
        <v>1E+100</v>
      </c>
      <c r="H874" s="31">
        <v>1</v>
      </c>
    </row>
    <row r="875" spans="2:8" x14ac:dyDescent="0.25">
      <c r="B875" s="29" t="s">
        <v>955</v>
      </c>
      <c r="C875" s="30" t="s">
        <v>1761</v>
      </c>
      <c r="D875" s="30">
        <v>0</v>
      </c>
      <c r="E875" s="30">
        <v>0</v>
      </c>
      <c r="F875" s="30">
        <v>1</v>
      </c>
      <c r="G875" s="30">
        <v>1E+100</v>
      </c>
      <c r="H875" s="31">
        <v>1</v>
      </c>
    </row>
    <row r="876" spans="2:8" x14ac:dyDescent="0.25">
      <c r="B876" s="29" t="s">
        <v>956</v>
      </c>
      <c r="C876" s="30" t="s">
        <v>1762</v>
      </c>
      <c r="D876" s="30">
        <v>0</v>
      </c>
      <c r="E876" s="30">
        <v>0</v>
      </c>
      <c r="F876" s="30">
        <v>1</v>
      </c>
      <c r="G876" s="30">
        <v>1E+100</v>
      </c>
      <c r="H876" s="31">
        <v>1</v>
      </c>
    </row>
    <row r="877" spans="2:8" x14ac:dyDescent="0.25">
      <c r="B877" s="29" t="s">
        <v>957</v>
      </c>
      <c r="C877" s="30" t="s">
        <v>1763</v>
      </c>
      <c r="D877" s="30">
        <v>0</v>
      </c>
      <c r="E877" s="30">
        <v>0</v>
      </c>
      <c r="F877" s="30">
        <v>1</v>
      </c>
      <c r="G877" s="30">
        <v>1E+100</v>
      </c>
      <c r="H877" s="31">
        <v>1</v>
      </c>
    </row>
    <row r="878" spans="2:8" x14ac:dyDescent="0.25">
      <c r="B878" s="29" t="s">
        <v>958</v>
      </c>
      <c r="C878" s="30" t="s">
        <v>1764</v>
      </c>
      <c r="D878" s="30">
        <v>0</v>
      </c>
      <c r="E878" s="30">
        <v>0</v>
      </c>
      <c r="F878" s="30">
        <v>1</v>
      </c>
      <c r="G878" s="30">
        <v>1E+100</v>
      </c>
      <c r="H878" s="31">
        <v>1</v>
      </c>
    </row>
    <row r="879" spans="2:8" x14ac:dyDescent="0.25">
      <c r="B879" s="29" t="s">
        <v>959</v>
      </c>
      <c r="C879" s="30" t="s">
        <v>1765</v>
      </c>
      <c r="D879" s="30">
        <v>0</v>
      </c>
      <c r="E879" s="30">
        <v>0</v>
      </c>
      <c r="F879" s="30">
        <v>1</v>
      </c>
      <c r="G879" s="30">
        <v>1E+100</v>
      </c>
      <c r="H879" s="31">
        <v>1</v>
      </c>
    </row>
    <row r="880" spans="2:8" x14ac:dyDescent="0.25">
      <c r="B880" s="29" t="s">
        <v>960</v>
      </c>
      <c r="C880" s="30" t="s">
        <v>1766</v>
      </c>
      <c r="D880" s="30">
        <v>0</v>
      </c>
      <c r="E880" s="30">
        <v>0</v>
      </c>
      <c r="F880" s="30">
        <v>1</v>
      </c>
      <c r="G880" s="30">
        <v>1E+100</v>
      </c>
      <c r="H880" s="31">
        <v>1</v>
      </c>
    </row>
    <row r="881" spans="2:8" x14ac:dyDescent="0.25">
      <c r="B881" s="29" t="s">
        <v>961</v>
      </c>
      <c r="C881" s="30" t="s">
        <v>1767</v>
      </c>
      <c r="D881" s="30">
        <v>0</v>
      </c>
      <c r="E881" s="30">
        <v>0</v>
      </c>
      <c r="F881" s="30">
        <v>1</v>
      </c>
      <c r="G881" s="30">
        <v>1E+100</v>
      </c>
      <c r="H881" s="31">
        <v>1</v>
      </c>
    </row>
    <row r="882" spans="2:8" x14ac:dyDescent="0.25">
      <c r="B882" s="29" t="s">
        <v>962</v>
      </c>
      <c r="C882" s="30" t="s">
        <v>1768</v>
      </c>
      <c r="D882" s="30">
        <v>0</v>
      </c>
      <c r="E882" s="30">
        <v>0</v>
      </c>
      <c r="F882" s="30">
        <v>1</v>
      </c>
      <c r="G882" s="30">
        <v>1E+100</v>
      </c>
      <c r="H882" s="31">
        <v>1</v>
      </c>
    </row>
    <row r="883" spans="2:8" x14ac:dyDescent="0.25">
      <c r="B883" s="29" t="s">
        <v>963</v>
      </c>
      <c r="C883" s="30" t="s">
        <v>1769</v>
      </c>
      <c r="D883" s="30">
        <v>0</v>
      </c>
      <c r="E883" s="30">
        <v>0</v>
      </c>
      <c r="F883" s="30">
        <v>1</v>
      </c>
      <c r="G883" s="30">
        <v>1E+100</v>
      </c>
      <c r="H883" s="31">
        <v>1</v>
      </c>
    </row>
    <row r="884" spans="2:8" x14ac:dyDescent="0.25">
      <c r="B884" s="29" t="s">
        <v>964</v>
      </c>
      <c r="C884" s="30" t="s">
        <v>1770</v>
      </c>
      <c r="D884" s="30">
        <v>0</v>
      </c>
      <c r="E884" s="30">
        <v>0</v>
      </c>
      <c r="F884" s="30">
        <v>1</v>
      </c>
      <c r="G884" s="30">
        <v>1E+100</v>
      </c>
      <c r="H884" s="31">
        <v>1</v>
      </c>
    </row>
    <row r="885" spans="2:8" x14ac:dyDescent="0.25">
      <c r="B885" s="29" t="s">
        <v>965</v>
      </c>
      <c r="C885" s="30" t="s">
        <v>1771</v>
      </c>
      <c r="D885" s="30">
        <v>0</v>
      </c>
      <c r="E885" s="30">
        <v>0</v>
      </c>
      <c r="F885" s="30">
        <v>1</v>
      </c>
      <c r="G885" s="30">
        <v>1E+100</v>
      </c>
      <c r="H885" s="31">
        <v>1</v>
      </c>
    </row>
    <row r="886" spans="2:8" x14ac:dyDescent="0.25">
      <c r="B886" s="29" t="s">
        <v>966</v>
      </c>
      <c r="C886" s="30" t="s">
        <v>1772</v>
      </c>
      <c r="D886" s="30">
        <v>0</v>
      </c>
      <c r="E886" s="30">
        <v>0</v>
      </c>
      <c r="F886" s="30">
        <v>1</v>
      </c>
      <c r="G886" s="30">
        <v>1E+100</v>
      </c>
      <c r="H886" s="31">
        <v>1</v>
      </c>
    </row>
    <row r="887" spans="2:8" x14ac:dyDescent="0.25">
      <c r="B887" s="29" t="s">
        <v>967</v>
      </c>
      <c r="C887" s="30" t="s">
        <v>1773</v>
      </c>
      <c r="D887" s="30">
        <v>0</v>
      </c>
      <c r="E887" s="30">
        <v>0</v>
      </c>
      <c r="F887" s="30">
        <v>1</v>
      </c>
      <c r="G887" s="30">
        <v>1E+100</v>
      </c>
      <c r="H887" s="31">
        <v>1</v>
      </c>
    </row>
    <row r="888" spans="2:8" x14ac:dyDescent="0.25">
      <c r="B888" s="29" t="s">
        <v>968</v>
      </c>
      <c r="C888" s="30" t="s">
        <v>1774</v>
      </c>
      <c r="D888" s="30">
        <v>0</v>
      </c>
      <c r="E888" s="30">
        <v>0</v>
      </c>
      <c r="F888" s="30">
        <v>1</v>
      </c>
      <c r="G888" s="30">
        <v>1E+100</v>
      </c>
      <c r="H888" s="31">
        <v>1</v>
      </c>
    </row>
    <row r="889" spans="2:8" x14ac:dyDescent="0.25">
      <c r="B889" s="29" t="s">
        <v>969</v>
      </c>
      <c r="C889" s="30" t="s">
        <v>1775</v>
      </c>
      <c r="D889" s="30">
        <v>0</v>
      </c>
      <c r="E889" s="30">
        <v>0</v>
      </c>
      <c r="F889" s="30">
        <v>1</v>
      </c>
      <c r="G889" s="30">
        <v>1E+100</v>
      </c>
      <c r="H889" s="31">
        <v>1</v>
      </c>
    </row>
    <row r="890" spans="2:8" x14ac:dyDescent="0.25">
      <c r="B890" s="29" t="s">
        <v>970</v>
      </c>
      <c r="C890" s="30" t="s">
        <v>1776</v>
      </c>
      <c r="D890" s="30">
        <v>0</v>
      </c>
      <c r="E890" s="30">
        <v>0</v>
      </c>
      <c r="F890" s="30">
        <v>1</v>
      </c>
      <c r="G890" s="30">
        <v>1E+100</v>
      </c>
      <c r="H890" s="31">
        <v>1</v>
      </c>
    </row>
    <row r="891" spans="2:8" x14ac:dyDescent="0.25">
      <c r="B891" s="29" t="s">
        <v>971</v>
      </c>
      <c r="C891" s="30" t="s">
        <v>1777</v>
      </c>
      <c r="D891" s="30">
        <v>0</v>
      </c>
      <c r="E891" s="30">
        <v>0</v>
      </c>
      <c r="F891" s="30">
        <v>1</v>
      </c>
      <c r="G891" s="30">
        <v>1E+100</v>
      </c>
      <c r="H891" s="31">
        <v>1</v>
      </c>
    </row>
    <row r="892" spans="2:8" x14ac:dyDescent="0.25">
      <c r="B892" s="29" t="s">
        <v>972</v>
      </c>
      <c r="C892" s="30" t="s">
        <v>1778</v>
      </c>
      <c r="D892" s="30">
        <v>0</v>
      </c>
      <c r="E892" s="30">
        <v>0</v>
      </c>
      <c r="F892" s="30">
        <v>1</v>
      </c>
      <c r="G892" s="30">
        <v>1E+100</v>
      </c>
      <c r="H892" s="31">
        <v>1</v>
      </c>
    </row>
    <row r="893" spans="2:8" x14ac:dyDescent="0.25">
      <c r="B893" s="29" t="s">
        <v>973</v>
      </c>
      <c r="C893" s="30" t="s">
        <v>1779</v>
      </c>
      <c r="D893" s="30">
        <v>0</v>
      </c>
      <c r="E893" s="30">
        <v>0</v>
      </c>
      <c r="F893" s="30">
        <v>1</v>
      </c>
      <c r="G893" s="30">
        <v>1E+100</v>
      </c>
      <c r="H893" s="31">
        <v>1</v>
      </c>
    </row>
    <row r="894" spans="2:8" x14ac:dyDescent="0.25">
      <c r="B894" s="29" t="s">
        <v>974</v>
      </c>
      <c r="C894" s="30" t="s">
        <v>1780</v>
      </c>
      <c r="D894" s="30">
        <v>0</v>
      </c>
      <c r="E894" s="30">
        <v>0</v>
      </c>
      <c r="F894" s="30">
        <v>1</v>
      </c>
      <c r="G894" s="30">
        <v>1E+100</v>
      </c>
      <c r="H894" s="31">
        <v>1</v>
      </c>
    </row>
    <row r="895" spans="2:8" x14ac:dyDescent="0.25">
      <c r="B895" s="29" t="s">
        <v>975</v>
      </c>
      <c r="C895" s="30" t="s">
        <v>1781</v>
      </c>
      <c r="D895" s="30">
        <v>0</v>
      </c>
      <c r="E895" s="30">
        <v>0</v>
      </c>
      <c r="F895" s="30">
        <v>1</v>
      </c>
      <c r="G895" s="30">
        <v>1E+100</v>
      </c>
      <c r="H895" s="31">
        <v>1</v>
      </c>
    </row>
    <row r="896" spans="2:8" x14ac:dyDescent="0.25">
      <c r="B896" s="29" t="s">
        <v>976</v>
      </c>
      <c r="C896" s="30" t="s">
        <v>1782</v>
      </c>
      <c r="D896" s="30">
        <v>0</v>
      </c>
      <c r="E896" s="30">
        <v>0</v>
      </c>
      <c r="F896" s="30">
        <v>1</v>
      </c>
      <c r="G896" s="30">
        <v>1E+100</v>
      </c>
      <c r="H896" s="31">
        <v>1</v>
      </c>
    </row>
    <row r="897" spans="2:8" x14ac:dyDescent="0.25">
      <c r="B897" s="29" t="s">
        <v>977</v>
      </c>
      <c r="C897" s="30" t="s">
        <v>1783</v>
      </c>
      <c r="D897" s="30">
        <v>0</v>
      </c>
      <c r="E897" s="30">
        <v>0</v>
      </c>
      <c r="F897" s="30">
        <v>1</v>
      </c>
      <c r="G897" s="30">
        <v>1E+100</v>
      </c>
      <c r="H897" s="31">
        <v>1</v>
      </c>
    </row>
    <row r="898" spans="2:8" x14ac:dyDescent="0.25">
      <c r="B898" s="29" t="s">
        <v>978</v>
      </c>
      <c r="C898" s="30" t="s">
        <v>1784</v>
      </c>
      <c r="D898" s="30">
        <v>0</v>
      </c>
      <c r="E898" s="30">
        <v>0</v>
      </c>
      <c r="F898" s="30">
        <v>1</v>
      </c>
      <c r="G898" s="30">
        <v>1E+100</v>
      </c>
      <c r="H898" s="31">
        <v>1</v>
      </c>
    </row>
    <row r="899" spans="2:8" x14ac:dyDescent="0.25">
      <c r="B899" s="29" t="s">
        <v>979</v>
      </c>
      <c r="C899" s="30" t="s">
        <v>1785</v>
      </c>
      <c r="D899" s="30">
        <v>0</v>
      </c>
      <c r="E899" s="30">
        <v>0</v>
      </c>
      <c r="F899" s="30">
        <v>1</v>
      </c>
      <c r="G899" s="30">
        <v>1E+100</v>
      </c>
      <c r="H899" s="31">
        <v>1</v>
      </c>
    </row>
    <row r="900" spans="2:8" x14ac:dyDescent="0.25">
      <c r="B900" s="29" t="s">
        <v>980</v>
      </c>
      <c r="C900" s="30" t="s">
        <v>1786</v>
      </c>
      <c r="D900" s="30">
        <v>0</v>
      </c>
      <c r="E900" s="30">
        <v>0</v>
      </c>
      <c r="F900" s="30">
        <v>1</v>
      </c>
      <c r="G900" s="30">
        <v>1E+100</v>
      </c>
      <c r="H900" s="31">
        <v>1</v>
      </c>
    </row>
    <row r="901" spans="2:8" x14ac:dyDescent="0.25">
      <c r="B901" s="29" t="s">
        <v>981</v>
      </c>
      <c r="C901" s="30" t="s">
        <v>1787</v>
      </c>
      <c r="D901" s="30">
        <v>0</v>
      </c>
      <c r="E901" s="30">
        <v>0</v>
      </c>
      <c r="F901" s="30">
        <v>1</v>
      </c>
      <c r="G901" s="30">
        <v>1E+100</v>
      </c>
      <c r="H901" s="31">
        <v>1</v>
      </c>
    </row>
    <row r="902" spans="2:8" x14ac:dyDescent="0.25">
      <c r="B902" s="29" t="s">
        <v>982</v>
      </c>
      <c r="C902" s="30" t="s">
        <v>1788</v>
      </c>
      <c r="D902" s="30">
        <v>0</v>
      </c>
      <c r="E902" s="30">
        <v>0</v>
      </c>
      <c r="F902" s="30">
        <v>1</v>
      </c>
      <c r="G902" s="30">
        <v>1E+100</v>
      </c>
      <c r="H902" s="31">
        <v>1</v>
      </c>
    </row>
    <row r="903" spans="2:8" x14ac:dyDescent="0.25">
      <c r="B903" s="29" t="s">
        <v>983</v>
      </c>
      <c r="C903" s="30" t="s">
        <v>1789</v>
      </c>
      <c r="D903" s="30">
        <v>0</v>
      </c>
      <c r="E903" s="30">
        <v>0</v>
      </c>
      <c r="F903" s="30">
        <v>1</v>
      </c>
      <c r="G903" s="30">
        <v>1E+100</v>
      </c>
      <c r="H903" s="31">
        <v>1</v>
      </c>
    </row>
    <row r="904" spans="2:8" x14ac:dyDescent="0.25">
      <c r="B904" s="29" t="s">
        <v>984</v>
      </c>
      <c r="C904" s="30" t="s">
        <v>1790</v>
      </c>
      <c r="D904" s="30">
        <v>0</v>
      </c>
      <c r="E904" s="30">
        <v>0</v>
      </c>
      <c r="F904" s="30">
        <v>1</v>
      </c>
      <c r="G904" s="30">
        <v>1E+100</v>
      </c>
      <c r="H904" s="31">
        <v>1</v>
      </c>
    </row>
    <row r="905" spans="2:8" x14ac:dyDescent="0.25">
      <c r="B905" s="29" t="s">
        <v>985</v>
      </c>
      <c r="C905" s="30" t="s">
        <v>1791</v>
      </c>
      <c r="D905" s="30">
        <v>0</v>
      </c>
      <c r="E905" s="30">
        <v>0</v>
      </c>
      <c r="F905" s="30">
        <v>1</v>
      </c>
      <c r="G905" s="30">
        <v>1E+100</v>
      </c>
      <c r="H905" s="31">
        <v>1</v>
      </c>
    </row>
    <row r="906" spans="2:8" x14ac:dyDescent="0.25">
      <c r="B906" s="29" t="s">
        <v>986</v>
      </c>
      <c r="C906" s="30" t="s">
        <v>1792</v>
      </c>
      <c r="D906" s="30">
        <v>0</v>
      </c>
      <c r="E906" s="30">
        <v>0</v>
      </c>
      <c r="F906" s="30">
        <v>1</v>
      </c>
      <c r="G906" s="30">
        <v>1E+100</v>
      </c>
      <c r="H906" s="31">
        <v>1</v>
      </c>
    </row>
    <row r="907" spans="2:8" x14ac:dyDescent="0.25">
      <c r="B907" s="29" t="s">
        <v>987</v>
      </c>
      <c r="C907" s="30" t="s">
        <v>1793</v>
      </c>
      <c r="D907" s="30">
        <v>0</v>
      </c>
      <c r="E907" s="30">
        <v>0</v>
      </c>
      <c r="F907" s="30">
        <v>1</v>
      </c>
      <c r="G907" s="30">
        <v>1E+100</v>
      </c>
      <c r="H907" s="31">
        <v>1</v>
      </c>
    </row>
    <row r="908" spans="2:8" x14ac:dyDescent="0.25">
      <c r="B908" s="29" t="s">
        <v>988</v>
      </c>
      <c r="C908" s="30" t="s">
        <v>1794</v>
      </c>
      <c r="D908" s="30">
        <v>0</v>
      </c>
      <c r="E908" s="30">
        <v>0</v>
      </c>
      <c r="F908" s="30">
        <v>1</v>
      </c>
      <c r="G908" s="30">
        <v>1E+100</v>
      </c>
      <c r="H908" s="31">
        <v>1</v>
      </c>
    </row>
    <row r="909" spans="2:8" x14ac:dyDescent="0.25">
      <c r="B909" s="29" t="s">
        <v>989</v>
      </c>
      <c r="C909" s="30" t="s">
        <v>1795</v>
      </c>
      <c r="D909" s="30">
        <v>0</v>
      </c>
      <c r="E909" s="30">
        <v>0</v>
      </c>
      <c r="F909" s="30">
        <v>1</v>
      </c>
      <c r="G909" s="30">
        <v>1E+100</v>
      </c>
      <c r="H909" s="31">
        <v>1</v>
      </c>
    </row>
    <row r="910" spans="2:8" x14ac:dyDescent="0.25">
      <c r="B910" s="29" t="s">
        <v>990</v>
      </c>
      <c r="C910" s="30" t="s">
        <v>1796</v>
      </c>
      <c r="D910" s="30">
        <v>0</v>
      </c>
      <c r="E910" s="30">
        <v>0</v>
      </c>
      <c r="F910" s="30">
        <v>1</v>
      </c>
      <c r="G910" s="30">
        <v>1E+100</v>
      </c>
      <c r="H910" s="31">
        <v>1</v>
      </c>
    </row>
    <row r="911" spans="2:8" x14ac:dyDescent="0.25">
      <c r="B911" s="29" t="s">
        <v>991</v>
      </c>
      <c r="C911" s="30" t="s">
        <v>1797</v>
      </c>
      <c r="D911" s="30">
        <v>0</v>
      </c>
      <c r="E911" s="30">
        <v>0</v>
      </c>
      <c r="F911" s="30">
        <v>1</v>
      </c>
      <c r="G911" s="30">
        <v>1E+100</v>
      </c>
      <c r="H911" s="31">
        <v>1</v>
      </c>
    </row>
    <row r="912" spans="2:8" x14ac:dyDescent="0.25">
      <c r="B912" s="29" t="s">
        <v>992</v>
      </c>
      <c r="C912" s="30" t="s">
        <v>1798</v>
      </c>
      <c r="D912" s="30">
        <v>0</v>
      </c>
      <c r="E912" s="30">
        <v>0</v>
      </c>
      <c r="F912" s="30">
        <v>1</v>
      </c>
      <c r="G912" s="30">
        <v>1E+100</v>
      </c>
      <c r="H912" s="31">
        <v>1</v>
      </c>
    </row>
    <row r="913" spans="2:8" x14ac:dyDescent="0.25">
      <c r="B913" s="29" t="s">
        <v>993</v>
      </c>
      <c r="C913" s="30" t="s">
        <v>1799</v>
      </c>
      <c r="D913" s="30">
        <v>0</v>
      </c>
      <c r="E913" s="30">
        <v>0</v>
      </c>
      <c r="F913" s="30">
        <v>1</v>
      </c>
      <c r="G913" s="30">
        <v>1E+100</v>
      </c>
      <c r="H913" s="31">
        <v>1</v>
      </c>
    </row>
    <row r="914" spans="2:8" x14ac:dyDescent="0.25">
      <c r="B914" s="29" t="s">
        <v>994</v>
      </c>
      <c r="C914" s="30" t="s">
        <v>1800</v>
      </c>
      <c r="D914" s="30">
        <v>0</v>
      </c>
      <c r="E914" s="30">
        <v>0</v>
      </c>
      <c r="F914" s="30">
        <v>1</v>
      </c>
      <c r="G914" s="30">
        <v>1E+100</v>
      </c>
      <c r="H914" s="31">
        <v>1</v>
      </c>
    </row>
    <row r="915" spans="2:8" x14ac:dyDescent="0.25">
      <c r="B915" s="29" t="s">
        <v>995</v>
      </c>
      <c r="C915" s="30" t="s">
        <v>1801</v>
      </c>
      <c r="D915" s="30">
        <v>0</v>
      </c>
      <c r="E915" s="30">
        <v>0</v>
      </c>
      <c r="F915" s="30">
        <v>1</v>
      </c>
      <c r="G915" s="30">
        <v>1E+100</v>
      </c>
      <c r="H915" s="31">
        <v>1</v>
      </c>
    </row>
    <row r="916" spans="2:8" x14ac:dyDescent="0.25">
      <c r="B916" s="29" t="s">
        <v>996</v>
      </c>
      <c r="C916" s="30" t="s">
        <v>1802</v>
      </c>
      <c r="D916" s="30">
        <v>0</v>
      </c>
      <c r="E916" s="30">
        <v>0</v>
      </c>
      <c r="F916" s="30">
        <v>1</v>
      </c>
      <c r="G916" s="30">
        <v>1E+100</v>
      </c>
      <c r="H916" s="31">
        <v>1</v>
      </c>
    </row>
    <row r="917" spans="2:8" x14ac:dyDescent="0.25">
      <c r="B917" s="29" t="s">
        <v>997</v>
      </c>
      <c r="C917" s="30" t="s">
        <v>1803</v>
      </c>
      <c r="D917" s="30">
        <v>0</v>
      </c>
      <c r="E917" s="30">
        <v>0</v>
      </c>
      <c r="F917" s="30">
        <v>1</v>
      </c>
      <c r="G917" s="30">
        <v>1E+100</v>
      </c>
      <c r="H917" s="31">
        <v>1</v>
      </c>
    </row>
    <row r="918" spans="2:8" x14ac:dyDescent="0.25">
      <c r="B918" s="29" t="s">
        <v>998</v>
      </c>
      <c r="C918" s="30" t="s">
        <v>1804</v>
      </c>
      <c r="D918" s="30">
        <v>0</v>
      </c>
      <c r="E918" s="30">
        <v>0</v>
      </c>
      <c r="F918" s="30">
        <v>1</v>
      </c>
      <c r="G918" s="30">
        <v>1E+100</v>
      </c>
      <c r="H918" s="31">
        <v>1</v>
      </c>
    </row>
    <row r="919" spans="2:8" x14ac:dyDescent="0.25">
      <c r="B919" s="29" t="s">
        <v>999</v>
      </c>
      <c r="C919" s="30" t="s">
        <v>1805</v>
      </c>
      <c r="D919" s="30">
        <v>0</v>
      </c>
      <c r="E919" s="30">
        <v>0</v>
      </c>
      <c r="F919" s="30">
        <v>1</v>
      </c>
      <c r="G919" s="30">
        <v>1E+100</v>
      </c>
      <c r="H919" s="31">
        <v>1</v>
      </c>
    </row>
    <row r="920" spans="2:8" x14ac:dyDescent="0.25">
      <c r="B920" s="29" t="s">
        <v>1000</v>
      </c>
      <c r="C920" s="30" t="s">
        <v>1806</v>
      </c>
      <c r="D920" s="30">
        <v>0</v>
      </c>
      <c r="E920" s="30">
        <v>0</v>
      </c>
      <c r="F920" s="30">
        <v>1</v>
      </c>
      <c r="G920" s="30">
        <v>1E+100</v>
      </c>
      <c r="H920" s="31">
        <v>1</v>
      </c>
    </row>
    <row r="921" spans="2:8" x14ac:dyDescent="0.25">
      <c r="B921" s="29" t="s">
        <v>1001</v>
      </c>
      <c r="C921" s="30" t="s">
        <v>1807</v>
      </c>
      <c r="D921" s="30">
        <v>0</v>
      </c>
      <c r="E921" s="30">
        <v>0</v>
      </c>
      <c r="F921" s="30">
        <v>1</v>
      </c>
      <c r="G921" s="30">
        <v>1E+100</v>
      </c>
      <c r="H921" s="31">
        <v>1</v>
      </c>
    </row>
    <row r="922" spans="2:8" x14ac:dyDescent="0.25">
      <c r="B922" s="29" t="s">
        <v>1002</v>
      </c>
      <c r="C922" s="30" t="s">
        <v>1808</v>
      </c>
      <c r="D922" s="30">
        <v>0</v>
      </c>
      <c r="E922" s="30">
        <v>0</v>
      </c>
      <c r="F922" s="30">
        <v>1</v>
      </c>
      <c r="G922" s="30">
        <v>1E+100</v>
      </c>
      <c r="H922" s="31">
        <v>1</v>
      </c>
    </row>
    <row r="923" spans="2:8" x14ac:dyDescent="0.25">
      <c r="B923" s="29" t="s">
        <v>1003</v>
      </c>
      <c r="C923" s="30" t="s">
        <v>1809</v>
      </c>
      <c r="D923" s="30">
        <v>0</v>
      </c>
      <c r="E923" s="30">
        <v>0</v>
      </c>
      <c r="F923" s="30">
        <v>1</v>
      </c>
      <c r="G923" s="30">
        <v>1E+100</v>
      </c>
      <c r="H923" s="31">
        <v>1</v>
      </c>
    </row>
    <row r="924" spans="2:8" x14ac:dyDescent="0.25">
      <c r="B924" s="29" t="s">
        <v>1004</v>
      </c>
      <c r="C924" s="30" t="s">
        <v>1810</v>
      </c>
      <c r="D924" s="30">
        <v>0</v>
      </c>
      <c r="E924" s="30">
        <v>0</v>
      </c>
      <c r="F924" s="30">
        <v>1</v>
      </c>
      <c r="G924" s="30">
        <v>1E+100</v>
      </c>
      <c r="H924" s="31">
        <v>1</v>
      </c>
    </row>
    <row r="925" spans="2:8" x14ac:dyDescent="0.25">
      <c r="B925" s="29" t="s">
        <v>1005</v>
      </c>
      <c r="C925" s="30" t="s">
        <v>1811</v>
      </c>
      <c r="D925" s="30">
        <v>0</v>
      </c>
      <c r="E925" s="30">
        <v>0</v>
      </c>
      <c r="F925" s="30">
        <v>1</v>
      </c>
      <c r="G925" s="30">
        <v>1E+100</v>
      </c>
      <c r="H925" s="31">
        <v>1</v>
      </c>
    </row>
    <row r="926" spans="2:8" x14ac:dyDescent="0.25">
      <c r="B926" s="29" t="s">
        <v>1006</v>
      </c>
      <c r="C926" s="30" t="s">
        <v>1812</v>
      </c>
      <c r="D926" s="30">
        <v>0</v>
      </c>
      <c r="E926" s="30">
        <v>0</v>
      </c>
      <c r="F926" s="30">
        <v>1</v>
      </c>
      <c r="G926" s="30">
        <v>1E+100</v>
      </c>
      <c r="H926" s="31">
        <v>1</v>
      </c>
    </row>
    <row r="927" spans="2:8" x14ac:dyDescent="0.25">
      <c r="B927" s="29" t="s">
        <v>1007</v>
      </c>
      <c r="C927" s="30" t="s">
        <v>1813</v>
      </c>
      <c r="D927" s="30">
        <v>0</v>
      </c>
      <c r="E927" s="30">
        <v>0</v>
      </c>
      <c r="F927" s="30">
        <v>1</v>
      </c>
      <c r="G927" s="30">
        <v>1E+100</v>
      </c>
      <c r="H927" s="31">
        <v>1</v>
      </c>
    </row>
    <row r="928" spans="2:8" x14ac:dyDescent="0.25">
      <c r="B928" s="29" t="s">
        <v>1008</v>
      </c>
      <c r="C928" s="30" t="s">
        <v>1814</v>
      </c>
      <c r="D928" s="30">
        <v>0</v>
      </c>
      <c r="E928" s="30">
        <v>0</v>
      </c>
      <c r="F928" s="30">
        <v>1</v>
      </c>
      <c r="G928" s="30">
        <v>1E+100</v>
      </c>
      <c r="H928" s="31">
        <v>1</v>
      </c>
    </row>
    <row r="929" spans="2:8" x14ac:dyDescent="0.25">
      <c r="B929" s="29" t="s">
        <v>1009</v>
      </c>
      <c r="C929" s="30" t="s">
        <v>1815</v>
      </c>
      <c r="D929" s="30">
        <v>0</v>
      </c>
      <c r="E929" s="30">
        <v>0</v>
      </c>
      <c r="F929" s="30">
        <v>1</v>
      </c>
      <c r="G929" s="30">
        <v>1E+100</v>
      </c>
      <c r="H929" s="31">
        <v>1</v>
      </c>
    </row>
    <row r="930" spans="2:8" x14ac:dyDescent="0.25">
      <c r="B930" s="29" t="s">
        <v>1010</v>
      </c>
      <c r="C930" s="30" t="s">
        <v>1816</v>
      </c>
      <c r="D930" s="30">
        <v>0</v>
      </c>
      <c r="E930" s="30">
        <v>0</v>
      </c>
      <c r="F930" s="30">
        <v>1</v>
      </c>
      <c r="G930" s="30">
        <v>1E+100</v>
      </c>
      <c r="H930" s="31">
        <v>1</v>
      </c>
    </row>
    <row r="931" spans="2:8" x14ac:dyDescent="0.25">
      <c r="B931" s="29" t="s">
        <v>1011</v>
      </c>
      <c r="C931" s="30" t="s">
        <v>1817</v>
      </c>
      <c r="D931" s="30">
        <v>0</v>
      </c>
      <c r="E931" s="30">
        <v>0</v>
      </c>
      <c r="F931" s="30">
        <v>1</v>
      </c>
      <c r="G931" s="30">
        <v>1E+100</v>
      </c>
      <c r="H931" s="31">
        <v>1</v>
      </c>
    </row>
    <row r="932" spans="2:8" x14ac:dyDescent="0.25">
      <c r="B932" s="29" t="s">
        <v>1012</v>
      </c>
      <c r="C932" s="30" t="s">
        <v>1818</v>
      </c>
      <c r="D932" s="30">
        <v>0</v>
      </c>
      <c r="E932" s="30">
        <v>0</v>
      </c>
      <c r="F932" s="30">
        <v>1</v>
      </c>
      <c r="G932" s="30">
        <v>1E+100</v>
      </c>
      <c r="H932" s="31">
        <v>1</v>
      </c>
    </row>
    <row r="933" spans="2:8" x14ac:dyDescent="0.25">
      <c r="B933" s="29" t="s">
        <v>1013</v>
      </c>
      <c r="C933" s="30" t="s">
        <v>1819</v>
      </c>
      <c r="D933" s="30">
        <v>0</v>
      </c>
      <c r="E933" s="30">
        <v>0</v>
      </c>
      <c r="F933" s="30">
        <v>1</v>
      </c>
      <c r="G933" s="30">
        <v>1E+100</v>
      </c>
      <c r="H933" s="31">
        <v>1</v>
      </c>
    </row>
    <row r="934" spans="2:8" x14ac:dyDescent="0.25">
      <c r="B934" s="29" t="s">
        <v>1014</v>
      </c>
      <c r="C934" s="30" t="s">
        <v>1820</v>
      </c>
      <c r="D934" s="30">
        <v>0</v>
      </c>
      <c r="E934" s="30">
        <v>0</v>
      </c>
      <c r="F934" s="30">
        <v>1</v>
      </c>
      <c r="G934" s="30">
        <v>1E+100</v>
      </c>
      <c r="H934" s="31">
        <v>1</v>
      </c>
    </row>
    <row r="935" spans="2:8" x14ac:dyDescent="0.25">
      <c r="B935" s="29" t="s">
        <v>1015</v>
      </c>
      <c r="C935" s="30" t="s">
        <v>1821</v>
      </c>
      <c r="D935" s="30">
        <v>0</v>
      </c>
      <c r="E935" s="30">
        <v>0</v>
      </c>
      <c r="F935" s="30">
        <v>1</v>
      </c>
      <c r="G935" s="30">
        <v>1E+100</v>
      </c>
      <c r="H935" s="31">
        <v>1</v>
      </c>
    </row>
    <row r="936" spans="2:8" x14ac:dyDescent="0.25">
      <c r="B936" s="29" t="s">
        <v>1016</v>
      </c>
      <c r="C936" s="30" t="s">
        <v>1822</v>
      </c>
      <c r="D936" s="30">
        <v>0</v>
      </c>
      <c r="E936" s="30">
        <v>0</v>
      </c>
      <c r="F936" s="30">
        <v>1</v>
      </c>
      <c r="G936" s="30">
        <v>1E+100</v>
      </c>
      <c r="H936" s="31">
        <v>1</v>
      </c>
    </row>
    <row r="937" spans="2:8" x14ac:dyDescent="0.25">
      <c r="B937" s="29" t="s">
        <v>1017</v>
      </c>
      <c r="C937" s="30" t="s">
        <v>1823</v>
      </c>
      <c r="D937" s="30">
        <v>0</v>
      </c>
      <c r="E937" s="30">
        <v>0</v>
      </c>
      <c r="F937" s="30">
        <v>1</v>
      </c>
      <c r="G937" s="30">
        <v>1E+100</v>
      </c>
      <c r="H937" s="31">
        <v>1</v>
      </c>
    </row>
    <row r="938" spans="2:8" x14ac:dyDescent="0.25">
      <c r="B938" s="29" t="s">
        <v>1018</v>
      </c>
      <c r="C938" s="30" t="s">
        <v>1824</v>
      </c>
      <c r="D938" s="30">
        <v>0</v>
      </c>
      <c r="E938" s="30">
        <v>0</v>
      </c>
      <c r="F938" s="30">
        <v>1</v>
      </c>
      <c r="G938" s="30">
        <v>1E+100</v>
      </c>
      <c r="H938" s="31">
        <v>1</v>
      </c>
    </row>
    <row r="939" spans="2:8" x14ac:dyDescent="0.25">
      <c r="B939" s="29" t="s">
        <v>1019</v>
      </c>
      <c r="C939" s="30" t="s">
        <v>1825</v>
      </c>
      <c r="D939" s="30">
        <v>0</v>
      </c>
      <c r="E939" s="30">
        <v>0</v>
      </c>
      <c r="F939" s="30">
        <v>1</v>
      </c>
      <c r="G939" s="30">
        <v>1E+100</v>
      </c>
      <c r="H939" s="31">
        <v>1</v>
      </c>
    </row>
    <row r="940" spans="2:8" x14ac:dyDescent="0.25">
      <c r="B940" s="29" t="s">
        <v>1020</v>
      </c>
      <c r="C940" s="30" t="s">
        <v>1826</v>
      </c>
      <c r="D940" s="30">
        <v>0</v>
      </c>
      <c r="E940" s="30">
        <v>0</v>
      </c>
      <c r="F940" s="30">
        <v>1</v>
      </c>
      <c r="G940" s="30">
        <v>1E+100</v>
      </c>
      <c r="H940" s="31">
        <v>1</v>
      </c>
    </row>
    <row r="941" spans="2:8" x14ac:dyDescent="0.25">
      <c r="B941" s="29" t="s">
        <v>1021</v>
      </c>
      <c r="C941" s="30" t="s">
        <v>1827</v>
      </c>
      <c r="D941" s="30">
        <v>0</v>
      </c>
      <c r="E941" s="30">
        <v>0</v>
      </c>
      <c r="F941" s="30">
        <v>1</v>
      </c>
      <c r="G941" s="30">
        <v>1E+100</v>
      </c>
      <c r="H941" s="31">
        <v>1</v>
      </c>
    </row>
    <row r="942" spans="2:8" x14ac:dyDescent="0.25">
      <c r="B942" s="29" t="s">
        <v>1022</v>
      </c>
      <c r="C942" s="30" t="s">
        <v>1828</v>
      </c>
      <c r="D942" s="30">
        <v>0</v>
      </c>
      <c r="E942" s="30">
        <v>0</v>
      </c>
      <c r="F942" s="30">
        <v>1</v>
      </c>
      <c r="G942" s="30">
        <v>1E+100</v>
      </c>
      <c r="H942" s="31">
        <v>1</v>
      </c>
    </row>
    <row r="943" spans="2:8" x14ac:dyDescent="0.25">
      <c r="B943" s="29" t="s">
        <v>1023</v>
      </c>
      <c r="C943" s="30" t="s">
        <v>1829</v>
      </c>
      <c r="D943" s="30">
        <v>0</v>
      </c>
      <c r="E943" s="30">
        <v>0</v>
      </c>
      <c r="F943" s="30">
        <v>1</v>
      </c>
      <c r="G943" s="30">
        <v>1E+100</v>
      </c>
      <c r="H943" s="31">
        <v>1</v>
      </c>
    </row>
    <row r="944" spans="2:8" x14ac:dyDescent="0.25">
      <c r="B944" s="29" t="s">
        <v>1024</v>
      </c>
      <c r="C944" s="30" t="s">
        <v>1830</v>
      </c>
      <c r="D944" s="30">
        <v>0</v>
      </c>
      <c r="E944" s="30">
        <v>0</v>
      </c>
      <c r="F944" s="30">
        <v>1</v>
      </c>
      <c r="G944" s="30">
        <v>1E+100</v>
      </c>
      <c r="H944" s="31">
        <v>1</v>
      </c>
    </row>
    <row r="945" spans="2:8" x14ac:dyDescent="0.25">
      <c r="B945" s="29" t="s">
        <v>1025</v>
      </c>
      <c r="C945" s="30" t="s">
        <v>1831</v>
      </c>
      <c r="D945" s="30">
        <v>0</v>
      </c>
      <c r="E945" s="30">
        <v>0</v>
      </c>
      <c r="F945" s="30">
        <v>1</v>
      </c>
      <c r="G945" s="30">
        <v>1E+100</v>
      </c>
      <c r="H945" s="31">
        <v>1</v>
      </c>
    </row>
    <row r="946" spans="2:8" x14ac:dyDescent="0.25">
      <c r="B946" s="29" t="s">
        <v>1026</v>
      </c>
      <c r="C946" s="30" t="s">
        <v>1832</v>
      </c>
      <c r="D946" s="30">
        <v>0</v>
      </c>
      <c r="E946" s="30">
        <v>0</v>
      </c>
      <c r="F946" s="30">
        <v>1</v>
      </c>
      <c r="G946" s="30">
        <v>1E+100</v>
      </c>
      <c r="H946" s="31">
        <v>1</v>
      </c>
    </row>
    <row r="947" spans="2:8" x14ac:dyDescent="0.25">
      <c r="B947" s="29" t="s">
        <v>1027</v>
      </c>
      <c r="C947" s="30" t="s">
        <v>1833</v>
      </c>
      <c r="D947" s="30">
        <v>0</v>
      </c>
      <c r="E947" s="30">
        <v>0</v>
      </c>
      <c r="F947" s="30">
        <v>1</v>
      </c>
      <c r="G947" s="30">
        <v>1E+100</v>
      </c>
      <c r="H947" s="31">
        <v>1</v>
      </c>
    </row>
    <row r="948" spans="2:8" x14ac:dyDescent="0.25">
      <c r="B948" s="29" t="s">
        <v>1028</v>
      </c>
      <c r="C948" s="30" t="s">
        <v>1834</v>
      </c>
      <c r="D948" s="30">
        <v>0</v>
      </c>
      <c r="E948" s="30">
        <v>0</v>
      </c>
      <c r="F948" s="30">
        <v>1</v>
      </c>
      <c r="G948" s="30">
        <v>1E+100</v>
      </c>
      <c r="H948" s="31">
        <v>1</v>
      </c>
    </row>
    <row r="949" spans="2:8" x14ac:dyDescent="0.25">
      <c r="B949" s="29" t="s">
        <v>1029</v>
      </c>
      <c r="C949" s="30" t="s">
        <v>1835</v>
      </c>
      <c r="D949" s="30">
        <v>0</v>
      </c>
      <c r="E949" s="30">
        <v>0</v>
      </c>
      <c r="F949" s="30">
        <v>1</v>
      </c>
      <c r="G949" s="30">
        <v>1E+100</v>
      </c>
      <c r="H949" s="31">
        <v>1</v>
      </c>
    </row>
    <row r="950" spans="2:8" x14ac:dyDescent="0.25">
      <c r="B950" s="29" t="s">
        <v>1030</v>
      </c>
      <c r="C950" s="30" t="s">
        <v>1836</v>
      </c>
      <c r="D950" s="30">
        <v>0</v>
      </c>
      <c r="E950" s="30">
        <v>0</v>
      </c>
      <c r="F950" s="30">
        <v>1</v>
      </c>
      <c r="G950" s="30">
        <v>1E+100</v>
      </c>
      <c r="H950" s="31">
        <v>1</v>
      </c>
    </row>
    <row r="951" spans="2:8" x14ac:dyDescent="0.25">
      <c r="B951" s="29" t="s">
        <v>1031</v>
      </c>
      <c r="C951" s="30" t="s">
        <v>1837</v>
      </c>
      <c r="D951" s="30">
        <v>0</v>
      </c>
      <c r="E951" s="30">
        <v>0</v>
      </c>
      <c r="F951" s="30">
        <v>1</v>
      </c>
      <c r="G951" s="30">
        <v>1E+100</v>
      </c>
      <c r="H951" s="31">
        <v>1</v>
      </c>
    </row>
    <row r="952" spans="2:8" x14ac:dyDescent="0.25">
      <c r="B952" s="29" t="s">
        <v>1032</v>
      </c>
      <c r="C952" s="30" t="s">
        <v>1838</v>
      </c>
      <c r="D952" s="30">
        <v>0</v>
      </c>
      <c r="E952" s="30">
        <v>0</v>
      </c>
      <c r="F952" s="30">
        <v>1</v>
      </c>
      <c r="G952" s="30">
        <v>1E+100</v>
      </c>
      <c r="H952" s="31">
        <v>1</v>
      </c>
    </row>
    <row r="953" spans="2:8" x14ac:dyDescent="0.25">
      <c r="B953" s="29" t="s">
        <v>1033</v>
      </c>
      <c r="C953" s="30" t="s">
        <v>1839</v>
      </c>
      <c r="D953" s="30">
        <v>0</v>
      </c>
      <c r="E953" s="30">
        <v>0</v>
      </c>
      <c r="F953" s="30">
        <v>1</v>
      </c>
      <c r="G953" s="30">
        <v>1E+100</v>
      </c>
      <c r="H953" s="31">
        <v>1</v>
      </c>
    </row>
    <row r="954" spans="2:8" x14ac:dyDescent="0.25">
      <c r="B954" s="29" t="s">
        <v>1034</v>
      </c>
      <c r="C954" s="30" t="s">
        <v>1840</v>
      </c>
      <c r="D954" s="30">
        <v>0</v>
      </c>
      <c r="E954" s="30">
        <v>0</v>
      </c>
      <c r="F954" s="30">
        <v>1</v>
      </c>
      <c r="G954" s="30">
        <v>1E+100</v>
      </c>
      <c r="H954" s="31">
        <v>1</v>
      </c>
    </row>
    <row r="955" spans="2:8" x14ac:dyDescent="0.25">
      <c r="B955" s="29" t="s">
        <v>1035</v>
      </c>
      <c r="C955" s="30" t="s">
        <v>1841</v>
      </c>
      <c r="D955" s="30">
        <v>0</v>
      </c>
      <c r="E955" s="30">
        <v>0</v>
      </c>
      <c r="F955" s="30">
        <v>1</v>
      </c>
      <c r="G955" s="30">
        <v>1E+100</v>
      </c>
      <c r="H955" s="31">
        <v>1</v>
      </c>
    </row>
    <row r="956" spans="2:8" x14ac:dyDescent="0.25">
      <c r="B956" s="29" t="s">
        <v>1036</v>
      </c>
      <c r="C956" s="30" t="s">
        <v>1842</v>
      </c>
      <c r="D956" s="30">
        <v>0</v>
      </c>
      <c r="E956" s="30">
        <v>0</v>
      </c>
      <c r="F956" s="30">
        <v>1</v>
      </c>
      <c r="G956" s="30">
        <v>1E+100</v>
      </c>
      <c r="H956" s="31">
        <v>1</v>
      </c>
    </row>
    <row r="957" spans="2:8" x14ac:dyDescent="0.25">
      <c r="B957" s="29" t="s">
        <v>1037</v>
      </c>
      <c r="C957" s="30" t="s">
        <v>1843</v>
      </c>
      <c r="D957" s="30">
        <v>0</v>
      </c>
      <c r="E957" s="30">
        <v>0</v>
      </c>
      <c r="F957" s="30">
        <v>1</v>
      </c>
      <c r="G957" s="30">
        <v>1E+100</v>
      </c>
      <c r="H957" s="31">
        <v>1</v>
      </c>
    </row>
    <row r="958" spans="2:8" x14ac:dyDescent="0.25">
      <c r="B958" s="29" t="s">
        <v>1038</v>
      </c>
      <c r="C958" s="30" t="s">
        <v>1844</v>
      </c>
      <c r="D958" s="30">
        <v>0</v>
      </c>
      <c r="E958" s="30">
        <v>0</v>
      </c>
      <c r="F958" s="30">
        <v>1</v>
      </c>
      <c r="G958" s="30">
        <v>1E+100</v>
      </c>
      <c r="H958" s="31">
        <v>1</v>
      </c>
    </row>
    <row r="959" spans="2:8" x14ac:dyDescent="0.25">
      <c r="B959" s="29" t="s">
        <v>1039</v>
      </c>
      <c r="C959" s="30" t="s">
        <v>1845</v>
      </c>
      <c r="D959" s="30">
        <v>0</v>
      </c>
      <c r="E959" s="30">
        <v>0</v>
      </c>
      <c r="F959" s="30">
        <v>1</v>
      </c>
      <c r="G959" s="30">
        <v>1E+100</v>
      </c>
      <c r="H959" s="31">
        <v>1</v>
      </c>
    </row>
    <row r="960" spans="2:8" x14ac:dyDescent="0.25">
      <c r="B960" s="29" t="s">
        <v>1040</v>
      </c>
      <c r="C960" s="30" t="s">
        <v>1846</v>
      </c>
      <c r="D960" s="30">
        <v>0</v>
      </c>
      <c r="E960" s="30">
        <v>0</v>
      </c>
      <c r="F960" s="30">
        <v>1</v>
      </c>
      <c r="G960" s="30">
        <v>1E+100</v>
      </c>
      <c r="H960" s="31">
        <v>1</v>
      </c>
    </row>
    <row r="961" spans="2:8" x14ac:dyDescent="0.25">
      <c r="B961" s="29" t="s">
        <v>1041</v>
      </c>
      <c r="C961" s="30" t="s">
        <v>1847</v>
      </c>
      <c r="D961" s="30">
        <v>0</v>
      </c>
      <c r="E961" s="30">
        <v>0</v>
      </c>
      <c r="F961" s="30">
        <v>1</v>
      </c>
      <c r="G961" s="30">
        <v>1E+100</v>
      </c>
      <c r="H961" s="31">
        <v>1</v>
      </c>
    </row>
    <row r="962" spans="2:8" x14ac:dyDescent="0.25">
      <c r="B962" s="29" t="s">
        <v>1042</v>
      </c>
      <c r="C962" s="30" t="s">
        <v>1848</v>
      </c>
      <c r="D962" s="30">
        <v>0</v>
      </c>
      <c r="E962" s="30">
        <v>0</v>
      </c>
      <c r="F962" s="30">
        <v>1</v>
      </c>
      <c r="G962" s="30">
        <v>1E+100</v>
      </c>
      <c r="H962" s="31">
        <v>1</v>
      </c>
    </row>
    <row r="963" spans="2:8" x14ac:dyDescent="0.25">
      <c r="B963" s="29" t="s">
        <v>1043</v>
      </c>
      <c r="C963" s="30" t="s">
        <v>1849</v>
      </c>
      <c r="D963" s="30">
        <v>0</v>
      </c>
      <c r="E963" s="30">
        <v>0</v>
      </c>
      <c r="F963" s="30">
        <v>1</v>
      </c>
      <c r="G963" s="30">
        <v>1E+100</v>
      </c>
      <c r="H963" s="31">
        <v>1</v>
      </c>
    </row>
    <row r="964" spans="2:8" x14ac:dyDescent="0.25">
      <c r="B964" s="29" t="s">
        <v>1044</v>
      </c>
      <c r="C964" s="30" t="s">
        <v>1850</v>
      </c>
      <c r="D964" s="30">
        <v>0</v>
      </c>
      <c r="E964" s="30">
        <v>0</v>
      </c>
      <c r="F964" s="30">
        <v>1</v>
      </c>
      <c r="G964" s="30">
        <v>1E+100</v>
      </c>
      <c r="H964" s="31">
        <v>1</v>
      </c>
    </row>
    <row r="965" spans="2:8" x14ac:dyDescent="0.25">
      <c r="B965" s="29" t="s">
        <v>1045</v>
      </c>
      <c r="C965" s="30" t="s">
        <v>1851</v>
      </c>
      <c r="D965" s="30">
        <v>0</v>
      </c>
      <c r="E965" s="30">
        <v>0</v>
      </c>
      <c r="F965" s="30">
        <v>1</v>
      </c>
      <c r="G965" s="30">
        <v>1E+100</v>
      </c>
      <c r="H965" s="31">
        <v>1</v>
      </c>
    </row>
    <row r="966" spans="2:8" x14ac:dyDescent="0.25">
      <c r="B966" s="29" t="s">
        <v>1046</v>
      </c>
      <c r="C966" s="30" t="s">
        <v>1852</v>
      </c>
      <c r="D966" s="30">
        <v>0</v>
      </c>
      <c r="E966" s="30">
        <v>0</v>
      </c>
      <c r="F966" s="30">
        <v>1</v>
      </c>
      <c r="G966" s="30">
        <v>1E+100</v>
      </c>
      <c r="H966" s="31">
        <v>1</v>
      </c>
    </row>
    <row r="967" spans="2:8" x14ac:dyDescent="0.25">
      <c r="B967" s="29" t="s">
        <v>1047</v>
      </c>
      <c r="C967" s="30" t="s">
        <v>1853</v>
      </c>
      <c r="D967" s="30">
        <v>0</v>
      </c>
      <c r="E967" s="30">
        <v>0</v>
      </c>
      <c r="F967" s="30">
        <v>1</v>
      </c>
      <c r="G967" s="30">
        <v>1E+100</v>
      </c>
      <c r="H967" s="31">
        <v>1</v>
      </c>
    </row>
    <row r="968" spans="2:8" x14ac:dyDescent="0.25">
      <c r="B968" s="29" t="s">
        <v>1048</v>
      </c>
      <c r="C968" s="30" t="s">
        <v>1854</v>
      </c>
      <c r="D968" s="30">
        <v>0</v>
      </c>
      <c r="E968" s="30">
        <v>0</v>
      </c>
      <c r="F968" s="30">
        <v>1</v>
      </c>
      <c r="G968" s="30">
        <v>1E+100</v>
      </c>
      <c r="H968" s="31">
        <v>1</v>
      </c>
    </row>
    <row r="969" spans="2:8" x14ac:dyDescent="0.25">
      <c r="B969" s="29" t="s">
        <v>1049</v>
      </c>
      <c r="C969" s="30" t="s">
        <v>1855</v>
      </c>
      <c r="D969" s="30">
        <v>0</v>
      </c>
      <c r="E969" s="30">
        <v>0</v>
      </c>
      <c r="F969" s="30">
        <v>1</v>
      </c>
      <c r="G969" s="30">
        <v>1E+100</v>
      </c>
      <c r="H969" s="31">
        <v>1</v>
      </c>
    </row>
    <row r="970" spans="2:8" x14ac:dyDescent="0.25">
      <c r="B970" s="29" t="s">
        <v>1050</v>
      </c>
      <c r="C970" s="30" t="s">
        <v>1856</v>
      </c>
      <c r="D970" s="30">
        <v>0</v>
      </c>
      <c r="E970" s="30">
        <v>0</v>
      </c>
      <c r="F970" s="30">
        <v>1</v>
      </c>
      <c r="G970" s="30">
        <v>1E+100</v>
      </c>
      <c r="H970" s="31">
        <v>1</v>
      </c>
    </row>
    <row r="971" spans="2:8" x14ac:dyDescent="0.25">
      <c r="B971" s="29" t="s">
        <v>1051</v>
      </c>
      <c r="C971" s="30" t="s">
        <v>1857</v>
      </c>
      <c r="D971" s="30">
        <v>0</v>
      </c>
      <c r="E971" s="30">
        <v>0</v>
      </c>
      <c r="F971" s="30">
        <v>1</v>
      </c>
      <c r="G971" s="30">
        <v>1E+100</v>
      </c>
      <c r="H971" s="31">
        <v>1</v>
      </c>
    </row>
    <row r="972" spans="2:8" x14ac:dyDescent="0.25">
      <c r="B972" s="29" t="s">
        <v>1052</v>
      </c>
      <c r="C972" s="30" t="s">
        <v>1858</v>
      </c>
      <c r="D972" s="30">
        <v>0</v>
      </c>
      <c r="E972" s="30">
        <v>0</v>
      </c>
      <c r="F972" s="30">
        <v>1</v>
      </c>
      <c r="G972" s="30">
        <v>1E+100</v>
      </c>
      <c r="H972" s="31">
        <v>1</v>
      </c>
    </row>
    <row r="973" spans="2:8" x14ac:dyDescent="0.25">
      <c r="B973" s="29" t="s">
        <v>1053</v>
      </c>
      <c r="C973" s="30" t="s">
        <v>1859</v>
      </c>
      <c r="D973" s="30">
        <v>0</v>
      </c>
      <c r="E973" s="30">
        <v>0</v>
      </c>
      <c r="F973" s="30">
        <v>1</v>
      </c>
      <c r="G973" s="30">
        <v>1E+100</v>
      </c>
      <c r="H973" s="31">
        <v>1</v>
      </c>
    </row>
    <row r="974" spans="2:8" x14ac:dyDescent="0.25">
      <c r="B974" s="29" t="s">
        <v>1054</v>
      </c>
      <c r="C974" s="30" t="s">
        <v>1860</v>
      </c>
      <c r="D974" s="30">
        <v>0</v>
      </c>
      <c r="E974" s="30">
        <v>0</v>
      </c>
      <c r="F974" s="30">
        <v>1</v>
      </c>
      <c r="G974" s="30">
        <v>1E+100</v>
      </c>
      <c r="H974" s="31">
        <v>1</v>
      </c>
    </row>
    <row r="975" spans="2:8" x14ac:dyDescent="0.25">
      <c r="B975" s="29" t="s">
        <v>1055</v>
      </c>
      <c r="C975" s="30" t="s">
        <v>1861</v>
      </c>
      <c r="D975" s="30">
        <v>0</v>
      </c>
      <c r="E975" s="30">
        <v>0</v>
      </c>
      <c r="F975" s="30">
        <v>1</v>
      </c>
      <c r="G975" s="30">
        <v>1E+100</v>
      </c>
      <c r="H975" s="31">
        <v>1</v>
      </c>
    </row>
    <row r="976" spans="2:8" x14ac:dyDescent="0.25">
      <c r="B976" s="29" t="s">
        <v>1056</v>
      </c>
      <c r="C976" s="30" t="s">
        <v>1862</v>
      </c>
      <c r="D976" s="30">
        <v>0</v>
      </c>
      <c r="E976" s="30">
        <v>0</v>
      </c>
      <c r="F976" s="30">
        <v>1</v>
      </c>
      <c r="G976" s="30">
        <v>1E+100</v>
      </c>
      <c r="H976" s="31">
        <v>1</v>
      </c>
    </row>
    <row r="977" spans="2:8" x14ac:dyDescent="0.25">
      <c r="B977" s="29" t="s">
        <v>1057</v>
      </c>
      <c r="C977" s="30" t="s">
        <v>1863</v>
      </c>
      <c r="D977" s="30">
        <v>0</v>
      </c>
      <c r="E977" s="30">
        <v>0</v>
      </c>
      <c r="F977" s="30">
        <v>1</v>
      </c>
      <c r="G977" s="30">
        <v>1E+100</v>
      </c>
      <c r="H977" s="31">
        <v>1</v>
      </c>
    </row>
    <row r="978" spans="2:8" x14ac:dyDescent="0.25">
      <c r="B978" s="29" t="s">
        <v>1058</v>
      </c>
      <c r="C978" s="30" t="s">
        <v>1864</v>
      </c>
      <c r="D978" s="30">
        <v>0</v>
      </c>
      <c r="E978" s="30">
        <v>0</v>
      </c>
      <c r="F978" s="30">
        <v>1</v>
      </c>
      <c r="G978" s="30">
        <v>1E+100</v>
      </c>
      <c r="H978" s="31">
        <v>1</v>
      </c>
    </row>
    <row r="979" spans="2:8" x14ac:dyDescent="0.25">
      <c r="B979" s="29" t="s">
        <v>1059</v>
      </c>
      <c r="C979" s="30" t="s">
        <v>1865</v>
      </c>
      <c r="D979" s="30">
        <v>0</v>
      </c>
      <c r="E979" s="30">
        <v>0</v>
      </c>
      <c r="F979" s="30">
        <v>1</v>
      </c>
      <c r="G979" s="30">
        <v>1E+100</v>
      </c>
      <c r="H979" s="31">
        <v>1</v>
      </c>
    </row>
    <row r="980" spans="2:8" x14ac:dyDescent="0.25">
      <c r="B980" s="29" t="s">
        <v>1060</v>
      </c>
      <c r="C980" s="30" t="s">
        <v>1866</v>
      </c>
      <c r="D980" s="30">
        <v>0</v>
      </c>
      <c r="E980" s="30">
        <v>0</v>
      </c>
      <c r="F980" s="30">
        <v>1</v>
      </c>
      <c r="G980" s="30">
        <v>1E+100</v>
      </c>
      <c r="H980" s="31">
        <v>1</v>
      </c>
    </row>
    <row r="981" spans="2:8" x14ac:dyDescent="0.25">
      <c r="B981" s="29" t="s">
        <v>1061</v>
      </c>
      <c r="C981" s="30" t="s">
        <v>1867</v>
      </c>
      <c r="D981" s="30">
        <v>0</v>
      </c>
      <c r="E981" s="30">
        <v>0</v>
      </c>
      <c r="F981" s="30">
        <v>1</v>
      </c>
      <c r="G981" s="30">
        <v>1E+100</v>
      </c>
      <c r="H981" s="31">
        <v>1</v>
      </c>
    </row>
    <row r="982" spans="2:8" x14ac:dyDescent="0.25">
      <c r="B982" s="29" t="s">
        <v>1062</v>
      </c>
      <c r="C982" s="30" t="s">
        <v>1868</v>
      </c>
      <c r="D982" s="30">
        <v>0</v>
      </c>
      <c r="E982" s="30">
        <v>0</v>
      </c>
      <c r="F982" s="30">
        <v>1</v>
      </c>
      <c r="G982" s="30">
        <v>1E+100</v>
      </c>
      <c r="H982" s="31">
        <v>1</v>
      </c>
    </row>
    <row r="983" spans="2:8" x14ac:dyDescent="0.25">
      <c r="B983" s="29" t="s">
        <v>1063</v>
      </c>
      <c r="C983" s="30" t="s">
        <v>1869</v>
      </c>
      <c r="D983" s="30">
        <v>0</v>
      </c>
      <c r="E983" s="30">
        <v>0</v>
      </c>
      <c r="F983" s="30">
        <v>1</v>
      </c>
      <c r="G983" s="30">
        <v>1E+100</v>
      </c>
      <c r="H983" s="31">
        <v>1</v>
      </c>
    </row>
    <row r="984" spans="2:8" x14ac:dyDescent="0.25">
      <c r="B984" s="29" t="s">
        <v>1064</v>
      </c>
      <c r="C984" s="30" t="s">
        <v>1870</v>
      </c>
      <c r="D984" s="30">
        <v>0</v>
      </c>
      <c r="E984" s="30">
        <v>0</v>
      </c>
      <c r="F984" s="30">
        <v>1</v>
      </c>
      <c r="G984" s="30">
        <v>1E+100</v>
      </c>
      <c r="H984" s="31">
        <v>1</v>
      </c>
    </row>
    <row r="985" spans="2:8" x14ac:dyDescent="0.25">
      <c r="B985" s="29" t="s">
        <v>1065</v>
      </c>
      <c r="C985" s="30" t="s">
        <v>1871</v>
      </c>
      <c r="D985" s="30">
        <v>0</v>
      </c>
      <c r="E985" s="30">
        <v>0</v>
      </c>
      <c r="F985" s="30">
        <v>1</v>
      </c>
      <c r="G985" s="30">
        <v>1E+100</v>
      </c>
      <c r="H985" s="31">
        <v>1</v>
      </c>
    </row>
    <row r="986" spans="2:8" x14ac:dyDescent="0.25">
      <c r="B986" s="29" t="s">
        <v>1066</v>
      </c>
      <c r="C986" s="30" t="s">
        <v>1872</v>
      </c>
      <c r="D986" s="30">
        <v>0</v>
      </c>
      <c r="E986" s="30">
        <v>0</v>
      </c>
      <c r="F986" s="30">
        <v>1</v>
      </c>
      <c r="G986" s="30">
        <v>1E+100</v>
      </c>
      <c r="H986" s="31">
        <v>1</v>
      </c>
    </row>
    <row r="987" spans="2:8" x14ac:dyDescent="0.25">
      <c r="B987" s="29" t="s">
        <v>1067</v>
      </c>
      <c r="C987" s="30" t="s">
        <v>1873</v>
      </c>
      <c r="D987" s="30">
        <v>0</v>
      </c>
      <c r="E987" s="30">
        <v>0</v>
      </c>
      <c r="F987" s="30">
        <v>1</v>
      </c>
      <c r="G987" s="30">
        <v>1E+100</v>
      </c>
      <c r="H987" s="31">
        <v>1</v>
      </c>
    </row>
    <row r="988" spans="2:8" x14ac:dyDescent="0.25">
      <c r="B988" s="29" t="s">
        <v>1068</v>
      </c>
      <c r="C988" s="30" t="s">
        <v>1874</v>
      </c>
      <c r="D988" s="30">
        <v>0</v>
      </c>
      <c r="E988" s="30">
        <v>0</v>
      </c>
      <c r="F988" s="30">
        <v>1</v>
      </c>
      <c r="G988" s="30">
        <v>1E+100</v>
      </c>
      <c r="H988" s="31">
        <v>1</v>
      </c>
    </row>
    <row r="989" spans="2:8" x14ac:dyDescent="0.25">
      <c r="B989" s="29" t="s">
        <v>1069</v>
      </c>
      <c r="C989" s="30" t="s">
        <v>1875</v>
      </c>
      <c r="D989" s="30">
        <v>0</v>
      </c>
      <c r="E989" s="30">
        <v>0</v>
      </c>
      <c r="F989" s="30">
        <v>1</v>
      </c>
      <c r="G989" s="30">
        <v>1E+100</v>
      </c>
      <c r="H989" s="31">
        <v>1</v>
      </c>
    </row>
    <row r="990" spans="2:8" x14ac:dyDescent="0.25">
      <c r="B990" s="29" t="s">
        <v>1070</v>
      </c>
      <c r="C990" s="30" t="s">
        <v>1876</v>
      </c>
      <c r="D990" s="30">
        <v>0</v>
      </c>
      <c r="E990" s="30">
        <v>0</v>
      </c>
      <c r="F990" s="30">
        <v>1</v>
      </c>
      <c r="G990" s="30">
        <v>1E+100</v>
      </c>
      <c r="H990" s="31">
        <v>1</v>
      </c>
    </row>
    <row r="991" spans="2:8" x14ac:dyDescent="0.25">
      <c r="B991" s="29" t="s">
        <v>1071</v>
      </c>
      <c r="C991" s="30" t="s">
        <v>1877</v>
      </c>
      <c r="D991" s="30">
        <v>0</v>
      </c>
      <c r="E991" s="30">
        <v>0</v>
      </c>
      <c r="F991" s="30">
        <v>1</v>
      </c>
      <c r="G991" s="30">
        <v>1E+100</v>
      </c>
      <c r="H991" s="31">
        <v>1</v>
      </c>
    </row>
    <row r="992" spans="2:8" x14ac:dyDescent="0.25">
      <c r="B992" s="29" t="s">
        <v>1072</v>
      </c>
      <c r="C992" s="30" t="s">
        <v>1878</v>
      </c>
      <c r="D992" s="30">
        <v>0</v>
      </c>
      <c r="E992" s="30">
        <v>0</v>
      </c>
      <c r="F992" s="30">
        <v>1</v>
      </c>
      <c r="G992" s="30">
        <v>1E+100</v>
      </c>
      <c r="H992" s="31">
        <v>1</v>
      </c>
    </row>
    <row r="993" spans="2:8" x14ac:dyDescent="0.25">
      <c r="B993" s="29" t="s">
        <v>1073</v>
      </c>
      <c r="C993" s="30" t="s">
        <v>1879</v>
      </c>
      <c r="D993" s="30">
        <v>0</v>
      </c>
      <c r="E993" s="30">
        <v>0</v>
      </c>
      <c r="F993" s="30">
        <v>1</v>
      </c>
      <c r="G993" s="30">
        <v>1E+100</v>
      </c>
      <c r="H993" s="31">
        <v>1</v>
      </c>
    </row>
    <row r="994" spans="2:8" x14ac:dyDescent="0.25">
      <c r="B994" s="29" t="s">
        <v>1074</v>
      </c>
      <c r="C994" s="30" t="s">
        <v>1880</v>
      </c>
      <c r="D994" s="30">
        <v>0</v>
      </c>
      <c r="E994" s="30">
        <v>0</v>
      </c>
      <c r="F994" s="30">
        <v>1</v>
      </c>
      <c r="G994" s="30">
        <v>1E+100</v>
      </c>
      <c r="H994" s="31">
        <v>1</v>
      </c>
    </row>
    <row r="995" spans="2:8" x14ac:dyDescent="0.25">
      <c r="B995" s="29" t="s">
        <v>1075</v>
      </c>
      <c r="C995" s="30" t="s">
        <v>1881</v>
      </c>
      <c r="D995" s="30">
        <v>0</v>
      </c>
      <c r="E995" s="30">
        <v>0</v>
      </c>
      <c r="F995" s="30">
        <v>1</v>
      </c>
      <c r="G995" s="30">
        <v>1E+100</v>
      </c>
      <c r="H995" s="31">
        <v>1</v>
      </c>
    </row>
    <row r="996" spans="2:8" x14ac:dyDescent="0.25">
      <c r="B996" s="29" t="s">
        <v>1076</v>
      </c>
      <c r="C996" s="30" t="s">
        <v>1882</v>
      </c>
      <c r="D996" s="30">
        <v>0</v>
      </c>
      <c r="E996" s="30">
        <v>0</v>
      </c>
      <c r="F996" s="30">
        <v>1</v>
      </c>
      <c r="G996" s="30">
        <v>1E+100</v>
      </c>
      <c r="H996" s="31">
        <v>1</v>
      </c>
    </row>
    <row r="997" spans="2:8" x14ac:dyDescent="0.25">
      <c r="B997" s="29" t="s">
        <v>1077</v>
      </c>
      <c r="C997" s="30" t="s">
        <v>1883</v>
      </c>
      <c r="D997" s="30">
        <v>0</v>
      </c>
      <c r="E997" s="30">
        <v>0</v>
      </c>
      <c r="F997" s="30">
        <v>1</v>
      </c>
      <c r="G997" s="30">
        <v>1E+100</v>
      </c>
      <c r="H997" s="31">
        <v>1</v>
      </c>
    </row>
    <row r="998" spans="2:8" x14ac:dyDescent="0.25">
      <c r="B998" s="29" t="s">
        <v>1078</v>
      </c>
      <c r="C998" s="30" t="s">
        <v>1884</v>
      </c>
      <c r="D998" s="30">
        <v>0</v>
      </c>
      <c r="E998" s="30">
        <v>0</v>
      </c>
      <c r="F998" s="30">
        <v>1</v>
      </c>
      <c r="G998" s="30">
        <v>1E+100</v>
      </c>
      <c r="H998" s="31">
        <v>1</v>
      </c>
    </row>
    <row r="999" spans="2:8" x14ac:dyDescent="0.25">
      <c r="B999" s="29" t="s">
        <v>1079</v>
      </c>
      <c r="C999" s="30" t="s">
        <v>1885</v>
      </c>
      <c r="D999" s="30">
        <v>0</v>
      </c>
      <c r="E999" s="30">
        <v>0</v>
      </c>
      <c r="F999" s="30">
        <v>1</v>
      </c>
      <c r="G999" s="30">
        <v>1E+100</v>
      </c>
      <c r="H999" s="31">
        <v>1</v>
      </c>
    </row>
    <row r="1000" spans="2:8" x14ac:dyDescent="0.25">
      <c r="B1000" s="29" t="s">
        <v>1080</v>
      </c>
      <c r="C1000" s="30" t="s">
        <v>1886</v>
      </c>
      <c r="D1000" s="30">
        <v>0</v>
      </c>
      <c r="E1000" s="30">
        <v>0</v>
      </c>
      <c r="F1000" s="30">
        <v>1</v>
      </c>
      <c r="G1000" s="30">
        <v>1E+100</v>
      </c>
      <c r="H1000" s="31">
        <v>1</v>
      </c>
    </row>
    <row r="1001" spans="2:8" x14ac:dyDescent="0.25">
      <c r="B1001" s="29" t="s">
        <v>1081</v>
      </c>
      <c r="C1001" s="30" t="s">
        <v>1887</v>
      </c>
      <c r="D1001" s="30">
        <v>0</v>
      </c>
      <c r="E1001" s="30">
        <v>0</v>
      </c>
      <c r="F1001" s="30">
        <v>1</v>
      </c>
      <c r="G1001" s="30">
        <v>1E+100</v>
      </c>
      <c r="H1001" s="31">
        <v>1</v>
      </c>
    </row>
    <row r="1002" spans="2:8" x14ac:dyDescent="0.25">
      <c r="B1002" s="29" t="s">
        <v>1082</v>
      </c>
      <c r="C1002" s="30" t="s">
        <v>1888</v>
      </c>
      <c r="D1002" s="30">
        <v>0</v>
      </c>
      <c r="E1002" s="30">
        <v>0</v>
      </c>
      <c r="F1002" s="30">
        <v>1</v>
      </c>
      <c r="G1002" s="30">
        <v>1E+100</v>
      </c>
      <c r="H1002" s="31">
        <v>1</v>
      </c>
    </row>
    <row r="1003" spans="2:8" x14ac:dyDescent="0.25">
      <c r="B1003" s="29" t="s">
        <v>1083</v>
      </c>
      <c r="C1003" s="30" t="s">
        <v>1889</v>
      </c>
      <c r="D1003" s="30">
        <v>0</v>
      </c>
      <c r="E1003" s="30">
        <v>0</v>
      </c>
      <c r="F1003" s="30">
        <v>1</v>
      </c>
      <c r="G1003" s="30">
        <v>1E+100</v>
      </c>
      <c r="H1003" s="31">
        <v>1</v>
      </c>
    </row>
    <row r="1004" spans="2:8" x14ac:dyDescent="0.25">
      <c r="B1004" s="29" t="s">
        <v>1084</v>
      </c>
      <c r="C1004" s="30" t="s">
        <v>1890</v>
      </c>
      <c r="D1004" s="30">
        <v>0</v>
      </c>
      <c r="E1004" s="30">
        <v>0</v>
      </c>
      <c r="F1004" s="30">
        <v>1</v>
      </c>
      <c r="G1004" s="30">
        <v>1E+100</v>
      </c>
      <c r="H1004" s="31">
        <v>1</v>
      </c>
    </row>
    <row r="1005" spans="2:8" x14ac:dyDescent="0.25">
      <c r="B1005" s="29" t="s">
        <v>1085</v>
      </c>
      <c r="C1005" s="30" t="s">
        <v>1891</v>
      </c>
      <c r="D1005" s="30">
        <v>0</v>
      </c>
      <c r="E1005" s="30">
        <v>0</v>
      </c>
      <c r="F1005" s="30">
        <v>1</v>
      </c>
      <c r="G1005" s="30">
        <v>1E+100</v>
      </c>
      <c r="H1005" s="31">
        <v>1</v>
      </c>
    </row>
    <row r="1006" spans="2:8" x14ac:dyDescent="0.25">
      <c r="B1006" s="29" t="s">
        <v>1086</v>
      </c>
      <c r="C1006" s="30" t="s">
        <v>1892</v>
      </c>
      <c r="D1006" s="30">
        <v>0</v>
      </c>
      <c r="E1006" s="30">
        <v>0</v>
      </c>
      <c r="F1006" s="30">
        <v>1</v>
      </c>
      <c r="G1006" s="30">
        <v>1E+100</v>
      </c>
      <c r="H1006" s="31">
        <v>1</v>
      </c>
    </row>
    <row r="1007" spans="2:8" x14ac:dyDescent="0.25">
      <c r="B1007" s="29" t="s">
        <v>1087</v>
      </c>
      <c r="C1007" s="30" t="s">
        <v>1893</v>
      </c>
      <c r="D1007" s="30">
        <v>0</v>
      </c>
      <c r="E1007" s="30">
        <v>0</v>
      </c>
      <c r="F1007" s="30">
        <v>1</v>
      </c>
      <c r="G1007" s="30">
        <v>1E+100</v>
      </c>
      <c r="H1007" s="31">
        <v>1</v>
      </c>
    </row>
    <row r="1008" spans="2:8" x14ac:dyDescent="0.25">
      <c r="B1008" s="29" t="s">
        <v>1088</v>
      </c>
      <c r="C1008" s="30" t="s">
        <v>1894</v>
      </c>
      <c r="D1008" s="30">
        <v>0</v>
      </c>
      <c r="E1008" s="30">
        <v>0</v>
      </c>
      <c r="F1008" s="30">
        <v>1</v>
      </c>
      <c r="G1008" s="30">
        <v>1E+100</v>
      </c>
      <c r="H1008" s="31">
        <v>1</v>
      </c>
    </row>
    <row r="1009" spans="2:8" x14ac:dyDescent="0.25">
      <c r="B1009" s="29" t="s">
        <v>1089</v>
      </c>
      <c r="C1009" s="30" t="s">
        <v>1895</v>
      </c>
      <c r="D1009" s="30">
        <v>0</v>
      </c>
      <c r="E1009" s="30">
        <v>0</v>
      </c>
      <c r="F1009" s="30">
        <v>1</v>
      </c>
      <c r="G1009" s="30">
        <v>1E+100</v>
      </c>
      <c r="H1009" s="31">
        <v>1</v>
      </c>
    </row>
    <row r="1010" spans="2:8" x14ac:dyDescent="0.25">
      <c r="B1010" s="29" t="s">
        <v>1090</v>
      </c>
      <c r="C1010" s="30" t="s">
        <v>1896</v>
      </c>
      <c r="D1010" s="30">
        <v>0</v>
      </c>
      <c r="E1010" s="30">
        <v>0</v>
      </c>
      <c r="F1010" s="30">
        <v>1</v>
      </c>
      <c r="G1010" s="30">
        <v>1E+100</v>
      </c>
      <c r="H1010" s="31">
        <v>1</v>
      </c>
    </row>
    <row r="1011" spans="2:8" x14ac:dyDescent="0.25">
      <c r="B1011" s="29" t="s">
        <v>1091</v>
      </c>
      <c r="C1011" s="30" t="s">
        <v>1897</v>
      </c>
      <c r="D1011" s="30">
        <v>0</v>
      </c>
      <c r="E1011" s="30">
        <v>0</v>
      </c>
      <c r="F1011" s="30">
        <v>1</v>
      </c>
      <c r="G1011" s="30">
        <v>1E+100</v>
      </c>
      <c r="H1011" s="31">
        <v>1</v>
      </c>
    </row>
    <row r="1012" spans="2:8" x14ac:dyDescent="0.25">
      <c r="B1012" s="29" t="s">
        <v>1092</v>
      </c>
      <c r="C1012" s="30" t="s">
        <v>1898</v>
      </c>
      <c r="D1012" s="30">
        <v>0</v>
      </c>
      <c r="E1012" s="30">
        <v>0</v>
      </c>
      <c r="F1012" s="30">
        <v>1</v>
      </c>
      <c r="G1012" s="30">
        <v>1E+100</v>
      </c>
      <c r="H1012" s="31">
        <v>1</v>
      </c>
    </row>
    <row r="1013" spans="2:8" x14ac:dyDescent="0.25">
      <c r="B1013" s="29" t="s">
        <v>1093</v>
      </c>
      <c r="C1013" s="30" t="s">
        <v>1899</v>
      </c>
      <c r="D1013" s="30">
        <v>0</v>
      </c>
      <c r="E1013" s="30">
        <v>0</v>
      </c>
      <c r="F1013" s="30">
        <v>1</v>
      </c>
      <c r="G1013" s="30">
        <v>1E+100</v>
      </c>
      <c r="H1013" s="31">
        <v>1</v>
      </c>
    </row>
    <row r="1014" spans="2:8" x14ac:dyDescent="0.25">
      <c r="B1014" s="29" t="s">
        <v>1094</v>
      </c>
      <c r="C1014" s="30" t="s">
        <v>1900</v>
      </c>
      <c r="D1014" s="30">
        <v>0</v>
      </c>
      <c r="E1014" s="30">
        <v>0</v>
      </c>
      <c r="F1014" s="30">
        <v>1</v>
      </c>
      <c r="G1014" s="30">
        <v>1E+100</v>
      </c>
      <c r="H1014" s="31">
        <v>1</v>
      </c>
    </row>
    <row r="1015" spans="2:8" x14ac:dyDescent="0.25">
      <c r="B1015" s="29" t="s">
        <v>1095</v>
      </c>
      <c r="C1015" s="30" t="s">
        <v>1901</v>
      </c>
      <c r="D1015" s="30">
        <v>0</v>
      </c>
      <c r="E1015" s="30">
        <v>0</v>
      </c>
      <c r="F1015" s="30">
        <v>1</v>
      </c>
      <c r="G1015" s="30">
        <v>1E+100</v>
      </c>
      <c r="H1015" s="31">
        <v>1</v>
      </c>
    </row>
    <row r="1016" spans="2:8" x14ac:dyDescent="0.25">
      <c r="B1016" s="29" t="s">
        <v>1096</v>
      </c>
      <c r="C1016" s="30" t="s">
        <v>1902</v>
      </c>
      <c r="D1016" s="30">
        <v>0</v>
      </c>
      <c r="E1016" s="30">
        <v>0</v>
      </c>
      <c r="F1016" s="30">
        <v>1</v>
      </c>
      <c r="G1016" s="30">
        <v>1E+100</v>
      </c>
      <c r="H1016" s="31">
        <v>1</v>
      </c>
    </row>
    <row r="1017" spans="2:8" x14ac:dyDescent="0.25">
      <c r="B1017" s="29" t="s">
        <v>1097</v>
      </c>
      <c r="C1017" s="30" t="s">
        <v>1903</v>
      </c>
      <c r="D1017" s="30">
        <v>0</v>
      </c>
      <c r="E1017" s="30">
        <v>0</v>
      </c>
      <c r="F1017" s="30">
        <v>1</v>
      </c>
      <c r="G1017" s="30">
        <v>1E+100</v>
      </c>
      <c r="H1017" s="31">
        <v>1</v>
      </c>
    </row>
    <row r="1018" spans="2:8" x14ac:dyDescent="0.25">
      <c r="B1018" s="29" t="s">
        <v>1098</v>
      </c>
      <c r="C1018" s="30" t="s">
        <v>1904</v>
      </c>
      <c r="D1018" s="30">
        <v>0</v>
      </c>
      <c r="E1018" s="30">
        <v>0</v>
      </c>
      <c r="F1018" s="30">
        <v>1</v>
      </c>
      <c r="G1018" s="30">
        <v>1E+100</v>
      </c>
      <c r="H1018" s="31">
        <v>1</v>
      </c>
    </row>
    <row r="1019" spans="2:8" x14ac:dyDescent="0.25">
      <c r="B1019" s="29" t="s">
        <v>1099</v>
      </c>
      <c r="C1019" s="30" t="s">
        <v>1905</v>
      </c>
      <c r="D1019" s="30">
        <v>0</v>
      </c>
      <c r="E1019" s="30">
        <v>0</v>
      </c>
      <c r="F1019" s="30">
        <v>1</v>
      </c>
      <c r="G1019" s="30">
        <v>1E+100</v>
      </c>
      <c r="H1019" s="31">
        <v>1</v>
      </c>
    </row>
    <row r="1020" spans="2:8" x14ac:dyDescent="0.25">
      <c r="B1020" s="29" t="s">
        <v>1100</v>
      </c>
      <c r="C1020" s="30" t="s">
        <v>1906</v>
      </c>
      <c r="D1020" s="30">
        <v>0</v>
      </c>
      <c r="E1020" s="30">
        <v>0</v>
      </c>
      <c r="F1020" s="30">
        <v>1</v>
      </c>
      <c r="G1020" s="30">
        <v>1E+100</v>
      </c>
      <c r="H1020" s="31">
        <v>1</v>
      </c>
    </row>
    <row r="1021" spans="2:8" x14ac:dyDescent="0.25">
      <c r="B1021" s="29" t="s">
        <v>1101</v>
      </c>
      <c r="C1021" s="30" t="s">
        <v>1907</v>
      </c>
      <c r="D1021" s="30">
        <v>0</v>
      </c>
      <c r="E1021" s="30">
        <v>0</v>
      </c>
      <c r="F1021" s="30">
        <v>1</v>
      </c>
      <c r="G1021" s="30">
        <v>1E+100</v>
      </c>
      <c r="H1021" s="31">
        <v>1</v>
      </c>
    </row>
    <row r="1022" spans="2:8" x14ac:dyDescent="0.25">
      <c r="B1022" s="29" t="s">
        <v>1102</v>
      </c>
      <c r="C1022" s="30" t="s">
        <v>1908</v>
      </c>
      <c r="D1022" s="30">
        <v>0</v>
      </c>
      <c r="E1022" s="30">
        <v>0</v>
      </c>
      <c r="F1022" s="30">
        <v>1</v>
      </c>
      <c r="G1022" s="30">
        <v>1E+100</v>
      </c>
      <c r="H1022" s="31">
        <v>1</v>
      </c>
    </row>
    <row r="1023" spans="2:8" x14ac:dyDescent="0.25">
      <c r="B1023" s="29" t="s">
        <v>1103</v>
      </c>
      <c r="C1023" s="30" t="s">
        <v>1909</v>
      </c>
      <c r="D1023" s="30">
        <v>0</v>
      </c>
      <c r="E1023" s="30">
        <v>0</v>
      </c>
      <c r="F1023" s="30">
        <v>1</v>
      </c>
      <c r="G1023" s="30">
        <v>1E+100</v>
      </c>
      <c r="H1023" s="31">
        <v>1</v>
      </c>
    </row>
    <row r="1024" spans="2:8" x14ac:dyDescent="0.25">
      <c r="B1024" s="29" t="s">
        <v>1104</v>
      </c>
      <c r="C1024" s="30" t="s">
        <v>1910</v>
      </c>
      <c r="D1024" s="30">
        <v>0</v>
      </c>
      <c r="E1024" s="30">
        <v>0</v>
      </c>
      <c r="F1024" s="30">
        <v>1</v>
      </c>
      <c r="G1024" s="30">
        <v>1E+100</v>
      </c>
      <c r="H1024" s="31">
        <v>1</v>
      </c>
    </row>
    <row r="1025" spans="2:8" x14ac:dyDescent="0.25">
      <c r="B1025" s="29" t="s">
        <v>1105</v>
      </c>
      <c r="C1025" s="30" t="s">
        <v>1911</v>
      </c>
      <c r="D1025" s="30">
        <v>0</v>
      </c>
      <c r="E1025" s="30">
        <v>0</v>
      </c>
      <c r="F1025" s="30">
        <v>1</v>
      </c>
      <c r="G1025" s="30">
        <v>1E+100</v>
      </c>
      <c r="H1025" s="31">
        <v>1</v>
      </c>
    </row>
    <row r="1026" spans="2:8" x14ac:dyDescent="0.25">
      <c r="B1026" s="29" t="s">
        <v>1106</v>
      </c>
      <c r="C1026" s="30" t="s">
        <v>1912</v>
      </c>
      <c r="D1026" s="30">
        <v>0</v>
      </c>
      <c r="E1026" s="30">
        <v>0</v>
      </c>
      <c r="F1026" s="30">
        <v>1</v>
      </c>
      <c r="G1026" s="30">
        <v>1E+100</v>
      </c>
      <c r="H1026" s="31">
        <v>1</v>
      </c>
    </row>
    <row r="1027" spans="2:8" x14ac:dyDescent="0.25">
      <c r="B1027" s="29" t="s">
        <v>1107</v>
      </c>
      <c r="C1027" s="30" t="s">
        <v>1913</v>
      </c>
      <c r="D1027" s="30">
        <v>0</v>
      </c>
      <c r="E1027" s="30">
        <v>0</v>
      </c>
      <c r="F1027" s="30">
        <v>1</v>
      </c>
      <c r="G1027" s="30">
        <v>1E+100</v>
      </c>
      <c r="H1027" s="31">
        <v>1</v>
      </c>
    </row>
    <row r="1028" spans="2:8" x14ac:dyDescent="0.25">
      <c r="B1028" s="29" t="s">
        <v>1108</v>
      </c>
      <c r="C1028" s="30" t="s">
        <v>1914</v>
      </c>
      <c r="D1028" s="30">
        <v>0</v>
      </c>
      <c r="E1028" s="30">
        <v>0</v>
      </c>
      <c r="F1028" s="30">
        <v>1</v>
      </c>
      <c r="G1028" s="30">
        <v>1E+100</v>
      </c>
      <c r="H1028" s="31">
        <v>1</v>
      </c>
    </row>
    <row r="1029" spans="2:8" x14ac:dyDescent="0.25">
      <c r="B1029" s="29" t="s">
        <v>1109</v>
      </c>
      <c r="C1029" s="30" t="s">
        <v>1915</v>
      </c>
      <c r="D1029" s="30">
        <v>0</v>
      </c>
      <c r="E1029" s="30">
        <v>0</v>
      </c>
      <c r="F1029" s="30">
        <v>1</v>
      </c>
      <c r="G1029" s="30">
        <v>1E+100</v>
      </c>
      <c r="H1029" s="31">
        <v>1</v>
      </c>
    </row>
    <row r="1030" spans="2:8" x14ac:dyDescent="0.25">
      <c r="B1030" s="29" t="s">
        <v>1110</v>
      </c>
      <c r="C1030" s="30" t="s">
        <v>1916</v>
      </c>
      <c r="D1030" s="30">
        <v>0</v>
      </c>
      <c r="E1030" s="30">
        <v>0</v>
      </c>
      <c r="F1030" s="30">
        <v>1</v>
      </c>
      <c r="G1030" s="30">
        <v>1E+100</v>
      </c>
      <c r="H1030" s="31">
        <v>1</v>
      </c>
    </row>
    <row r="1031" spans="2:8" x14ac:dyDescent="0.25">
      <c r="B1031" s="29" t="s">
        <v>1111</v>
      </c>
      <c r="C1031" s="30" t="s">
        <v>1917</v>
      </c>
      <c r="D1031" s="30">
        <v>0</v>
      </c>
      <c r="E1031" s="30">
        <v>0</v>
      </c>
      <c r="F1031" s="30">
        <v>1</v>
      </c>
      <c r="G1031" s="30">
        <v>1E+100</v>
      </c>
      <c r="H1031" s="31">
        <v>1</v>
      </c>
    </row>
    <row r="1032" spans="2:8" x14ac:dyDescent="0.25">
      <c r="B1032" s="29" t="s">
        <v>1112</v>
      </c>
      <c r="C1032" s="30" t="s">
        <v>1918</v>
      </c>
      <c r="D1032" s="30">
        <v>0</v>
      </c>
      <c r="E1032" s="30">
        <v>0</v>
      </c>
      <c r="F1032" s="30">
        <v>1</v>
      </c>
      <c r="G1032" s="30">
        <v>1E+100</v>
      </c>
      <c r="H1032" s="31">
        <v>1</v>
      </c>
    </row>
    <row r="1033" spans="2:8" x14ac:dyDescent="0.25">
      <c r="B1033" s="29" t="s">
        <v>1113</v>
      </c>
      <c r="C1033" s="30" t="s">
        <v>1919</v>
      </c>
      <c r="D1033" s="30">
        <v>0</v>
      </c>
      <c r="E1033" s="30">
        <v>0</v>
      </c>
      <c r="F1033" s="30">
        <v>1</v>
      </c>
      <c r="G1033" s="30">
        <v>1E+100</v>
      </c>
      <c r="H1033" s="31">
        <v>1</v>
      </c>
    </row>
    <row r="1034" spans="2:8" x14ac:dyDescent="0.25">
      <c r="B1034" s="29" t="s">
        <v>1114</v>
      </c>
      <c r="C1034" s="30" t="s">
        <v>1920</v>
      </c>
      <c r="D1034" s="30">
        <v>0</v>
      </c>
      <c r="E1034" s="30">
        <v>0</v>
      </c>
      <c r="F1034" s="30">
        <v>1</v>
      </c>
      <c r="G1034" s="30">
        <v>1E+100</v>
      </c>
      <c r="H1034" s="31">
        <v>1</v>
      </c>
    </row>
    <row r="1035" spans="2:8" x14ac:dyDescent="0.25">
      <c r="B1035" s="29" t="s">
        <v>1115</v>
      </c>
      <c r="C1035" s="30" t="s">
        <v>1921</v>
      </c>
      <c r="D1035" s="30">
        <v>0</v>
      </c>
      <c r="E1035" s="30">
        <v>0</v>
      </c>
      <c r="F1035" s="30">
        <v>1</v>
      </c>
      <c r="G1035" s="30">
        <v>1E+100</v>
      </c>
      <c r="H1035" s="31">
        <v>1</v>
      </c>
    </row>
    <row r="1036" spans="2:8" x14ac:dyDescent="0.25">
      <c r="B1036" s="29" t="s">
        <v>1116</v>
      </c>
      <c r="C1036" s="30" t="s">
        <v>1922</v>
      </c>
      <c r="D1036" s="30">
        <v>0</v>
      </c>
      <c r="E1036" s="30">
        <v>0</v>
      </c>
      <c r="F1036" s="30">
        <v>1</v>
      </c>
      <c r="G1036" s="30">
        <v>1E+100</v>
      </c>
      <c r="H1036" s="31">
        <v>1</v>
      </c>
    </row>
    <row r="1037" spans="2:8" x14ac:dyDescent="0.25">
      <c r="B1037" s="29" t="s">
        <v>1117</v>
      </c>
      <c r="C1037" s="30" t="s">
        <v>1923</v>
      </c>
      <c r="D1037" s="30">
        <v>0</v>
      </c>
      <c r="E1037" s="30">
        <v>0</v>
      </c>
      <c r="F1037" s="30">
        <v>1</v>
      </c>
      <c r="G1037" s="30">
        <v>1E+100</v>
      </c>
      <c r="H1037" s="31">
        <v>1</v>
      </c>
    </row>
    <row r="1038" spans="2:8" x14ac:dyDescent="0.25">
      <c r="B1038" s="29" t="s">
        <v>1118</v>
      </c>
      <c r="C1038" s="30" t="s">
        <v>1924</v>
      </c>
      <c r="D1038" s="30">
        <v>0</v>
      </c>
      <c r="E1038" s="30">
        <v>0</v>
      </c>
      <c r="F1038" s="30">
        <v>1</v>
      </c>
      <c r="G1038" s="30">
        <v>1E+100</v>
      </c>
      <c r="H1038" s="31">
        <v>1</v>
      </c>
    </row>
    <row r="1039" spans="2:8" x14ac:dyDescent="0.25">
      <c r="B1039" s="29" t="s">
        <v>1119</v>
      </c>
      <c r="C1039" s="30" t="s">
        <v>1925</v>
      </c>
      <c r="D1039" s="30">
        <v>0</v>
      </c>
      <c r="E1039" s="30">
        <v>0</v>
      </c>
      <c r="F1039" s="30">
        <v>1</v>
      </c>
      <c r="G1039" s="30">
        <v>1E+100</v>
      </c>
      <c r="H1039" s="31">
        <v>1</v>
      </c>
    </row>
    <row r="1040" spans="2:8" ht="15.75" thickBot="1" x14ac:dyDescent="0.3">
      <c r="B1040" s="32" t="s">
        <v>1120</v>
      </c>
      <c r="C1040" s="33" t="s">
        <v>1926</v>
      </c>
      <c r="D1040" s="33">
        <v>0</v>
      </c>
      <c r="E1040" s="33">
        <v>0</v>
      </c>
      <c r="F1040" s="33">
        <v>1</v>
      </c>
      <c r="G1040" s="33">
        <v>1E+100</v>
      </c>
      <c r="H1040" s="34">
        <v>1</v>
      </c>
    </row>
    <row r="1041" spans="2:8" x14ac:dyDescent="0.25">
      <c r="B1041" s="9"/>
      <c r="C1041" s="9"/>
      <c r="D1041" s="9"/>
      <c r="E1041" s="9"/>
      <c r="F1041" s="9"/>
      <c r="G1041" s="9"/>
      <c r="H1041" s="9"/>
    </row>
  </sheetData>
  <sortState xmlns:xlrd2="http://schemas.microsoft.com/office/spreadsheetml/2017/richdata2" ref="A7:H603">
    <sortCondition descending="1" ref="E6:E60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2EA9-1102-4A78-AA94-81577FB9A14C}">
  <dimension ref="A1:AB1000"/>
  <sheetViews>
    <sheetView tabSelected="1" zoomScale="90" zoomScaleNormal="90" workbookViewId="0">
      <selection activeCell="I15" sqref="I15"/>
    </sheetView>
  </sheetViews>
  <sheetFormatPr defaultRowHeight="15" x14ac:dyDescent="0.25"/>
  <cols>
    <col min="1" max="1" width="6" style="16" bestFit="1" customWidth="1"/>
    <col min="2" max="2" width="11.875" style="4" customWidth="1"/>
    <col min="3" max="3" width="5.5" style="7" bestFit="1" customWidth="1"/>
    <col min="4" max="4" width="5.5" style="8" bestFit="1" customWidth="1"/>
    <col min="5" max="5" width="5.875" style="8" bestFit="1" customWidth="1"/>
    <col min="6" max="6" width="35.5" style="3" customWidth="1"/>
    <col min="7" max="7" width="7.875" style="10" bestFit="1" customWidth="1"/>
    <col min="8" max="8" width="10.875" style="10" bestFit="1" customWidth="1"/>
    <col min="9" max="9" width="10.875" style="10" customWidth="1"/>
    <col min="10" max="10" width="10.875" style="11" customWidth="1"/>
    <col min="11" max="11" width="7.875" style="11" bestFit="1" customWidth="1"/>
    <col min="12" max="12" width="10.875" style="11" bestFit="1" customWidth="1"/>
    <col min="13" max="13" width="11.875" style="11" bestFit="1" customWidth="1"/>
    <col min="14" max="14" width="9" style="11"/>
    <col min="19" max="19" width="13" bestFit="1" customWidth="1"/>
    <col min="20" max="20" width="16" bestFit="1" customWidth="1"/>
    <col min="21" max="21" width="13" bestFit="1" customWidth="1"/>
    <col min="23" max="23" width="9.875" style="9" bestFit="1" customWidth="1"/>
    <col min="24" max="24" width="11.875" style="9" bestFit="1" customWidth="1"/>
    <col min="25" max="25" width="9" style="9"/>
    <col min="26" max="26" width="13" bestFit="1" customWidth="1"/>
    <col min="27" max="28" width="11.875" bestFit="1" customWidth="1"/>
  </cols>
  <sheetData>
    <row r="1" spans="1:28" ht="15.75" thickBot="1" x14ac:dyDescent="0.3">
      <c r="A1" s="39" t="s">
        <v>48</v>
      </c>
      <c r="B1" s="2" t="s">
        <v>47</v>
      </c>
      <c r="C1" s="5" t="s">
        <v>1</v>
      </c>
      <c r="D1" s="6" t="s">
        <v>2</v>
      </c>
      <c r="E1" s="6" t="s">
        <v>46</v>
      </c>
      <c r="F1" s="1" t="s">
        <v>54</v>
      </c>
      <c r="G1" s="10" t="s">
        <v>25</v>
      </c>
      <c r="H1" s="10" t="s">
        <v>31</v>
      </c>
      <c r="I1" s="10" t="s">
        <v>32</v>
      </c>
      <c r="J1" s="11" t="s">
        <v>34</v>
      </c>
      <c r="K1" s="11" t="s">
        <v>26</v>
      </c>
      <c r="L1" s="11" t="s">
        <v>33</v>
      </c>
      <c r="M1" s="11" t="s">
        <v>27</v>
      </c>
      <c r="N1" s="11" t="s">
        <v>0</v>
      </c>
      <c r="P1" s="11" t="s">
        <v>44</v>
      </c>
      <c r="Q1" s="11" t="s">
        <v>45</v>
      </c>
      <c r="S1" s="9" t="s">
        <v>28</v>
      </c>
      <c r="U1" t="s">
        <v>35</v>
      </c>
      <c r="W1" s="9" t="s">
        <v>36</v>
      </c>
      <c r="X1" s="9" t="s">
        <v>34</v>
      </c>
      <c r="Y1" s="9" t="s">
        <v>37</v>
      </c>
      <c r="Z1" s="9" t="s">
        <v>49</v>
      </c>
      <c r="AA1" s="9" t="s">
        <v>50</v>
      </c>
      <c r="AB1" s="9" t="s">
        <v>24</v>
      </c>
    </row>
    <row r="2" spans="1:28" ht="15.75" thickBot="1" x14ac:dyDescent="0.3">
      <c r="A2" s="16">
        <v>141746</v>
      </c>
      <c r="B2" s="4">
        <f>INDEX([1]!PREDICT[TRUE PTS],MATCH($A2,[1]!PREDICT[HARD CODE],0))</f>
        <v>34.207728307183501</v>
      </c>
      <c r="C2" s="7" t="str">
        <f>INDEX([1]!MODEL[POS],MATCH($A2,[1]!MODEL[Code],0))</f>
        <v>MID</v>
      </c>
      <c r="D2" s="7" t="str">
        <f>INDEX([1]!MODEL[TEAM],MATCH($A2,[1]!MODEL[Code],0))</f>
        <v>MUN</v>
      </c>
      <c r="E2" s="7">
        <f>INDEX([1]PREDICT!$M$3:$M$1001,MATCH($A2,[1]PREDICT!$B$3:$B$1001,0))</f>
        <v>12</v>
      </c>
      <c r="F2" s="15" t="str">
        <f>INDEX([1]!MODEL[FPL_Name],MATCH($A2,[1]!MODEL[Code],0))</f>
        <v>Bruno Borges Fernandes</v>
      </c>
      <c r="G2" s="10">
        <v>1</v>
      </c>
      <c r="H2" s="10">
        <v>0</v>
      </c>
      <c r="I2" s="10">
        <v>1</v>
      </c>
      <c r="J2" s="11">
        <f t="shared" ref="J2:J65" si="0">G2+H2</f>
        <v>1</v>
      </c>
      <c r="K2" s="11">
        <f t="shared" ref="K2:K65" si="1">G2*E2</f>
        <v>12</v>
      </c>
      <c r="L2" s="11">
        <f t="shared" ref="L2:L65" si="2">H2*E2</f>
        <v>0</v>
      </c>
      <c r="M2" s="11">
        <v>0</v>
      </c>
      <c r="N2" s="11">
        <f t="shared" ref="N2:N65" si="3">(G2*B2)+(H2*B2*$U$2)+(I2*B2)</f>
        <v>68.415456614367002</v>
      </c>
      <c r="P2" s="13">
        <f>IFERROR((B2/E2)/$Q$2,0)</f>
        <v>0.57012880511972497</v>
      </c>
      <c r="Q2" s="14">
        <f>[1]PREDICT!$BC$2-[1]PREDICT!$BB$2+1</f>
        <v>5</v>
      </c>
      <c r="S2" s="12">
        <f>SUM(N2:N785)</f>
        <v>311.45902183141152</v>
      </c>
      <c r="U2" s="17">
        <v>0.2</v>
      </c>
      <c r="W2" s="9" t="s">
        <v>18</v>
      </c>
      <c r="X2" s="18">
        <v>1</v>
      </c>
      <c r="Y2" s="11" cm="1">
        <f t="array" ref="Y2">SUMPRODUCT(--($C$2:$C$785=W2),$J$2:$J$785)</f>
        <v>1</v>
      </c>
      <c r="Z2" s="23">
        <v>1</v>
      </c>
      <c r="AA2" s="24">
        <v>1</v>
      </c>
      <c r="AB2" s="11">
        <f>SUMPRODUCT(--($C$2:$C$785=W2),$G$2:$G$785)</f>
        <v>1</v>
      </c>
    </row>
    <row r="3" spans="1:28" x14ac:dyDescent="0.25">
      <c r="A3" s="16">
        <v>226597</v>
      </c>
      <c r="B3" s="4">
        <f>INDEX([1]!PREDICT[TRUE PTS],MATCH($A3,[1]!PREDICT[HARD CODE],0))</f>
        <v>29.369477263217529</v>
      </c>
      <c r="C3" s="7" t="str">
        <f>INDEX([1]!MODEL[POS],MATCH($A3,[1]!MODEL[Code],0))</f>
        <v>DEF</v>
      </c>
      <c r="D3" s="7" t="str">
        <f>INDEX([1]!MODEL[TEAM],MATCH($A3,[1]!MODEL[Code],0))</f>
        <v>ARS</v>
      </c>
      <c r="E3" s="7">
        <f>INDEX([1]PREDICT!$M$3:$M$1001,MATCH($A3,[1]PREDICT!$B$3:$B$1001,0))</f>
        <v>8</v>
      </c>
      <c r="F3" s="15" t="str">
        <f>INDEX([1]!MODEL[FPL_Name],MATCH($A3,[1]!MODEL[Code],0))</f>
        <v>Gabriel dos Santos Magalhães</v>
      </c>
      <c r="G3" s="10">
        <v>1</v>
      </c>
      <c r="H3" s="10">
        <v>0</v>
      </c>
      <c r="I3" s="10">
        <v>0</v>
      </c>
      <c r="J3" s="11">
        <f t="shared" si="0"/>
        <v>1</v>
      </c>
      <c r="K3" s="11">
        <f t="shared" si="1"/>
        <v>8</v>
      </c>
      <c r="L3" s="11">
        <f t="shared" si="2"/>
        <v>0</v>
      </c>
      <c r="M3" s="11">
        <v>0</v>
      </c>
      <c r="N3" s="11">
        <f t="shared" si="3"/>
        <v>29.369477263217529</v>
      </c>
      <c r="P3" s="13">
        <f>IFERROR((B3/E3)/$Q$2,0)</f>
        <v>0.73423693158043823</v>
      </c>
      <c r="W3" s="9" t="s">
        <v>13</v>
      </c>
      <c r="X3" s="19">
        <v>3</v>
      </c>
      <c r="Y3" s="11">
        <f>SUMPRODUCT(--($C$2:$C$785=W3),$J$2:$J$785)</f>
        <v>3</v>
      </c>
      <c r="Z3" s="25">
        <v>3</v>
      </c>
      <c r="AA3" s="26">
        <v>5</v>
      </c>
      <c r="AB3" s="11">
        <f>SUMPRODUCT(--($C$2:$C$785=W3),$G$2:$G$785)</f>
        <v>3</v>
      </c>
    </row>
    <row r="4" spans="1:28" ht="15.75" thickBot="1" x14ac:dyDescent="0.3">
      <c r="A4" s="16">
        <v>446008</v>
      </c>
      <c r="B4" s="4">
        <f>INDEX([1]!PREDICT[TRUE PTS],MATCH($A4,[1]!PREDICT[HARD CODE],0))</f>
        <v>28.5503370827103</v>
      </c>
      <c r="C4" s="7" t="str">
        <f>INDEX([1]!MODEL[POS],MATCH($A4,[1]!MODEL[Code],0))</f>
        <v>MID</v>
      </c>
      <c r="D4" s="7" t="str">
        <f>INDEX([1]!MODEL[TEAM],MATCH($A4,[1]!MODEL[Code],0))</f>
        <v>MUN</v>
      </c>
      <c r="E4" s="7">
        <f>INDEX([1]PREDICT!$M$3:$M$1001,MATCH($A4,[1]PREDICT!$B$3:$B$1001,0))</f>
        <v>8</v>
      </c>
      <c r="F4" s="15" t="str">
        <f>INDEX([1]!MODEL[FPL_Name],MATCH($A4,[1]!MODEL[Code],0))</f>
        <v>Bryan Mbeumo</v>
      </c>
      <c r="G4" s="10">
        <v>1</v>
      </c>
      <c r="H4" s="10">
        <v>0</v>
      </c>
      <c r="I4" s="10">
        <v>0</v>
      </c>
      <c r="J4" s="11">
        <f t="shared" si="0"/>
        <v>1</v>
      </c>
      <c r="K4" s="11">
        <f t="shared" si="1"/>
        <v>8</v>
      </c>
      <c r="L4" s="11">
        <f t="shared" si="2"/>
        <v>0</v>
      </c>
      <c r="M4" s="11">
        <v>0</v>
      </c>
      <c r="N4" s="11">
        <f t="shared" si="3"/>
        <v>28.5503370827103</v>
      </c>
      <c r="P4" s="13">
        <f t="shared" ref="P4:P66" si="4">IFERROR((B4/E4)/$Q$2,0)</f>
        <v>0.71375842706775749</v>
      </c>
      <c r="S4" t="s">
        <v>29</v>
      </c>
      <c r="T4" t="s">
        <v>30</v>
      </c>
      <c r="W4" s="9" t="s">
        <v>3</v>
      </c>
      <c r="X4" s="19">
        <v>4</v>
      </c>
      <c r="Y4" s="11">
        <f>SUMPRODUCT(--($C$2:$C$785=W4),$J$2:$J$785)</f>
        <v>4</v>
      </c>
      <c r="Z4" s="25">
        <v>2</v>
      </c>
      <c r="AA4" s="26">
        <v>5</v>
      </c>
      <c r="AB4" s="11">
        <f>SUMPRODUCT(--($C$2:$C$785=W4),$G$2:$G$785)</f>
        <v>4</v>
      </c>
    </row>
    <row r="5" spans="1:28" ht="15.75" thickBot="1" x14ac:dyDescent="0.3">
      <c r="A5" s="16">
        <v>222531</v>
      </c>
      <c r="B5" s="4">
        <f>INDEX([1]!PREDICT[TRUE PTS],MATCH($A5,[1]!PREDICT[HARD CODE],0))</f>
        <v>27.906521576202266</v>
      </c>
      <c r="C5" s="7" t="str">
        <f>INDEX([1]!MODEL[POS],MATCH($A5,[1]!MODEL[Code],0))</f>
        <v>MID</v>
      </c>
      <c r="D5" s="7" t="str">
        <f>INDEX([1]!MODEL[TEAM],MATCH($A5,[1]!MODEL[Code],0))</f>
        <v>NFO</v>
      </c>
      <c r="E5" s="7">
        <f>INDEX([1]PREDICT!$M$3:$M$1001,MATCH($A5,[1]PREDICT!$B$3:$B$1001,0))</f>
        <v>8</v>
      </c>
      <c r="F5" s="15" t="str">
        <f>INDEX([1]!MODEL[FPL_Name],MATCH($A5,[1]!MODEL[Code],0))</f>
        <v>Morgan Gibbs-White</v>
      </c>
      <c r="G5" s="10">
        <v>1</v>
      </c>
      <c r="H5" s="10">
        <v>0</v>
      </c>
      <c r="I5" s="10">
        <v>0</v>
      </c>
      <c r="J5" s="11">
        <f t="shared" si="0"/>
        <v>1</v>
      </c>
      <c r="K5" s="11">
        <f t="shared" si="1"/>
        <v>8</v>
      </c>
      <c r="L5" s="11">
        <f t="shared" si="2"/>
        <v>0</v>
      </c>
      <c r="M5" s="11">
        <v>0</v>
      </c>
      <c r="N5" s="11">
        <f t="shared" si="3"/>
        <v>27.906521576202266</v>
      </c>
      <c r="P5" s="13">
        <f t="shared" si="4"/>
        <v>0.6976630394050567</v>
      </c>
      <c r="S5" s="11">
        <f>SUMPRODUCT(J2:J785,E2:E785)</f>
        <v>80</v>
      </c>
      <c r="T5" s="17">
        <v>83</v>
      </c>
      <c r="W5" s="9" t="s">
        <v>6</v>
      </c>
      <c r="X5" s="20">
        <v>3</v>
      </c>
      <c r="Y5" s="11">
        <f>SUMPRODUCT(--($C$2:$C$785=W5),$J$2:$J$785)</f>
        <v>3</v>
      </c>
      <c r="Z5" s="27">
        <v>1</v>
      </c>
      <c r="AA5" s="28">
        <v>3</v>
      </c>
      <c r="AB5" s="11">
        <f>SUMPRODUCT(--($C$2:$C$785=W5),$G$2:$G$785)</f>
        <v>3</v>
      </c>
    </row>
    <row r="6" spans="1:28" x14ac:dyDescent="0.25">
      <c r="A6" s="16">
        <v>448047</v>
      </c>
      <c r="B6" s="4">
        <f>INDEX([1]!PREDICT[TRUE PTS],MATCH($A6,[1]!PREDICT[HARD CODE],0))</f>
        <v>24.675412353405044</v>
      </c>
      <c r="C6" s="7" t="str">
        <f>INDEX([1]!MODEL[POS],MATCH($A6,[1]!MODEL[Code],0))</f>
        <v>MID</v>
      </c>
      <c r="D6" s="7" t="str">
        <f>INDEX([1]!MODEL[TEAM],MATCH($A6,[1]!MODEL[Code],0))</f>
        <v>CHE</v>
      </c>
      <c r="E6" s="7">
        <f>INDEX([1]PREDICT!$M$3:$M$1001,MATCH($A6,[1]PREDICT!$B$3:$B$1001,0))</f>
        <v>7</v>
      </c>
      <c r="F6" s="15" t="str">
        <f>INDEX([1]!MODEL[FPL_Name],MATCH($A6,[1]!MODEL[Code],0))</f>
        <v>Enzo Fernández</v>
      </c>
      <c r="G6" s="10">
        <v>1</v>
      </c>
      <c r="H6" s="10">
        <v>0</v>
      </c>
      <c r="I6" s="10">
        <v>0</v>
      </c>
      <c r="J6" s="11">
        <f t="shared" si="0"/>
        <v>1</v>
      </c>
      <c r="K6" s="11">
        <f t="shared" si="1"/>
        <v>7</v>
      </c>
      <c r="L6" s="11">
        <f t="shared" si="2"/>
        <v>0</v>
      </c>
      <c r="M6" s="11">
        <v>0</v>
      </c>
      <c r="N6" s="11">
        <f t="shared" si="3"/>
        <v>24.675412353405044</v>
      </c>
      <c r="P6" s="13">
        <f t="shared" si="4"/>
        <v>0.70501178152585831</v>
      </c>
    </row>
    <row r="7" spans="1:28" x14ac:dyDescent="0.25">
      <c r="A7" s="16">
        <v>209036</v>
      </c>
      <c r="B7" s="4">
        <f>INDEX([1]!PREDICT[TRUE PTS],MATCH($A7,[1]!PREDICT[HARD CODE],0))</f>
        <v>24.311262311912525</v>
      </c>
      <c r="C7" s="7" t="str">
        <f>INDEX([1]!MODEL[POS],MATCH($A7,[1]!MODEL[Code],0))</f>
        <v>DEF</v>
      </c>
      <c r="D7" s="7" t="str">
        <f>INDEX([1]!MODEL[TEAM],MATCH($A7,[1]!MODEL[Code],0))</f>
        <v>MCI</v>
      </c>
      <c r="E7" s="7">
        <f>INDEX([1]PREDICT!$M$3:$M$1001,MATCH($A7,[1]PREDICT!$B$3:$B$1001,0))</f>
        <v>6</v>
      </c>
      <c r="F7" s="15" t="str">
        <f>INDEX([1]!MODEL[FPL_Name],MATCH($A7,[1]!MODEL[Code],0))</f>
        <v>Marc Guéhi</v>
      </c>
      <c r="G7" s="10">
        <v>1</v>
      </c>
      <c r="H7" s="10">
        <v>0</v>
      </c>
      <c r="I7" s="10">
        <v>0</v>
      </c>
      <c r="J7" s="11">
        <f t="shared" si="0"/>
        <v>1</v>
      </c>
      <c r="K7" s="11">
        <f t="shared" si="1"/>
        <v>6</v>
      </c>
      <c r="L7" s="11">
        <f t="shared" si="2"/>
        <v>0</v>
      </c>
      <c r="M7" s="11">
        <v>0</v>
      </c>
      <c r="N7" s="11">
        <f t="shared" si="3"/>
        <v>24.311262311912525</v>
      </c>
      <c r="P7" s="13">
        <f t="shared" si="4"/>
        <v>0.81037541039708416</v>
      </c>
      <c r="S7" t="s">
        <v>43</v>
      </c>
      <c r="W7" s="9" t="s">
        <v>38</v>
      </c>
      <c r="X7" s="9" t="s">
        <v>39</v>
      </c>
      <c r="Z7" t="s">
        <v>40</v>
      </c>
      <c r="AA7" s="9" t="s">
        <v>41</v>
      </c>
    </row>
    <row r="8" spans="1:28" x14ac:dyDescent="0.25">
      <c r="A8" s="16">
        <v>475168</v>
      </c>
      <c r="B8" s="4">
        <f>INDEX([1]!PREDICT[TRUE PTS],MATCH($A8,[1]!PREDICT[HARD CODE],0))</f>
        <v>22.974508240850284</v>
      </c>
      <c r="C8" s="7" t="str">
        <f>INDEX([1]!MODEL[POS],MATCH($A8,[1]!MODEL[Code],0))</f>
        <v>FWD</v>
      </c>
      <c r="D8" s="7" t="str">
        <f>INDEX([1]!MODEL[TEAM],MATCH($A8,[1]!MODEL[Code],0))</f>
        <v>CHE</v>
      </c>
      <c r="E8" s="7">
        <f>INDEX([1]PREDICT!$M$3:$M$1001,MATCH($A8,[1]PREDICT!$B$3:$B$1001,0))</f>
        <v>7.5</v>
      </c>
      <c r="F8" s="15" t="str">
        <f>INDEX([1]!MODEL[FPL_Name],MATCH($A8,[1]!MODEL[Code],0))</f>
        <v>João Pedro Junqueira de Jesus</v>
      </c>
      <c r="G8" s="10">
        <v>1</v>
      </c>
      <c r="H8" s="10">
        <v>0</v>
      </c>
      <c r="I8" s="10">
        <v>0</v>
      </c>
      <c r="J8" s="11">
        <f t="shared" si="0"/>
        <v>1</v>
      </c>
      <c r="K8" s="11">
        <f t="shared" si="1"/>
        <v>7.5</v>
      </c>
      <c r="L8" s="11">
        <f t="shared" si="2"/>
        <v>0</v>
      </c>
      <c r="M8" s="11">
        <v>0</v>
      </c>
      <c r="N8" s="11">
        <f t="shared" si="3"/>
        <v>22.974508240850284</v>
      </c>
      <c r="P8" s="13">
        <f t="shared" si="4"/>
        <v>0.61265355308934089</v>
      </c>
      <c r="S8" s="11">
        <f>SUM(I2:I785)</f>
        <v>1</v>
      </c>
      <c r="W8" s="9" t="s">
        <v>11</v>
      </c>
      <c r="X8" s="11">
        <f t="shared" ref="X8:X27" si="5">SUMPRODUCT(--($D$2:$D$785=W8),$J$2:$J$785)</f>
        <v>2</v>
      </c>
      <c r="Z8" s="11">
        <f>SUM(G2:G785)</f>
        <v>11</v>
      </c>
      <c r="AA8" s="11">
        <f>SUM(H2:H785)</f>
        <v>0</v>
      </c>
    </row>
    <row r="9" spans="1:28" ht="15.75" thickBot="1" x14ac:dyDescent="0.3">
      <c r="A9" s="16">
        <v>177815</v>
      </c>
      <c r="B9" s="4">
        <f>INDEX([1]!PREDICT[TRUE PTS],MATCH($A9,[1]!PREDICT[HARD CODE],0))</f>
        <v>21.921836527464745</v>
      </c>
      <c r="C9" s="7" t="str">
        <f>INDEX([1]!MODEL[POS],MATCH($A9,[1]!MODEL[Code],0))</f>
        <v>FWD</v>
      </c>
      <c r="D9" s="7" t="str">
        <f>INDEX([1]!MODEL[TEAM],MATCH($A9,[1]!MODEL[Code],0))</f>
        <v>LEE</v>
      </c>
      <c r="E9" s="7">
        <f>INDEX([1]PREDICT!$M$3:$M$1001,MATCH($A9,[1]PREDICT!$B$3:$B$1001,0))</f>
        <v>6</v>
      </c>
      <c r="F9" s="15" t="str">
        <f>INDEX([1]!MODEL[FPL_Name],MATCH($A9,[1]!MODEL[Code],0))</f>
        <v>Dominic Calvert-Lewin</v>
      </c>
      <c r="G9" s="10">
        <v>1</v>
      </c>
      <c r="H9" s="10">
        <v>0</v>
      </c>
      <c r="I9" s="10">
        <v>0</v>
      </c>
      <c r="J9" s="11">
        <f t="shared" si="0"/>
        <v>1</v>
      </c>
      <c r="K9" s="11">
        <f t="shared" si="1"/>
        <v>6</v>
      </c>
      <c r="L9" s="11">
        <f t="shared" si="2"/>
        <v>0</v>
      </c>
      <c r="M9" s="11">
        <v>0</v>
      </c>
      <c r="N9" s="11">
        <f t="shared" si="3"/>
        <v>21.921836527464745</v>
      </c>
      <c r="P9" s="13">
        <f t="shared" si="4"/>
        <v>0.73072788424882484</v>
      </c>
      <c r="W9" s="9" t="s">
        <v>17</v>
      </c>
      <c r="X9" s="11">
        <f t="shared" si="5"/>
        <v>0</v>
      </c>
      <c r="Z9" s="9" t="s">
        <v>42</v>
      </c>
      <c r="AA9" s="9"/>
    </row>
    <row r="10" spans="1:28" ht="15.75" thickBot="1" x14ac:dyDescent="0.3">
      <c r="A10" s="16">
        <v>154561</v>
      </c>
      <c r="B10" s="4">
        <f>INDEX([1]!PREDICT[TRUE PTS],MATCH($A10,[1]!PREDICT[HARD CODE],0))</f>
        <v>21.786724251165364</v>
      </c>
      <c r="C10" s="7" t="str">
        <f>INDEX([1]!MODEL[POS],MATCH($A10,[1]!MODEL[Code],0))</f>
        <v>GK</v>
      </c>
      <c r="D10" s="7" t="str">
        <f>INDEX([1]!MODEL[TEAM],MATCH($A10,[1]!MODEL[Code],0))</f>
        <v>ARS</v>
      </c>
      <c r="E10" s="7">
        <f>INDEX([1]PREDICT!$M$3:$M$1001,MATCH($A10,[1]PREDICT!$B$3:$B$1001,0))</f>
        <v>6</v>
      </c>
      <c r="F10" s="15" t="str">
        <f>INDEX([1]!MODEL[FPL_Name],MATCH($A10,[1]!MODEL[Code],0))</f>
        <v>David Raya Martín</v>
      </c>
      <c r="G10" s="10">
        <v>1</v>
      </c>
      <c r="H10" s="10">
        <v>0</v>
      </c>
      <c r="I10" s="10">
        <v>0</v>
      </c>
      <c r="J10" s="11">
        <f t="shared" si="0"/>
        <v>1</v>
      </c>
      <c r="K10" s="11">
        <f t="shared" si="1"/>
        <v>6</v>
      </c>
      <c r="L10" s="11">
        <f t="shared" si="2"/>
        <v>0</v>
      </c>
      <c r="M10" s="11">
        <v>0</v>
      </c>
      <c r="N10" s="11">
        <f t="shared" si="3"/>
        <v>21.786724251165364</v>
      </c>
      <c r="P10" s="13">
        <f t="shared" si="4"/>
        <v>0.72622414170551219</v>
      </c>
      <c r="W10" s="9" t="s">
        <v>16</v>
      </c>
      <c r="X10" s="11">
        <f>SUMPRODUCT(--($D$2:$D$785=W10),$J$2:$J$785)</f>
        <v>0</v>
      </c>
      <c r="Z10" s="21">
        <v>11</v>
      </c>
      <c r="AA10" s="22">
        <v>0</v>
      </c>
    </row>
    <row r="11" spans="1:28" x14ac:dyDescent="0.25">
      <c r="A11" s="16">
        <v>469142</v>
      </c>
      <c r="B11" s="4">
        <f>INDEX([1]!PREDICT[TRUE PTS],MATCH($A11,[1]!PREDICT[HARD CODE],0))</f>
        <v>22.039805914785109</v>
      </c>
      <c r="C11" s="7" t="str">
        <f>INDEX([1]!MODEL[POS],MATCH($A11,[1]!MODEL[Code],0))</f>
        <v>DEF</v>
      </c>
      <c r="D11" s="7" t="str">
        <f>INDEX([1]!MODEL[TEAM],MATCH($A11,[1]!MODEL[Code],0))</f>
        <v>TOT</v>
      </c>
      <c r="E11" s="7">
        <f>INDEX([1]PREDICT!$M$3:$M$1001,MATCH($A11,[1]PREDICT!$B$3:$B$1001,0))</f>
        <v>5</v>
      </c>
      <c r="F11" s="15" t="str">
        <f>INDEX([1]!MODEL[FPL_Name],MATCH($A11,[1]!MODEL[Code],0))</f>
        <v>Jan Paul van Hecke</v>
      </c>
      <c r="G11" s="10">
        <v>1</v>
      </c>
      <c r="H11" s="10">
        <v>0</v>
      </c>
      <c r="I11" s="10">
        <v>0</v>
      </c>
      <c r="J11" s="11">
        <f t="shared" si="0"/>
        <v>1</v>
      </c>
      <c r="K11" s="11">
        <f t="shared" si="1"/>
        <v>5</v>
      </c>
      <c r="L11" s="11">
        <f t="shared" si="2"/>
        <v>0</v>
      </c>
      <c r="M11" s="11">
        <v>0</v>
      </c>
      <c r="N11" s="11">
        <f t="shared" si="3"/>
        <v>22.039805914785109</v>
      </c>
      <c r="P11" s="13">
        <f t="shared" si="4"/>
        <v>0.8815922365914044</v>
      </c>
      <c r="W11" s="9" t="s">
        <v>8</v>
      </c>
      <c r="X11" s="11">
        <f t="shared" si="5"/>
        <v>0</v>
      </c>
    </row>
    <row r="12" spans="1:28" x14ac:dyDescent="0.25">
      <c r="A12" s="16">
        <v>231747</v>
      </c>
      <c r="B12" s="4">
        <f>INDEX([1]!PREDICT[TRUE PTS],MATCH($A12,[1]!PREDICT[HARD CODE],0))</f>
        <v>19.507679695331362</v>
      </c>
      <c r="C12" s="7" t="str">
        <f>INDEX([1]!MODEL[POS],MATCH($A12,[1]!MODEL[Code],0))</f>
        <v>FWD</v>
      </c>
      <c r="D12" s="7" t="str">
        <f>INDEX([1]!MODEL[TEAM],MATCH($A12,[1]!MODEL[Code],0))</f>
        <v>CRY</v>
      </c>
      <c r="E12" s="7">
        <f>INDEX([1]PREDICT!$M$3:$M$1001,MATCH($A12,[1]PREDICT!$B$3:$B$1001,0))</f>
        <v>6.5</v>
      </c>
      <c r="F12" s="15" t="str">
        <f>INDEX([1]!MODEL[FPL_Name],MATCH($A12,[1]!MODEL[Code],0))</f>
        <v>Jean-Philippe Mateta</v>
      </c>
      <c r="G12" s="10">
        <v>1</v>
      </c>
      <c r="H12" s="10">
        <v>0</v>
      </c>
      <c r="I12" s="10">
        <v>0</v>
      </c>
      <c r="J12" s="11">
        <f t="shared" si="0"/>
        <v>1</v>
      </c>
      <c r="K12" s="11">
        <f t="shared" si="1"/>
        <v>6.5</v>
      </c>
      <c r="L12" s="11">
        <f t="shared" si="2"/>
        <v>0</v>
      </c>
      <c r="M12" s="11">
        <v>0</v>
      </c>
      <c r="N12" s="11">
        <f t="shared" si="3"/>
        <v>19.507679695331362</v>
      </c>
      <c r="P12" s="13">
        <f t="shared" si="4"/>
        <v>0.60023629831788805</v>
      </c>
      <c r="W12" s="9" t="s">
        <v>21</v>
      </c>
      <c r="X12" s="11">
        <f t="shared" si="5"/>
        <v>0</v>
      </c>
    </row>
    <row r="13" spans="1:28" x14ac:dyDescent="0.25">
      <c r="A13" s="16">
        <v>502500</v>
      </c>
      <c r="B13" s="4">
        <f>INDEX([1]!PREDICT[TRUE PTS],MATCH($A13,[1]!PREDICT[HARD CODE],0))</f>
        <v>20.163005505042978</v>
      </c>
      <c r="C13" s="7" t="str">
        <f>INDEX([1]!MODEL[POS],MATCH($A13,[1]!MODEL[Code],0))</f>
        <v>FWD</v>
      </c>
      <c r="D13" s="7" t="str">
        <f>INDEX([1]!MODEL[TEAM],MATCH($A13,[1]!MODEL[Code],0))</f>
        <v>BRE</v>
      </c>
      <c r="E13" s="7">
        <f>INDEX([1]PREDICT!$M$3:$M$1001,MATCH($A13,[1]PREDICT!$B$3:$B$1001,0))</f>
        <v>8</v>
      </c>
      <c r="F13" s="15" t="str">
        <f>INDEX([1]!MODEL[FPL_Name],MATCH($A13,[1]!MODEL[Code],0))</f>
        <v>Igor Thiago Nascimento Rodrigues</v>
      </c>
      <c r="G13" s="10">
        <v>0</v>
      </c>
      <c r="H13" s="10">
        <v>0</v>
      </c>
      <c r="I13" s="10">
        <v>0</v>
      </c>
      <c r="J13" s="11">
        <f t="shared" si="0"/>
        <v>0</v>
      </c>
      <c r="K13" s="11">
        <f t="shared" si="1"/>
        <v>0</v>
      </c>
      <c r="L13" s="11">
        <f t="shared" si="2"/>
        <v>0</v>
      </c>
      <c r="M13" s="11">
        <v>0</v>
      </c>
      <c r="N13" s="11">
        <f t="shared" si="3"/>
        <v>0</v>
      </c>
      <c r="P13" s="13">
        <f t="shared" si="4"/>
        <v>0.50407513762607448</v>
      </c>
      <c r="W13" s="9" t="s">
        <v>5</v>
      </c>
      <c r="X13" s="11">
        <f t="shared" si="5"/>
        <v>2</v>
      </c>
    </row>
    <row r="14" spans="1:28" x14ac:dyDescent="0.25">
      <c r="A14" s="16">
        <v>97032</v>
      </c>
      <c r="B14" s="4">
        <f>INDEX([1]!PREDICT[TRUE PTS],MATCH($A14,[1]!PREDICT[HARD CODE],0))</f>
        <v>22.666033950421387</v>
      </c>
      <c r="C14" s="7" t="str">
        <f>INDEX([1]!MODEL[POS],MATCH($A14,[1]!MODEL[Code],0))</f>
        <v>DEF</v>
      </c>
      <c r="D14" s="7" t="str">
        <f>INDEX([1]!MODEL[TEAM],MATCH($A14,[1]!MODEL[Code],0))</f>
        <v>LIV</v>
      </c>
      <c r="E14" s="7">
        <f>INDEX([1]PREDICT!$M$3:$M$1001,MATCH($A14,[1]PREDICT!$B$3:$B$1001,0))</f>
        <v>6.5</v>
      </c>
      <c r="F14" s="15" t="str">
        <f>INDEX([1]!MODEL[FPL_Name],MATCH($A14,[1]!MODEL[Code],0))</f>
        <v>Virgil van Dijk</v>
      </c>
      <c r="G14" s="10">
        <v>0</v>
      </c>
      <c r="H14" s="10">
        <v>0</v>
      </c>
      <c r="I14" s="10">
        <v>0</v>
      </c>
      <c r="J14" s="11">
        <f t="shared" si="0"/>
        <v>0</v>
      </c>
      <c r="K14" s="11">
        <f t="shared" si="1"/>
        <v>0</v>
      </c>
      <c r="L14" s="11">
        <f t="shared" si="2"/>
        <v>0</v>
      </c>
      <c r="M14" s="11">
        <v>0</v>
      </c>
      <c r="N14" s="11">
        <f t="shared" si="3"/>
        <v>0</v>
      </c>
      <c r="P14" s="13">
        <f t="shared" si="4"/>
        <v>0.69741642924373504</v>
      </c>
      <c r="W14" s="9" t="s">
        <v>1121</v>
      </c>
      <c r="X14" s="11">
        <f t="shared" si="5"/>
        <v>0</v>
      </c>
    </row>
    <row r="15" spans="1:28" x14ac:dyDescent="0.25">
      <c r="A15" s="16">
        <v>223094</v>
      </c>
      <c r="B15" s="4">
        <f>INDEX([1]!PREDICT[TRUE PTS],MATCH($A15,[1]!PREDICT[HARD CODE],0))</f>
        <v>31.414894216211668</v>
      </c>
      <c r="C15" s="7" t="str">
        <f>INDEX([1]!MODEL[POS],MATCH($A15,[1]!MODEL[Code],0))</f>
        <v>FWD</v>
      </c>
      <c r="D15" s="7" t="str">
        <f>INDEX([1]!MODEL[TEAM],MATCH($A15,[1]!MODEL[Code],0))</f>
        <v>MCI</v>
      </c>
      <c r="E15" s="7">
        <f>INDEX([1]PREDICT!$M$3:$M$1001,MATCH($A15,[1]PREDICT!$B$3:$B$1001,0))</f>
        <v>15.5</v>
      </c>
      <c r="F15" s="15" t="str">
        <f>INDEX([1]!MODEL[FPL_Name],MATCH($A15,[1]!MODEL[Code],0))</f>
        <v>Erling Haaland</v>
      </c>
      <c r="G15" s="10">
        <v>0</v>
      </c>
      <c r="H15" s="10">
        <v>0</v>
      </c>
      <c r="I15" s="10">
        <v>0</v>
      </c>
      <c r="J15" s="11">
        <f t="shared" si="0"/>
        <v>0</v>
      </c>
      <c r="K15" s="11">
        <f t="shared" si="1"/>
        <v>0</v>
      </c>
      <c r="L15" s="11">
        <f t="shared" si="2"/>
        <v>0</v>
      </c>
      <c r="M15" s="11">
        <v>0</v>
      </c>
      <c r="N15" s="11">
        <f t="shared" si="3"/>
        <v>0</v>
      </c>
      <c r="P15" s="13">
        <f t="shared" si="4"/>
        <v>0.40535347375756992</v>
      </c>
      <c r="W15" s="9" t="s">
        <v>15</v>
      </c>
      <c r="X15" s="11">
        <f t="shared" si="5"/>
        <v>1</v>
      </c>
    </row>
    <row r="16" spans="1:28" x14ac:dyDescent="0.25">
      <c r="A16" s="16">
        <v>437730</v>
      </c>
      <c r="B16" s="4">
        <f>INDEX([1]!PREDICT[TRUE PTS],MATCH($A16,[1]!PREDICT[HARD CODE],0))</f>
        <v>24.575461948799735</v>
      </c>
      <c r="C16" s="7" t="str">
        <f>INDEX([1]!MODEL[POS],MATCH($A16,[1]!MODEL[Code],0))</f>
        <v>MID</v>
      </c>
      <c r="D16" s="7" t="str">
        <f>INDEX([1]!MODEL[TEAM],MATCH($A16,[1]!MODEL[Code],0))</f>
        <v>MCI</v>
      </c>
      <c r="E16" s="7">
        <f>INDEX([1]PREDICT!$M$3:$M$1001,MATCH($A16,[1]PREDICT!$B$3:$B$1001,0))</f>
        <v>8.5</v>
      </c>
      <c r="F16" s="15" t="str">
        <f>INDEX([1]!MODEL[FPL_Name],MATCH($A16,[1]!MODEL[Code],0))</f>
        <v>Antoine Semenyo</v>
      </c>
      <c r="G16" s="10">
        <v>0</v>
      </c>
      <c r="H16" s="10">
        <v>0</v>
      </c>
      <c r="I16" s="10">
        <v>0</v>
      </c>
      <c r="J16" s="11">
        <f t="shared" si="0"/>
        <v>0</v>
      </c>
      <c r="K16" s="11">
        <f t="shared" si="1"/>
        <v>0</v>
      </c>
      <c r="L16" s="11">
        <f t="shared" si="2"/>
        <v>0</v>
      </c>
      <c r="M16" s="11">
        <v>0</v>
      </c>
      <c r="N16" s="11">
        <f t="shared" si="3"/>
        <v>0</v>
      </c>
      <c r="P16" s="13">
        <f t="shared" si="4"/>
        <v>0.5782461635011702</v>
      </c>
      <c r="W16" s="9" t="s">
        <v>14</v>
      </c>
      <c r="X16" s="11">
        <f t="shared" si="5"/>
        <v>0</v>
      </c>
    </row>
    <row r="17" spans="1:24" x14ac:dyDescent="0.25">
      <c r="A17" s="16">
        <v>244851</v>
      </c>
      <c r="B17" s="4">
        <f>INDEX([1]!PREDICT[TRUE PTS],MATCH($A17,[1]!PREDICT[HARD CODE],0))</f>
        <v>23.267126181191038</v>
      </c>
      <c r="C17" s="7" t="str">
        <f>INDEX([1]!MODEL[POS],MATCH($A17,[1]!MODEL[Code],0))</f>
        <v>MID</v>
      </c>
      <c r="D17" s="7" t="str">
        <f>INDEX([1]!MODEL[TEAM],MATCH($A17,[1]!MODEL[Code],0))</f>
        <v>CHE</v>
      </c>
      <c r="E17" s="7">
        <f>INDEX([1]PREDICT!$M$3:$M$1001,MATCH($A17,[1]PREDICT!$B$3:$B$1001,0))</f>
        <v>9.5</v>
      </c>
      <c r="F17" s="15" t="str">
        <f>INDEX([1]!MODEL[FPL_Name],MATCH($A17,[1]!MODEL[Code],0))</f>
        <v>Cole Palmer</v>
      </c>
      <c r="G17" s="10">
        <v>0</v>
      </c>
      <c r="H17" s="10">
        <v>0</v>
      </c>
      <c r="I17" s="10">
        <v>0</v>
      </c>
      <c r="J17" s="11">
        <f t="shared" si="0"/>
        <v>0</v>
      </c>
      <c r="K17" s="11">
        <f t="shared" si="1"/>
        <v>0</v>
      </c>
      <c r="L17" s="11">
        <f t="shared" si="2"/>
        <v>0</v>
      </c>
      <c r="M17" s="11">
        <v>0</v>
      </c>
      <c r="N17" s="11">
        <f t="shared" si="3"/>
        <v>0</v>
      </c>
      <c r="P17" s="13">
        <f t="shared" si="4"/>
        <v>0.48983423539349558</v>
      </c>
      <c r="W17" s="9" t="s">
        <v>20</v>
      </c>
      <c r="X17" s="11">
        <f t="shared" si="5"/>
        <v>0</v>
      </c>
    </row>
    <row r="18" spans="1:24" x14ac:dyDescent="0.25">
      <c r="A18" s="16">
        <v>424876</v>
      </c>
      <c r="B18" s="4">
        <f>INDEX([1]!PREDICT[TRUE PTS],MATCH($A18,[1]!PREDICT[HARD CODE],0))</f>
        <v>23.146652298865195</v>
      </c>
      <c r="C18" s="7" t="str">
        <f>INDEX([1]!MODEL[POS],MATCH($A18,[1]!MODEL[Code],0))</f>
        <v>MID</v>
      </c>
      <c r="D18" s="7" t="str">
        <f>INDEX([1]!MODEL[TEAM],MATCH($A18,[1]!MODEL[Code],0))</f>
        <v>LIV</v>
      </c>
      <c r="E18" s="7">
        <f>INDEX([1]PREDICT!$M$3:$M$1001,MATCH($A18,[1]PREDICT!$B$3:$B$1001,0))</f>
        <v>7</v>
      </c>
      <c r="F18" s="15" t="str">
        <f>INDEX([1]!MODEL[FPL_Name],MATCH($A18,[1]!MODEL[Code],0))</f>
        <v>Dominik Szoboszlai</v>
      </c>
      <c r="G18" s="10">
        <v>0</v>
      </c>
      <c r="H18" s="10">
        <v>0</v>
      </c>
      <c r="I18" s="10">
        <v>0</v>
      </c>
      <c r="J18" s="11">
        <f t="shared" si="0"/>
        <v>0</v>
      </c>
      <c r="K18" s="11">
        <f t="shared" si="1"/>
        <v>0</v>
      </c>
      <c r="L18" s="11">
        <f t="shared" si="2"/>
        <v>0</v>
      </c>
      <c r="M18" s="11">
        <v>0</v>
      </c>
      <c r="N18" s="11">
        <f t="shared" si="3"/>
        <v>0</v>
      </c>
      <c r="P18" s="13">
        <f t="shared" si="4"/>
        <v>0.66133292282471978</v>
      </c>
      <c r="W18" s="9" t="s">
        <v>1122</v>
      </c>
      <c r="X18" s="11">
        <f t="shared" si="5"/>
        <v>0</v>
      </c>
    </row>
    <row r="19" spans="1:24" x14ac:dyDescent="0.25">
      <c r="A19" s="16">
        <v>204480</v>
      </c>
      <c r="B19" s="4">
        <f>INDEX([1]!PREDICT[TRUE PTS],MATCH($A19,[1]!PREDICT[HARD CODE],0))</f>
        <v>22.65767869805606</v>
      </c>
      <c r="C19" s="7" t="str">
        <f>INDEX([1]!MODEL[POS],MATCH($A19,[1]!MODEL[Code],0))</f>
        <v>MID</v>
      </c>
      <c r="D19" s="7" t="str">
        <f>INDEX([1]!MODEL[TEAM],MATCH($A19,[1]!MODEL[Code],0))</f>
        <v>ARS</v>
      </c>
      <c r="E19" s="7">
        <f>INDEX([1]PREDICT!$M$3:$M$1001,MATCH($A19,[1]PREDICT!$B$3:$B$1001,0))</f>
        <v>7.5</v>
      </c>
      <c r="F19" s="15" t="str">
        <f>INDEX([1]!MODEL[FPL_Name],MATCH($A19,[1]!MODEL[Code],0))</f>
        <v>Declan Rice</v>
      </c>
      <c r="G19" s="10">
        <v>0</v>
      </c>
      <c r="H19" s="10">
        <v>0</v>
      </c>
      <c r="I19" s="10">
        <v>0</v>
      </c>
      <c r="J19" s="11">
        <f t="shared" si="0"/>
        <v>0</v>
      </c>
      <c r="K19" s="11">
        <f t="shared" si="1"/>
        <v>0</v>
      </c>
      <c r="L19" s="11">
        <f t="shared" si="2"/>
        <v>0</v>
      </c>
      <c r="M19" s="11">
        <v>0</v>
      </c>
      <c r="N19" s="11">
        <f t="shared" si="3"/>
        <v>0</v>
      </c>
      <c r="P19" s="13">
        <f t="shared" si="4"/>
        <v>0.60420476528149492</v>
      </c>
      <c r="W19" s="9" t="s">
        <v>1123</v>
      </c>
      <c r="X19" s="11">
        <f t="shared" si="5"/>
        <v>0</v>
      </c>
    </row>
    <row r="20" spans="1:24" x14ac:dyDescent="0.25">
      <c r="A20" s="16">
        <v>201658</v>
      </c>
      <c r="B20" s="4">
        <f>INDEX([1]!PREDICT[TRUE PTS],MATCH($A20,[1]!PREDICT[HARD CODE],0))</f>
        <v>22.620665926651959</v>
      </c>
      <c r="C20" s="7" t="str">
        <f>INDEX([1]!MODEL[POS],MATCH($A20,[1]!MODEL[Code],0))</f>
        <v>MID</v>
      </c>
      <c r="D20" s="7" t="str">
        <f>INDEX([1]!MODEL[TEAM],MATCH($A20,[1]!MODEL[Code],0))</f>
        <v>BOU</v>
      </c>
      <c r="E20" s="7">
        <f>INDEX([1]PREDICT!$M$3:$M$1001,MATCH($A20,[1]PREDICT!$B$3:$B$1001,0))</f>
        <v>6</v>
      </c>
      <c r="F20" s="15" t="str">
        <f>INDEX([1]!MODEL[FPL_Name],MATCH($A20,[1]!MODEL[Code],0))</f>
        <v>Marcus Tavernier</v>
      </c>
      <c r="G20" s="10">
        <v>0</v>
      </c>
      <c r="H20" s="10">
        <v>0</v>
      </c>
      <c r="I20" s="10">
        <v>0</v>
      </c>
      <c r="J20" s="11">
        <f t="shared" si="0"/>
        <v>0</v>
      </c>
      <c r="K20" s="11">
        <f t="shared" si="1"/>
        <v>0</v>
      </c>
      <c r="L20" s="11">
        <f t="shared" si="2"/>
        <v>0</v>
      </c>
      <c r="M20" s="11">
        <v>0</v>
      </c>
      <c r="N20" s="11">
        <f t="shared" si="3"/>
        <v>0</v>
      </c>
      <c r="P20" s="13">
        <f t="shared" si="4"/>
        <v>0.75402219755506539</v>
      </c>
      <c r="W20" s="9" t="s">
        <v>22</v>
      </c>
      <c r="X20" s="11">
        <f t="shared" si="5"/>
        <v>1</v>
      </c>
    </row>
    <row r="21" spans="1:24" x14ac:dyDescent="0.25">
      <c r="A21" s="16">
        <v>215136</v>
      </c>
      <c r="B21" s="4">
        <f>INDEX([1]!PREDICT[TRUE PTS],MATCH($A21,[1]!PREDICT[HARD CODE],0))</f>
        <v>21.823937357495318</v>
      </c>
      <c r="C21" s="7" t="str">
        <f>INDEX([1]!MODEL[POS],MATCH($A21,[1]!MODEL[Code],0))</f>
        <v>DEF</v>
      </c>
      <c r="D21" s="7" t="str">
        <f>INDEX([1]!MODEL[TEAM],MATCH($A21,[1]!MODEL[Code],0))</f>
        <v>NFO</v>
      </c>
      <c r="E21" s="7">
        <f>INDEX([1]PREDICT!$M$3:$M$1001,MATCH($A21,[1]PREDICT!$B$3:$B$1001,0))</f>
        <v>5</v>
      </c>
      <c r="F21" s="15" t="str">
        <f>INDEX([1]!MODEL[FPL_Name],MATCH($A21,[1]!MODEL[Code],0))</f>
        <v>Neco Williams</v>
      </c>
      <c r="G21" s="10">
        <v>0</v>
      </c>
      <c r="H21" s="10">
        <v>0</v>
      </c>
      <c r="I21" s="10">
        <v>0</v>
      </c>
      <c r="J21" s="11">
        <f t="shared" si="0"/>
        <v>0</v>
      </c>
      <c r="K21" s="11">
        <f t="shared" si="1"/>
        <v>0</v>
      </c>
      <c r="L21" s="11">
        <f t="shared" si="2"/>
        <v>0</v>
      </c>
      <c r="M21" s="11">
        <v>0</v>
      </c>
      <c r="N21" s="11">
        <f t="shared" si="3"/>
        <v>0</v>
      </c>
      <c r="P21" s="13">
        <f t="shared" si="4"/>
        <v>0.87295749429981273</v>
      </c>
      <c r="W21" s="9" t="s">
        <v>4</v>
      </c>
      <c r="X21" s="11">
        <f t="shared" si="5"/>
        <v>0</v>
      </c>
    </row>
    <row r="22" spans="1:24" x14ac:dyDescent="0.25">
      <c r="A22" s="16">
        <v>472769</v>
      </c>
      <c r="B22" s="4">
        <f>INDEX([1]!PREDICT[TRUE PTS],MATCH($A22,[1]!PREDICT[HARD CODE],0))</f>
        <v>21.750132490961285</v>
      </c>
      <c r="C22" s="7" t="str">
        <f>INDEX([1]!MODEL[POS],MATCH($A22,[1]!MODEL[Code],0))</f>
        <v>DEF</v>
      </c>
      <c r="D22" s="7" t="str">
        <f>INDEX([1]!MODEL[TEAM],MATCH($A22,[1]!MODEL[Code],0))</f>
        <v>MCI</v>
      </c>
      <c r="E22" s="7">
        <f>INDEX([1]PREDICT!$M$3:$M$1001,MATCH($A22,[1]PREDICT!$B$3:$B$1001,0))</f>
        <v>6.5</v>
      </c>
      <c r="F22" s="15" t="str">
        <f>INDEX([1]!MODEL[FPL_Name],MATCH($A22,[1]!MODEL[Code],0))</f>
        <v>Nico O'Reilly</v>
      </c>
      <c r="G22" s="10">
        <v>0</v>
      </c>
      <c r="H22" s="10">
        <v>0</v>
      </c>
      <c r="I22" s="10">
        <v>0</v>
      </c>
      <c r="J22" s="11">
        <f t="shared" si="0"/>
        <v>0</v>
      </c>
      <c r="K22" s="11">
        <f t="shared" si="1"/>
        <v>0</v>
      </c>
      <c r="L22" s="11">
        <f t="shared" si="2"/>
        <v>0</v>
      </c>
      <c r="M22" s="11">
        <v>0</v>
      </c>
      <c r="N22" s="11">
        <f t="shared" si="3"/>
        <v>0</v>
      </c>
      <c r="P22" s="13">
        <f t="shared" si="4"/>
        <v>0.66923484587573179</v>
      </c>
      <c r="W22" s="9" t="s">
        <v>9</v>
      </c>
      <c r="X22" s="11">
        <f t="shared" si="5"/>
        <v>1</v>
      </c>
    </row>
    <row r="23" spans="1:24" x14ac:dyDescent="0.25">
      <c r="A23" s="16">
        <v>17761</v>
      </c>
      <c r="B23" s="4">
        <f>INDEX([1]!PREDICT[TRUE PTS],MATCH($A23,[1]!PREDICT[HARD CODE],0))</f>
        <v>21.621850360507633</v>
      </c>
      <c r="C23" s="7" t="str">
        <f>INDEX([1]!MODEL[POS],MATCH($A23,[1]!MODEL[Code],0))</f>
        <v>DEF</v>
      </c>
      <c r="D23" s="7" t="str">
        <f>INDEX([1]!MODEL[TEAM],MATCH($A23,[1]!MODEL[Code],0))</f>
        <v>EVE</v>
      </c>
      <c r="E23" s="7">
        <f>INDEX([1]PREDICT!$M$3:$M$1001,MATCH($A23,[1]PREDICT!$B$3:$B$1001,0))</f>
        <v>6</v>
      </c>
      <c r="F23" s="15" t="str">
        <f>INDEX([1]!MODEL[FPL_Name],MATCH($A23,[1]!MODEL[Code],0))</f>
        <v>James Tarkowski</v>
      </c>
      <c r="G23" s="10">
        <v>0</v>
      </c>
      <c r="H23" s="10">
        <v>0</v>
      </c>
      <c r="I23" s="10">
        <v>0</v>
      </c>
      <c r="J23" s="11">
        <f t="shared" si="0"/>
        <v>0</v>
      </c>
      <c r="K23" s="11">
        <f t="shared" si="1"/>
        <v>0</v>
      </c>
      <c r="L23" s="11">
        <f t="shared" si="2"/>
        <v>0</v>
      </c>
      <c r="M23" s="11">
        <v>0</v>
      </c>
      <c r="N23" s="11">
        <f t="shared" si="3"/>
        <v>0</v>
      </c>
      <c r="P23" s="13">
        <f t="shared" si="4"/>
        <v>0.72072834535025443</v>
      </c>
      <c r="W23" s="9" t="s">
        <v>10</v>
      </c>
      <c r="X23" s="11">
        <f t="shared" si="5"/>
        <v>2</v>
      </c>
    </row>
    <row r="24" spans="1:24" x14ac:dyDescent="0.25">
      <c r="A24" s="16">
        <v>223340</v>
      </c>
      <c r="B24" s="4">
        <f>INDEX([1]!PREDICT[TRUE PTS],MATCH($A24,[1]!PREDICT[HARD CODE],0))</f>
        <v>21.281498953996628</v>
      </c>
      <c r="C24" s="7" t="str">
        <f>INDEX([1]!MODEL[POS],MATCH($A24,[1]!MODEL[Code],0))</f>
        <v>MID</v>
      </c>
      <c r="D24" s="7" t="str">
        <f>INDEX([1]!MODEL[TEAM],MATCH($A24,[1]!MODEL[Code],0))</f>
        <v>ARS</v>
      </c>
      <c r="E24" s="7">
        <f>INDEX([1]PREDICT!$M$3:$M$1001,MATCH($A24,[1]PREDICT!$B$3:$B$1001,0))</f>
        <v>9.5</v>
      </c>
      <c r="F24" s="15" t="str">
        <f>INDEX([1]!MODEL[FPL_Name],MATCH($A24,[1]!MODEL[Code],0))</f>
        <v>Bukayo Saka</v>
      </c>
      <c r="G24" s="10">
        <v>0</v>
      </c>
      <c r="H24" s="10">
        <v>0</v>
      </c>
      <c r="I24" s="10">
        <v>0</v>
      </c>
      <c r="J24" s="11">
        <f t="shared" si="0"/>
        <v>0</v>
      </c>
      <c r="K24" s="11">
        <f t="shared" si="1"/>
        <v>0</v>
      </c>
      <c r="L24" s="11">
        <f t="shared" si="2"/>
        <v>0</v>
      </c>
      <c r="M24" s="11">
        <v>0</v>
      </c>
      <c r="N24" s="11">
        <f t="shared" si="3"/>
        <v>0</v>
      </c>
      <c r="P24" s="13">
        <f t="shared" si="4"/>
        <v>0.4480315569262448</v>
      </c>
      <c r="W24" s="9" t="s">
        <v>7</v>
      </c>
      <c r="X24" s="11">
        <f t="shared" si="5"/>
        <v>0</v>
      </c>
    </row>
    <row r="25" spans="1:24" x14ac:dyDescent="0.25">
      <c r="A25" s="16">
        <v>440993</v>
      </c>
      <c r="B25" s="4">
        <f>INDEX([1]!PREDICT[TRUE PTS],MATCH($A25,[1]!PREDICT[HARD CODE],0))</f>
        <v>21.158068665226931</v>
      </c>
      <c r="C25" s="7" t="str">
        <f>INDEX([1]!MODEL[POS],MATCH($A25,[1]!MODEL[Code],0))</f>
        <v>MID</v>
      </c>
      <c r="D25" s="7" t="str">
        <f>INDEX([1]!MODEL[TEAM],MATCH($A25,[1]!MODEL[Code],0))</f>
        <v>EVE</v>
      </c>
      <c r="E25" s="7">
        <f>INDEX([1]PREDICT!$M$3:$M$1001,MATCH($A25,[1]PREDICT!$B$3:$B$1001,0))</f>
        <v>6</v>
      </c>
      <c r="F25" s="15" t="str">
        <f>INDEX([1]!MODEL[FPL_Name],MATCH($A25,[1]!MODEL[Code],0))</f>
        <v>Iliman Ndiaye</v>
      </c>
      <c r="G25" s="10">
        <v>0</v>
      </c>
      <c r="H25" s="10">
        <v>0</v>
      </c>
      <c r="I25" s="10">
        <v>0</v>
      </c>
      <c r="J25" s="11">
        <f t="shared" si="0"/>
        <v>0</v>
      </c>
      <c r="K25" s="11">
        <f t="shared" si="1"/>
        <v>0</v>
      </c>
      <c r="L25" s="11">
        <f t="shared" si="2"/>
        <v>0</v>
      </c>
      <c r="M25" s="11">
        <v>0</v>
      </c>
      <c r="N25" s="11">
        <f t="shared" si="3"/>
        <v>0</v>
      </c>
      <c r="P25" s="13">
        <f t="shared" si="4"/>
        <v>0.70526895550756441</v>
      </c>
      <c r="W25" s="9" t="s">
        <v>12</v>
      </c>
      <c r="X25" s="11">
        <f t="shared" si="5"/>
        <v>1</v>
      </c>
    </row>
    <row r="26" spans="1:24" x14ac:dyDescent="0.25">
      <c r="A26" s="16">
        <v>533463</v>
      </c>
      <c r="B26" s="4">
        <f>INDEX([1]!PREDICT[TRUE PTS],MATCH($A26,[1]!PREDICT[HARD CODE],0))</f>
        <v>21.092940606420729</v>
      </c>
      <c r="C26" s="7" t="str">
        <f>INDEX([1]!MODEL[POS],MATCH($A26,[1]!MODEL[Code],0))</f>
        <v>MID</v>
      </c>
      <c r="D26" s="7" t="str">
        <f>INDEX([1]!MODEL[TEAM],MATCH($A26,[1]!MODEL[Code],0))</f>
        <v>BRE</v>
      </c>
      <c r="E26" s="7">
        <f>INDEX([1]PREDICT!$M$3:$M$1001,MATCH($A26,[1]PREDICT!$B$3:$B$1001,0))</f>
        <v>6.5</v>
      </c>
      <c r="F26" s="15" t="str">
        <f>INDEX([1]!MODEL[FPL_Name],MATCH($A26,[1]!MODEL[Code],0))</f>
        <v>Dango Ouattara</v>
      </c>
      <c r="G26" s="10">
        <v>0</v>
      </c>
      <c r="H26" s="10">
        <v>0</v>
      </c>
      <c r="I26" s="10">
        <v>0</v>
      </c>
      <c r="J26" s="11">
        <f t="shared" si="0"/>
        <v>0</v>
      </c>
      <c r="K26" s="11">
        <f t="shared" si="1"/>
        <v>0</v>
      </c>
      <c r="L26" s="11">
        <f t="shared" si="2"/>
        <v>0</v>
      </c>
      <c r="M26" s="11">
        <v>0</v>
      </c>
      <c r="N26" s="11">
        <f t="shared" si="3"/>
        <v>0</v>
      </c>
      <c r="P26" s="13">
        <f t="shared" si="4"/>
        <v>0.64901355712063791</v>
      </c>
      <c r="W26" s="9" t="s">
        <v>19</v>
      </c>
      <c r="X26" s="11">
        <f t="shared" si="5"/>
        <v>1</v>
      </c>
    </row>
    <row r="27" spans="1:24" x14ac:dyDescent="0.25">
      <c r="A27" s="16">
        <v>494595</v>
      </c>
      <c r="B27" s="4">
        <f>INDEX([1]!PREDICT[TRUE PTS],MATCH($A27,[1]!PREDICT[HARD CODE],0))</f>
        <v>21.053584663424939</v>
      </c>
      <c r="C27" s="7" t="str">
        <f>INDEX([1]!MODEL[POS],MATCH($A27,[1]!MODEL[Code],0))</f>
        <v>MID</v>
      </c>
      <c r="D27" s="7" t="str">
        <f>INDEX([1]!MODEL[TEAM],MATCH($A27,[1]!MODEL[Code],0))</f>
        <v>LIV</v>
      </c>
      <c r="E27" s="7">
        <f>INDEX([1]PREDICT!$M$3:$M$1001,MATCH($A27,[1]PREDICT!$B$3:$B$1001,0))</f>
        <v>7.5</v>
      </c>
      <c r="F27" s="15" t="str">
        <f>INDEX([1]!MODEL[FPL_Name],MATCH($A27,[1]!MODEL[Code],0))</f>
        <v>Florian Wirtz</v>
      </c>
      <c r="G27" s="10">
        <v>0</v>
      </c>
      <c r="H27" s="10">
        <v>0</v>
      </c>
      <c r="I27" s="10">
        <v>0</v>
      </c>
      <c r="J27" s="11">
        <f t="shared" si="0"/>
        <v>0</v>
      </c>
      <c r="K27" s="11">
        <f t="shared" si="1"/>
        <v>0</v>
      </c>
      <c r="L27" s="11">
        <f t="shared" si="2"/>
        <v>0</v>
      </c>
      <c r="M27" s="11">
        <v>0</v>
      </c>
      <c r="N27" s="11">
        <f t="shared" si="3"/>
        <v>0</v>
      </c>
      <c r="P27" s="13">
        <f t="shared" si="4"/>
        <v>0.5614289243579984</v>
      </c>
      <c r="W27" s="9" t="s">
        <v>23</v>
      </c>
      <c r="X27" s="11">
        <f t="shared" si="5"/>
        <v>0</v>
      </c>
    </row>
    <row r="28" spans="1:24" x14ac:dyDescent="0.25">
      <c r="A28" s="16">
        <v>465642</v>
      </c>
      <c r="B28" s="4">
        <f>INDEX([1]!PREDICT[TRUE PTS],MATCH($A28,[1]!PREDICT[HARD CODE],0))</f>
        <v>21.00656527395515</v>
      </c>
      <c r="C28" s="7" t="str">
        <f>INDEX([1]!MODEL[POS],MATCH($A28,[1]!MODEL[Code],0))</f>
        <v>DEF</v>
      </c>
      <c r="D28" s="7" t="str">
        <f>INDEX([1]!MODEL[TEAM],MATCH($A28,[1]!MODEL[Code],0))</f>
        <v>NEW</v>
      </c>
      <c r="E28" s="7">
        <f>INDEX([1]PREDICT!$M$3:$M$1001,MATCH($A28,[1]PREDICT!$B$3:$B$1001,0))</f>
        <v>5</v>
      </c>
      <c r="F28" s="15" t="str">
        <f>INDEX([1]!MODEL[FPL_Name],MATCH($A28,[1]!MODEL[Code],0))</f>
        <v>Malick Thiaw</v>
      </c>
      <c r="G28" s="10">
        <v>0</v>
      </c>
      <c r="H28" s="10">
        <v>0</v>
      </c>
      <c r="I28" s="10">
        <v>0</v>
      </c>
      <c r="J28" s="11">
        <f t="shared" si="0"/>
        <v>0</v>
      </c>
      <c r="K28" s="11">
        <f t="shared" si="1"/>
        <v>0</v>
      </c>
      <c r="L28" s="11">
        <f t="shared" si="2"/>
        <v>0</v>
      </c>
      <c r="M28" s="11">
        <v>0</v>
      </c>
      <c r="N28" s="11">
        <f t="shared" si="3"/>
        <v>0</v>
      </c>
      <c r="P28" s="13">
        <f t="shared" si="4"/>
        <v>0.84026261095820609</v>
      </c>
    </row>
    <row r="29" spans="1:24" x14ac:dyDescent="0.25">
      <c r="A29" s="16">
        <v>430871</v>
      </c>
      <c r="B29" s="4">
        <f>INDEX([1]!PREDICT[TRUE PTS],MATCH($A29,[1]!PREDICT[HARD CODE],0))</f>
        <v>20.660152531833784</v>
      </c>
      <c r="C29" s="7" t="str">
        <f>INDEX([1]!MODEL[POS],MATCH($A29,[1]!MODEL[Code],0))</f>
        <v>MID</v>
      </c>
      <c r="D29" s="7" t="str">
        <f>INDEX([1]!MODEL[TEAM],MATCH($A29,[1]!MODEL[Code],0))</f>
        <v>MUN</v>
      </c>
      <c r="E29" s="7">
        <f>INDEX([1]PREDICT!$M$3:$M$1001,MATCH($A29,[1]PREDICT!$B$3:$B$1001,0))</f>
        <v>8</v>
      </c>
      <c r="F29" s="15" t="str">
        <f>INDEX([1]!MODEL[FPL_Name],MATCH($A29,[1]!MODEL[Code],0))</f>
        <v>Matheus Santos Carneiro da Cunha</v>
      </c>
      <c r="G29" s="10">
        <v>0</v>
      </c>
      <c r="H29" s="10">
        <v>0</v>
      </c>
      <c r="I29" s="10">
        <v>0</v>
      </c>
      <c r="J29" s="11">
        <f t="shared" si="0"/>
        <v>0</v>
      </c>
      <c r="K29" s="11">
        <f t="shared" si="1"/>
        <v>0</v>
      </c>
      <c r="L29" s="11">
        <f t="shared" si="2"/>
        <v>0</v>
      </c>
      <c r="M29" s="11">
        <v>0</v>
      </c>
      <c r="N29" s="11">
        <f t="shared" si="3"/>
        <v>0</v>
      </c>
      <c r="P29" s="13">
        <f t="shared" si="4"/>
        <v>0.5165038132958446</v>
      </c>
    </row>
    <row r="30" spans="1:24" x14ac:dyDescent="0.25">
      <c r="A30" s="16">
        <v>484420</v>
      </c>
      <c r="B30" s="4">
        <f>INDEX([1]!PREDICT[TRUE PTS],MATCH($A30,[1]!PREDICT[HARD CODE],0))</f>
        <v>20.427766617984737</v>
      </c>
      <c r="C30" s="7" t="str">
        <f>INDEX([1]!MODEL[POS],MATCH($A30,[1]!MODEL[Code],0))</f>
        <v>MID</v>
      </c>
      <c r="D30" s="7" t="str">
        <f>INDEX([1]!MODEL[TEAM],MATCH($A30,[1]!MODEL[Code],0))</f>
        <v>SUN</v>
      </c>
      <c r="E30" s="7">
        <f>INDEX([1]PREDICT!$M$3:$M$1001,MATCH($A30,[1]PREDICT!$B$3:$B$1001,0))</f>
        <v>6</v>
      </c>
      <c r="F30" s="15" t="str">
        <f>INDEX([1]!MODEL[FPL_Name],MATCH($A30,[1]!MODEL[Code],0))</f>
        <v>Enzo Le Fée</v>
      </c>
      <c r="G30" s="10">
        <v>0</v>
      </c>
      <c r="H30" s="10">
        <v>0</v>
      </c>
      <c r="I30" s="10">
        <v>0</v>
      </c>
      <c r="J30" s="11">
        <f t="shared" si="0"/>
        <v>0</v>
      </c>
      <c r="K30" s="11">
        <f t="shared" si="1"/>
        <v>0</v>
      </c>
      <c r="L30" s="11">
        <f t="shared" si="2"/>
        <v>0</v>
      </c>
      <c r="M30" s="11">
        <v>0</v>
      </c>
      <c r="N30" s="11">
        <f t="shared" si="3"/>
        <v>0</v>
      </c>
      <c r="P30" s="13">
        <f t="shared" si="4"/>
        <v>0.6809255539328245</v>
      </c>
    </row>
    <row r="31" spans="1:24" x14ac:dyDescent="0.25">
      <c r="A31" s="16">
        <v>466525</v>
      </c>
      <c r="B31" s="4">
        <f>INDEX([1]!PREDICT[TRUE PTS],MATCH($A31,[1]!PREDICT[HARD CODE],0))</f>
        <v>20.413719407017197</v>
      </c>
      <c r="C31" s="7" t="str">
        <f>INDEX([1]!MODEL[POS],MATCH($A31,[1]!MODEL[Code],0))</f>
        <v>MID</v>
      </c>
      <c r="D31" s="7" t="str">
        <f>INDEX([1]!MODEL[TEAM],MATCH($A31,[1]!MODEL[Code],0))</f>
        <v>LEE</v>
      </c>
      <c r="E31" s="7">
        <f>INDEX([1]PREDICT!$M$3:$M$1001,MATCH($A31,[1]PREDICT!$B$3:$B$1001,0))</f>
        <v>6</v>
      </c>
      <c r="F31" s="15" t="str">
        <f>INDEX([1]!MODEL[FPL_Name],MATCH($A31,[1]!MODEL[Code],0))</f>
        <v>Anton Stach</v>
      </c>
      <c r="G31" s="10">
        <v>0</v>
      </c>
      <c r="H31" s="10">
        <v>0</v>
      </c>
      <c r="I31" s="10">
        <v>0</v>
      </c>
      <c r="J31" s="11">
        <f t="shared" si="0"/>
        <v>0</v>
      </c>
      <c r="K31" s="11">
        <f t="shared" si="1"/>
        <v>0</v>
      </c>
      <c r="L31" s="11">
        <f t="shared" si="2"/>
        <v>0</v>
      </c>
      <c r="M31" s="11">
        <v>0</v>
      </c>
      <c r="N31" s="11">
        <f t="shared" si="3"/>
        <v>0</v>
      </c>
      <c r="P31" s="13">
        <f t="shared" si="4"/>
        <v>0.68045731356723993</v>
      </c>
    </row>
    <row r="32" spans="1:24" x14ac:dyDescent="0.25">
      <c r="A32" s="16">
        <v>493250</v>
      </c>
      <c r="B32" s="4">
        <f>INDEX([1]!PREDICT[TRUE PTS],MATCH($A32,[1]!PREDICT[HARD CODE],0))</f>
        <v>20.259108050918428</v>
      </c>
      <c r="C32" s="7" t="str">
        <f>INDEX([1]!MODEL[POS],MATCH($A32,[1]!MODEL[Code],0))</f>
        <v>MID</v>
      </c>
      <c r="D32" s="7" t="str">
        <f>INDEX([1]!MODEL[TEAM],MATCH($A32,[1]!MODEL[Code],0))</f>
        <v>MUN</v>
      </c>
      <c r="E32" s="7">
        <f>INDEX([1]PREDICT!$M$3:$M$1001,MATCH($A32,[1]PREDICT!$B$3:$B$1001,0))</f>
        <v>6</v>
      </c>
      <c r="F32" s="15" t="str">
        <f>INDEX([1]!MODEL[FPL_Name],MATCH($A32,[1]!MODEL[Code],0))</f>
        <v>Amad Diallo</v>
      </c>
      <c r="G32" s="10">
        <v>0</v>
      </c>
      <c r="H32" s="10">
        <v>0</v>
      </c>
      <c r="I32" s="10">
        <v>0</v>
      </c>
      <c r="J32" s="11">
        <f t="shared" si="0"/>
        <v>0</v>
      </c>
      <c r="K32" s="11">
        <f t="shared" si="1"/>
        <v>0</v>
      </c>
      <c r="L32" s="11">
        <f t="shared" si="2"/>
        <v>0</v>
      </c>
      <c r="M32" s="11">
        <v>0</v>
      </c>
      <c r="N32" s="11">
        <f t="shared" si="3"/>
        <v>0</v>
      </c>
      <c r="P32" s="13">
        <f t="shared" si="4"/>
        <v>0.67530360169728099</v>
      </c>
    </row>
    <row r="33" spans="1:16" x14ac:dyDescent="0.25">
      <c r="A33" s="16">
        <v>215413</v>
      </c>
      <c r="B33" s="4">
        <f>INDEX([1]!PREDICT[TRUE PTS],MATCH($A33,[1]!PREDICT[HARD CODE],0))</f>
        <v>20.175453620221667</v>
      </c>
      <c r="C33" s="7" t="str">
        <f>INDEX([1]!MODEL[POS],MATCH($A33,[1]!MODEL[Code],0))</f>
        <v>MID</v>
      </c>
      <c r="D33" s="7" t="str">
        <f>INDEX([1]!MODEL[TEAM],MATCH($A33,[1]!MODEL[Code],0))</f>
        <v>EVE</v>
      </c>
      <c r="E33" s="7">
        <f>INDEX([1]PREDICT!$M$3:$M$1001,MATCH($A33,[1]PREDICT!$B$3:$B$1001,0))</f>
        <v>6.5</v>
      </c>
      <c r="F33" s="15" t="str">
        <f>INDEX([1]!MODEL[FPL_Name],MATCH($A33,[1]!MODEL[Code],0))</f>
        <v>Kiernan Dewsbury-Hall</v>
      </c>
      <c r="G33" s="10">
        <v>0</v>
      </c>
      <c r="H33" s="10">
        <v>0</v>
      </c>
      <c r="I33" s="10">
        <v>0</v>
      </c>
      <c r="J33" s="11">
        <f t="shared" si="0"/>
        <v>0</v>
      </c>
      <c r="K33" s="11">
        <f t="shared" si="1"/>
        <v>0</v>
      </c>
      <c r="L33" s="11">
        <f t="shared" si="2"/>
        <v>0</v>
      </c>
      <c r="M33" s="11">
        <v>0</v>
      </c>
      <c r="N33" s="11">
        <f t="shared" si="3"/>
        <v>0</v>
      </c>
      <c r="P33" s="13">
        <f t="shared" si="4"/>
        <v>0.62078318831451285</v>
      </c>
    </row>
    <row r="34" spans="1:16" x14ac:dyDescent="0.25">
      <c r="A34" s="16">
        <v>208706</v>
      </c>
      <c r="B34" s="4">
        <f>INDEX([1]!PREDICT[TRUE PTS],MATCH($A34,[1]!PREDICT[HARD CODE],0))</f>
        <v>20.1658542914249</v>
      </c>
      <c r="C34" s="7" t="str">
        <f>INDEX([1]!MODEL[POS],MATCH($A34,[1]!MODEL[Code],0))</f>
        <v>MID</v>
      </c>
      <c r="D34" s="7" t="str">
        <f>INDEX([1]!MODEL[TEAM],MATCH($A34,[1]!MODEL[Code],0))</f>
        <v>NEW</v>
      </c>
      <c r="E34" s="7">
        <f>INDEX([1]PREDICT!$M$3:$M$1001,MATCH($A34,[1]PREDICT!$B$3:$B$1001,0))</f>
        <v>7</v>
      </c>
      <c r="F34" s="15" t="str">
        <f>INDEX([1]!MODEL[FPL_Name],MATCH($A34,[1]!MODEL[Code],0))</f>
        <v>Bruno Guimarães Rodriguez Moura</v>
      </c>
      <c r="G34" s="10">
        <v>0</v>
      </c>
      <c r="H34" s="10">
        <v>0</v>
      </c>
      <c r="I34" s="10">
        <v>0</v>
      </c>
      <c r="J34" s="11">
        <f t="shared" si="0"/>
        <v>0</v>
      </c>
      <c r="K34" s="11">
        <f t="shared" si="1"/>
        <v>0</v>
      </c>
      <c r="L34" s="11">
        <f t="shared" si="2"/>
        <v>0</v>
      </c>
      <c r="M34" s="11">
        <v>0</v>
      </c>
      <c r="N34" s="11">
        <f t="shared" si="3"/>
        <v>0</v>
      </c>
      <c r="P34" s="13">
        <f t="shared" si="4"/>
        <v>0.57616726546928287</v>
      </c>
    </row>
    <row r="35" spans="1:16" x14ac:dyDescent="0.25">
      <c r="A35" s="16">
        <v>466052</v>
      </c>
      <c r="B35" s="4">
        <f>INDEX([1]!PREDICT[TRUE PTS],MATCH($A35,[1]!PREDICT[HARD CODE],0))</f>
        <v>20.072097776367805</v>
      </c>
      <c r="C35" s="7" t="str">
        <f>INDEX([1]!MODEL[POS],MATCH($A35,[1]!MODEL[Code],0))</f>
        <v>MID</v>
      </c>
      <c r="D35" s="7" t="str">
        <f>INDEX([1]!MODEL[TEAM],MATCH($A35,[1]!MODEL[Code],0))</f>
        <v>MCI</v>
      </c>
      <c r="E35" s="7">
        <f>INDEX([1]PREDICT!$M$3:$M$1001,MATCH($A35,[1]PREDICT!$B$3:$B$1001,0))</f>
        <v>7.5</v>
      </c>
      <c r="F35" s="15" t="str">
        <f>INDEX([1]!MODEL[FPL_Name],MATCH($A35,[1]!MODEL[Code],0))</f>
        <v>Rayan Cherki</v>
      </c>
      <c r="G35" s="10">
        <v>0</v>
      </c>
      <c r="H35" s="10">
        <v>0</v>
      </c>
      <c r="I35" s="10">
        <v>0</v>
      </c>
      <c r="J35" s="11">
        <f t="shared" si="0"/>
        <v>0</v>
      </c>
      <c r="K35" s="11">
        <f t="shared" si="1"/>
        <v>0</v>
      </c>
      <c r="L35" s="11">
        <f t="shared" si="2"/>
        <v>0</v>
      </c>
      <c r="M35" s="11">
        <v>0</v>
      </c>
      <c r="N35" s="11">
        <f t="shared" si="3"/>
        <v>0</v>
      </c>
      <c r="P35" s="13">
        <f t="shared" si="4"/>
        <v>0.53525594070314153</v>
      </c>
    </row>
    <row r="36" spans="1:16" x14ac:dyDescent="0.25">
      <c r="A36" s="16">
        <v>494521</v>
      </c>
      <c r="B36" s="4">
        <f>INDEX([1]!PREDICT[TRUE PTS],MATCH($A36,[1]!PREDICT[HARD CODE],0))</f>
        <v>20.034827007749232</v>
      </c>
      <c r="C36" s="7" t="str">
        <f>INDEX([1]!MODEL[POS],MATCH($A36,[1]!MODEL[Code],0))</f>
        <v>DEF</v>
      </c>
      <c r="D36" s="7" t="str">
        <f>INDEX([1]!MODEL[TEAM],MATCH($A36,[1]!MODEL[Code],0))</f>
        <v>BOU</v>
      </c>
      <c r="E36" s="7">
        <f>INDEX([1]PREDICT!$M$3:$M$1001,MATCH($A36,[1]PREDICT!$B$3:$B$1001,0))</f>
        <v>5.5</v>
      </c>
      <c r="F36" s="15" t="str">
        <f>INDEX([1]!MODEL[FPL_Name],MATCH($A36,[1]!MODEL[Code],0))</f>
        <v>Adrien Truffert</v>
      </c>
      <c r="G36" s="10">
        <v>0</v>
      </c>
      <c r="H36" s="10">
        <v>0</v>
      </c>
      <c r="I36" s="10">
        <v>0</v>
      </c>
      <c r="J36" s="11">
        <f t="shared" si="0"/>
        <v>0</v>
      </c>
      <c r="K36" s="11">
        <f t="shared" si="1"/>
        <v>0</v>
      </c>
      <c r="L36" s="11">
        <f t="shared" si="2"/>
        <v>0</v>
      </c>
      <c r="M36" s="11">
        <v>0</v>
      </c>
      <c r="N36" s="11">
        <f t="shared" si="3"/>
        <v>0</v>
      </c>
      <c r="P36" s="13">
        <f t="shared" si="4"/>
        <v>0.72853916391815399</v>
      </c>
    </row>
    <row r="37" spans="1:16" x14ac:dyDescent="0.25">
      <c r="A37" s="16">
        <v>427623</v>
      </c>
      <c r="B37" s="4">
        <f>INDEX([1]!PREDICT[TRUE PTS],MATCH($A37,[1]!PREDICT[HARD CODE],0))</f>
        <v>19.998728135201919</v>
      </c>
      <c r="C37" s="7" t="str">
        <f>INDEX([1]!MODEL[POS],MATCH($A37,[1]!MODEL[Code],0))</f>
        <v>DEF</v>
      </c>
      <c r="D37" s="7" t="str">
        <f>INDEX([1]!MODEL[TEAM],MATCH($A37,[1]!MODEL[Code],0))</f>
        <v>CRY</v>
      </c>
      <c r="E37" s="7">
        <f>INDEX([1]PREDICT!$M$3:$M$1001,MATCH($A37,[1]PREDICT!$B$3:$B$1001,0))</f>
        <v>5</v>
      </c>
      <c r="F37" s="15" t="str">
        <f>INDEX([1]!MODEL[FPL_Name],MATCH($A37,[1]!MODEL[Code],0))</f>
        <v>Chris Richards</v>
      </c>
      <c r="G37" s="10">
        <v>0</v>
      </c>
      <c r="H37" s="10">
        <v>0</v>
      </c>
      <c r="I37" s="10">
        <v>0</v>
      </c>
      <c r="J37" s="11">
        <f t="shared" si="0"/>
        <v>0</v>
      </c>
      <c r="K37" s="11">
        <f t="shared" si="1"/>
        <v>0</v>
      </c>
      <c r="L37" s="11">
        <f t="shared" si="2"/>
        <v>0</v>
      </c>
      <c r="M37" s="11">
        <v>0</v>
      </c>
      <c r="N37" s="11">
        <f t="shared" si="3"/>
        <v>0</v>
      </c>
      <c r="P37" s="13">
        <f t="shared" si="4"/>
        <v>0.79994912540807683</v>
      </c>
    </row>
    <row r="38" spans="1:16" x14ac:dyDescent="0.25">
      <c r="A38" s="16">
        <v>215379</v>
      </c>
      <c r="B38" s="4">
        <f>INDEX([1]!PREDICT[TRUE PTS],MATCH($A38,[1]!PREDICT[HARD CODE],0))</f>
        <v>19.909834464258161</v>
      </c>
      <c r="C38" s="7" t="str">
        <f>INDEX([1]!MODEL[POS],MATCH($A38,[1]!MODEL[Code],0))</f>
        <v>MID</v>
      </c>
      <c r="D38" s="7" t="str">
        <f>INDEX([1]!MODEL[TEAM],MATCH($A38,[1]!MODEL[Code],0))</f>
        <v>MCI</v>
      </c>
      <c r="E38" s="7">
        <f>INDEX([1]PREDICT!$M$3:$M$1001,MATCH($A38,[1]PREDICT!$B$3:$B$1001,0))</f>
        <v>6.5</v>
      </c>
      <c r="F38" s="15" t="str">
        <f>INDEX([1]!MODEL[FPL_Name],MATCH($A38,[1]!MODEL[Code],0))</f>
        <v>Elliot Anderson</v>
      </c>
      <c r="G38" s="10">
        <v>0</v>
      </c>
      <c r="H38" s="10">
        <v>0</v>
      </c>
      <c r="I38" s="10">
        <v>0</v>
      </c>
      <c r="J38" s="11">
        <f t="shared" si="0"/>
        <v>0</v>
      </c>
      <c r="K38" s="11">
        <f t="shared" si="1"/>
        <v>0</v>
      </c>
      <c r="L38" s="11">
        <f t="shared" si="2"/>
        <v>0</v>
      </c>
      <c r="M38" s="11">
        <v>0</v>
      </c>
      <c r="N38" s="11">
        <f t="shared" si="3"/>
        <v>0</v>
      </c>
      <c r="P38" s="13">
        <f t="shared" si="4"/>
        <v>0.61261029120794341</v>
      </c>
    </row>
    <row r="39" spans="1:16" x14ac:dyDescent="0.25">
      <c r="A39" s="16">
        <v>221632</v>
      </c>
      <c r="B39" s="4">
        <f>INDEX([1]!PREDICT[TRUE PTS],MATCH($A39,[1]!PREDICT[HARD CODE],0))</f>
        <v>19.823123439631566</v>
      </c>
      <c r="C39" s="7" t="str">
        <f>INDEX([1]!MODEL[POS],MATCH($A39,[1]!MODEL[Code],0))</f>
        <v>DEF</v>
      </c>
      <c r="D39" s="7" t="str">
        <f>INDEX([1]!MODEL[TEAM],MATCH($A39,[1]!MODEL[Code],0))</f>
        <v>TOT</v>
      </c>
      <c r="E39" s="7">
        <f>INDEX([1]PREDICT!$M$3:$M$1001,MATCH($A39,[1]PREDICT!$B$3:$B$1001,0))</f>
        <v>5</v>
      </c>
      <c r="F39" s="15" t="str">
        <f>INDEX([1]!MODEL[FPL_Name],MATCH($A39,[1]!MODEL[Code],0))</f>
        <v>Cristian Romero</v>
      </c>
      <c r="G39" s="10">
        <v>0</v>
      </c>
      <c r="H39" s="10">
        <v>0</v>
      </c>
      <c r="I39" s="10">
        <v>0</v>
      </c>
      <c r="J39" s="11">
        <f t="shared" si="0"/>
        <v>0</v>
      </c>
      <c r="K39" s="11">
        <f t="shared" si="1"/>
        <v>0</v>
      </c>
      <c r="L39" s="11">
        <f t="shared" si="2"/>
        <v>0</v>
      </c>
      <c r="M39" s="11">
        <v>0</v>
      </c>
      <c r="N39" s="11">
        <f t="shared" si="3"/>
        <v>0</v>
      </c>
      <c r="P39" s="13">
        <f t="shared" si="4"/>
        <v>0.79292493758526261</v>
      </c>
    </row>
    <row r="40" spans="1:16" x14ac:dyDescent="0.25">
      <c r="A40" s="16">
        <v>467779</v>
      </c>
      <c r="B40" s="4">
        <f>INDEX([1]!PREDICT[TRUE PTS],MATCH($A40,[1]!PREDICT[HARD CODE],0))</f>
        <v>19.816678124391252</v>
      </c>
      <c r="C40" s="7" t="str">
        <f>INDEX([1]!MODEL[POS],MATCH($A40,[1]!MODEL[Code],0))</f>
        <v>DEF</v>
      </c>
      <c r="D40" s="7" t="str">
        <f>INDEX([1]!MODEL[TEAM],MATCH($A40,[1]!MODEL[Code],0))</f>
        <v>BHA</v>
      </c>
      <c r="E40" s="7">
        <f>INDEX([1]PREDICT!$M$3:$M$1001,MATCH($A40,[1]PREDICT!$B$3:$B$1001,0))</f>
        <v>5</v>
      </c>
      <c r="F40" s="15" t="str">
        <f>INDEX([1]!MODEL[FPL_Name],MATCH($A40,[1]!MODEL[Code],0))</f>
        <v>Mats Wieffer</v>
      </c>
      <c r="G40" s="10">
        <v>0</v>
      </c>
      <c r="H40" s="10">
        <v>0</v>
      </c>
      <c r="I40" s="10">
        <v>0</v>
      </c>
      <c r="J40" s="11">
        <f t="shared" si="0"/>
        <v>0</v>
      </c>
      <c r="K40" s="11">
        <f t="shared" si="1"/>
        <v>0</v>
      </c>
      <c r="L40" s="11">
        <f t="shared" si="2"/>
        <v>0</v>
      </c>
      <c r="M40" s="11">
        <v>0</v>
      </c>
      <c r="N40" s="11">
        <f t="shared" si="3"/>
        <v>0</v>
      </c>
      <c r="P40" s="13">
        <f t="shared" si="4"/>
        <v>0.79266712497565006</v>
      </c>
    </row>
    <row r="41" spans="1:16" x14ac:dyDescent="0.25">
      <c r="A41" s="16">
        <v>199598</v>
      </c>
      <c r="B41" s="4">
        <f>INDEX([1]!PREDICT[TRUE PTS],MATCH($A41,[1]!PREDICT[HARD CODE],0))</f>
        <v>19.812980874127483</v>
      </c>
      <c r="C41" s="7" t="str">
        <f>INDEX([1]!MODEL[POS],MATCH($A41,[1]!MODEL[Code],0))</f>
        <v>MID</v>
      </c>
      <c r="D41" s="7" t="str">
        <f>INDEX([1]!MODEL[TEAM],MATCH($A41,[1]!MODEL[Code],0))</f>
        <v>LEE</v>
      </c>
      <c r="E41" s="7">
        <f>INDEX([1]PREDICT!$M$3:$M$1001,MATCH($A41,[1]PREDICT!$B$3:$B$1001,0))</f>
        <v>5.5</v>
      </c>
      <c r="F41" s="15" t="str">
        <f>INDEX([1]!MODEL[FPL_Name],MATCH($A41,[1]!MODEL[Code],0))</f>
        <v>Ethan Ampadu</v>
      </c>
      <c r="G41" s="10">
        <v>0</v>
      </c>
      <c r="H41" s="10">
        <v>0</v>
      </c>
      <c r="I41" s="10">
        <v>0</v>
      </c>
      <c r="J41" s="11">
        <f t="shared" si="0"/>
        <v>0</v>
      </c>
      <c r="K41" s="11">
        <f t="shared" si="1"/>
        <v>0</v>
      </c>
      <c r="L41" s="11">
        <f t="shared" si="2"/>
        <v>0</v>
      </c>
      <c r="M41" s="11">
        <v>0</v>
      </c>
      <c r="N41" s="11">
        <f t="shared" si="3"/>
        <v>0</v>
      </c>
      <c r="P41" s="13">
        <f t="shared" si="4"/>
        <v>0.72047203178645391</v>
      </c>
    </row>
    <row r="42" spans="1:16" x14ac:dyDescent="0.25">
      <c r="A42" s="16">
        <v>60307</v>
      </c>
      <c r="B42" s="4">
        <f>INDEX([1]!PREDICT[TRUE PTS],MATCH($A42,[1]!PREDICT[HARD CODE],0))</f>
        <v>19.733013594309231</v>
      </c>
      <c r="C42" s="7" t="str">
        <f>INDEX([1]!MODEL[POS],MATCH($A42,[1]!MODEL[Code],0))</f>
        <v>MID</v>
      </c>
      <c r="D42" s="7" t="str">
        <f>INDEX([1]!MODEL[TEAM],MATCH($A42,[1]!MODEL[Code],0))</f>
        <v>BHA</v>
      </c>
      <c r="E42" s="7">
        <f>INDEX([1]PREDICT!$M$3:$M$1001,MATCH($A42,[1]PREDICT!$B$3:$B$1001,0))</f>
        <v>5.5</v>
      </c>
      <c r="F42" s="15" t="str">
        <f>INDEX([1]!MODEL[FPL_Name],MATCH($A42,[1]!MODEL[Code],0))</f>
        <v>Pascal Groß</v>
      </c>
      <c r="G42" s="10">
        <v>0</v>
      </c>
      <c r="H42" s="10">
        <v>0</v>
      </c>
      <c r="I42" s="10">
        <v>0</v>
      </c>
      <c r="J42" s="11">
        <f t="shared" si="0"/>
        <v>0</v>
      </c>
      <c r="K42" s="11">
        <f t="shared" si="1"/>
        <v>0</v>
      </c>
      <c r="L42" s="11">
        <f t="shared" si="2"/>
        <v>0</v>
      </c>
      <c r="M42" s="11">
        <v>0</v>
      </c>
      <c r="N42" s="11">
        <f t="shared" si="3"/>
        <v>0</v>
      </c>
      <c r="P42" s="13">
        <f t="shared" si="4"/>
        <v>0.71756413070215386</v>
      </c>
    </row>
    <row r="43" spans="1:16" x14ac:dyDescent="0.25">
      <c r="A43" s="16">
        <v>98980</v>
      </c>
      <c r="B43" s="4">
        <f>INDEX([1]!PREDICT[TRUE PTS],MATCH($A43,[1]!PREDICT[HARD CODE],0))</f>
        <v>19.655390165292001</v>
      </c>
      <c r="C43" s="7" t="str">
        <f>INDEX([1]!MODEL[POS],MATCH($A43,[1]!MODEL[Code],0))</f>
        <v>GK</v>
      </c>
      <c r="D43" s="7" t="str">
        <f>INDEX([1]!MODEL[TEAM],MATCH($A43,[1]!MODEL[Code],0))</f>
        <v>AVL</v>
      </c>
      <c r="E43" s="7">
        <f>INDEX([1]PREDICT!$M$3:$M$1001,MATCH($A43,[1]PREDICT!$B$3:$B$1001,0))</f>
        <v>5</v>
      </c>
      <c r="F43" s="15" t="str">
        <f>INDEX([1]!MODEL[FPL_Name],MATCH($A43,[1]!MODEL[Code],0))</f>
        <v>Emiliano Martínez Romero</v>
      </c>
      <c r="G43" s="10">
        <v>0</v>
      </c>
      <c r="H43" s="10">
        <v>0</v>
      </c>
      <c r="I43" s="10">
        <v>0</v>
      </c>
      <c r="J43" s="11">
        <f t="shared" si="0"/>
        <v>0</v>
      </c>
      <c r="K43" s="11">
        <f t="shared" si="1"/>
        <v>0</v>
      </c>
      <c r="L43" s="11">
        <f t="shared" si="2"/>
        <v>0</v>
      </c>
      <c r="M43" s="11">
        <v>0</v>
      </c>
      <c r="N43" s="11">
        <f t="shared" si="3"/>
        <v>0</v>
      </c>
      <c r="P43" s="13">
        <f t="shared" si="4"/>
        <v>0.78621560661168011</v>
      </c>
    </row>
    <row r="44" spans="1:16" x14ac:dyDescent="0.25">
      <c r="A44" s="16">
        <v>153682</v>
      </c>
      <c r="B44" s="4">
        <f>INDEX([1]!PREDICT[TRUE PTS],MATCH($A44,[1]!PREDICT[HARD CODE],0))</f>
        <v>19.590965380873456</v>
      </c>
      <c r="C44" s="7" t="str">
        <f>INDEX([1]!MODEL[POS],MATCH($A44,[1]!MODEL[Code],0))</f>
        <v>MID</v>
      </c>
      <c r="D44" s="7" t="str">
        <f>INDEX([1]!MODEL[TEAM],MATCH($A44,[1]!MODEL[Code],0))</f>
        <v>LEE</v>
      </c>
      <c r="E44" s="7">
        <f>INDEX([1]PREDICT!$M$3:$M$1001,MATCH($A44,[1]PREDICT!$B$3:$B$1001,0))</f>
        <v>6.5</v>
      </c>
      <c r="F44" s="15" t="str">
        <f>INDEX([1]!MODEL[FPL_Name],MATCH($A44,[1]!MODEL[Code],0))</f>
        <v>Harry Wilson</v>
      </c>
      <c r="G44" s="10">
        <v>0</v>
      </c>
      <c r="H44" s="10">
        <v>0</v>
      </c>
      <c r="I44" s="10">
        <v>0</v>
      </c>
      <c r="J44" s="11">
        <f t="shared" si="0"/>
        <v>0</v>
      </c>
      <c r="K44" s="11">
        <f t="shared" si="1"/>
        <v>0</v>
      </c>
      <c r="L44" s="11">
        <f t="shared" si="2"/>
        <v>0</v>
      </c>
      <c r="M44" s="11">
        <v>0</v>
      </c>
      <c r="N44" s="11">
        <f t="shared" si="3"/>
        <v>0</v>
      </c>
      <c r="P44" s="13">
        <f t="shared" si="4"/>
        <v>0.60279893479610636</v>
      </c>
    </row>
    <row r="45" spans="1:16" x14ac:dyDescent="0.25">
      <c r="A45" s="16">
        <v>513418</v>
      </c>
      <c r="B45" s="4">
        <f>INDEX([1]!PREDICT[TRUE PTS],MATCH($A45,[1]!PREDICT[HARD CODE],0))</f>
        <v>19.365902150845333</v>
      </c>
      <c r="C45" s="7" t="str">
        <f>INDEX([1]!MODEL[POS],MATCH($A45,[1]!MODEL[Code],0))</f>
        <v>MID</v>
      </c>
      <c r="D45" s="7" t="str">
        <f>INDEX([1]!MODEL[TEAM],MATCH($A45,[1]!MODEL[Code],0))</f>
        <v>BRE</v>
      </c>
      <c r="E45" s="7">
        <f>INDEX([1]PREDICT!$M$3:$M$1001,MATCH($A45,[1]PREDICT!$B$3:$B$1001,0))</f>
        <v>6</v>
      </c>
      <c r="F45" s="15" t="str">
        <f>INDEX([1]!MODEL[FPL_Name],MATCH($A45,[1]!MODEL[Code],0))</f>
        <v>Kevin Schade</v>
      </c>
      <c r="G45" s="10">
        <v>0</v>
      </c>
      <c r="H45" s="10">
        <v>0</v>
      </c>
      <c r="I45" s="10">
        <v>0</v>
      </c>
      <c r="J45" s="11">
        <f t="shared" si="0"/>
        <v>0</v>
      </c>
      <c r="K45" s="11">
        <f t="shared" si="1"/>
        <v>0</v>
      </c>
      <c r="L45" s="11">
        <f t="shared" si="2"/>
        <v>0</v>
      </c>
      <c r="M45" s="11">
        <v>0</v>
      </c>
      <c r="N45" s="11">
        <f t="shared" si="3"/>
        <v>0</v>
      </c>
      <c r="P45" s="13">
        <f t="shared" si="4"/>
        <v>0.64553007169484444</v>
      </c>
    </row>
    <row r="46" spans="1:16" x14ac:dyDescent="0.25">
      <c r="A46" s="16">
        <v>159506</v>
      </c>
      <c r="B46" s="4">
        <f>INDEX([1]!PREDICT[TRUE PTS],MATCH($A46,[1]!PREDICT[HARD CODE],0))</f>
        <v>19.297266239340431</v>
      </c>
      <c r="C46" s="7" t="str">
        <f>INDEX([1]!MODEL[POS],MATCH($A46,[1]!MODEL[Code],0))</f>
        <v>DEF</v>
      </c>
      <c r="D46" s="7" t="str">
        <f>INDEX([1]!MODEL[TEAM],MATCH($A46,[1]!MODEL[Code],0))</f>
        <v>NFO</v>
      </c>
      <c r="E46" s="7">
        <f>INDEX([1]PREDICT!$M$3:$M$1001,MATCH($A46,[1]PREDICT!$B$3:$B$1001,0))</f>
        <v>4.5</v>
      </c>
      <c r="F46" s="15" t="str">
        <f>INDEX([1]!MODEL[FPL_Name],MATCH($A46,[1]!MODEL[Code],0))</f>
        <v>Ola Aina</v>
      </c>
      <c r="G46" s="10">
        <v>0</v>
      </c>
      <c r="H46" s="10">
        <v>0</v>
      </c>
      <c r="I46" s="10">
        <v>0</v>
      </c>
      <c r="J46" s="11">
        <f t="shared" si="0"/>
        <v>0</v>
      </c>
      <c r="K46" s="11">
        <f t="shared" si="1"/>
        <v>0</v>
      </c>
      <c r="L46" s="11">
        <f t="shared" si="2"/>
        <v>0</v>
      </c>
      <c r="M46" s="11">
        <v>0</v>
      </c>
      <c r="N46" s="11">
        <f t="shared" si="3"/>
        <v>0</v>
      </c>
      <c r="P46" s="13">
        <f t="shared" si="4"/>
        <v>0.85765627730401905</v>
      </c>
    </row>
    <row r="47" spans="1:16" x14ac:dyDescent="0.25">
      <c r="A47" s="16">
        <v>106611</v>
      </c>
      <c r="B47" s="4">
        <f>INDEX([1]!PREDICT[TRUE PTS],MATCH($A47,[1]!PREDICT[HARD CODE],0))</f>
        <v>19.189508210765684</v>
      </c>
      <c r="C47" s="7" t="str">
        <f>INDEX([1]!MODEL[POS],MATCH($A47,[1]!MODEL[Code],0))</f>
        <v>DEF</v>
      </c>
      <c r="D47" s="7" t="str">
        <f>INDEX([1]!MODEL[TEAM],MATCH($A47,[1]!MODEL[Code],0))</f>
        <v>EVE</v>
      </c>
      <c r="E47" s="7">
        <f>INDEX([1]PREDICT!$M$3:$M$1001,MATCH($A47,[1]PREDICT!$B$3:$B$1001,0))</f>
        <v>5</v>
      </c>
      <c r="F47" s="15" t="str">
        <f>INDEX([1]!MODEL[FPL_Name],MATCH($A47,[1]!MODEL[Code],0))</f>
        <v>Michael Keane</v>
      </c>
      <c r="G47" s="10">
        <v>0</v>
      </c>
      <c r="H47" s="10">
        <v>0</v>
      </c>
      <c r="I47" s="10">
        <v>0</v>
      </c>
      <c r="J47" s="11">
        <f t="shared" si="0"/>
        <v>0</v>
      </c>
      <c r="K47" s="11">
        <f t="shared" si="1"/>
        <v>0</v>
      </c>
      <c r="L47" s="11">
        <f t="shared" si="2"/>
        <v>0</v>
      </c>
      <c r="M47" s="11">
        <v>0</v>
      </c>
      <c r="N47" s="11">
        <f t="shared" si="3"/>
        <v>0</v>
      </c>
      <c r="P47" s="13">
        <f t="shared" si="4"/>
        <v>0.7675803284306274</v>
      </c>
    </row>
    <row r="48" spans="1:16" x14ac:dyDescent="0.25">
      <c r="A48" s="16">
        <v>247632</v>
      </c>
      <c r="B48" s="4">
        <f>INDEX([1]!PREDICT[TRUE PTS],MATCH($A48,[1]!PREDICT[HARD CODE],0))</f>
        <v>19.156423656063254</v>
      </c>
      <c r="C48" s="7" t="str">
        <f>INDEX([1]!MODEL[POS],MATCH($A48,[1]!MODEL[Code],0))</f>
        <v>MID</v>
      </c>
      <c r="D48" s="7" t="str">
        <f>INDEX([1]!MODEL[TEAM],MATCH($A48,[1]!MODEL[Code],0))</f>
        <v>CHE</v>
      </c>
      <c r="E48" s="7">
        <f>INDEX([1]PREDICT!$M$3:$M$1001,MATCH($A48,[1]PREDICT!$B$3:$B$1001,0))</f>
        <v>6.5</v>
      </c>
      <c r="F48" s="15" t="str">
        <f>INDEX([1]!MODEL[FPL_Name],MATCH($A48,[1]!MODEL[Code],0))</f>
        <v>Pedro Lomba Neto</v>
      </c>
      <c r="G48" s="10">
        <v>0</v>
      </c>
      <c r="H48" s="10">
        <v>0</v>
      </c>
      <c r="I48" s="10">
        <v>0</v>
      </c>
      <c r="J48" s="11">
        <f t="shared" si="0"/>
        <v>0</v>
      </c>
      <c r="K48" s="11">
        <f t="shared" si="1"/>
        <v>0</v>
      </c>
      <c r="L48" s="11">
        <f t="shared" si="2"/>
        <v>0</v>
      </c>
      <c r="M48" s="11">
        <v>0</v>
      </c>
      <c r="N48" s="11">
        <f t="shared" si="3"/>
        <v>0</v>
      </c>
      <c r="P48" s="13">
        <f t="shared" si="4"/>
        <v>0.58942842018656161</v>
      </c>
    </row>
    <row r="49" spans="1:16" x14ac:dyDescent="0.25">
      <c r="A49" s="16">
        <v>465247</v>
      </c>
      <c r="B49" s="4">
        <f>INDEX([1]!PREDICT[TRUE PTS],MATCH($A49,[1]!PREDICT[HARD CODE],0))</f>
        <v>19.066750343297684</v>
      </c>
      <c r="C49" s="7" t="str">
        <f>INDEX([1]!MODEL[POS],MATCH($A49,[1]!MODEL[Code],0))</f>
        <v>GK</v>
      </c>
      <c r="D49" s="7" t="str">
        <f>INDEX([1]!MODEL[TEAM],MATCH($A49,[1]!MODEL[Code],0))</f>
        <v>MUN</v>
      </c>
      <c r="E49" s="7">
        <f>INDEX([1]PREDICT!$M$3:$M$1001,MATCH($A49,[1]PREDICT!$B$3:$B$1001,0))</f>
        <v>5</v>
      </c>
      <c r="F49" s="15" t="str">
        <f>INDEX([1]!MODEL[FPL_Name],MATCH($A49,[1]!MODEL[Code],0))</f>
        <v>Senne Lammens</v>
      </c>
      <c r="G49" s="10">
        <v>0</v>
      </c>
      <c r="H49" s="10">
        <v>0</v>
      </c>
      <c r="I49" s="10">
        <v>0</v>
      </c>
      <c r="J49" s="11">
        <f t="shared" si="0"/>
        <v>0</v>
      </c>
      <c r="K49" s="11">
        <f t="shared" si="1"/>
        <v>0</v>
      </c>
      <c r="L49" s="11">
        <f t="shared" si="2"/>
        <v>0</v>
      </c>
      <c r="M49" s="11">
        <v>0</v>
      </c>
      <c r="N49" s="11">
        <f t="shared" si="3"/>
        <v>0</v>
      </c>
      <c r="P49" s="13">
        <f t="shared" si="4"/>
        <v>0.76267001373190735</v>
      </c>
    </row>
    <row r="50" spans="1:16" x14ac:dyDescent="0.25">
      <c r="A50" s="16">
        <v>243298</v>
      </c>
      <c r="B50" s="4">
        <f>INDEX([1]!PREDICT[TRUE PTS],MATCH($A50,[1]!PREDICT[HARD CODE],0))</f>
        <v>18.963925080113476</v>
      </c>
      <c r="C50" s="7" t="str">
        <f>INDEX([1]!MODEL[POS],MATCH($A50,[1]!MODEL[Code],0))</f>
        <v>MID</v>
      </c>
      <c r="D50" s="7" t="str">
        <f>INDEX([1]!MODEL[TEAM],MATCH($A50,[1]!MODEL[Code],0))</f>
        <v>LIV</v>
      </c>
      <c r="E50" s="7">
        <f>INDEX([1]PREDICT!$M$3:$M$1001,MATCH($A50,[1]PREDICT!$B$3:$B$1001,0))</f>
        <v>7</v>
      </c>
      <c r="F50" s="15" t="str">
        <f>INDEX([1]!MODEL[FPL_Name],MATCH($A50,[1]!MODEL[Code],0))</f>
        <v>Cody Gakpo</v>
      </c>
      <c r="G50" s="10">
        <v>0</v>
      </c>
      <c r="H50" s="10">
        <v>0</v>
      </c>
      <c r="I50" s="10">
        <v>0</v>
      </c>
      <c r="J50" s="11">
        <f t="shared" si="0"/>
        <v>0</v>
      </c>
      <c r="K50" s="11">
        <f t="shared" si="1"/>
        <v>0</v>
      </c>
      <c r="L50" s="11">
        <f t="shared" si="2"/>
        <v>0</v>
      </c>
      <c r="M50" s="11">
        <v>0</v>
      </c>
      <c r="N50" s="11">
        <f t="shared" si="3"/>
        <v>0</v>
      </c>
      <c r="P50" s="13">
        <f t="shared" si="4"/>
        <v>0.54182643086038507</v>
      </c>
    </row>
    <row r="51" spans="1:16" x14ac:dyDescent="0.25">
      <c r="A51" s="16">
        <v>503139</v>
      </c>
      <c r="B51" s="4">
        <f>INDEX([1]!PREDICT[TRUE PTS],MATCH($A51,[1]!PREDICT[HARD CODE],0))</f>
        <v>18.962320014452448</v>
      </c>
      <c r="C51" s="7" t="str">
        <f>INDEX([1]!MODEL[POS],MATCH($A51,[1]!MODEL[Code],0))</f>
        <v>MID</v>
      </c>
      <c r="D51" s="7" t="str">
        <f>INDEX([1]!MODEL[TEAM],MATCH($A51,[1]!MODEL[Code],0))</f>
        <v>BOU</v>
      </c>
      <c r="E51" s="7">
        <f>INDEX([1]PREDICT!$M$3:$M$1001,MATCH($A51,[1]PREDICT!$B$3:$B$1001,0))</f>
        <v>6</v>
      </c>
      <c r="F51" s="15" t="str">
        <f>INDEX([1]!MODEL[FPL_Name],MATCH($A51,[1]!MODEL[Code],0))</f>
        <v>Alex Scott</v>
      </c>
      <c r="G51" s="10">
        <v>0</v>
      </c>
      <c r="H51" s="10">
        <v>0</v>
      </c>
      <c r="I51" s="10">
        <v>0</v>
      </c>
      <c r="J51" s="11">
        <f t="shared" si="0"/>
        <v>0</v>
      </c>
      <c r="K51" s="11">
        <f t="shared" si="1"/>
        <v>0</v>
      </c>
      <c r="L51" s="11">
        <f t="shared" si="2"/>
        <v>0</v>
      </c>
      <c r="M51" s="11">
        <v>0</v>
      </c>
      <c r="N51" s="11">
        <f t="shared" si="3"/>
        <v>0</v>
      </c>
      <c r="P51" s="13">
        <f t="shared" si="4"/>
        <v>0.63207733381508158</v>
      </c>
    </row>
    <row r="52" spans="1:16" x14ac:dyDescent="0.25">
      <c r="A52" s="16">
        <v>466075</v>
      </c>
      <c r="B52" s="4">
        <f>INDEX([1]!PREDICT[TRUE PTS],MATCH($A52,[1]!PREDICT[HARD CODE],0))</f>
        <v>18.94763096601265</v>
      </c>
      <c r="C52" s="7" t="str">
        <f>INDEX([1]!MODEL[POS],MATCH($A52,[1]!MODEL[Code],0))</f>
        <v>DEF</v>
      </c>
      <c r="D52" s="7" t="str">
        <f>INDEX([1]!MODEL[TEAM],MATCH($A52,[1]!MODEL[Code],0))</f>
        <v>ARS</v>
      </c>
      <c r="E52" s="7">
        <f>INDEX([1]PREDICT!$M$3:$M$1001,MATCH($A52,[1]PREDICT!$B$3:$B$1001,0))</f>
        <v>5.5</v>
      </c>
      <c r="F52" s="15" t="str">
        <f>INDEX([1]!MODEL[FPL_Name],MATCH($A52,[1]!MODEL[Code],0))</f>
        <v>Riccardo Calafiori</v>
      </c>
      <c r="G52" s="10">
        <v>0</v>
      </c>
      <c r="H52" s="10">
        <v>0</v>
      </c>
      <c r="I52" s="10">
        <v>0</v>
      </c>
      <c r="J52" s="11">
        <f t="shared" si="0"/>
        <v>0</v>
      </c>
      <c r="K52" s="11">
        <f t="shared" si="1"/>
        <v>0</v>
      </c>
      <c r="L52" s="11">
        <f t="shared" si="2"/>
        <v>0</v>
      </c>
      <c r="M52" s="11">
        <v>0</v>
      </c>
      <c r="N52" s="11">
        <f t="shared" si="3"/>
        <v>0</v>
      </c>
      <c r="P52" s="13">
        <f t="shared" si="4"/>
        <v>0.68900476240046005</v>
      </c>
    </row>
    <row r="53" spans="1:16" x14ac:dyDescent="0.25">
      <c r="A53" s="16">
        <v>178301</v>
      </c>
      <c r="B53" s="4">
        <f>INDEX([1]!PREDICT[TRUE PTS],MATCH($A53,[1]!PREDICT[HARD CODE],0))</f>
        <v>18.925960357523966</v>
      </c>
      <c r="C53" s="7" t="str">
        <f>INDEX([1]!MODEL[POS],MATCH($A53,[1]!MODEL[Code],0))</f>
        <v>FWD</v>
      </c>
      <c r="D53" s="7" t="str">
        <f>INDEX([1]!MODEL[TEAM],MATCH($A53,[1]!MODEL[Code],0))</f>
        <v>AVL</v>
      </c>
      <c r="E53" s="7">
        <f>INDEX([1]PREDICT!$M$3:$M$1001,MATCH($A53,[1]PREDICT!$B$3:$B$1001,0))</f>
        <v>8</v>
      </c>
      <c r="F53" s="15" t="str">
        <f>INDEX([1]!MODEL[FPL_Name],MATCH($A53,[1]!MODEL[Code],0))</f>
        <v>Ollie Watkins</v>
      </c>
      <c r="G53" s="10">
        <v>0</v>
      </c>
      <c r="H53" s="10">
        <v>0</v>
      </c>
      <c r="I53" s="10">
        <v>0</v>
      </c>
      <c r="J53" s="11">
        <f t="shared" si="0"/>
        <v>0</v>
      </c>
      <c r="K53" s="11">
        <f t="shared" si="1"/>
        <v>0</v>
      </c>
      <c r="L53" s="11">
        <f t="shared" si="2"/>
        <v>0</v>
      </c>
      <c r="M53" s="11">
        <v>0</v>
      </c>
      <c r="N53" s="11">
        <f t="shared" si="3"/>
        <v>0</v>
      </c>
      <c r="P53" s="13">
        <f t="shared" si="4"/>
        <v>0.47314900893809914</v>
      </c>
    </row>
    <row r="54" spans="1:16" x14ac:dyDescent="0.25">
      <c r="A54" s="16">
        <v>60689</v>
      </c>
      <c r="B54" s="4">
        <f>INDEX([1]!PREDICT[TRUE PTS],MATCH($A54,[1]!PREDICT[HARD CODE],0))</f>
        <v>18.881013520139351</v>
      </c>
      <c r="C54" s="7" t="str">
        <f>INDEX([1]!MODEL[POS],MATCH($A54,[1]!MODEL[Code],0))</f>
        <v>FWD</v>
      </c>
      <c r="D54" s="7" t="str">
        <f>INDEX([1]!MODEL[TEAM],MATCH($A54,[1]!MODEL[Code],0))</f>
        <v>NFO</v>
      </c>
      <c r="E54" s="7">
        <f>INDEX([1]PREDICT!$M$3:$M$1001,MATCH($A54,[1]PREDICT!$B$3:$B$1001,0))</f>
        <v>6</v>
      </c>
      <c r="F54" s="15" t="str">
        <f>INDEX([1]!MODEL[FPL_Name],MATCH($A54,[1]!MODEL[Code],0))</f>
        <v>Chris Wood</v>
      </c>
      <c r="G54" s="10">
        <v>0</v>
      </c>
      <c r="H54" s="10">
        <v>0</v>
      </c>
      <c r="I54" s="10">
        <v>0</v>
      </c>
      <c r="J54" s="11">
        <f t="shared" si="0"/>
        <v>0</v>
      </c>
      <c r="K54" s="11">
        <f t="shared" si="1"/>
        <v>0</v>
      </c>
      <c r="L54" s="11">
        <f t="shared" si="2"/>
        <v>0</v>
      </c>
      <c r="M54" s="11">
        <v>0</v>
      </c>
      <c r="N54" s="11">
        <f t="shared" si="3"/>
        <v>0</v>
      </c>
      <c r="P54" s="13">
        <f t="shared" si="4"/>
        <v>0.62936711733797845</v>
      </c>
    </row>
    <row r="55" spans="1:16" x14ac:dyDescent="0.25">
      <c r="A55" s="16">
        <v>232185</v>
      </c>
      <c r="B55" s="4">
        <f>INDEX([1]!PREDICT[TRUE PTS],MATCH($A55,[1]!PREDICT[HARD CODE],0))</f>
        <v>18.751669951780045</v>
      </c>
      <c r="C55" s="7" t="str">
        <f>INDEX([1]!MODEL[POS],MATCH($A55,[1]!MODEL[Code],0))</f>
        <v>MID</v>
      </c>
      <c r="D55" s="7" t="str">
        <f>INDEX([1]!MODEL[TEAM],MATCH($A55,[1]!MODEL[Code],0))</f>
        <v>CRY</v>
      </c>
      <c r="E55" s="7">
        <f>INDEX([1]PREDICT!$M$3:$M$1001,MATCH($A55,[1]PREDICT!$B$3:$B$1001,0))</f>
        <v>6.5</v>
      </c>
      <c r="F55" s="15" t="str">
        <f>INDEX([1]!MODEL[FPL_Name],MATCH($A55,[1]!MODEL[Code],0))</f>
        <v>Ismaïla Sarr</v>
      </c>
      <c r="G55" s="10">
        <v>0</v>
      </c>
      <c r="H55" s="10">
        <v>0</v>
      </c>
      <c r="I55" s="10">
        <v>0</v>
      </c>
      <c r="J55" s="11">
        <f t="shared" si="0"/>
        <v>0</v>
      </c>
      <c r="K55" s="11">
        <f t="shared" si="1"/>
        <v>0</v>
      </c>
      <c r="L55" s="11">
        <f t="shared" si="2"/>
        <v>0</v>
      </c>
      <c r="M55" s="11">
        <v>0</v>
      </c>
      <c r="N55" s="11">
        <f t="shared" si="3"/>
        <v>0</v>
      </c>
      <c r="P55" s="13">
        <f t="shared" si="4"/>
        <v>0.5769744600547706</v>
      </c>
    </row>
    <row r="56" spans="1:16" x14ac:dyDescent="0.25">
      <c r="A56" s="16">
        <v>153133</v>
      </c>
      <c r="B56" s="4">
        <f>INDEX([1]!PREDICT[TRUE PTS],MATCH($A56,[1]!PREDICT[HARD CODE],0))</f>
        <v>18.614827597280026</v>
      </c>
      <c r="C56" s="7" t="str">
        <f>INDEX([1]!MODEL[POS],MATCH($A56,[1]!MODEL[Code],0))</f>
        <v>MID</v>
      </c>
      <c r="D56" s="7" t="str">
        <f>INDEX([1]!MODEL[TEAM],MATCH($A56,[1]!MODEL[Code],0))</f>
        <v>FUL</v>
      </c>
      <c r="E56" s="7">
        <f>INDEX([1]PREDICT!$M$3:$M$1001,MATCH($A56,[1]PREDICT!$B$3:$B$1001,0))</f>
        <v>5.5</v>
      </c>
      <c r="F56" s="15" t="str">
        <f>INDEX([1]!MODEL[FPL_Name],MATCH($A56,[1]!MODEL[Code],0))</f>
        <v>Alex Iwobi</v>
      </c>
      <c r="G56" s="10">
        <v>0</v>
      </c>
      <c r="H56" s="10">
        <v>0</v>
      </c>
      <c r="I56" s="10">
        <v>0</v>
      </c>
      <c r="J56" s="11">
        <f t="shared" si="0"/>
        <v>0</v>
      </c>
      <c r="K56" s="11">
        <f t="shared" si="1"/>
        <v>0</v>
      </c>
      <c r="L56" s="11">
        <f t="shared" si="2"/>
        <v>0</v>
      </c>
      <c r="M56" s="11">
        <v>0</v>
      </c>
      <c r="N56" s="11">
        <f t="shared" si="3"/>
        <v>0</v>
      </c>
      <c r="P56" s="13">
        <f t="shared" si="4"/>
        <v>0.67690282171927374</v>
      </c>
    </row>
    <row r="57" spans="1:16" x14ac:dyDescent="0.25">
      <c r="A57" s="16">
        <v>227444</v>
      </c>
      <c r="B57" s="4">
        <f>INDEX([1]!PREDICT[TRUE PTS],MATCH($A57,[1]!PREDICT[HARD CODE],0))</f>
        <v>18.570166791414799</v>
      </c>
      <c r="C57" s="7" t="str">
        <f>INDEX([1]!MODEL[POS],MATCH($A57,[1]!MODEL[Code],0))</f>
        <v>DEF</v>
      </c>
      <c r="D57" s="7" t="str">
        <f>INDEX([1]!MODEL[TEAM],MATCH($A57,[1]!MODEL[Code],0))</f>
        <v>NFO</v>
      </c>
      <c r="E57" s="7">
        <f>INDEX([1]PREDICT!$M$3:$M$1001,MATCH($A57,[1]PREDICT!$B$3:$B$1001,0))</f>
        <v>5.5</v>
      </c>
      <c r="F57" s="15" t="str">
        <f>INDEX([1]!MODEL[FPL_Name],MATCH($A57,[1]!MODEL[Code],0))</f>
        <v>Nikola Milenković</v>
      </c>
      <c r="G57" s="10">
        <v>0</v>
      </c>
      <c r="H57" s="10">
        <v>0</v>
      </c>
      <c r="I57" s="10">
        <v>0</v>
      </c>
      <c r="J57" s="11">
        <f t="shared" si="0"/>
        <v>0</v>
      </c>
      <c r="K57" s="11">
        <f t="shared" si="1"/>
        <v>0</v>
      </c>
      <c r="L57" s="11">
        <f t="shared" si="2"/>
        <v>0</v>
      </c>
      <c r="M57" s="11">
        <v>0</v>
      </c>
      <c r="N57" s="11">
        <f t="shared" si="3"/>
        <v>0</v>
      </c>
      <c r="P57" s="13">
        <f t="shared" si="4"/>
        <v>0.6752787924150836</v>
      </c>
    </row>
    <row r="58" spans="1:16" x14ac:dyDescent="0.25">
      <c r="A58" s="16">
        <v>224117</v>
      </c>
      <c r="B58" s="4">
        <f>INDEX([1]!PREDICT[TRUE PTS],MATCH($A58,[1]!PREDICT[HARD CODE],0))</f>
        <v>18.518079449344629</v>
      </c>
      <c r="C58" s="7" t="str">
        <f>INDEX([1]!MODEL[POS],MATCH($A58,[1]!MODEL[Code],0))</f>
        <v>FWD</v>
      </c>
      <c r="D58" s="7" t="str">
        <f>INDEX([1]!MODEL[TEAM],MATCH($A58,[1]!MODEL[Code],0))</f>
        <v>ARS</v>
      </c>
      <c r="E58" s="7">
        <f>INDEX([1]PREDICT!$M$3:$M$1001,MATCH($A58,[1]PREDICT!$B$3:$B$1001,0))</f>
        <v>7.5</v>
      </c>
      <c r="F58" s="15" t="str">
        <f>INDEX([1]!MODEL[FPL_Name],MATCH($A58,[1]!MODEL[Code],0))</f>
        <v>Viktor Gyökeres</v>
      </c>
      <c r="G58" s="10">
        <v>0</v>
      </c>
      <c r="H58" s="10">
        <v>0</v>
      </c>
      <c r="I58" s="10">
        <v>0</v>
      </c>
      <c r="J58" s="11">
        <f t="shared" si="0"/>
        <v>0</v>
      </c>
      <c r="K58" s="11">
        <f t="shared" si="1"/>
        <v>0</v>
      </c>
      <c r="L58" s="11">
        <f t="shared" si="2"/>
        <v>0</v>
      </c>
      <c r="M58" s="11">
        <v>0</v>
      </c>
      <c r="N58" s="11">
        <f t="shared" si="3"/>
        <v>0</v>
      </c>
      <c r="P58" s="13">
        <f t="shared" si="4"/>
        <v>0.49381545198252341</v>
      </c>
    </row>
    <row r="59" spans="1:16" x14ac:dyDescent="0.25">
      <c r="A59" s="16">
        <v>85633</v>
      </c>
      <c r="B59" s="4">
        <f>INDEX([1]!PREDICT[TRUE PTS],MATCH($A59,[1]!PREDICT[HARD CODE],0))</f>
        <v>18.477000908555759</v>
      </c>
      <c r="C59" s="7" t="str">
        <f>INDEX([1]!MODEL[POS],MATCH($A59,[1]!MODEL[Code],0))</f>
        <v>GK</v>
      </c>
      <c r="D59" s="7" t="str">
        <f>INDEX([1]!MODEL[TEAM],MATCH($A59,[1]!MODEL[Code],0))</f>
        <v>NFO</v>
      </c>
      <c r="E59" s="7">
        <f>INDEX([1]PREDICT!$M$3:$M$1001,MATCH($A59,[1]PREDICT!$B$3:$B$1001,0))</f>
        <v>5</v>
      </c>
      <c r="F59" s="15" t="str">
        <f>INDEX([1]!MODEL[FPL_Name],MATCH($A59,[1]!MODEL[Code],0))</f>
        <v>Matz Sels</v>
      </c>
      <c r="G59" s="10">
        <v>0</v>
      </c>
      <c r="H59" s="10">
        <v>0</v>
      </c>
      <c r="I59" s="10">
        <v>0</v>
      </c>
      <c r="J59" s="11">
        <f t="shared" si="0"/>
        <v>0</v>
      </c>
      <c r="K59" s="11">
        <f t="shared" si="1"/>
        <v>0</v>
      </c>
      <c r="L59" s="11">
        <f t="shared" si="2"/>
        <v>0</v>
      </c>
      <c r="M59" s="11">
        <v>0</v>
      </c>
      <c r="N59" s="11">
        <f t="shared" si="3"/>
        <v>0</v>
      </c>
      <c r="P59" s="13">
        <f t="shared" si="4"/>
        <v>0.7390800363422303</v>
      </c>
    </row>
    <row r="60" spans="1:16" x14ac:dyDescent="0.25">
      <c r="A60" s="16">
        <v>184349</v>
      </c>
      <c r="B60" s="4">
        <f>INDEX([1]!PREDICT[TRUE PTS],MATCH($A60,[1]!PREDICT[HARD CODE],0))</f>
        <v>18.401920003138777</v>
      </c>
      <c r="C60" s="7" t="str">
        <f>INDEX([1]!MODEL[POS],MATCH($A60,[1]!MODEL[Code],0))</f>
        <v>DEF</v>
      </c>
      <c r="D60" s="7" t="str">
        <f>INDEX([1]!MODEL[TEAM],MATCH($A60,[1]!MODEL[Code],0))</f>
        <v>FUL</v>
      </c>
      <c r="E60" s="7">
        <f>INDEX([1]PREDICT!$M$3:$M$1001,MATCH($A60,[1]PREDICT!$B$3:$B$1001,0))</f>
        <v>4.5</v>
      </c>
      <c r="F60" s="15" t="str">
        <f>INDEX([1]!MODEL[FPL_Name],MATCH($A60,[1]!MODEL[Code],0))</f>
        <v>Ryan Sessegnon</v>
      </c>
      <c r="G60" s="10">
        <v>0</v>
      </c>
      <c r="H60" s="10">
        <v>0</v>
      </c>
      <c r="I60" s="10">
        <v>0</v>
      </c>
      <c r="J60" s="11">
        <f t="shared" si="0"/>
        <v>0</v>
      </c>
      <c r="K60" s="11">
        <f t="shared" si="1"/>
        <v>0</v>
      </c>
      <c r="L60" s="11">
        <f t="shared" si="2"/>
        <v>0</v>
      </c>
      <c r="M60" s="11">
        <v>0</v>
      </c>
      <c r="N60" s="11">
        <f t="shared" si="3"/>
        <v>0</v>
      </c>
      <c r="P60" s="13">
        <f t="shared" si="4"/>
        <v>0.81786311125061228</v>
      </c>
    </row>
    <row r="61" spans="1:16" x14ac:dyDescent="0.25">
      <c r="A61" s="16">
        <v>441164</v>
      </c>
      <c r="B61" s="4">
        <f>INDEX([1]!PREDICT[TRUE PTS],MATCH($A61,[1]!PREDICT[HARD CODE],0))</f>
        <v>18.359317594794597</v>
      </c>
      <c r="C61" s="7" t="str">
        <f>INDEX([1]!MODEL[POS],MATCH($A61,[1]!MODEL[Code],0))</f>
        <v>DEF</v>
      </c>
      <c r="D61" s="7" t="str">
        <f>INDEX([1]!MODEL[TEAM],MATCH($A61,[1]!MODEL[Code],0))</f>
        <v>TOT</v>
      </c>
      <c r="E61" s="7">
        <f>INDEX([1]PREDICT!$M$3:$M$1001,MATCH($A61,[1]PREDICT!$B$3:$B$1001,0))</f>
        <v>5.5</v>
      </c>
      <c r="F61" s="15" t="str">
        <f>INDEX([1]!MODEL[FPL_Name],MATCH($A61,[1]!MODEL[Code],0))</f>
        <v>Pedro Porro Sauceda</v>
      </c>
      <c r="G61" s="10">
        <v>0</v>
      </c>
      <c r="H61" s="10">
        <v>0</v>
      </c>
      <c r="I61" s="10">
        <v>0</v>
      </c>
      <c r="J61" s="11">
        <f t="shared" si="0"/>
        <v>0</v>
      </c>
      <c r="K61" s="11">
        <f t="shared" si="1"/>
        <v>0</v>
      </c>
      <c r="L61" s="11">
        <f t="shared" si="2"/>
        <v>0</v>
      </c>
      <c r="M61" s="11">
        <v>0</v>
      </c>
      <c r="N61" s="11">
        <f t="shared" si="3"/>
        <v>0</v>
      </c>
      <c r="P61" s="13">
        <f t="shared" si="4"/>
        <v>0.66761154890162167</v>
      </c>
    </row>
    <row r="62" spans="1:16" x14ac:dyDescent="0.25">
      <c r="A62" s="16">
        <v>499604</v>
      </c>
      <c r="B62" s="4">
        <f>INDEX([1]!PREDICT[TRUE PTS],MATCH($A62,[1]!PREDICT[HARD CODE],0))</f>
        <v>18.295205372753284</v>
      </c>
      <c r="C62" s="7" t="str">
        <f>INDEX([1]!MODEL[POS],MATCH($A62,[1]!MODEL[Code],0))</f>
        <v>MID</v>
      </c>
      <c r="D62" s="7" t="str">
        <f>INDEX([1]!MODEL[TEAM],MATCH($A62,[1]!MODEL[Code],0))</f>
        <v>BOU</v>
      </c>
      <c r="E62" s="7">
        <f>INDEX([1]PREDICT!$M$3:$M$1001,MATCH($A62,[1]PREDICT!$B$3:$B$1001,0))</f>
        <v>6.5</v>
      </c>
      <c r="F62" s="15" t="str">
        <f>INDEX([1]!MODEL[FPL_Name],MATCH($A62,[1]!MODEL[Code],0))</f>
        <v>Rayan Vitor Simplício Rocha</v>
      </c>
      <c r="G62" s="10">
        <v>0</v>
      </c>
      <c r="H62" s="10">
        <v>0</v>
      </c>
      <c r="I62" s="10">
        <v>0</v>
      </c>
      <c r="J62" s="11">
        <f t="shared" si="0"/>
        <v>0</v>
      </c>
      <c r="K62" s="11">
        <f t="shared" si="1"/>
        <v>0</v>
      </c>
      <c r="L62" s="11">
        <f t="shared" si="2"/>
        <v>0</v>
      </c>
      <c r="M62" s="11">
        <v>0</v>
      </c>
      <c r="N62" s="11">
        <f t="shared" si="3"/>
        <v>0</v>
      </c>
      <c r="P62" s="13">
        <f t="shared" si="4"/>
        <v>0.56292939608471637</v>
      </c>
    </row>
    <row r="63" spans="1:16" x14ac:dyDescent="0.25">
      <c r="A63" s="16">
        <v>216051</v>
      </c>
      <c r="B63" s="4">
        <f>INDEX([1]!PREDICT[TRUE PTS],MATCH($A63,[1]!PREDICT[HARD CODE],0))</f>
        <v>18.201463140491555</v>
      </c>
      <c r="C63" s="7" t="str">
        <f>INDEX([1]!MODEL[POS],MATCH($A63,[1]!MODEL[Code],0))</f>
        <v>DEF</v>
      </c>
      <c r="D63" s="7" t="str">
        <f>INDEX([1]!MODEL[TEAM],MATCH($A63,[1]!MODEL[Code],0))</f>
        <v>MUN</v>
      </c>
      <c r="E63" s="7">
        <f>INDEX([1]PREDICT!$M$3:$M$1001,MATCH($A63,[1]PREDICT!$B$3:$B$1001,0))</f>
        <v>5</v>
      </c>
      <c r="F63" s="15" t="str">
        <f>INDEX([1]!MODEL[FPL_Name],MATCH($A63,[1]!MODEL[Code],0))</f>
        <v>Diogo Dalot Teixeira</v>
      </c>
      <c r="G63" s="10">
        <v>0</v>
      </c>
      <c r="H63" s="10">
        <v>0</v>
      </c>
      <c r="I63" s="10">
        <v>0</v>
      </c>
      <c r="J63" s="11">
        <f t="shared" si="0"/>
        <v>0</v>
      </c>
      <c r="K63" s="11">
        <f t="shared" si="1"/>
        <v>0</v>
      </c>
      <c r="L63" s="11">
        <f t="shared" si="2"/>
        <v>0</v>
      </c>
      <c r="M63" s="11">
        <v>0</v>
      </c>
      <c r="N63" s="11">
        <f t="shared" si="3"/>
        <v>0</v>
      </c>
      <c r="P63" s="13">
        <f t="shared" si="4"/>
        <v>0.72805852561966211</v>
      </c>
    </row>
    <row r="64" spans="1:16" x14ac:dyDescent="0.25">
      <c r="A64" s="16">
        <v>200720</v>
      </c>
      <c r="B64" s="4">
        <f>INDEX([1]!PREDICT[TRUE PTS],MATCH($A64,[1]!PREDICT[HARD CODE],0))</f>
        <v>18.19730585816135</v>
      </c>
      <c r="C64" s="7" t="str">
        <f>INDEX([1]!MODEL[POS],MATCH($A64,[1]!MODEL[Code],0))</f>
        <v>GK</v>
      </c>
      <c r="D64" s="7" t="str">
        <f>INDEX([1]!MODEL[TEAM],MATCH($A64,[1]!MODEL[Code],0))</f>
        <v>BRE</v>
      </c>
      <c r="E64" s="7">
        <f>INDEX([1]PREDICT!$M$3:$M$1001,MATCH($A64,[1]PREDICT!$B$3:$B$1001,0))</f>
        <v>5</v>
      </c>
      <c r="F64" s="15" t="str">
        <f>INDEX([1]!MODEL[FPL_Name],MATCH($A64,[1]!MODEL[Code],0))</f>
        <v>Caoimhín Kelleher</v>
      </c>
      <c r="G64" s="10">
        <v>0</v>
      </c>
      <c r="H64" s="10">
        <v>0</v>
      </c>
      <c r="I64" s="10">
        <v>0</v>
      </c>
      <c r="J64" s="11">
        <f t="shared" si="0"/>
        <v>0</v>
      </c>
      <c r="K64" s="11">
        <f t="shared" si="1"/>
        <v>0</v>
      </c>
      <c r="L64" s="11">
        <f t="shared" si="2"/>
        <v>0</v>
      </c>
      <c r="M64" s="11">
        <v>0</v>
      </c>
      <c r="N64" s="11">
        <f t="shared" si="3"/>
        <v>0</v>
      </c>
      <c r="P64" s="13">
        <f t="shared" si="4"/>
        <v>0.727892234326454</v>
      </c>
    </row>
    <row r="65" spans="1:16" x14ac:dyDescent="0.25">
      <c r="A65" s="16">
        <v>204936</v>
      </c>
      <c r="B65" s="4">
        <f>INDEX([1]!PREDICT[TRUE PTS],MATCH($A65,[1]!PREDICT[HARD CODE],0))</f>
        <v>18.124044611503603</v>
      </c>
      <c r="C65" s="7" t="str">
        <f>INDEX([1]!MODEL[POS],MATCH($A65,[1]!MODEL[Code],0))</f>
        <v>GK</v>
      </c>
      <c r="D65" s="7" t="str">
        <f>INDEX([1]!MODEL[TEAM],MATCH($A65,[1]!MODEL[Code],0))</f>
        <v>MCI</v>
      </c>
      <c r="E65" s="7">
        <f>INDEX([1]PREDICT!$M$3:$M$1001,MATCH($A65,[1]PREDICT!$B$3:$B$1001,0))</f>
        <v>5.5</v>
      </c>
      <c r="F65" s="15" t="str">
        <f>INDEX([1]!MODEL[FPL_Name],MATCH($A65,[1]!MODEL[Code],0))</f>
        <v>Gianluigi Donnarumma</v>
      </c>
      <c r="G65" s="10">
        <v>0</v>
      </c>
      <c r="H65" s="10">
        <v>0</v>
      </c>
      <c r="I65" s="10">
        <v>0</v>
      </c>
      <c r="J65" s="11">
        <f t="shared" si="0"/>
        <v>0</v>
      </c>
      <c r="K65" s="11">
        <f t="shared" si="1"/>
        <v>0</v>
      </c>
      <c r="L65" s="11">
        <f t="shared" si="2"/>
        <v>0</v>
      </c>
      <c r="M65" s="11">
        <v>0</v>
      </c>
      <c r="N65" s="11">
        <f t="shared" si="3"/>
        <v>0</v>
      </c>
      <c r="P65" s="13">
        <f t="shared" si="4"/>
        <v>0.65905616769104003</v>
      </c>
    </row>
    <row r="66" spans="1:16" x14ac:dyDescent="0.25">
      <c r="A66" s="16">
        <v>247348</v>
      </c>
      <c r="B66" s="4">
        <f>INDEX([1]!PREDICT[TRUE PTS],MATCH($A66,[1]!PREDICT[HARD CODE],0))</f>
        <v>18.123857289439293</v>
      </c>
      <c r="C66" s="7" t="str">
        <f>INDEX([1]!MODEL[POS],MATCH($A66,[1]!MODEL[Code],0))</f>
        <v>DEF</v>
      </c>
      <c r="D66" s="7" t="str">
        <f>INDEX([1]!MODEL[TEAM],MATCH($A66,[1]!MODEL[Code],0))</f>
        <v>CRY</v>
      </c>
      <c r="E66" s="7">
        <f>INDEX([1]PREDICT!$M$3:$M$1001,MATCH($A66,[1]PREDICT!$B$3:$B$1001,0))</f>
        <v>5.5</v>
      </c>
      <c r="F66" s="15" t="str">
        <f>INDEX([1]!MODEL[FPL_Name],MATCH($A66,[1]!MODEL[Code],0))</f>
        <v>Daniel Muñoz Mejía</v>
      </c>
      <c r="G66" s="10">
        <v>0</v>
      </c>
      <c r="H66" s="10">
        <v>0</v>
      </c>
      <c r="I66" s="10">
        <v>0</v>
      </c>
      <c r="J66" s="11">
        <f t="shared" ref="J66:J129" si="6">G66+H66</f>
        <v>0</v>
      </c>
      <c r="K66" s="11">
        <f t="shared" ref="K66:K129" si="7">G66*E66</f>
        <v>0</v>
      </c>
      <c r="L66" s="11">
        <f t="shared" ref="L66:L129" si="8">H66*E66</f>
        <v>0</v>
      </c>
      <c r="M66" s="11">
        <v>0</v>
      </c>
      <c r="N66" s="11">
        <f t="shared" ref="N66:N129" si="9">(G66*B66)+(H66*B66*$U$2)+(I66*B66)</f>
        <v>0</v>
      </c>
      <c r="P66" s="13">
        <f t="shared" si="4"/>
        <v>0.65904935597961067</v>
      </c>
    </row>
    <row r="67" spans="1:16" x14ac:dyDescent="0.25">
      <c r="A67" s="16">
        <v>514254</v>
      </c>
      <c r="B67" s="4">
        <f>INDEX([1]!PREDICT[TRUE PTS],MATCH($A67,[1]!PREDICT[HARD CODE],0))</f>
        <v>18.093667169252488</v>
      </c>
      <c r="C67" s="7" t="str">
        <f>INDEX([1]!MODEL[POS],MATCH($A67,[1]!MODEL[Code],0))</f>
        <v>MID</v>
      </c>
      <c r="D67" s="7" t="str">
        <f>INDEX([1]!MODEL[TEAM],MATCH($A67,[1]!MODEL[Code],0))</f>
        <v>BHA</v>
      </c>
      <c r="E67" s="7">
        <f>INDEX([1]PREDICT!$M$3:$M$1001,MATCH($A67,[1]PREDICT!$B$3:$B$1001,0))</f>
        <v>5</v>
      </c>
      <c r="F67" s="15" t="str">
        <f>INDEX([1]!MODEL[FPL_Name],MATCH($A67,[1]!MODEL[Code],0))</f>
        <v>Diego Gómez Amarilla</v>
      </c>
      <c r="G67" s="10">
        <v>0</v>
      </c>
      <c r="H67" s="10">
        <v>0</v>
      </c>
      <c r="I67" s="10">
        <v>0</v>
      </c>
      <c r="J67" s="11">
        <f t="shared" si="6"/>
        <v>0</v>
      </c>
      <c r="K67" s="11">
        <f t="shared" si="7"/>
        <v>0</v>
      </c>
      <c r="L67" s="11">
        <f t="shared" si="8"/>
        <v>0</v>
      </c>
      <c r="M67" s="11">
        <v>0</v>
      </c>
      <c r="N67" s="11">
        <f t="shared" si="9"/>
        <v>0</v>
      </c>
      <c r="P67" s="13">
        <f t="shared" ref="P67:P130" si="10">IFERROR((B67/E67)/$Q$2,0)</f>
        <v>0.72374668677009946</v>
      </c>
    </row>
    <row r="68" spans="1:16" x14ac:dyDescent="0.25">
      <c r="A68" s="16">
        <v>248875</v>
      </c>
      <c r="B68" s="4">
        <f>INDEX([1]!PREDICT[TRUE PTS],MATCH($A68,[1]!PREDICT[HARD CODE],0))</f>
        <v>18.06773818814575</v>
      </c>
      <c r="C68" s="7" t="str">
        <f>INDEX([1]!MODEL[POS],MATCH($A68,[1]!MODEL[Code],0))</f>
        <v>MID</v>
      </c>
      <c r="D68" s="7" t="str">
        <f>INDEX([1]!MODEL[TEAM],MATCH($A68,[1]!MODEL[Code],0))</f>
        <v>MCI</v>
      </c>
      <c r="E68" s="7">
        <f>INDEX([1]PREDICT!$M$3:$M$1001,MATCH($A68,[1]PREDICT!$B$3:$B$1001,0))</f>
        <v>7.5</v>
      </c>
      <c r="F68" s="15" t="str">
        <f>INDEX([1]!MODEL[FPL_Name],MATCH($A68,[1]!MODEL[Code],0))</f>
        <v>Jérémy Doku</v>
      </c>
      <c r="G68" s="10">
        <v>0</v>
      </c>
      <c r="H68" s="10">
        <v>0</v>
      </c>
      <c r="I68" s="10">
        <v>0</v>
      </c>
      <c r="J68" s="11">
        <f t="shared" si="6"/>
        <v>0</v>
      </c>
      <c r="K68" s="11">
        <f t="shared" si="7"/>
        <v>0</v>
      </c>
      <c r="L68" s="11">
        <f t="shared" si="8"/>
        <v>0</v>
      </c>
      <c r="M68" s="11">
        <v>0</v>
      </c>
      <c r="N68" s="11">
        <f t="shared" si="9"/>
        <v>0</v>
      </c>
      <c r="P68" s="13">
        <f t="shared" si="10"/>
        <v>0.48180635168388664</v>
      </c>
    </row>
    <row r="69" spans="1:16" x14ac:dyDescent="0.25">
      <c r="A69" s="16">
        <v>489639</v>
      </c>
      <c r="B69" s="4">
        <f>INDEX([1]!PREDICT[TRUE PTS],MATCH($A69,[1]!PREDICT[HARD CODE],0))</f>
        <v>18.065522338607568</v>
      </c>
      <c r="C69" s="7" t="str">
        <f>INDEX([1]!MODEL[POS],MATCH($A69,[1]!MODEL[Code],0))</f>
        <v>GK</v>
      </c>
      <c r="D69" s="7" t="str">
        <f>INDEX([1]!MODEL[TEAM],MATCH($A69,[1]!MODEL[Code],0))</f>
        <v>BHA</v>
      </c>
      <c r="E69" s="7">
        <f>INDEX([1]PREDICT!$M$3:$M$1001,MATCH($A69,[1]PREDICT!$B$3:$B$1001,0))</f>
        <v>4.5</v>
      </c>
      <c r="F69" s="15" t="str">
        <f>INDEX([1]!MODEL[FPL_Name],MATCH($A69,[1]!MODEL[Code],0))</f>
        <v>Bart Verbruggen</v>
      </c>
      <c r="G69" s="10">
        <v>0</v>
      </c>
      <c r="H69" s="10">
        <v>0</v>
      </c>
      <c r="I69" s="10">
        <v>0</v>
      </c>
      <c r="J69" s="11">
        <f t="shared" si="6"/>
        <v>0</v>
      </c>
      <c r="K69" s="11">
        <f t="shared" si="7"/>
        <v>0</v>
      </c>
      <c r="L69" s="11">
        <f t="shared" si="8"/>
        <v>0</v>
      </c>
      <c r="M69" s="11">
        <v>0</v>
      </c>
      <c r="N69" s="11">
        <f t="shared" si="9"/>
        <v>0</v>
      </c>
      <c r="P69" s="13">
        <f t="shared" si="10"/>
        <v>0.80291210393811419</v>
      </c>
    </row>
    <row r="70" spans="1:16" x14ac:dyDescent="0.25">
      <c r="A70" s="16">
        <v>116535</v>
      </c>
      <c r="B70" s="4">
        <f>INDEX([1]!PREDICT[TRUE PTS],MATCH($A70,[1]!PREDICT[HARD CODE],0))</f>
        <v>17.98904425112989</v>
      </c>
      <c r="C70" s="7" t="str">
        <f>INDEX([1]!MODEL[POS],MATCH($A70,[1]!MODEL[Code],0))</f>
        <v>GK</v>
      </c>
      <c r="D70" s="7" t="str">
        <f>INDEX([1]!MODEL[TEAM],MATCH($A70,[1]!MODEL[Code],0))</f>
        <v>LIV</v>
      </c>
      <c r="E70" s="7">
        <f>INDEX([1]PREDICT!$M$3:$M$1001,MATCH($A70,[1]PREDICT!$B$3:$B$1001,0))</f>
        <v>5.5</v>
      </c>
      <c r="F70" s="15" t="str">
        <f>INDEX([1]!MODEL[FPL_Name],MATCH($A70,[1]!MODEL[Code],0))</f>
        <v>Alisson Becker</v>
      </c>
      <c r="G70" s="10">
        <v>0</v>
      </c>
      <c r="H70" s="10">
        <v>0</v>
      </c>
      <c r="I70" s="10">
        <v>0</v>
      </c>
      <c r="J70" s="11">
        <f t="shared" si="6"/>
        <v>0</v>
      </c>
      <c r="K70" s="11">
        <f t="shared" si="7"/>
        <v>0</v>
      </c>
      <c r="L70" s="11">
        <f t="shared" si="8"/>
        <v>0</v>
      </c>
      <c r="M70" s="11">
        <v>0</v>
      </c>
      <c r="N70" s="11">
        <f t="shared" si="9"/>
        <v>0</v>
      </c>
      <c r="P70" s="13">
        <f t="shared" si="10"/>
        <v>0.65414706367745057</v>
      </c>
    </row>
    <row r="71" spans="1:16" x14ac:dyDescent="0.25">
      <c r="A71" s="16">
        <v>184254</v>
      </c>
      <c r="B71" s="4">
        <f>INDEX([1]!PREDICT[TRUE PTS],MATCH($A71,[1]!PREDICT[HARD CODE],0))</f>
        <v>17.956752417349925</v>
      </c>
      <c r="C71" s="7" t="str">
        <f>INDEX([1]!MODEL[POS],MATCH($A71,[1]!MODEL[Code],0))</f>
        <v>GK</v>
      </c>
      <c r="D71" s="7" t="str">
        <f>INDEX([1]!MODEL[TEAM],MATCH($A71,[1]!MODEL[Code],0))</f>
        <v>TOT</v>
      </c>
      <c r="E71" s="7">
        <f>INDEX([1]PREDICT!$M$3:$M$1001,MATCH($A71,[1]PREDICT!$B$3:$B$1001,0))</f>
        <v>4.5</v>
      </c>
      <c r="F71" s="15" t="str">
        <f>INDEX([1]!MODEL[FPL_Name],MATCH($A71,[1]!MODEL[Code],0))</f>
        <v>Guglielmo Vicario</v>
      </c>
      <c r="G71" s="10">
        <v>0</v>
      </c>
      <c r="H71" s="10">
        <v>0</v>
      </c>
      <c r="I71" s="10">
        <v>0</v>
      </c>
      <c r="J71" s="11">
        <f t="shared" si="6"/>
        <v>0</v>
      </c>
      <c r="K71" s="11">
        <f t="shared" si="7"/>
        <v>0</v>
      </c>
      <c r="L71" s="11">
        <f t="shared" si="8"/>
        <v>0</v>
      </c>
      <c r="M71" s="11">
        <v>0</v>
      </c>
      <c r="N71" s="11">
        <f t="shared" si="9"/>
        <v>0</v>
      </c>
      <c r="P71" s="13">
        <f t="shared" si="10"/>
        <v>0.79807788521555223</v>
      </c>
    </row>
    <row r="72" spans="1:16" x14ac:dyDescent="0.25">
      <c r="A72" s="16">
        <v>498016</v>
      </c>
      <c r="B72" s="4">
        <f>INDEX([1]!PREDICT[TRUE PTS],MATCH($A72,[1]!PREDICT[HARD CODE],0))</f>
        <v>17.868925452875622</v>
      </c>
      <c r="C72" s="7" t="str">
        <f>INDEX([1]!MODEL[POS],MATCH($A72,[1]!MODEL[Code],0))</f>
        <v>GK</v>
      </c>
      <c r="D72" s="7" t="str">
        <f>INDEX([1]!MODEL[TEAM],MATCH($A72,[1]!MODEL[Code],0))</f>
        <v>SUN</v>
      </c>
      <c r="E72" s="7">
        <f>INDEX([1]PREDICT!$M$3:$M$1001,MATCH($A72,[1]PREDICT!$B$3:$B$1001,0))</f>
        <v>5</v>
      </c>
      <c r="F72" s="15" t="str">
        <f>INDEX([1]!MODEL[FPL_Name],MATCH($A72,[1]!MODEL[Code],0))</f>
        <v>Robin Roefs</v>
      </c>
      <c r="G72" s="10">
        <v>0</v>
      </c>
      <c r="H72" s="10">
        <v>0</v>
      </c>
      <c r="I72" s="10">
        <v>0</v>
      </c>
      <c r="J72" s="11">
        <f t="shared" si="6"/>
        <v>0</v>
      </c>
      <c r="K72" s="11">
        <f t="shared" si="7"/>
        <v>0</v>
      </c>
      <c r="L72" s="11">
        <f t="shared" si="8"/>
        <v>0</v>
      </c>
      <c r="M72" s="11">
        <v>0</v>
      </c>
      <c r="N72" s="11">
        <f t="shared" si="9"/>
        <v>0</v>
      </c>
      <c r="P72" s="13">
        <f t="shared" si="10"/>
        <v>0.7147570181150249</v>
      </c>
    </row>
    <row r="73" spans="1:16" x14ac:dyDescent="0.25">
      <c r="A73" s="16">
        <v>200834</v>
      </c>
      <c r="B73" s="4">
        <f>INDEX([1]!PREDICT[TRUE PTS],MATCH($A73,[1]!PREDICT[HARD CODE],0))</f>
        <v>17.835237578362932</v>
      </c>
      <c r="C73" s="7" t="str">
        <f>INDEX([1]!MODEL[POS],MATCH($A73,[1]!MODEL[Code],0))</f>
        <v>DEF</v>
      </c>
      <c r="D73" s="7" t="str">
        <f>INDEX([1]!MODEL[TEAM],MATCH($A73,[1]!MODEL[Code],0))</f>
        <v>SUN</v>
      </c>
      <c r="E73" s="7">
        <f>INDEX([1]PREDICT!$M$3:$M$1001,MATCH($A73,[1]PREDICT!$B$3:$B$1001,0))</f>
        <v>5.5</v>
      </c>
      <c r="F73" s="15" t="str">
        <f>INDEX([1]!MODEL[FPL_Name],MATCH($A73,[1]!MODEL[Code],0))</f>
        <v>Nordi Mukiele</v>
      </c>
      <c r="G73" s="10">
        <v>0</v>
      </c>
      <c r="H73" s="10">
        <v>0</v>
      </c>
      <c r="I73" s="10">
        <v>0</v>
      </c>
      <c r="J73" s="11">
        <f t="shared" si="6"/>
        <v>0</v>
      </c>
      <c r="K73" s="11">
        <f t="shared" si="7"/>
        <v>0</v>
      </c>
      <c r="L73" s="11">
        <f t="shared" si="8"/>
        <v>0</v>
      </c>
      <c r="M73" s="11">
        <v>0</v>
      </c>
      <c r="N73" s="11">
        <f t="shared" si="9"/>
        <v>0</v>
      </c>
      <c r="P73" s="13">
        <f t="shared" si="10"/>
        <v>0.64855409375865203</v>
      </c>
    </row>
    <row r="74" spans="1:16" x14ac:dyDescent="0.25">
      <c r="A74" s="16">
        <v>222694</v>
      </c>
      <c r="B74" s="4">
        <f>INDEX([1]!PREDICT[TRUE PTS],MATCH($A74,[1]!PREDICT[HARD CODE],0))</f>
        <v>17.833267252899898</v>
      </c>
      <c r="C74" s="7" t="str">
        <f>INDEX([1]!MODEL[POS],MATCH($A74,[1]!MODEL[Code],0))</f>
        <v>DEF</v>
      </c>
      <c r="D74" s="7" t="str">
        <f>INDEX([1]!MODEL[TEAM],MATCH($A74,[1]!MODEL[Code],0))</f>
        <v>BHA</v>
      </c>
      <c r="E74" s="7">
        <f>INDEX([1]PREDICT!$M$3:$M$1001,MATCH($A74,[1]PREDICT!$B$3:$B$1001,0))</f>
        <v>5</v>
      </c>
      <c r="F74" s="15" t="str">
        <f>INDEX([1]!MODEL[FPL_Name],MATCH($A74,[1]!MODEL[Code],0))</f>
        <v>Pascal Struijk</v>
      </c>
      <c r="G74" s="10">
        <v>0</v>
      </c>
      <c r="H74" s="10">
        <v>0</v>
      </c>
      <c r="I74" s="10">
        <v>0</v>
      </c>
      <c r="J74" s="11">
        <f t="shared" si="6"/>
        <v>0</v>
      </c>
      <c r="K74" s="11">
        <f t="shared" si="7"/>
        <v>0</v>
      </c>
      <c r="L74" s="11">
        <f t="shared" si="8"/>
        <v>0</v>
      </c>
      <c r="M74" s="11">
        <v>0</v>
      </c>
      <c r="N74" s="11">
        <f t="shared" si="9"/>
        <v>0</v>
      </c>
      <c r="P74" s="13">
        <f t="shared" si="10"/>
        <v>0.71333069011599592</v>
      </c>
    </row>
    <row r="75" spans="1:16" x14ac:dyDescent="0.25">
      <c r="A75" s="16">
        <v>244850</v>
      </c>
      <c r="B75" s="4">
        <f>INDEX([1]!PREDICT[TRUE PTS],MATCH($A75,[1]!PREDICT[HARD CODE],0))</f>
        <v>17.729855792076123</v>
      </c>
      <c r="C75" s="7" t="str">
        <f>INDEX([1]!MODEL[POS],MATCH($A75,[1]!MODEL[Code],0))</f>
        <v>MID</v>
      </c>
      <c r="D75" s="7" t="str">
        <f>INDEX([1]!MODEL[TEAM],MATCH($A75,[1]!MODEL[Code],0))</f>
        <v>CHE</v>
      </c>
      <c r="E75" s="7">
        <f>INDEX([1]PREDICT!$M$3:$M$1001,MATCH($A75,[1]PREDICT!$B$3:$B$1001,0))</f>
        <v>7.5</v>
      </c>
      <c r="F75" s="15" t="str">
        <f>INDEX([1]!MODEL[FPL_Name],MATCH($A75,[1]!MODEL[Code],0))</f>
        <v>Morgan Rogers</v>
      </c>
      <c r="G75" s="10">
        <v>0</v>
      </c>
      <c r="H75" s="10">
        <v>0</v>
      </c>
      <c r="I75" s="10">
        <v>0</v>
      </c>
      <c r="J75" s="11">
        <f t="shared" si="6"/>
        <v>0</v>
      </c>
      <c r="K75" s="11">
        <f t="shared" si="7"/>
        <v>0</v>
      </c>
      <c r="L75" s="11">
        <f t="shared" si="8"/>
        <v>0</v>
      </c>
      <c r="M75" s="11">
        <v>0</v>
      </c>
      <c r="N75" s="11">
        <f t="shared" si="9"/>
        <v>0</v>
      </c>
      <c r="P75" s="13">
        <f t="shared" si="10"/>
        <v>0.47279615445536327</v>
      </c>
    </row>
    <row r="76" spans="1:16" x14ac:dyDescent="0.25">
      <c r="A76" s="16">
        <v>457569</v>
      </c>
      <c r="B76" s="4">
        <f>INDEX([1]!PREDICT[TRUE PTS],MATCH($A76,[1]!PREDICT[HARD CODE],0))</f>
        <v>17.652698090207114</v>
      </c>
      <c r="C76" s="7" t="str">
        <f>INDEX([1]!MODEL[POS],MATCH($A76,[1]!MODEL[Code],0))</f>
        <v>GK</v>
      </c>
      <c r="D76" s="7" t="str">
        <f>INDEX([1]!MODEL[TEAM],MATCH($A76,[1]!MODEL[Code],0))</f>
        <v>BOU</v>
      </c>
      <c r="E76" s="7">
        <f>INDEX([1]PREDICT!$M$3:$M$1001,MATCH($A76,[1]PREDICT!$B$3:$B$1001,0))</f>
        <v>4.5</v>
      </c>
      <c r="F76" s="15" t="str">
        <f>INDEX([1]!MODEL[FPL_Name],MATCH($A76,[1]!MODEL[Code],0))</f>
        <v>Đorđe Petrović</v>
      </c>
      <c r="G76" s="10">
        <v>0</v>
      </c>
      <c r="H76" s="10">
        <v>0</v>
      </c>
      <c r="I76" s="10">
        <v>0</v>
      </c>
      <c r="J76" s="11">
        <f t="shared" si="6"/>
        <v>0</v>
      </c>
      <c r="K76" s="11">
        <f t="shared" si="7"/>
        <v>0</v>
      </c>
      <c r="L76" s="11">
        <f t="shared" si="8"/>
        <v>0</v>
      </c>
      <c r="M76" s="11">
        <v>0</v>
      </c>
      <c r="N76" s="11">
        <f t="shared" si="9"/>
        <v>0</v>
      </c>
      <c r="P76" s="13">
        <f t="shared" si="10"/>
        <v>0.78456435956476056</v>
      </c>
    </row>
    <row r="77" spans="1:16" x14ac:dyDescent="0.25">
      <c r="A77" s="16">
        <v>477424</v>
      </c>
      <c r="B77" s="4">
        <f>INDEX([1]!PREDICT[TRUE PTS],MATCH($A77,[1]!PREDICT[HARD CODE],0))</f>
        <v>17.609938198620469</v>
      </c>
      <c r="C77" s="7" t="str">
        <f>INDEX([1]!MODEL[POS],MATCH($A77,[1]!MODEL[Code],0))</f>
        <v>DEF</v>
      </c>
      <c r="D77" s="7" t="str">
        <f>INDEX([1]!MODEL[TEAM],MATCH($A77,[1]!MODEL[Code],0))</f>
        <v>MCI</v>
      </c>
      <c r="E77" s="7">
        <f>INDEX([1]PREDICT!$M$3:$M$1001,MATCH($A77,[1]PREDICT!$B$3:$B$1001,0))</f>
        <v>5.5</v>
      </c>
      <c r="F77" s="15" t="str">
        <f>INDEX([1]!MODEL[FPL_Name],MATCH($A77,[1]!MODEL[Code],0))</f>
        <v>Joško Gvardiol</v>
      </c>
      <c r="G77" s="10">
        <v>0</v>
      </c>
      <c r="H77" s="10">
        <v>0</v>
      </c>
      <c r="I77" s="10">
        <v>0</v>
      </c>
      <c r="J77" s="11">
        <f t="shared" si="6"/>
        <v>0</v>
      </c>
      <c r="K77" s="11">
        <f t="shared" si="7"/>
        <v>0</v>
      </c>
      <c r="L77" s="11">
        <f t="shared" si="8"/>
        <v>0</v>
      </c>
      <c r="M77" s="11">
        <v>0</v>
      </c>
      <c r="N77" s="11">
        <f t="shared" si="9"/>
        <v>0</v>
      </c>
      <c r="P77" s="13">
        <f t="shared" si="10"/>
        <v>0.64036138904074424</v>
      </c>
    </row>
    <row r="78" spans="1:16" x14ac:dyDescent="0.25">
      <c r="A78" s="16">
        <v>209244</v>
      </c>
      <c r="B78" s="4">
        <f>INDEX([1]!PREDICT[TRUE PTS],MATCH($A78,[1]!PREDICT[HARD CODE],0))</f>
        <v>17.597629752275736</v>
      </c>
      <c r="C78" s="7" t="str">
        <f>INDEX([1]!MODEL[POS],MATCH($A78,[1]!MODEL[Code],0))</f>
        <v>MID</v>
      </c>
      <c r="D78" s="7" t="str">
        <f>INDEX([1]!MODEL[TEAM],MATCH($A78,[1]!MODEL[Code],0))</f>
        <v>MCI</v>
      </c>
      <c r="E78" s="7">
        <f>INDEX([1]PREDICT!$M$3:$M$1001,MATCH($A78,[1]PREDICT!$B$3:$B$1001,0))</f>
        <v>7</v>
      </c>
      <c r="F78" s="15" t="str">
        <f>INDEX([1]!MODEL[FPL_Name],MATCH($A78,[1]!MODEL[Code],0))</f>
        <v>Phil Foden</v>
      </c>
      <c r="G78" s="10">
        <v>0</v>
      </c>
      <c r="H78" s="10">
        <v>0</v>
      </c>
      <c r="I78" s="10">
        <v>0</v>
      </c>
      <c r="J78" s="11">
        <f t="shared" si="6"/>
        <v>0</v>
      </c>
      <c r="K78" s="11">
        <f t="shared" si="7"/>
        <v>0</v>
      </c>
      <c r="L78" s="11">
        <f t="shared" si="8"/>
        <v>0</v>
      </c>
      <c r="M78" s="11">
        <v>0</v>
      </c>
      <c r="N78" s="11">
        <f t="shared" si="9"/>
        <v>0</v>
      </c>
      <c r="P78" s="13">
        <f t="shared" si="10"/>
        <v>0.50278942149359251</v>
      </c>
    </row>
    <row r="79" spans="1:16" x14ac:dyDescent="0.25">
      <c r="A79" s="16">
        <v>221466</v>
      </c>
      <c r="B79" s="4">
        <f>INDEX([1]!PREDICT[TRUE PTS],MATCH($A79,[1]!PREDICT[HARD CODE],0))</f>
        <v>17.589076860632844</v>
      </c>
      <c r="C79" s="7" t="str">
        <f>INDEX([1]!MODEL[POS],MATCH($A79,[1]!MODEL[Code],0))</f>
        <v>DEF</v>
      </c>
      <c r="D79" s="7" t="str">
        <f>INDEX([1]!MODEL[TEAM],MATCH($A79,[1]!MODEL[Code],0))</f>
        <v>TOT</v>
      </c>
      <c r="E79" s="7">
        <f>INDEX([1]PREDICT!$M$3:$M$1001,MATCH($A79,[1]PREDICT!$B$3:$B$1001,0))</f>
        <v>6</v>
      </c>
      <c r="F79" s="15" t="str">
        <f>INDEX([1]!MODEL[FPL_Name],MATCH($A79,[1]!MODEL[Code],0))</f>
        <v>Marcos Senesi Barón</v>
      </c>
      <c r="G79" s="10">
        <v>0</v>
      </c>
      <c r="H79" s="10">
        <v>0</v>
      </c>
      <c r="I79" s="10">
        <v>0</v>
      </c>
      <c r="J79" s="11">
        <f t="shared" si="6"/>
        <v>0</v>
      </c>
      <c r="K79" s="11">
        <f t="shared" si="7"/>
        <v>0</v>
      </c>
      <c r="L79" s="11">
        <f t="shared" si="8"/>
        <v>0</v>
      </c>
      <c r="M79" s="11">
        <v>0</v>
      </c>
      <c r="N79" s="11">
        <f t="shared" si="9"/>
        <v>0</v>
      </c>
      <c r="P79" s="13">
        <f t="shared" si="10"/>
        <v>0.58630256202109476</v>
      </c>
    </row>
    <row r="80" spans="1:16" x14ac:dyDescent="0.25">
      <c r="A80" s="16">
        <v>223827</v>
      </c>
      <c r="B80" s="4">
        <f>INDEX([1]!PREDICT[TRUE PTS],MATCH($A80,[1]!PREDICT[HARD CODE],0))</f>
        <v>17.531598138697362</v>
      </c>
      <c r="C80" s="7" t="str">
        <f>INDEX([1]!MODEL[POS],MATCH($A80,[1]!MODEL[Code],0))</f>
        <v>DEF</v>
      </c>
      <c r="D80" s="7" t="str">
        <f>INDEX([1]!MODEL[TEAM],MATCH($A80,[1]!MODEL[Code],0))</f>
        <v>SUN</v>
      </c>
      <c r="E80" s="7">
        <f>INDEX([1]PREDICT!$M$3:$M$1001,MATCH($A80,[1]PREDICT!$B$3:$B$1001,0))</f>
        <v>5</v>
      </c>
      <c r="F80" s="15" t="str">
        <f>INDEX([1]!MODEL[FPL_Name],MATCH($A80,[1]!MODEL[Code],0))</f>
        <v>Daniel Ballard</v>
      </c>
      <c r="G80" s="10">
        <v>0</v>
      </c>
      <c r="H80" s="10">
        <v>0</v>
      </c>
      <c r="I80" s="10">
        <v>0</v>
      </c>
      <c r="J80" s="11">
        <f t="shared" si="6"/>
        <v>0</v>
      </c>
      <c r="K80" s="11">
        <f t="shared" si="7"/>
        <v>0</v>
      </c>
      <c r="L80" s="11">
        <f t="shared" si="8"/>
        <v>0</v>
      </c>
      <c r="M80" s="11">
        <v>0</v>
      </c>
      <c r="N80" s="11">
        <f t="shared" si="9"/>
        <v>0</v>
      </c>
      <c r="P80" s="13">
        <f t="shared" si="10"/>
        <v>0.70126392554789452</v>
      </c>
    </row>
    <row r="81" spans="1:16" x14ac:dyDescent="0.25">
      <c r="A81" s="16">
        <v>111234</v>
      </c>
      <c r="B81" s="4">
        <f>INDEX([1]!PREDICT[TRUE PTS],MATCH($A81,[1]!PREDICT[HARD CODE],0))</f>
        <v>17.482468799437658</v>
      </c>
      <c r="C81" s="7" t="str">
        <f>INDEX([1]!MODEL[POS],MATCH($A81,[1]!MODEL[Code],0))</f>
        <v>GK</v>
      </c>
      <c r="D81" s="7" t="str">
        <f>INDEX([1]!MODEL[TEAM],MATCH($A81,[1]!MODEL[Code],0))</f>
        <v>EVE</v>
      </c>
      <c r="E81" s="7">
        <f>INDEX([1]PREDICT!$M$3:$M$1001,MATCH($A81,[1]PREDICT!$B$3:$B$1001,0))</f>
        <v>5.5</v>
      </c>
      <c r="F81" s="15" t="str">
        <f>INDEX([1]!MODEL[FPL_Name],MATCH($A81,[1]!MODEL[Code],0))</f>
        <v>Jordan Pickford</v>
      </c>
      <c r="G81" s="10">
        <v>0</v>
      </c>
      <c r="H81" s="10">
        <v>0</v>
      </c>
      <c r="I81" s="10">
        <v>0</v>
      </c>
      <c r="J81" s="11">
        <f t="shared" si="6"/>
        <v>0</v>
      </c>
      <c r="K81" s="11">
        <f t="shared" si="7"/>
        <v>0</v>
      </c>
      <c r="L81" s="11">
        <f t="shared" si="8"/>
        <v>0</v>
      </c>
      <c r="M81" s="11">
        <v>0</v>
      </c>
      <c r="N81" s="11">
        <f t="shared" si="9"/>
        <v>0</v>
      </c>
      <c r="P81" s="13">
        <f t="shared" si="10"/>
        <v>0.63572613816136936</v>
      </c>
    </row>
    <row r="82" spans="1:16" x14ac:dyDescent="0.25">
      <c r="A82" s="16">
        <v>50175</v>
      </c>
      <c r="B82" s="4">
        <f>INDEX([1]!PREDICT[TRUE PTS],MATCH($A82,[1]!PREDICT[HARD CODE],0))</f>
        <v>17.47683006633001</v>
      </c>
      <c r="C82" s="7" t="str">
        <f>INDEX([1]!MODEL[POS],MATCH($A82,[1]!MODEL[Code],0))</f>
        <v>FWD</v>
      </c>
      <c r="D82" s="7" t="str">
        <f>INDEX([1]!MODEL[TEAM],MATCH($A82,[1]!MODEL[Code],0))</f>
        <v>CHE</v>
      </c>
      <c r="E82" s="7">
        <f>INDEX([1]PREDICT!$M$3:$M$1001,MATCH($A82,[1]PREDICT!$B$3:$B$1001,0))</f>
        <v>6</v>
      </c>
      <c r="F82" s="15" t="str">
        <f>INDEX([1]!MODEL[FPL_Name],MATCH($A82,[1]!MODEL[Code],0))</f>
        <v>Danny Welbeck</v>
      </c>
      <c r="G82" s="10">
        <v>0</v>
      </c>
      <c r="H82" s="10">
        <v>0</v>
      </c>
      <c r="I82" s="10">
        <v>0</v>
      </c>
      <c r="J82" s="11">
        <f t="shared" si="6"/>
        <v>0</v>
      </c>
      <c r="K82" s="11">
        <f t="shared" si="7"/>
        <v>0</v>
      </c>
      <c r="L82" s="11">
        <f t="shared" si="8"/>
        <v>0</v>
      </c>
      <c r="M82" s="11">
        <v>0</v>
      </c>
      <c r="N82" s="11">
        <f t="shared" si="9"/>
        <v>0</v>
      </c>
      <c r="P82" s="13">
        <f t="shared" si="10"/>
        <v>0.58256100221100027</v>
      </c>
    </row>
    <row r="83" spans="1:16" x14ac:dyDescent="0.25">
      <c r="A83" s="16">
        <v>84450</v>
      </c>
      <c r="B83" s="4">
        <f>INDEX([1]!PREDICT[TRUE PTS],MATCH($A83,[1]!PREDICT[HARD CODE],0))</f>
        <v>17.383628832087851</v>
      </c>
      <c r="C83" s="7" t="str">
        <f>INDEX([1]!MODEL[POS],MATCH($A83,[1]!MODEL[Code],0))</f>
        <v>MID</v>
      </c>
      <c r="D83" s="7" t="str">
        <f>INDEX([1]!MODEL[TEAM],MATCH($A83,[1]!MODEL[Code],0))</f>
        <v>SUN</v>
      </c>
      <c r="E83" s="7">
        <f>INDEX([1]PREDICT!$M$3:$M$1001,MATCH($A83,[1]PREDICT!$B$3:$B$1001,0))</f>
        <v>5.5</v>
      </c>
      <c r="F83" s="15" t="str">
        <f>INDEX([1]!MODEL[FPL_Name],MATCH($A83,[1]!MODEL[Code],0))</f>
        <v>Granit Xhaka</v>
      </c>
      <c r="G83" s="10">
        <v>0</v>
      </c>
      <c r="H83" s="10">
        <v>0</v>
      </c>
      <c r="I83" s="10">
        <v>0</v>
      </c>
      <c r="J83" s="11">
        <f t="shared" si="6"/>
        <v>0</v>
      </c>
      <c r="K83" s="11">
        <f t="shared" si="7"/>
        <v>0</v>
      </c>
      <c r="L83" s="11">
        <f t="shared" si="8"/>
        <v>0</v>
      </c>
      <c r="M83" s="11">
        <v>0</v>
      </c>
      <c r="N83" s="11">
        <f t="shared" si="9"/>
        <v>0</v>
      </c>
      <c r="P83" s="13">
        <f t="shared" si="10"/>
        <v>0.63213195753046736</v>
      </c>
    </row>
    <row r="84" spans="1:16" x14ac:dyDescent="0.25">
      <c r="A84" s="16">
        <v>482973</v>
      </c>
      <c r="B84" s="4">
        <f>INDEX([1]!PREDICT[TRUE PTS],MATCH($A84,[1]!PREDICT[HARD CODE],0))</f>
        <v>17.318868086360407</v>
      </c>
      <c r="C84" s="7" t="str">
        <f>INDEX([1]!MODEL[POS],MATCH($A84,[1]!MODEL[Code],0))</f>
        <v>FWD</v>
      </c>
      <c r="D84" s="7" t="str">
        <f>INDEX([1]!MODEL[TEAM],MATCH($A84,[1]!MODEL[Code],0))</f>
        <v>NFO</v>
      </c>
      <c r="E84" s="7">
        <f>INDEX([1]PREDICT!$M$3:$M$1001,MATCH($A84,[1]PREDICT!$B$3:$B$1001,0))</f>
        <v>6</v>
      </c>
      <c r="F84" s="15" t="str">
        <f>INDEX([1]!MODEL[FPL_Name],MATCH($A84,[1]!MODEL[Code],0))</f>
        <v>Igor Jesus Maciel da Cruz</v>
      </c>
      <c r="G84" s="10">
        <v>0</v>
      </c>
      <c r="H84" s="10">
        <v>0</v>
      </c>
      <c r="I84" s="10">
        <v>0</v>
      </c>
      <c r="J84" s="11">
        <f t="shared" si="6"/>
        <v>0</v>
      </c>
      <c r="K84" s="11">
        <f t="shared" si="7"/>
        <v>0</v>
      </c>
      <c r="L84" s="11">
        <f t="shared" si="8"/>
        <v>0</v>
      </c>
      <c r="M84" s="11">
        <v>0</v>
      </c>
      <c r="N84" s="11">
        <f t="shared" si="9"/>
        <v>0</v>
      </c>
      <c r="P84" s="13">
        <f t="shared" si="10"/>
        <v>0.5772956028786802</v>
      </c>
    </row>
    <row r="85" spans="1:16" x14ac:dyDescent="0.25">
      <c r="A85" s="16">
        <v>432830</v>
      </c>
      <c r="B85" s="4">
        <f>INDEX([1]!PREDICT[TRUE PTS],MATCH($A85,[1]!PREDICT[HARD CODE],0))</f>
        <v>17.297181920870283</v>
      </c>
      <c r="C85" s="7" t="str">
        <f>INDEX([1]!MODEL[POS],MATCH($A85,[1]!MODEL[Code],0))</f>
        <v>DEF</v>
      </c>
      <c r="D85" s="7" t="str">
        <f>INDEX([1]!MODEL[TEAM],MATCH($A85,[1]!MODEL[Code],0))</f>
        <v>BRE</v>
      </c>
      <c r="E85" s="7">
        <f>INDEX([1]PREDICT!$M$3:$M$1001,MATCH($A85,[1]PREDICT!$B$3:$B$1001,0))</f>
        <v>5.5</v>
      </c>
      <c r="F85" s="15" t="str">
        <f>INDEX([1]!MODEL[FPL_Name],MATCH($A85,[1]!MODEL[Code],0))</f>
        <v>Nathan Collins</v>
      </c>
      <c r="G85" s="10">
        <v>0</v>
      </c>
      <c r="H85" s="10">
        <v>0</v>
      </c>
      <c r="I85" s="10">
        <v>0</v>
      </c>
      <c r="J85" s="11">
        <f t="shared" si="6"/>
        <v>0</v>
      </c>
      <c r="K85" s="11">
        <f t="shared" si="7"/>
        <v>0</v>
      </c>
      <c r="L85" s="11">
        <f t="shared" si="8"/>
        <v>0</v>
      </c>
      <c r="M85" s="11">
        <v>0</v>
      </c>
      <c r="N85" s="11">
        <f t="shared" si="9"/>
        <v>0</v>
      </c>
      <c r="P85" s="13">
        <f t="shared" si="10"/>
        <v>0.62898843348619216</v>
      </c>
    </row>
    <row r="86" spans="1:16" x14ac:dyDescent="0.25">
      <c r="A86" s="16">
        <v>215059</v>
      </c>
      <c r="B86" s="4">
        <f>INDEX([1]!PREDICT[TRUE PTS],MATCH($A86,[1]!PREDICT[HARD CODE],0))</f>
        <v>17.27310290865293</v>
      </c>
      <c r="C86" s="7" t="str">
        <f>INDEX([1]!MODEL[POS],MATCH($A86,[1]!MODEL[Code],0))</f>
        <v>GK</v>
      </c>
      <c r="D86" s="7" t="str">
        <f>INDEX([1]!MODEL[TEAM],MATCH($A86,[1]!MODEL[Code],0))</f>
        <v>CHE</v>
      </c>
      <c r="E86" s="7">
        <f>INDEX([1]PREDICT!$M$3:$M$1001,MATCH($A86,[1]PREDICT!$B$3:$B$1001,0))</f>
        <v>5</v>
      </c>
      <c r="F86" s="15" t="str">
        <f>INDEX([1]!MODEL[FPL_Name],MATCH($A86,[1]!MODEL[Code],0))</f>
        <v>Robert Lynch Sánchez</v>
      </c>
      <c r="G86" s="10">
        <v>0</v>
      </c>
      <c r="H86" s="10">
        <v>0</v>
      </c>
      <c r="I86" s="10">
        <v>0</v>
      </c>
      <c r="J86" s="11">
        <f t="shared" si="6"/>
        <v>0</v>
      </c>
      <c r="K86" s="11">
        <f t="shared" si="7"/>
        <v>0</v>
      </c>
      <c r="L86" s="11">
        <f t="shared" si="8"/>
        <v>0</v>
      </c>
      <c r="M86" s="11">
        <v>0</v>
      </c>
      <c r="N86" s="11">
        <f t="shared" si="9"/>
        <v>0</v>
      </c>
      <c r="P86" s="13">
        <f t="shared" si="10"/>
        <v>0.69092411634611728</v>
      </c>
    </row>
    <row r="87" spans="1:16" x14ac:dyDescent="0.25">
      <c r="A87" s="16">
        <v>106760</v>
      </c>
      <c r="B87" s="4">
        <f>INDEX([1]!PREDICT[TRUE PTS],MATCH($A87,[1]!PREDICT[HARD CODE],0))</f>
        <v>17.2255573531449</v>
      </c>
      <c r="C87" s="7" t="str">
        <f>INDEX([1]!MODEL[POS],MATCH($A87,[1]!MODEL[Code],0))</f>
        <v>DEF</v>
      </c>
      <c r="D87" s="7" t="str">
        <f>INDEX([1]!MODEL[TEAM],MATCH($A87,[1]!MODEL[Code],0))</f>
        <v>MUN</v>
      </c>
      <c r="E87" s="7">
        <f>INDEX([1]PREDICT!$M$3:$M$1001,MATCH($A87,[1]PREDICT!$B$3:$B$1001,0))</f>
        <v>4.5</v>
      </c>
      <c r="F87" s="15" t="str">
        <f>INDEX([1]!MODEL[FPL_Name],MATCH($A87,[1]!MODEL[Code],0))</f>
        <v>Luke Shaw</v>
      </c>
      <c r="G87" s="10">
        <v>0</v>
      </c>
      <c r="H87" s="10">
        <v>0</v>
      </c>
      <c r="I87" s="10">
        <v>0</v>
      </c>
      <c r="J87" s="11">
        <f t="shared" si="6"/>
        <v>0</v>
      </c>
      <c r="K87" s="11">
        <f t="shared" si="7"/>
        <v>0</v>
      </c>
      <c r="L87" s="11">
        <f t="shared" si="8"/>
        <v>0</v>
      </c>
      <c r="M87" s="11">
        <v>0</v>
      </c>
      <c r="N87" s="11">
        <f t="shared" si="9"/>
        <v>0</v>
      </c>
      <c r="P87" s="13">
        <f t="shared" si="10"/>
        <v>0.76558032680643995</v>
      </c>
    </row>
    <row r="88" spans="1:16" x14ac:dyDescent="0.25">
      <c r="A88" s="16">
        <v>212319</v>
      </c>
      <c r="B88" s="4">
        <f>INDEX([1]!PREDICT[TRUE PTS],MATCH($A88,[1]!PREDICT[HARD CODE],0))</f>
        <v>17.198656311122214</v>
      </c>
      <c r="C88" s="7" t="str">
        <f>INDEX([1]!MODEL[POS],MATCH($A88,[1]!MODEL[Code],0))</f>
        <v>FWD</v>
      </c>
      <c r="D88" s="7" t="str">
        <f>INDEX([1]!MODEL[TEAM],MATCH($A88,[1]!MODEL[Code],0))</f>
        <v>TOT</v>
      </c>
      <c r="E88" s="7">
        <f>INDEX([1]PREDICT!$M$3:$M$1001,MATCH($A88,[1]PREDICT!$B$3:$B$1001,0))</f>
        <v>6</v>
      </c>
      <c r="F88" s="15" t="str">
        <f>INDEX([1]!MODEL[FPL_Name],MATCH($A88,[1]!MODEL[Code],0))</f>
        <v>Richarlison de Andrade</v>
      </c>
      <c r="G88" s="10">
        <v>0</v>
      </c>
      <c r="H88" s="10">
        <v>0</v>
      </c>
      <c r="I88" s="10">
        <v>0</v>
      </c>
      <c r="J88" s="11">
        <f t="shared" si="6"/>
        <v>0</v>
      </c>
      <c r="K88" s="11">
        <f t="shared" si="7"/>
        <v>0</v>
      </c>
      <c r="L88" s="11">
        <f t="shared" si="8"/>
        <v>0</v>
      </c>
      <c r="M88" s="11">
        <v>0</v>
      </c>
      <c r="N88" s="11">
        <f t="shared" si="9"/>
        <v>0</v>
      </c>
      <c r="P88" s="13">
        <f t="shared" si="10"/>
        <v>0.57328854370407378</v>
      </c>
    </row>
    <row r="89" spans="1:16" x14ac:dyDescent="0.25">
      <c r="A89" s="16">
        <v>444765</v>
      </c>
      <c r="B89" s="4">
        <f>INDEX([1]!PREDICT[TRUE PTS],MATCH($A89,[1]!PREDICT[HARD CODE],0))</f>
        <v>17.176016887315892</v>
      </c>
      <c r="C89" s="7" t="str">
        <f>INDEX([1]!MODEL[POS],MATCH($A89,[1]!MODEL[Code],0))</f>
        <v>DEF</v>
      </c>
      <c r="D89" s="7" t="str">
        <f>INDEX([1]!MODEL[TEAM],MATCH($A89,[1]!MODEL[Code],0))</f>
        <v>BRE</v>
      </c>
      <c r="E89" s="7">
        <f>INDEX([1]PREDICT!$M$3:$M$1001,MATCH($A89,[1]PREDICT!$B$3:$B$1001,0))</f>
        <v>5</v>
      </c>
      <c r="F89" s="15" t="str">
        <f>INDEX([1]!MODEL[FPL_Name],MATCH($A89,[1]!MODEL[Code],0))</f>
        <v>Sepp van den Berg</v>
      </c>
      <c r="G89" s="10">
        <v>0</v>
      </c>
      <c r="H89" s="10">
        <v>0</v>
      </c>
      <c r="I89" s="10">
        <v>0</v>
      </c>
      <c r="J89" s="11">
        <f t="shared" si="6"/>
        <v>0</v>
      </c>
      <c r="K89" s="11">
        <f t="shared" si="7"/>
        <v>0</v>
      </c>
      <c r="L89" s="11">
        <f t="shared" si="8"/>
        <v>0</v>
      </c>
      <c r="M89" s="11">
        <v>0</v>
      </c>
      <c r="N89" s="11">
        <f t="shared" si="9"/>
        <v>0</v>
      </c>
      <c r="P89" s="13">
        <f t="shared" si="10"/>
        <v>0.6870406754926357</v>
      </c>
    </row>
    <row r="90" spans="1:16" x14ac:dyDescent="0.25">
      <c r="A90" s="16">
        <v>486672</v>
      </c>
      <c r="B90" s="4">
        <f>INDEX([1]!PREDICT[TRUE PTS],MATCH($A90,[1]!PREDICT[HARD CODE],0))</f>
        <v>17.118675289023685</v>
      </c>
      <c r="C90" s="7" t="str">
        <f>INDEX([1]!MODEL[POS],MATCH($A90,[1]!MODEL[Code],0))</f>
        <v>MID</v>
      </c>
      <c r="D90" s="7" t="str">
        <f>INDEX([1]!MODEL[TEAM],MATCH($A90,[1]!MODEL[Code],0))</f>
        <v>CHE</v>
      </c>
      <c r="E90" s="7">
        <f>INDEX([1]PREDICT!$M$3:$M$1001,MATCH($A90,[1]PREDICT!$B$3:$B$1001,0))</f>
        <v>5.5</v>
      </c>
      <c r="F90" s="15" t="str">
        <f>INDEX([1]!MODEL[FPL_Name],MATCH($A90,[1]!MODEL[Code],0))</f>
        <v>Moisés Caicedo Corozo</v>
      </c>
      <c r="G90" s="10">
        <v>0</v>
      </c>
      <c r="H90" s="10">
        <v>0</v>
      </c>
      <c r="I90" s="10">
        <v>0</v>
      </c>
      <c r="J90" s="11">
        <f t="shared" si="6"/>
        <v>0</v>
      </c>
      <c r="K90" s="11">
        <f t="shared" si="7"/>
        <v>0</v>
      </c>
      <c r="L90" s="11">
        <f t="shared" si="8"/>
        <v>0</v>
      </c>
      <c r="M90" s="11">
        <v>0</v>
      </c>
      <c r="N90" s="11">
        <f t="shared" si="9"/>
        <v>0</v>
      </c>
      <c r="P90" s="13">
        <f t="shared" si="10"/>
        <v>0.62249728323722486</v>
      </c>
    </row>
    <row r="91" spans="1:16" x14ac:dyDescent="0.25">
      <c r="A91" s="16">
        <v>448104</v>
      </c>
      <c r="B91" s="4">
        <f>INDEX([1]!PREDICT[TRUE PTS],MATCH($A91,[1]!PREDICT[HARD CODE],0))</f>
        <v>17.053492035092251</v>
      </c>
      <c r="C91" s="7" t="str">
        <f>INDEX([1]!MODEL[POS],MATCH($A91,[1]!MODEL[Code],0))</f>
        <v>DEF</v>
      </c>
      <c r="D91" s="7" t="str">
        <f>INDEX([1]!MODEL[TEAM],MATCH($A91,[1]!MODEL[Code],0))</f>
        <v>ARS</v>
      </c>
      <c r="E91" s="7">
        <f>INDEX([1]PREDICT!$M$3:$M$1001,MATCH($A91,[1]PREDICT!$B$3:$B$1001,0))</f>
        <v>5.5</v>
      </c>
      <c r="F91" s="15" t="str">
        <f>INDEX([1]!MODEL[FPL_Name],MATCH($A91,[1]!MODEL[Code],0))</f>
        <v>Piero Hincapié</v>
      </c>
      <c r="G91" s="10">
        <v>0</v>
      </c>
      <c r="H91" s="10">
        <v>0</v>
      </c>
      <c r="I91" s="10">
        <v>0</v>
      </c>
      <c r="J91" s="11">
        <f t="shared" si="6"/>
        <v>0</v>
      </c>
      <c r="K91" s="11">
        <f t="shared" si="7"/>
        <v>0</v>
      </c>
      <c r="L91" s="11">
        <f t="shared" si="8"/>
        <v>0</v>
      </c>
      <c r="M91" s="11">
        <v>0</v>
      </c>
      <c r="N91" s="11">
        <f t="shared" si="9"/>
        <v>0</v>
      </c>
      <c r="P91" s="13">
        <f t="shared" si="10"/>
        <v>0.62012698309426362</v>
      </c>
    </row>
    <row r="92" spans="1:16" ht="30" x14ac:dyDescent="0.25">
      <c r="A92" s="16">
        <v>444102</v>
      </c>
      <c r="B92" s="4">
        <f>INDEX([1]!PREDICT[TRUE PTS],MATCH($A92,[1]!PREDICT[HARD CODE],0))</f>
        <v>17.004662280609715</v>
      </c>
      <c r="C92" s="7" t="str">
        <f>INDEX([1]!MODEL[POS],MATCH($A92,[1]!MODEL[Code],0))</f>
        <v>FWD</v>
      </c>
      <c r="D92" s="7" t="str">
        <f>INDEX([1]!MODEL[TEAM],MATCH($A92,[1]!MODEL[Code],0))</f>
        <v>BOU</v>
      </c>
      <c r="E92" s="7">
        <f>INDEX([1]PREDICT!$M$3:$M$1001,MATCH($A92,[1]PREDICT!$B$3:$B$1001,0))</f>
        <v>6</v>
      </c>
      <c r="F92" s="15" t="str">
        <f>INDEX([1]!MODEL[FPL_Name],MATCH($A92,[1]!MODEL[Code],0))</f>
        <v>Francisco Evanilson de Lima Barbosa</v>
      </c>
      <c r="G92" s="10">
        <v>0</v>
      </c>
      <c r="H92" s="10">
        <v>0</v>
      </c>
      <c r="I92" s="10">
        <v>0</v>
      </c>
      <c r="J92" s="11">
        <f t="shared" si="6"/>
        <v>0</v>
      </c>
      <c r="K92" s="11">
        <f t="shared" si="7"/>
        <v>0</v>
      </c>
      <c r="L92" s="11">
        <f t="shared" si="8"/>
        <v>0</v>
      </c>
      <c r="M92" s="11">
        <v>0</v>
      </c>
      <c r="N92" s="11">
        <f t="shared" si="9"/>
        <v>0</v>
      </c>
      <c r="P92" s="13">
        <f t="shared" si="10"/>
        <v>0.56682207602032375</v>
      </c>
    </row>
    <row r="93" spans="1:16" x14ac:dyDescent="0.25">
      <c r="A93" s="16">
        <v>122806</v>
      </c>
      <c r="B93" s="4">
        <f>INDEX([1]!PREDICT[TRUE PTS],MATCH($A93,[1]!PREDICT[HARD CODE],0))</f>
        <v>16.976574820522892</v>
      </c>
      <c r="C93" s="7" t="str">
        <f>INDEX([1]!MODEL[POS],MATCH($A93,[1]!MODEL[Code],0))</f>
        <v>MID</v>
      </c>
      <c r="D93" s="7" t="str">
        <f>INDEX([1]!MODEL[TEAM],MATCH($A93,[1]!MODEL[Code],0))</f>
        <v>AVL</v>
      </c>
      <c r="E93" s="7">
        <f>INDEX([1]PREDICT!$M$3:$M$1001,MATCH($A93,[1]PREDICT!$B$3:$B$1001,0))</f>
        <v>5.5</v>
      </c>
      <c r="F93" s="15" t="str">
        <f>INDEX([1]!MODEL[FPL_Name],MATCH($A93,[1]!MODEL[Code],0))</f>
        <v>John McGinn</v>
      </c>
      <c r="G93" s="10">
        <v>0</v>
      </c>
      <c r="H93" s="10">
        <v>0</v>
      </c>
      <c r="I93" s="10">
        <v>0</v>
      </c>
      <c r="J93" s="11">
        <f t="shared" si="6"/>
        <v>0</v>
      </c>
      <c r="K93" s="11">
        <f t="shared" si="7"/>
        <v>0</v>
      </c>
      <c r="L93" s="11">
        <f t="shared" si="8"/>
        <v>0</v>
      </c>
      <c r="M93" s="11">
        <v>0</v>
      </c>
      <c r="N93" s="11">
        <f t="shared" si="9"/>
        <v>0</v>
      </c>
      <c r="P93" s="13">
        <f t="shared" si="10"/>
        <v>0.61732999347355966</v>
      </c>
    </row>
    <row r="94" spans="1:16" x14ac:dyDescent="0.25">
      <c r="A94" s="16">
        <v>440089</v>
      </c>
      <c r="B94" s="4">
        <f>INDEX([1]!PREDICT[TRUE PTS],MATCH($A94,[1]!PREDICT[HARD CODE],0))</f>
        <v>16.963117254186955</v>
      </c>
      <c r="C94" s="7" t="str">
        <f>INDEX([1]!MODEL[POS],MATCH($A94,[1]!MODEL[Code],0))</f>
        <v>MID</v>
      </c>
      <c r="D94" s="7" t="str">
        <f>INDEX([1]!MODEL[TEAM],MATCH($A94,[1]!MODEL[Code],0))</f>
        <v>BRE</v>
      </c>
      <c r="E94" s="7">
        <f>INDEX([1]PREDICT!$M$3:$M$1001,MATCH($A94,[1]PREDICT!$B$3:$B$1001,0))</f>
        <v>5.5</v>
      </c>
      <c r="F94" s="15" t="str">
        <f>INDEX([1]!MODEL[FPL_Name],MATCH($A94,[1]!MODEL[Code],0))</f>
        <v>Mikkel Damsgaard</v>
      </c>
      <c r="G94" s="10">
        <v>0</v>
      </c>
      <c r="H94" s="10">
        <v>0</v>
      </c>
      <c r="I94" s="10">
        <v>0</v>
      </c>
      <c r="J94" s="11">
        <f t="shared" si="6"/>
        <v>0</v>
      </c>
      <c r="K94" s="11">
        <f t="shared" si="7"/>
        <v>0</v>
      </c>
      <c r="L94" s="11">
        <f t="shared" si="8"/>
        <v>0</v>
      </c>
      <c r="M94" s="11">
        <v>0</v>
      </c>
      <c r="N94" s="11">
        <f t="shared" si="9"/>
        <v>0</v>
      </c>
      <c r="P94" s="13">
        <f t="shared" si="10"/>
        <v>0.61684062742498014</v>
      </c>
    </row>
    <row r="95" spans="1:16" x14ac:dyDescent="0.25">
      <c r="A95" s="16">
        <v>180736</v>
      </c>
      <c r="B95" s="4">
        <f>INDEX([1]!PREDICT[TRUE PTS],MATCH($A95,[1]!PREDICT[HARD CODE],0))</f>
        <v>16.928672920668483</v>
      </c>
      <c r="C95" s="7" t="str">
        <f>INDEX([1]!MODEL[POS],MATCH($A95,[1]!MODEL[Code],0))</f>
        <v>DEF</v>
      </c>
      <c r="D95" s="7" t="str">
        <f>INDEX([1]!MODEL[TEAM],MATCH($A95,[1]!MODEL[Code],0))</f>
        <v>CHE</v>
      </c>
      <c r="E95" s="7">
        <f>INDEX([1]PREDICT!$M$3:$M$1001,MATCH($A95,[1]PREDICT!$B$3:$B$1001,0))</f>
        <v>5.5</v>
      </c>
      <c r="F95" s="15" t="str">
        <f>INDEX([1]!MODEL[FPL_Name],MATCH($A95,[1]!MODEL[Code],0))</f>
        <v>Trevoh Chalobah</v>
      </c>
      <c r="G95" s="10">
        <v>0</v>
      </c>
      <c r="H95" s="10">
        <v>0</v>
      </c>
      <c r="I95" s="10">
        <v>0</v>
      </c>
      <c r="J95" s="11">
        <f t="shared" si="6"/>
        <v>0</v>
      </c>
      <c r="K95" s="11">
        <f t="shared" si="7"/>
        <v>0</v>
      </c>
      <c r="L95" s="11">
        <f t="shared" si="8"/>
        <v>0</v>
      </c>
      <c r="M95" s="11">
        <v>0</v>
      </c>
      <c r="N95" s="11">
        <f t="shared" si="9"/>
        <v>0</v>
      </c>
      <c r="P95" s="13">
        <f t="shared" si="10"/>
        <v>0.61558810620612658</v>
      </c>
    </row>
    <row r="96" spans="1:16" x14ac:dyDescent="0.25">
      <c r="A96" s="16">
        <v>243526</v>
      </c>
      <c r="B96" s="4">
        <f>INDEX([1]!PREDICT[TRUE PTS],MATCH($A96,[1]!PREDICT[HARD CODE],0))</f>
        <v>16.920620258286398</v>
      </c>
      <c r="C96" s="7" t="str">
        <f>INDEX([1]!MODEL[POS],MATCH($A96,[1]!MODEL[Code],0))</f>
        <v>DEF</v>
      </c>
      <c r="D96" s="7" t="str">
        <f>INDEX([1]!MODEL[TEAM],MATCH($A96,[1]!MODEL[Code],0))</f>
        <v>LEE</v>
      </c>
      <c r="E96" s="7">
        <f>INDEX([1]PREDICT!$M$3:$M$1001,MATCH($A96,[1]PREDICT!$B$3:$B$1001,0))</f>
        <v>4.5</v>
      </c>
      <c r="F96" s="15" t="str">
        <f>INDEX([1]!MODEL[FPL_Name],MATCH($A96,[1]!MODEL[Code],0))</f>
        <v>Gabriel Gudmundsson</v>
      </c>
      <c r="G96" s="10">
        <v>0</v>
      </c>
      <c r="H96" s="10">
        <v>0</v>
      </c>
      <c r="I96" s="10">
        <v>0</v>
      </c>
      <c r="J96" s="11">
        <f t="shared" si="6"/>
        <v>0</v>
      </c>
      <c r="K96" s="11">
        <f t="shared" si="7"/>
        <v>0</v>
      </c>
      <c r="L96" s="11">
        <f t="shared" si="8"/>
        <v>0</v>
      </c>
      <c r="M96" s="11">
        <v>0</v>
      </c>
      <c r="N96" s="11">
        <f t="shared" si="9"/>
        <v>0</v>
      </c>
      <c r="P96" s="13">
        <f t="shared" si="10"/>
        <v>0.75202756703495099</v>
      </c>
    </row>
    <row r="97" spans="1:16" x14ac:dyDescent="0.25">
      <c r="A97" s="16">
        <v>220237</v>
      </c>
      <c r="B97" s="4">
        <f>INDEX([1]!PREDICT[TRUE PTS],MATCH($A97,[1]!PREDICT[HARD CODE],0))</f>
        <v>16.786405620294701</v>
      </c>
      <c r="C97" s="7" t="str">
        <f>INDEX([1]!MODEL[POS],MATCH($A97,[1]!MODEL[Code],0))</f>
        <v>DEF</v>
      </c>
      <c r="D97" s="7" t="str">
        <f>INDEX([1]!MODEL[TEAM],MATCH($A97,[1]!MODEL[Code],0))</f>
        <v>NEW</v>
      </c>
      <c r="E97" s="7">
        <f>INDEX([1]PREDICT!$M$3:$M$1001,MATCH($A97,[1]PREDICT!$B$3:$B$1001,0))</f>
        <v>5</v>
      </c>
      <c r="F97" s="15" t="str">
        <f>INDEX([1]!MODEL[FPL_Name],MATCH($A97,[1]!MODEL[Code],0))</f>
        <v>Sven Botman</v>
      </c>
      <c r="G97" s="10">
        <v>0</v>
      </c>
      <c r="H97" s="10">
        <v>0</v>
      </c>
      <c r="I97" s="10">
        <v>0</v>
      </c>
      <c r="J97" s="11">
        <f t="shared" si="6"/>
        <v>0</v>
      </c>
      <c r="K97" s="11">
        <f t="shared" si="7"/>
        <v>0</v>
      </c>
      <c r="L97" s="11">
        <f t="shared" si="8"/>
        <v>0</v>
      </c>
      <c r="M97" s="11">
        <v>0</v>
      </c>
      <c r="N97" s="11">
        <f t="shared" si="9"/>
        <v>0</v>
      </c>
      <c r="P97" s="13">
        <f t="shared" si="10"/>
        <v>0.67145622481178813</v>
      </c>
    </row>
    <row r="98" spans="1:16" x14ac:dyDescent="0.25">
      <c r="A98" s="16">
        <v>172649</v>
      </c>
      <c r="B98" s="4">
        <f>INDEX([1]!PREDICT[TRUE PTS],MATCH($A98,[1]!PREDICT[HARD CODE],0))</f>
        <v>16.777641329996136</v>
      </c>
      <c r="C98" s="7" t="str">
        <f>INDEX([1]!MODEL[POS],MATCH($A98,[1]!MODEL[Code],0))</f>
        <v>GK</v>
      </c>
      <c r="D98" s="7" t="str">
        <f>INDEX([1]!MODEL[TEAM],MATCH($A98,[1]!MODEL[Code],0))</f>
        <v>CRY</v>
      </c>
      <c r="E98" s="7">
        <f>INDEX([1]PREDICT!$M$3:$M$1001,MATCH($A98,[1]PREDICT!$B$3:$B$1001,0))</f>
        <v>5</v>
      </c>
      <c r="F98" s="15" t="str">
        <f>INDEX([1]!MODEL[FPL_Name],MATCH($A98,[1]!MODEL[Code],0))</f>
        <v>Dean Henderson</v>
      </c>
      <c r="G98" s="10">
        <v>0</v>
      </c>
      <c r="H98" s="10">
        <v>0</v>
      </c>
      <c r="I98" s="10">
        <v>0</v>
      </c>
      <c r="J98" s="11">
        <f t="shared" si="6"/>
        <v>0</v>
      </c>
      <c r="K98" s="11">
        <f t="shared" si="7"/>
        <v>0</v>
      </c>
      <c r="L98" s="11">
        <f t="shared" si="8"/>
        <v>0</v>
      </c>
      <c r="M98" s="11">
        <v>0</v>
      </c>
      <c r="N98" s="11">
        <f t="shared" si="9"/>
        <v>0</v>
      </c>
      <c r="P98" s="13">
        <f t="shared" si="10"/>
        <v>0.67110565319984539</v>
      </c>
    </row>
    <row r="99" spans="1:16" x14ac:dyDescent="0.25">
      <c r="A99" s="16">
        <v>214225</v>
      </c>
      <c r="B99" s="4">
        <f>INDEX([1]!PREDICT[TRUE PTS],MATCH($A99,[1]!PREDICT[HARD CODE],0))</f>
        <v>16.764590665611447</v>
      </c>
      <c r="C99" s="7" t="str">
        <f>INDEX([1]!MODEL[POS],MATCH($A99,[1]!MODEL[Code],0))</f>
        <v>DEF</v>
      </c>
      <c r="D99" s="7" t="str">
        <f>INDEX([1]!MODEL[TEAM],MATCH($A99,[1]!MODEL[Code],0))</f>
        <v>LEE</v>
      </c>
      <c r="E99" s="7">
        <f>INDEX([1]PREDICT!$M$3:$M$1001,MATCH($A99,[1]PREDICT!$B$3:$B$1001,0))</f>
        <v>4.5</v>
      </c>
      <c r="F99" s="15" t="str">
        <f>INDEX([1]!MODEL[FPL_Name],MATCH($A99,[1]!MODEL[Code],0))</f>
        <v>Joe Rodon</v>
      </c>
      <c r="G99" s="10">
        <v>0</v>
      </c>
      <c r="H99" s="10">
        <v>0</v>
      </c>
      <c r="I99" s="10">
        <v>0</v>
      </c>
      <c r="J99" s="11">
        <f t="shared" si="6"/>
        <v>0</v>
      </c>
      <c r="K99" s="11">
        <f t="shared" si="7"/>
        <v>0</v>
      </c>
      <c r="L99" s="11">
        <f t="shared" si="8"/>
        <v>0</v>
      </c>
      <c r="M99" s="11">
        <v>0</v>
      </c>
      <c r="N99" s="11">
        <f t="shared" si="9"/>
        <v>0</v>
      </c>
      <c r="P99" s="13">
        <f t="shared" si="10"/>
        <v>0.74509291847161985</v>
      </c>
    </row>
    <row r="100" spans="1:16" x14ac:dyDescent="0.25">
      <c r="A100" s="16">
        <v>435997</v>
      </c>
      <c r="B100" s="4">
        <f>INDEX([1]!PREDICT[TRUE PTS],MATCH($A100,[1]!PREDICT[HARD CODE],0))</f>
        <v>16.698680644672027</v>
      </c>
      <c r="C100" s="7" t="str">
        <f>INDEX([1]!MODEL[POS],MATCH($A100,[1]!MODEL[Code],0))</f>
        <v>MID</v>
      </c>
      <c r="D100" s="7" t="str">
        <f>INDEX([1]!MODEL[TEAM],MATCH($A100,[1]!MODEL[Code],0))</f>
        <v>LEE</v>
      </c>
      <c r="E100" s="7">
        <f>INDEX([1]PREDICT!$M$3:$M$1001,MATCH($A100,[1]PREDICT!$B$3:$B$1001,0))</f>
        <v>6</v>
      </c>
      <c r="F100" s="15" t="str">
        <f>INDEX([1]!MODEL[FPL_Name],MATCH($A100,[1]!MODEL[Code],0))</f>
        <v>Noah Okafor</v>
      </c>
      <c r="G100" s="10">
        <v>0</v>
      </c>
      <c r="H100" s="10">
        <v>0</v>
      </c>
      <c r="I100" s="10">
        <v>0</v>
      </c>
      <c r="J100" s="11">
        <f t="shared" si="6"/>
        <v>0</v>
      </c>
      <c r="K100" s="11">
        <f t="shared" si="7"/>
        <v>0</v>
      </c>
      <c r="L100" s="11">
        <f t="shared" si="8"/>
        <v>0</v>
      </c>
      <c r="M100" s="11">
        <v>0</v>
      </c>
      <c r="N100" s="11">
        <f t="shared" si="9"/>
        <v>0</v>
      </c>
      <c r="P100" s="13">
        <f t="shared" si="10"/>
        <v>0.55662268815573424</v>
      </c>
    </row>
    <row r="101" spans="1:16" x14ac:dyDescent="0.25">
      <c r="A101" s="16">
        <v>80201</v>
      </c>
      <c r="B101" s="4">
        <f>INDEX([1]!PREDICT[TRUE PTS],MATCH($A101,[1]!PREDICT[HARD CODE],0))</f>
        <v>16.649522341635247</v>
      </c>
      <c r="C101" s="7" t="str">
        <f>INDEX([1]!MODEL[POS],MATCH($A101,[1]!MODEL[Code],0))</f>
        <v>GK</v>
      </c>
      <c r="D101" s="7" t="str">
        <f>INDEX([1]!MODEL[TEAM],MATCH($A101,[1]!MODEL[Code],0))</f>
        <v>FUL</v>
      </c>
      <c r="E101" s="7">
        <f>INDEX([1]PREDICT!$M$3:$M$1001,MATCH($A101,[1]PREDICT!$B$3:$B$1001,0))</f>
        <v>4.5</v>
      </c>
      <c r="F101" s="15" t="str">
        <f>INDEX([1]!MODEL[FPL_Name],MATCH($A101,[1]!MODEL[Code],0))</f>
        <v>Bernd Leno</v>
      </c>
      <c r="G101" s="10">
        <v>0</v>
      </c>
      <c r="H101" s="10">
        <v>0</v>
      </c>
      <c r="I101" s="10">
        <v>0</v>
      </c>
      <c r="J101" s="11">
        <f t="shared" si="6"/>
        <v>0</v>
      </c>
      <c r="K101" s="11">
        <f t="shared" si="7"/>
        <v>0</v>
      </c>
      <c r="L101" s="11">
        <f t="shared" si="8"/>
        <v>0</v>
      </c>
      <c r="M101" s="11">
        <v>0</v>
      </c>
      <c r="N101" s="11">
        <f t="shared" si="9"/>
        <v>0</v>
      </c>
      <c r="P101" s="13">
        <f t="shared" si="10"/>
        <v>0.73997877073934437</v>
      </c>
    </row>
    <row r="102" spans="1:16" x14ac:dyDescent="0.25">
      <c r="A102" s="16">
        <v>491279</v>
      </c>
      <c r="B102" s="4">
        <f>INDEX([1]!PREDICT[TRUE PTS],MATCH($A102,[1]!PREDICT[HARD CODE],0))</f>
        <v>16.605993962772079</v>
      </c>
      <c r="C102" s="7" t="str">
        <f>INDEX([1]!MODEL[POS],MATCH($A102,[1]!MODEL[Code],0))</f>
        <v>DEF</v>
      </c>
      <c r="D102" s="7" t="str">
        <f>INDEX([1]!MODEL[TEAM],MATCH($A102,[1]!MODEL[Code],0))</f>
        <v>TOT</v>
      </c>
      <c r="E102" s="7">
        <f>INDEX([1]PREDICT!$M$3:$M$1001,MATCH($A102,[1]PREDICT!$B$3:$B$1001,0))</f>
        <v>5</v>
      </c>
      <c r="F102" s="15" t="str">
        <f>INDEX([1]!MODEL[FPL_Name],MATCH($A102,[1]!MODEL[Code],0))</f>
        <v>Micky van de Ven</v>
      </c>
      <c r="G102" s="10">
        <v>0</v>
      </c>
      <c r="H102" s="10">
        <v>0</v>
      </c>
      <c r="I102" s="10">
        <v>0</v>
      </c>
      <c r="J102" s="11">
        <f t="shared" si="6"/>
        <v>0</v>
      </c>
      <c r="K102" s="11">
        <f t="shared" si="7"/>
        <v>0</v>
      </c>
      <c r="L102" s="11">
        <f t="shared" si="8"/>
        <v>0</v>
      </c>
      <c r="M102" s="11">
        <v>0</v>
      </c>
      <c r="N102" s="11">
        <f t="shared" si="9"/>
        <v>0</v>
      </c>
      <c r="P102" s="13">
        <f t="shared" si="10"/>
        <v>0.66423975851088313</v>
      </c>
    </row>
    <row r="103" spans="1:16" x14ac:dyDescent="0.25">
      <c r="A103" s="16">
        <v>441266</v>
      </c>
      <c r="B103" s="4">
        <f>INDEX([1]!PREDICT[TRUE PTS],MATCH($A103,[1]!PREDICT[HARD CODE],0))</f>
        <v>16.418763029995475</v>
      </c>
      <c r="C103" s="7" t="str">
        <f>INDEX([1]!MODEL[POS],MATCH($A103,[1]!MODEL[Code],0))</f>
        <v>MID</v>
      </c>
      <c r="D103" s="7" t="str">
        <f>INDEX([1]!MODEL[TEAM],MATCH($A103,[1]!MODEL[Code],0))</f>
        <v>LIV</v>
      </c>
      <c r="E103" s="7">
        <f>INDEX([1]PREDICT!$M$3:$M$1001,MATCH($A103,[1]PREDICT!$B$3:$B$1001,0))</f>
        <v>6</v>
      </c>
      <c r="F103" s="15" t="str">
        <f>INDEX([1]!MODEL[FPL_Name],MATCH($A103,[1]!MODEL[Code],0))</f>
        <v>Ryan Gravenberch</v>
      </c>
      <c r="G103" s="10">
        <v>0</v>
      </c>
      <c r="H103" s="10">
        <v>0</v>
      </c>
      <c r="I103" s="10">
        <v>0</v>
      </c>
      <c r="J103" s="11">
        <f t="shared" si="6"/>
        <v>0</v>
      </c>
      <c r="K103" s="11">
        <f t="shared" si="7"/>
        <v>0</v>
      </c>
      <c r="L103" s="11">
        <f t="shared" si="8"/>
        <v>0</v>
      </c>
      <c r="M103" s="11">
        <v>0</v>
      </c>
      <c r="N103" s="11">
        <f t="shared" si="9"/>
        <v>0</v>
      </c>
      <c r="P103" s="13">
        <f t="shared" si="10"/>
        <v>0.54729210099984915</v>
      </c>
    </row>
    <row r="104" spans="1:16" x14ac:dyDescent="0.25">
      <c r="A104" s="16">
        <v>210462</v>
      </c>
      <c r="B104" s="4">
        <f>INDEX([1]!PREDICT[TRUE PTS],MATCH($A104,[1]!PREDICT[HARD CODE],0))</f>
        <v>16.410892044979256</v>
      </c>
      <c r="C104" s="7" t="str">
        <f>INDEX([1]!MODEL[POS],MATCH($A104,[1]!MODEL[Code],0))</f>
        <v>MID</v>
      </c>
      <c r="D104" s="7" t="str">
        <f>INDEX([1]!MODEL[TEAM],MATCH($A104,[1]!MODEL[Code],0))</f>
        <v>NFO</v>
      </c>
      <c r="E104" s="7">
        <f>INDEX([1]PREDICT!$M$3:$M$1001,MATCH($A104,[1]PREDICT!$B$3:$B$1001,0))</f>
        <v>5</v>
      </c>
      <c r="F104" s="15" t="str">
        <f>INDEX([1]!MODEL[FPL_Name],MATCH($A104,[1]!MODEL[Code],0))</f>
        <v>Ibrahim Sangaré</v>
      </c>
      <c r="G104" s="10">
        <v>0</v>
      </c>
      <c r="H104" s="10">
        <v>0</v>
      </c>
      <c r="I104" s="10">
        <v>0</v>
      </c>
      <c r="J104" s="11">
        <f t="shared" si="6"/>
        <v>0</v>
      </c>
      <c r="K104" s="11">
        <f t="shared" si="7"/>
        <v>0</v>
      </c>
      <c r="L104" s="11">
        <f t="shared" si="8"/>
        <v>0</v>
      </c>
      <c r="M104" s="11">
        <v>0</v>
      </c>
      <c r="N104" s="11">
        <f t="shared" si="9"/>
        <v>0</v>
      </c>
      <c r="P104" s="13">
        <f t="shared" si="10"/>
        <v>0.65643568179917033</v>
      </c>
    </row>
    <row r="105" spans="1:16" x14ac:dyDescent="0.25">
      <c r="A105" s="16">
        <v>465351</v>
      </c>
      <c r="B105" s="4">
        <f>INDEX([1]!PREDICT[TRUE PTS],MATCH($A105,[1]!PREDICT[HARD CODE],0))</f>
        <v>16.404980475098135</v>
      </c>
      <c r="C105" s="7" t="str">
        <f>INDEX([1]!MODEL[POS],MATCH($A105,[1]!MODEL[Code],0))</f>
        <v>DEF</v>
      </c>
      <c r="D105" s="7" t="str">
        <f>INDEX([1]!MODEL[TEAM],MATCH($A105,[1]!MODEL[Code],0))</f>
        <v>MCI</v>
      </c>
      <c r="E105" s="7">
        <f>INDEX([1]PREDICT!$M$3:$M$1001,MATCH($A105,[1]PREDICT!$B$3:$B$1001,0))</f>
        <v>6</v>
      </c>
      <c r="F105" s="15" t="str">
        <f>INDEX([1]!MODEL[FPL_Name],MATCH($A105,[1]!MODEL[Code],0))</f>
        <v>Matheus Nunes</v>
      </c>
      <c r="G105" s="10">
        <v>0</v>
      </c>
      <c r="H105" s="10">
        <v>0</v>
      </c>
      <c r="I105" s="10">
        <v>0</v>
      </c>
      <c r="J105" s="11">
        <f t="shared" si="6"/>
        <v>0</v>
      </c>
      <c r="K105" s="11">
        <f t="shared" si="7"/>
        <v>0</v>
      </c>
      <c r="L105" s="11">
        <f t="shared" si="8"/>
        <v>0</v>
      </c>
      <c r="M105" s="11">
        <v>0</v>
      </c>
      <c r="N105" s="11">
        <f t="shared" si="9"/>
        <v>0</v>
      </c>
      <c r="P105" s="13">
        <f t="shared" si="10"/>
        <v>0.54683268250327122</v>
      </c>
    </row>
    <row r="106" spans="1:16" x14ac:dyDescent="0.25">
      <c r="A106" s="16">
        <v>201666</v>
      </c>
      <c r="B106" s="4">
        <f>INDEX([1]!PREDICT[TRUE PTS],MATCH($A106,[1]!PREDICT[HARD CODE],0))</f>
        <v>16.372519625939926</v>
      </c>
      <c r="C106" s="7" t="str">
        <f>INDEX([1]!MODEL[POS],MATCH($A106,[1]!MODEL[Code],0))</f>
        <v>MID</v>
      </c>
      <c r="D106" s="7" t="str">
        <f>INDEX([1]!MODEL[TEAM],MATCH($A106,[1]!MODEL[Code],0))</f>
        <v>NEW</v>
      </c>
      <c r="E106" s="7">
        <f>INDEX([1]PREDICT!$M$3:$M$1001,MATCH($A106,[1]PREDICT!$B$3:$B$1001,0))</f>
        <v>6</v>
      </c>
      <c r="F106" s="15" t="str">
        <f>INDEX([1]!MODEL[FPL_Name],MATCH($A106,[1]!MODEL[Code],0))</f>
        <v>Harvey Barnes</v>
      </c>
      <c r="G106" s="10">
        <v>0</v>
      </c>
      <c r="H106" s="10">
        <v>0</v>
      </c>
      <c r="I106" s="10">
        <v>0</v>
      </c>
      <c r="J106" s="11">
        <f t="shared" si="6"/>
        <v>0</v>
      </c>
      <c r="K106" s="11">
        <f t="shared" si="7"/>
        <v>0</v>
      </c>
      <c r="L106" s="11">
        <f t="shared" si="8"/>
        <v>0</v>
      </c>
      <c r="M106" s="11">
        <v>0</v>
      </c>
      <c r="N106" s="11">
        <f t="shared" si="9"/>
        <v>0</v>
      </c>
      <c r="P106" s="13">
        <f t="shared" si="10"/>
        <v>0.54575065419799751</v>
      </c>
    </row>
    <row r="107" spans="1:16" x14ac:dyDescent="0.25">
      <c r="A107" s="16">
        <v>201895</v>
      </c>
      <c r="B107" s="4">
        <f>INDEX([1]!PREDICT[TRUE PTS],MATCH($A107,[1]!PREDICT[HARD CODE],0))</f>
        <v>16.228186453457269</v>
      </c>
      <c r="C107" s="7" t="str">
        <f>INDEX([1]!MODEL[POS],MATCH($A107,[1]!MODEL[Code],0))</f>
        <v>DEF</v>
      </c>
      <c r="D107" s="7" t="str">
        <f>INDEX([1]!MODEL[TEAM],MATCH($A107,[1]!MODEL[Code],0))</f>
        <v>SUN</v>
      </c>
      <c r="E107" s="7">
        <f>INDEX([1]PREDICT!$M$3:$M$1001,MATCH($A107,[1]PREDICT!$B$3:$B$1001,0))</f>
        <v>5</v>
      </c>
      <c r="F107" s="15" t="str">
        <f>INDEX([1]!MODEL[FPL_Name],MATCH($A107,[1]!MODEL[Code],0))</f>
        <v>Omar Alderete</v>
      </c>
      <c r="G107" s="10">
        <v>0</v>
      </c>
      <c r="H107" s="10">
        <v>0</v>
      </c>
      <c r="I107" s="10">
        <v>0</v>
      </c>
      <c r="J107" s="11">
        <f t="shared" si="6"/>
        <v>0</v>
      </c>
      <c r="K107" s="11">
        <f t="shared" si="7"/>
        <v>0</v>
      </c>
      <c r="L107" s="11">
        <f t="shared" si="8"/>
        <v>0</v>
      </c>
      <c r="M107" s="11">
        <v>0</v>
      </c>
      <c r="N107" s="11">
        <f t="shared" si="9"/>
        <v>0</v>
      </c>
      <c r="P107" s="13">
        <f t="shared" si="10"/>
        <v>0.64912745813829076</v>
      </c>
    </row>
    <row r="108" spans="1:16" x14ac:dyDescent="0.25">
      <c r="A108" s="16">
        <v>95658</v>
      </c>
      <c r="B108" s="4">
        <f>INDEX([1]!PREDICT[TRUE PTS],MATCH($A108,[1]!PREDICT[HARD CODE],0))</f>
        <v>16.119637530777339</v>
      </c>
      <c r="C108" s="7" t="str">
        <f>INDEX([1]!MODEL[POS],MATCH($A108,[1]!MODEL[Code],0))</f>
        <v>DEF</v>
      </c>
      <c r="D108" s="7" t="str">
        <f>INDEX([1]!MODEL[TEAM],MATCH($A108,[1]!MODEL[Code],0))</f>
        <v>MUN</v>
      </c>
      <c r="E108" s="7">
        <f>INDEX([1]PREDICT!$M$3:$M$1001,MATCH($A108,[1]PREDICT!$B$3:$B$1001,0))</f>
        <v>5</v>
      </c>
      <c r="F108" s="15" t="str">
        <f>INDEX([1]!MODEL[FPL_Name],MATCH($A108,[1]!MODEL[Code],0))</f>
        <v>Harry Maguire</v>
      </c>
      <c r="G108" s="10">
        <v>0</v>
      </c>
      <c r="H108" s="10">
        <v>0</v>
      </c>
      <c r="I108" s="10">
        <v>0</v>
      </c>
      <c r="J108" s="11">
        <f t="shared" si="6"/>
        <v>0</v>
      </c>
      <c r="K108" s="11">
        <f t="shared" si="7"/>
        <v>0</v>
      </c>
      <c r="L108" s="11">
        <f t="shared" si="8"/>
        <v>0</v>
      </c>
      <c r="M108" s="11">
        <v>0</v>
      </c>
      <c r="N108" s="11">
        <f t="shared" si="9"/>
        <v>0</v>
      </c>
      <c r="P108" s="13">
        <f t="shared" si="10"/>
        <v>0.64478550123109357</v>
      </c>
    </row>
    <row r="109" spans="1:16" x14ac:dyDescent="0.25">
      <c r="A109" s="16">
        <v>195384</v>
      </c>
      <c r="B109" s="4">
        <f>INDEX([1]!PREDICT[TRUE PTS],MATCH($A109,[1]!PREDICT[HARD CODE],0))</f>
        <v>16.07031440576398</v>
      </c>
      <c r="C109" s="7" t="str">
        <f>INDEX([1]!MODEL[POS],MATCH($A109,[1]!MODEL[Code],0))</f>
        <v>MID</v>
      </c>
      <c r="D109" s="7" t="str">
        <f>INDEX([1]!MODEL[TEAM],MATCH($A109,[1]!MODEL[Code],0))</f>
        <v>ARS</v>
      </c>
      <c r="E109" s="7">
        <f>INDEX([1]PREDICT!$M$3:$M$1001,MATCH($A109,[1]PREDICT!$B$3:$B$1001,0))</f>
        <v>6</v>
      </c>
      <c r="F109" s="15" t="str">
        <f>INDEX([1]!MODEL[FPL_Name],MATCH($A109,[1]!MODEL[Code],0))</f>
        <v>Mikel Merino Zazón</v>
      </c>
      <c r="G109" s="10">
        <v>0</v>
      </c>
      <c r="H109" s="10">
        <v>0</v>
      </c>
      <c r="I109" s="10">
        <v>0</v>
      </c>
      <c r="J109" s="11">
        <f t="shared" si="6"/>
        <v>0</v>
      </c>
      <c r="K109" s="11">
        <f t="shared" si="7"/>
        <v>0</v>
      </c>
      <c r="L109" s="11">
        <f t="shared" si="8"/>
        <v>0</v>
      </c>
      <c r="M109" s="11">
        <v>0</v>
      </c>
      <c r="N109" s="11">
        <f t="shared" si="9"/>
        <v>0</v>
      </c>
      <c r="P109" s="13">
        <f t="shared" si="10"/>
        <v>0.5356771468587993</v>
      </c>
    </row>
    <row r="110" spans="1:16" x14ac:dyDescent="0.25">
      <c r="A110" s="16">
        <v>481655</v>
      </c>
      <c r="B110" s="4">
        <f>INDEX([1]!PREDICT[TRUE PTS],MATCH($A110,[1]!PREDICT[HARD CODE],0))</f>
        <v>15.895896407075019</v>
      </c>
      <c r="C110" s="7" t="str">
        <f>INDEX([1]!MODEL[POS],MATCH($A110,[1]!MODEL[Code],0))</f>
        <v>MID</v>
      </c>
      <c r="D110" s="7" t="str">
        <f>INDEX([1]!MODEL[TEAM],MATCH($A110,[1]!MODEL[Code],0))</f>
        <v>ARS</v>
      </c>
      <c r="E110" s="7">
        <f>INDEX([1]PREDICT!$M$3:$M$1001,MATCH($A110,[1]PREDICT!$B$3:$B$1001,0))</f>
        <v>5.5</v>
      </c>
      <c r="F110" s="15" t="str">
        <f>INDEX([1]!MODEL[FPL_Name],MATCH($A110,[1]!MODEL[Code],0))</f>
        <v>Martín Zubimendi Ibáñez</v>
      </c>
      <c r="G110" s="10">
        <v>0</v>
      </c>
      <c r="H110" s="10">
        <v>0</v>
      </c>
      <c r="I110" s="10">
        <v>0</v>
      </c>
      <c r="J110" s="11">
        <f t="shared" si="6"/>
        <v>0</v>
      </c>
      <c r="K110" s="11">
        <f t="shared" si="7"/>
        <v>0</v>
      </c>
      <c r="L110" s="11">
        <f t="shared" si="8"/>
        <v>0</v>
      </c>
      <c r="M110" s="11">
        <v>0</v>
      </c>
      <c r="N110" s="11">
        <f t="shared" si="9"/>
        <v>0</v>
      </c>
      <c r="P110" s="13">
        <f t="shared" si="10"/>
        <v>0.57803259662090978</v>
      </c>
    </row>
    <row r="111" spans="1:16" x14ac:dyDescent="0.25">
      <c r="A111" s="16">
        <v>199796</v>
      </c>
      <c r="B111" s="4">
        <f>INDEX([1]!PREDICT[TRUE PTS],MATCH($A111,[1]!PREDICT[HARD CODE],0))</f>
        <v>15.760530158749521</v>
      </c>
      <c r="C111" s="7" t="str">
        <f>INDEX([1]!MODEL[POS],MATCH($A111,[1]!MODEL[Code],0))</f>
        <v>DEF</v>
      </c>
      <c r="D111" s="7" t="str">
        <f>INDEX([1]!MODEL[TEAM],MATCH($A111,[1]!MODEL[Code],0))</f>
        <v>AVL</v>
      </c>
      <c r="E111" s="7">
        <f>INDEX([1]PREDICT!$M$3:$M$1001,MATCH($A111,[1]PREDICT!$B$3:$B$1001,0))</f>
        <v>4.5</v>
      </c>
      <c r="F111" s="15" t="str">
        <f>INDEX([1]!MODEL[FPL_Name],MATCH($A111,[1]!MODEL[Code],0))</f>
        <v>Matty Cash</v>
      </c>
      <c r="G111" s="10">
        <v>0</v>
      </c>
      <c r="H111" s="10">
        <v>0</v>
      </c>
      <c r="I111" s="10">
        <v>0</v>
      </c>
      <c r="J111" s="11">
        <f t="shared" si="6"/>
        <v>0</v>
      </c>
      <c r="K111" s="11">
        <f t="shared" si="7"/>
        <v>0</v>
      </c>
      <c r="L111" s="11">
        <f t="shared" si="8"/>
        <v>0</v>
      </c>
      <c r="M111" s="11">
        <v>0</v>
      </c>
      <c r="N111" s="11">
        <f t="shared" si="9"/>
        <v>0</v>
      </c>
      <c r="P111" s="13">
        <f t="shared" si="10"/>
        <v>0.70046800705553425</v>
      </c>
    </row>
    <row r="112" spans="1:16" x14ac:dyDescent="0.25">
      <c r="A112" s="16">
        <v>78916</v>
      </c>
      <c r="B112" s="4">
        <f>INDEX([1]!PREDICT[TRUE PTS],MATCH($A112,[1]!PREDICT[HARD CODE],0))</f>
        <v>15.724720560612999</v>
      </c>
      <c r="C112" s="7" t="str">
        <f>INDEX([1]!MODEL[POS],MATCH($A112,[1]!MODEL[Code],0))</f>
        <v>DEF</v>
      </c>
      <c r="D112" s="7" t="str">
        <f>INDEX([1]!MODEL[TEAM],MATCH($A112,[1]!MODEL[Code],0))</f>
        <v>NEW</v>
      </c>
      <c r="E112" s="7">
        <f>INDEX([1]PREDICT!$M$3:$M$1001,MATCH($A112,[1]PREDICT!$B$3:$B$1001,0))</f>
        <v>5</v>
      </c>
      <c r="F112" s="15" t="str">
        <f>INDEX([1]!MODEL[FPL_Name],MATCH($A112,[1]!MODEL[Code],0))</f>
        <v>Dan Burn</v>
      </c>
      <c r="G112" s="10">
        <v>0</v>
      </c>
      <c r="H112" s="10">
        <v>0</v>
      </c>
      <c r="I112" s="10">
        <v>0</v>
      </c>
      <c r="J112" s="11">
        <f t="shared" si="6"/>
        <v>0</v>
      </c>
      <c r="K112" s="11">
        <f t="shared" si="7"/>
        <v>0</v>
      </c>
      <c r="L112" s="11">
        <f t="shared" si="8"/>
        <v>0</v>
      </c>
      <c r="M112" s="11">
        <v>0</v>
      </c>
      <c r="N112" s="11">
        <f t="shared" si="9"/>
        <v>0</v>
      </c>
      <c r="P112" s="13">
        <f t="shared" si="10"/>
        <v>0.62898882242451992</v>
      </c>
    </row>
    <row r="113" spans="1:16" x14ac:dyDescent="0.25">
      <c r="A113" s="16">
        <v>220362</v>
      </c>
      <c r="B113" s="4">
        <f>INDEX([1]!PREDICT[TRUE PTS],MATCH($A113,[1]!PREDICT[HARD CODE],0))</f>
        <v>0.21770496636894254</v>
      </c>
      <c r="C113" s="7" t="str">
        <f>INDEX([1]!MODEL[POS],MATCH($A113,[1]!MODEL[Code],0))</f>
        <v>DEF</v>
      </c>
      <c r="D113" s="7" t="str">
        <f>INDEX([1]!MODEL[TEAM],MATCH($A113,[1]!MODEL[Code],0))</f>
        <v>CHE</v>
      </c>
      <c r="E113" s="7">
        <f>INDEX([1]PREDICT!$M$3:$M$1001,MATCH($A113,[1]PREDICT!$B$3:$B$1001,0))</f>
        <v>4.5</v>
      </c>
      <c r="F113" s="15" t="str">
        <f>INDEX([1]!MODEL[FPL_Name],MATCH($A113,[1]!MODEL[Code],0))</f>
        <v>Axel Disasi</v>
      </c>
      <c r="G113" s="10">
        <v>0</v>
      </c>
      <c r="H113" s="10">
        <v>0</v>
      </c>
      <c r="I113" s="10">
        <v>0</v>
      </c>
      <c r="J113" s="11">
        <f t="shared" si="6"/>
        <v>0</v>
      </c>
      <c r="K113" s="11">
        <f t="shared" si="7"/>
        <v>0</v>
      </c>
      <c r="L113" s="11">
        <f t="shared" si="8"/>
        <v>0</v>
      </c>
      <c r="M113" s="11">
        <v>0</v>
      </c>
      <c r="N113" s="11">
        <f t="shared" si="9"/>
        <v>0</v>
      </c>
      <c r="P113" s="13">
        <f t="shared" si="10"/>
        <v>9.6757762830641143E-3</v>
      </c>
    </row>
    <row r="114" spans="1:16" x14ac:dyDescent="0.25">
      <c r="A114" s="16">
        <v>244723</v>
      </c>
      <c r="B114" s="4">
        <f>INDEX([1]!PREDICT[TRUE PTS],MATCH($A114,[1]!PREDICT[HARD CODE],0))</f>
        <v>15.693711089937636</v>
      </c>
      <c r="C114" s="7" t="str">
        <f>INDEX([1]!MODEL[POS],MATCH($A114,[1]!MODEL[Code],0))</f>
        <v>DEF</v>
      </c>
      <c r="D114" s="7" t="str">
        <f>INDEX([1]!MODEL[TEAM],MATCH($A114,[1]!MODEL[Code],0))</f>
        <v>CRY</v>
      </c>
      <c r="E114" s="7">
        <f>INDEX([1]PREDICT!$M$3:$M$1001,MATCH($A114,[1]PREDICT!$B$3:$B$1001,0))</f>
        <v>4.5</v>
      </c>
      <c r="F114" s="15" t="str">
        <f>INDEX([1]!MODEL[FPL_Name],MATCH($A114,[1]!MODEL[Code],0))</f>
        <v>Tyrick Mitchell</v>
      </c>
      <c r="G114" s="10">
        <v>0</v>
      </c>
      <c r="H114" s="10">
        <v>0</v>
      </c>
      <c r="I114" s="10">
        <v>0</v>
      </c>
      <c r="J114" s="11">
        <f t="shared" si="6"/>
        <v>0</v>
      </c>
      <c r="K114" s="11">
        <f t="shared" si="7"/>
        <v>0</v>
      </c>
      <c r="L114" s="11">
        <f t="shared" si="8"/>
        <v>0</v>
      </c>
      <c r="M114" s="11">
        <v>0</v>
      </c>
      <c r="N114" s="11">
        <f t="shared" si="9"/>
        <v>0</v>
      </c>
      <c r="P114" s="13">
        <f t="shared" si="10"/>
        <v>0.69749827066389503</v>
      </c>
    </row>
    <row r="115" spans="1:16" x14ac:dyDescent="0.25">
      <c r="A115" s="16">
        <v>226182</v>
      </c>
      <c r="B115" s="4">
        <f>INDEX([1]!PREDICT[TRUE PTS],MATCH($A115,[1]!PREDICT[HARD CODE],0))</f>
        <v>15.499124743443867</v>
      </c>
      <c r="C115" s="7" t="str">
        <f>INDEX([1]!MODEL[POS],MATCH($A115,[1]!MODEL[Code],0))</f>
        <v>DEF</v>
      </c>
      <c r="D115" s="7" t="str">
        <f>INDEX([1]!MODEL[TEAM],MATCH($A115,[1]!MODEL[Code],0))</f>
        <v>LEE</v>
      </c>
      <c r="E115" s="7">
        <f>INDEX([1]PREDICT!$M$3:$M$1001,MATCH($A115,[1]PREDICT!$B$3:$B$1001,0))</f>
        <v>4.5</v>
      </c>
      <c r="F115" s="15" t="str">
        <f>INDEX([1]!MODEL[FPL_Name],MATCH($A115,[1]!MODEL[Code],0))</f>
        <v>Jayden Bogle</v>
      </c>
      <c r="G115" s="10">
        <v>0</v>
      </c>
      <c r="H115" s="10">
        <v>0</v>
      </c>
      <c r="I115" s="10">
        <v>0</v>
      </c>
      <c r="J115" s="11">
        <f t="shared" si="6"/>
        <v>0</v>
      </c>
      <c r="K115" s="11">
        <f t="shared" si="7"/>
        <v>0</v>
      </c>
      <c r="L115" s="11">
        <f t="shared" si="8"/>
        <v>0</v>
      </c>
      <c r="M115" s="11">
        <v>0</v>
      </c>
      <c r="N115" s="11">
        <f t="shared" si="9"/>
        <v>0</v>
      </c>
      <c r="P115" s="13">
        <f t="shared" si="10"/>
        <v>0.68884998859750524</v>
      </c>
    </row>
    <row r="116" spans="1:16" x14ac:dyDescent="0.25">
      <c r="A116" s="16">
        <v>98747</v>
      </c>
      <c r="B116" s="4">
        <f>INDEX([1]!PREDICT[TRUE PTS],MATCH($A116,[1]!PREDICT[HARD CODE],0))</f>
        <v>15.423580181061084</v>
      </c>
      <c r="C116" s="7" t="str">
        <f>INDEX([1]!MODEL[POS],MATCH($A116,[1]!MODEL[Code],0))</f>
        <v>GK</v>
      </c>
      <c r="D116" s="7" t="str">
        <f>INDEX([1]!MODEL[TEAM],MATCH($A116,[1]!MODEL[Code],0))</f>
        <v>NEW</v>
      </c>
      <c r="E116" s="7">
        <f>INDEX([1]PREDICT!$M$3:$M$1001,MATCH($A116,[1]PREDICT!$B$3:$B$1001,0))</f>
        <v>5</v>
      </c>
      <c r="F116" s="15" t="str">
        <f>INDEX([1]!MODEL[FPL_Name],MATCH($A116,[1]!MODEL[Code],0))</f>
        <v>Nick Pope</v>
      </c>
      <c r="G116" s="10">
        <v>0</v>
      </c>
      <c r="H116" s="10">
        <v>0</v>
      </c>
      <c r="I116" s="10">
        <v>0</v>
      </c>
      <c r="J116" s="11">
        <f t="shared" si="6"/>
        <v>0</v>
      </c>
      <c r="K116" s="11">
        <f t="shared" si="7"/>
        <v>0</v>
      </c>
      <c r="L116" s="11">
        <f t="shared" si="8"/>
        <v>0</v>
      </c>
      <c r="M116" s="11">
        <v>0</v>
      </c>
      <c r="N116" s="11">
        <f t="shared" si="9"/>
        <v>0</v>
      </c>
      <c r="P116" s="13">
        <f t="shared" si="10"/>
        <v>0.61694320724244334</v>
      </c>
    </row>
    <row r="117" spans="1:16" x14ac:dyDescent="0.25">
      <c r="A117" s="16">
        <v>470313</v>
      </c>
      <c r="B117" s="4">
        <f>INDEX([1]!PREDICT[TRUE PTS],MATCH($A117,[1]!PREDICT[HARD CODE],0))</f>
        <v>15.405805731557994</v>
      </c>
      <c r="C117" s="7" t="str">
        <f>INDEX([1]!MODEL[POS],MATCH($A117,[1]!MODEL[Code],0))</f>
        <v>FWD</v>
      </c>
      <c r="D117" s="7" t="str">
        <f>INDEX([1]!MODEL[TEAM],MATCH($A117,[1]!MODEL[Code],0))</f>
        <v>NEW</v>
      </c>
      <c r="E117" s="7">
        <f>INDEX([1]PREDICT!$M$3:$M$1001,MATCH($A117,[1]PREDICT!$B$3:$B$1001,0))</f>
        <v>6</v>
      </c>
      <c r="F117" s="15" t="str">
        <f>INDEX([1]!MODEL[FPL_Name],MATCH($A117,[1]!MODEL[Code],0))</f>
        <v>Nick Woltemade</v>
      </c>
      <c r="G117" s="10">
        <v>0</v>
      </c>
      <c r="H117" s="10">
        <v>0</v>
      </c>
      <c r="I117" s="10">
        <v>0</v>
      </c>
      <c r="J117" s="11">
        <f t="shared" si="6"/>
        <v>0</v>
      </c>
      <c r="K117" s="11">
        <f t="shared" si="7"/>
        <v>0</v>
      </c>
      <c r="L117" s="11">
        <f t="shared" si="8"/>
        <v>0</v>
      </c>
      <c r="M117" s="11">
        <v>0</v>
      </c>
      <c r="N117" s="11">
        <f t="shared" si="9"/>
        <v>0</v>
      </c>
      <c r="P117" s="13">
        <f t="shared" si="10"/>
        <v>0.51352685771859974</v>
      </c>
    </row>
    <row r="118" spans="1:16" x14ac:dyDescent="0.25">
      <c r="A118" s="16">
        <v>231416</v>
      </c>
      <c r="B118" s="4">
        <f>INDEX([1]!PREDICT[TRUE PTS],MATCH($A118,[1]!PREDICT[HARD CODE],0))</f>
        <v>15.386798481833365</v>
      </c>
      <c r="C118" s="7" t="str">
        <f>INDEX([1]!MODEL[POS],MATCH($A118,[1]!MODEL[Code],0))</f>
        <v>DEF</v>
      </c>
      <c r="D118" s="7" t="str">
        <f>INDEX([1]!MODEL[TEAM],MATCH($A118,[1]!MODEL[Code],0))</f>
        <v>BHA</v>
      </c>
      <c r="E118" s="7">
        <f>INDEX([1]PREDICT!$M$3:$M$1001,MATCH($A118,[1]PREDICT!$B$3:$B$1001,0))</f>
        <v>4.5</v>
      </c>
      <c r="F118" s="15" t="str">
        <f>INDEX([1]!MODEL[FPL_Name],MATCH($A118,[1]!MODEL[Code],0))</f>
        <v>Ferdi Kadıoğlu</v>
      </c>
      <c r="G118" s="10">
        <v>0</v>
      </c>
      <c r="H118" s="10">
        <v>0</v>
      </c>
      <c r="I118" s="10">
        <v>0</v>
      </c>
      <c r="J118" s="11">
        <f t="shared" si="6"/>
        <v>0</v>
      </c>
      <c r="K118" s="11">
        <f t="shared" si="7"/>
        <v>0</v>
      </c>
      <c r="L118" s="11">
        <f t="shared" si="8"/>
        <v>0</v>
      </c>
      <c r="M118" s="11">
        <v>0</v>
      </c>
      <c r="N118" s="11">
        <f t="shared" si="9"/>
        <v>0</v>
      </c>
      <c r="P118" s="13">
        <f t="shared" si="10"/>
        <v>0.68385771030370512</v>
      </c>
    </row>
    <row r="119" spans="1:16" x14ac:dyDescent="0.25">
      <c r="A119" s="16">
        <v>437499</v>
      </c>
      <c r="B119" s="4">
        <f>INDEX([1]!PREDICT[TRUE PTS],MATCH($A119,[1]!PREDICT[HARD CODE],0))</f>
        <v>15.384733220572086</v>
      </c>
      <c r="C119" s="7" t="str">
        <f>INDEX([1]!MODEL[POS],MATCH($A119,[1]!MODEL[Code],0))</f>
        <v>DEF</v>
      </c>
      <c r="D119" s="7" t="str">
        <f>INDEX([1]!MODEL[TEAM],MATCH($A119,[1]!MODEL[Code],0))</f>
        <v>CHE</v>
      </c>
      <c r="E119" s="7">
        <f>INDEX([1]PREDICT!$M$3:$M$1001,MATCH($A119,[1]PREDICT!$B$3:$B$1001,0))</f>
        <v>6</v>
      </c>
      <c r="F119" s="15" t="str">
        <f>INDEX([1]!MODEL[FPL_Name],MATCH($A119,[1]!MODEL[Code],0))</f>
        <v>Maxence Lacroix</v>
      </c>
      <c r="G119" s="10">
        <v>0</v>
      </c>
      <c r="H119" s="10">
        <v>0</v>
      </c>
      <c r="I119" s="10">
        <v>0</v>
      </c>
      <c r="J119" s="11">
        <f t="shared" si="6"/>
        <v>0</v>
      </c>
      <c r="K119" s="11">
        <f t="shared" si="7"/>
        <v>0</v>
      </c>
      <c r="L119" s="11">
        <f t="shared" si="8"/>
        <v>0</v>
      </c>
      <c r="M119" s="11">
        <v>0</v>
      </c>
      <c r="N119" s="11">
        <f t="shared" si="9"/>
        <v>0</v>
      </c>
      <c r="P119" s="13">
        <f t="shared" si="10"/>
        <v>0.51282444068573618</v>
      </c>
    </row>
    <row r="120" spans="1:16" x14ac:dyDescent="0.25">
      <c r="A120" s="16">
        <v>202993</v>
      </c>
      <c r="B120" s="4">
        <f>INDEX([1]!PREDICT[TRUE PTS],MATCH($A120,[1]!PREDICT[HARD CODE],0))</f>
        <v>15.241907427901328</v>
      </c>
      <c r="C120" s="7" t="str">
        <f>INDEX([1]!MODEL[POS],MATCH($A120,[1]!MODEL[Code],0))</f>
        <v>MID</v>
      </c>
      <c r="D120" s="7" t="str">
        <f>INDEX([1]!MODEL[TEAM],MATCH($A120,[1]!MODEL[Code],0))</f>
        <v>TOT</v>
      </c>
      <c r="E120" s="7">
        <f>INDEX([1]PREDICT!$M$3:$M$1001,MATCH($A120,[1]PREDICT!$B$3:$B$1001,0))</f>
        <v>5.5</v>
      </c>
      <c r="F120" s="15" t="str">
        <f>INDEX([1]!MODEL[FPL_Name],MATCH($A120,[1]!MODEL[Code],0))</f>
        <v>Rodrigo Bentancur</v>
      </c>
      <c r="G120" s="10">
        <v>0</v>
      </c>
      <c r="H120" s="10">
        <v>0</v>
      </c>
      <c r="I120" s="10">
        <v>0</v>
      </c>
      <c r="J120" s="11">
        <f t="shared" si="6"/>
        <v>0</v>
      </c>
      <c r="K120" s="11">
        <f t="shared" si="7"/>
        <v>0</v>
      </c>
      <c r="L120" s="11">
        <f t="shared" si="8"/>
        <v>0</v>
      </c>
      <c r="M120" s="11">
        <v>0</v>
      </c>
      <c r="N120" s="11">
        <f t="shared" si="9"/>
        <v>0</v>
      </c>
      <c r="P120" s="13">
        <f t="shared" si="10"/>
        <v>0.55425117919641198</v>
      </c>
    </row>
    <row r="121" spans="1:16" x14ac:dyDescent="0.25">
      <c r="A121" s="16">
        <v>83299</v>
      </c>
      <c r="B121" s="4">
        <f>INDEX([1]!PREDICT[TRUE PTS],MATCH($A121,[1]!PREDICT[HARD CODE],0))</f>
        <v>15.23785787060477</v>
      </c>
      <c r="C121" s="7" t="str">
        <f>INDEX([1]!MODEL[POS],MATCH($A121,[1]!MODEL[Code],0))</f>
        <v>DEF</v>
      </c>
      <c r="D121" s="7" t="str">
        <f>INDEX([1]!MODEL[TEAM],MATCH($A121,[1]!MODEL[Code],0))</f>
        <v>BHA</v>
      </c>
      <c r="E121" s="7">
        <f>INDEX([1]PREDICT!$M$3:$M$1001,MATCH($A121,[1]PREDICT!$B$3:$B$1001,0))</f>
        <v>4.5</v>
      </c>
      <c r="F121" s="15" t="str">
        <f>INDEX([1]!MODEL[FPL_Name],MATCH($A121,[1]!MODEL[Code],0))</f>
        <v>Lewis Dunk</v>
      </c>
      <c r="G121" s="10">
        <v>0</v>
      </c>
      <c r="H121" s="10">
        <v>0</v>
      </c>
      <c r="I121" s="10">
        <v>0</v>
      </c>
      <c r="J121" s="11">
        <f t="shared" si="6"/>
        <v>0</v>
      </c>
      <c r="K121" s="11">
        <f t="shared" si="7"/>
        <v>0</v>
      </c>
      <c r="L121" s="11">
        <f t="shared" si="8"/>
        <v>0</v>
      </c>
      <c r="M121" s="11">
        <v>0</v>
      </c>
      <c r="N121" s="11">
        <f t="shared" si="9"/>
        <v>0</v>
      </c>
      <c r="P121" s="13">
        <f t="shared" si="10"/>
        <v>0.67723812758243418</v>
      </c>
    </row>
    <row r="122" spans="1:16" x14ac:dyDescent="0.25">
      <c r="A122" s="16">
        <v>532529</v>
      </c>
      <c r="B122" s="4">
        <f>INDEX([1]!PREDICT[TRUE PTS],MATCH($A122,[1]!PREDICT[HARD CODE],0))</f>
        <v>15.175292789106258</v>
      </c>
      <c r="C122" s="7" t="str">
        <f>INDEX([1]!MODEL[POS],MATCH($A122,[1]!MODEL[Code],0))</f>
        <v>MID</v>
      </c>
      <c r="D122" s="7" t="str">
        <f>INDEX([1]!MODEL[TEAM],MATCH($A122,[1]!MODEL[Code],0))</f>
        <v>BHA</v>
      </c>
      <c r="E122" s="7">
        <f>INDEX([1]PREDICT!$M$3:$M$1001,MATCH($A122,[1]PREDICT!$B$3:$B$1001,0))</f>
        <v>6</v>
      </c>
      <c r="F122" s="15" t="str">
        <f>INDEX([1]!MODEL[FPL_Name],MATCH($A122,[1]!MODEL[Code],0))</f>
        <v>Jack Hinshelwood</v>
      </c>
      <c r="G122" s="10">
        <v>0</v>
      </c>
      <c r="H122" s="10">
        <v>0</v>
      </c>
      <c r="I122" s="10">
        <v>0</v>
      </c>
      <c r="J122" s="11">
        <f t="shared" si="6"/>
        <v>0</v>
      </c>
      <c r="K122" s="11">
        <f t="shared" si="7"/>
        <v>0</v>
      </c>
      <c r="L122" s="11">
        <f t="shared" si="8"/>
        <v>0</v>
      </c>
      <c r="M122" s="11">
        <v>0</v>
      </c>
      <c r="N122" s="11">
        <f t="shared" si="9"/>
        <v>0</v>
      </c>
      <c r="P122" s="13">
        <f t="shared" si="10"/>
        <v>0.50584309297020869</v>
      </c>
    </row>
    <row r="123" spans="1:16" x14ac:dyDescent="0.25">
      <c r="A123" s="16">
        <v>232787</v>
      </c>
      <c r="B123" s="4">
        <f>INDEX([1]!PREDICT[TRUE PTS],MATCH($A123,[1]!PREDICT[HARD CODE],0))</f>
        <v>15.153872539702411</v>
      </c>
      <c r="C123" s="7" t="str">
        <f>INDEX([1]!MODEL[POS],MATCH($A123,[1]!MODEL[Code],0))</f>
        <v>MID</v>
      </c>
      <c r="D123" s="7" t="str">
        <f>INDEX([1]!MODEL[TEAM],MATCH($A123,[1]!MODEL[Code],0))</f>
        <v>TOT</v>
      </c>
      <c r="E123" s="7">
        <f>INDEX([1]PREDICT!$M$3:$M$1001,MATCH($A123,[1]PREDICT!$B$3:$B$1001,0))</f>
        <v>5.5</v>
      </c>
      <c r="F123" s="15" t="str">
        <f>INDEX([1]!MODEL[FPL_Name],MATCH($A123,[1]!MODEL[Code],0))</f>
        <v>Conor Gallagher</v>
      </c>
      <c r="G123" s="10">
        <v>0</v>
      </c>
      <c r="H123" s="10">
        <v>0</v>
      </c>
      <c r="I123" s="10">
        <v>0</v>
      </c>
      <c r="J123" s="11">
        <f t="shared" si="6"/>
        <v>0</v>
      </c>
      <c r="K123" s="11">
        <f t="shared" si="7"/>
        <v>0</v>
      </c>
      <c r="L123" s="11">
        <f t="shared" si="8"/>
        <v>0</v>
      </c>
      <c r="M123" s="11">
        <v>0</v>
      </c>
      <c r="N123" s="11">
        <f t="shared" si="9"/>
        <v>0</v>
      </c>
      <c r="P123" s="13">
        <f t="shared" si="10"/>
        <v>0.55104991053463315</v>
      </c>
    </row>
    <row r="124" spans="1:16" x14ac:dyDescent="0.25">
      <c r="A124" s="16">
        <v>460028</v>
      </c>
      <c r="B124" s="4">
        <f>INDEX([1]!PREDICT[TRUE PTS],MATCH($A124,[1]!PREDICT[HARD CODE],0))</f>
        <v>15.147752448717963</v>
      </c>
      <c r="C124" s="7" t="str">
        <f>INDEX([1]!MODEL[POS],MATCH($A124,[1]!MODEL[Code],0))</f>
        <v>DEF</v>
      </c>
      <c r="D124" s="7" t="str">
        <f>INDEX([1]!MODEL[TEAM],MATCH($A124,[1]!MODEL[Code],0))</f>
        <v>CHE</v>
      </c>
      <c r="E124" s="7">
        <f>INDEX([1]PREDICT!$M$3:$M$1001,MATCH($A124,[1]PREDICT!$B$3:$B$1001,0))</f>
        <v>5</v>
      </c>
      <c r="F124" s="15" t="str">
        <f>INDEX([1]!MODEL[FPL_Name],MATCH($A124,[1]!MODEL[Code],0))</f>
        <v>Levi Samuels Colwill</v>
      </c>
      <c r="G124" s="10">
        <v>0</v>
      </c>
      <c r="H124" s="10">
        <v>0</v>
      </c>
      <c r="I124" s="10">
        <v>0</v>
      </c>
      <c r="J124" s="11">
        <f t="shared" si="6"/>
        <v>0</v>
      </c>
      <c r="K124" s="11">
        <f t="shared" si="7"/>
        <v>0</v>
      </c>
      <c r="L124" s="11">
        <f t="shared" si="8"/>
        <v>0</v>
      </c>
      <c r="M124" s="11">
        <v>0</v>
      </c>
      <c r="N124" s="11">
        <f t="shared" si="9"/>
        <v>0</v>
      </c>
      <c r="P124" s="13">
        <f t="shared" si="10"/>
        <v>0.60591009794871853</v>
      </c>
    </row>
    <row r="125" spans="1:16" x14ac:dyDescent="0.25">
      <c r="A125" s="16">
        <v>444180</v>
      </c>
      <c r="B125" s="4">
        <f>INDEX([1]!PREDICT[TRUE PTS],MATCH($A125,[1]!PREDICT[HARD CODE],0))</f>
        <v>15.125788728875277</v>
      </c>
      <c r="C125" s="7" t="str">
        <f>INDEX([1]!MODEL[POS],MATCH($A125,[1]!MODEL[Code],0))</f>
        <v>MID</v>
      </c>
      <c r="D125" s="7" t="str">
        <f>INDEX([1]!MODEL[TEAM],MATCH($A125,[1]!MODEL[Code],0))</f>
        <v>BRE</v>
      </c>
      <c r="E125" s="7">
        <f>INDEX([1]PREDICT!$M$3:$M$1001,MATCH($A125,[1]PREDICT!$B$3:$B$1001,0))</f>
        <v>6</v>
      </c>
      <c r="F125" s="15" t="str">
        <f>INDEX([1]!MODEL[FPL_Name],MATCH($A125,[1]!MODEL[Code],0))</f>
        <v>Jaidon Anthony</v>
      </c>
      <c r="G125" s="10">
        <v>0</v>
      </c>
      <c r="H125" s="10">
        <v>0</v>
      </c>
      <c r="I125" s="10">
        <v>0</v>
      </c>
      <c r="J125" s="11">
        <f t="shared" si="6"/>
        <v>0</v>
      </c>
      <c r="K125" s="11">
        <f t="shared" si="7"/>
        <v>0</v>
      </c>
      <c r="L125" s="11">
        <f t="shared" si="8"/>
        <v>0</v>
      </c>
      <c r="M125" s="11">
        <v>0</v>
      </c>
      <c r="N125" s="11">
        <f t="shared" si="9"/>
        <v>0</v>
      </c>
      <c r="P125" s="13">
        <f t="shared" si="10"/>
        <v>0.50419295762917593</v>
      </c>
    </row>
    <row r="126" spans="1:16" x14ac:dyDescent="0.25">
      <c r="A126" s="16">
        <v>485711</v>
      </c>
      <c r="B126" s="4">
        <f>INDEX([1]!PREDICT[TRUE PTS],MATCH($A126,[1]!PREDICT[HARD CODE],0))</f>
        <v>15.064986339855743</v>
      </c>
      <c r="C126" s="7" t="str">
        <f>INDEX([1]!MODEL[POS],MATCH($A126,[1]!MODEL[Code],0))</f>
        <v>FWD</v>
      </c>
      <c r="D126" s="7" t="str">
        <f>INDEX([1]!MODEL[TEAM],MATCH($A126,[1]!MODEL[Code],0))</f>
        <v>MUN</v>
      </c>
      <c r="E126" s="7">
        <f>INDEX([1]PREDICT!$M$3:$M$1001,MATCH($A126,[1]PREDICT!$B$3:$B$1001,0))</f>
        <v>7</v>
      </c>
      <c r="F126" s="15" t="str">
        <f>INDEX([1]!MODEL[FPL_Name],MATCH($A126,[1]!MODEL[Code],0))</f>
        <v>Benjamin Sesko</v>
      </c>
      <c r="G126" s="10">
        <v>0</v>
      </c>
      <c r="H126" s="10">
        <v>0</v>
      </c>
      <c r="I126" s="10">
        <v>0</v>
      </c>
      <c r="J126" s="11">
        <f t="shared" si="6"/>
        <v>0</v>
      </c>
      <c r="K126" s="11">
        <f t="shared" si="7"/>
        <v>0</v>
      </c>
      <c r="L126" s="11">
        <f t="shared" si="8"/>
        <v>0</v>
      </c>
      <c r="M126" s="11">
        <v>0</v>
      </c>
      <c r="N126" s="11">
        <f t="shared" si="9"/>
        <v>0</v>
      </c>
      <c r="P126" s="13">
        <f t="shared" si="10"/>
        <v>0.43042818113873549</v>
      </c>
    </row>
    <row r="127" spans="1:16" x14ac:dyDescent="0.25">
      <c r="A127" s="16">
        <v>427637</v>
      </c>
      <c r="B127" s="4">
        <f>INDEX([1]!PREDICT[TRUE PTS],MATCH($A127,[1]!PREDICT[HARD CODE],0))</f>
        <v>15.018289861069274</v>
      </c>
      <c r="C127" s="7" t="str">
        <f>INDEX([1]!MODEL[POS],MATCH($A127,[1]!MODEL[Code],0))</f>
        <v>MID</v>
      </c>
      <c r="D127" s="7" t="str">
        <f>INDEX([1]!MODEL[TEAM],MATCH($A127,[1]!MODEL[Code],0))</f>
        <v>LEE</v>
      </c>
      <c r="E127" s="7">
        <f>INDEX([1]PREDICT!$M$3:$M$1001,MATCH($A127,[1]PREDICT!$B$3:$B$1001,0))</f>
        <v>5.5</v>
      </c>
      <c r="F127" s="15" t="str">
        <f>INDEX([1]!MODEL[FPL_Name],MATCH($A127,[1]!MODEL[Code],0))</f>
        <v>Brenden Aaronson</v>
      </c>
      <c r="G127" s="10">
        <v>0</v>
      </c>
      <c r="H127" s="10">
        <v>0</v>
      </c>
      <c r="I127" s="10">
        <v>0</v>
      </c>
      <c r="J127" s="11">
        <f t="shared" si="6"/>
        <v>0</v>
      </c>
      <c r="K127" s="11">
        <f t="shared" si="7"/>
        <v>0</v>
      </c>
      <c r="L127" s="11">
        <f t="shared" si="8"/>
        <v>0</v>
      </c>
      <c r="M127" s="11">
        <v>0</v>
      </c>
      <c r="N127" s="11">
        <f t="shared" si="9"/>
        <v>0</v>
      </c>
      <c r="P127" s="13">
        <f t="shared" si="10"/>
        <v>0.5461196313116099</v>
      </c>
    </row>
    <row r="128" spans="1:16" x14ac:dyDescent="0.25">
      <c r="A128" s="16">
        <v>199798</v>
      </c>
      <c r="B128" s="4">
        <f>INDEX([1]!PREDICT[TRUE PTS],MATCH($A128,[1]!PREDICT[HARD CODE],0))</f>
        <v>14.892331299529593</v>
      </c>
      <c r="C128" s="7" t="str">
        <f>INDEX([1]!MODEL[POS],MATCH($A128,[1]!MODEL[Code],0))</f>
        <v>DEF</v>
      </c>
      <c r="D128" s="7" t="str">
        <f>INDEX([1]!MODEL[TEAM],MATCH($A128,[1]!MODEL[Code],0))</f>
        <v>AVL</v>
      </c>
      <c r="E128" s="7">
        <f>INDEX([1]PREDICT!$M$3:$M$1001,MATCH($A128,[1]PREDICT!$B$3:$B$1001,0))</f>
        <v>4.5</v>
      </c>
      <c r="F128" s="15" t="str">
        <f>INDEX([1]!MODEL[FPL_Name],MATCH($A128,[1]!MODEL[Code],0))</f>
        <v>Ezri Konsa Ngoyo</v>
      </c>
      <c r="G128" s="10">
        <v>0</v>
      </c>
      <c r="H128" s="10">
        <v>0</v>
      </c>
      <c r="I128" s="10">
        <v>0</v>
      </c>
      <c r="J128" s="11">
        <f t="shared" si="6"/>
        <v>0</v>
      </c>
      <c r="K128" s="11">
        <f t="shared" si="7"/>
        <v>0</v>
      </c>
      <c r="L128" s="11">
        <f t="shared" si="8"/>
        <v>0</v>
      </c>
      <c r="M128" s="11">
        <v>0</v>
      </c>
      <c r="N128" s="11">
        <f t="shared" si="9"/>
        <v>0</v>
      </c>
      <c r="P128" s="13">
        <f t="shared" si="10"/>
        <v>0.66188139109020416</v>
      </c>
    </row>
    <row r="129" spans="1:16" x14ac:dyDescent="0.25">
      <c r="A129" s="16">
        <v>488024</v>
      </c>
      <c r="B129" s="4">
        <f>INDEX([1]!PREDICT[TRUE PTS],MATCH($A129,[1]!PREDICT[HARD CODE],0))</f>
        <v>14.798007067925569</v>
      </c>
      <c r="C129" s="7" t="str">
        <f>INDEX([1]!MODEL[POS],MATCH($A129,[1]!MODEL[Code],0))</f>
        <v>MID</v>
      </c>
      <c r="D129" s="7" t="str">
        <f>INDEX([1]!MODEL[TEAM],MATCH($A129,[1]!MODEL[Code],0))</f>
        <v>CRY</v>
      </c>
      <c r="E129" s="7">
        <f>INDEX([1]PREDICT!$M$3:$M$1001,MATCH($A129,[1]PREDICT!$B$3:$B$1001,0))</f>
        <v>5.5</v>
      </c>
      <c r="F129" s="15" t="str">
        <f>INDEX([1]!MODEL[FPL_Name],MATCH($A129,[1]!MODEL[Code],0))</f>
        <v>Yéremy Pino Santos</v>
      </c>
      <c r="G129" s="10">
        <v>0</v>
      </c>
      <c r="H129" s="10">
        <v>0</v>
      </c>
      <c r="I129" s="10">
        <v>0</v>
      </c>
      <c r="J129" s="11">
        <f t="shared" si="6"/>
        <v>0</v>
      </c>
      <c r="K129" s="11">
        <f t="shared" si="7"/>
        <v>0</v>
      </c>
      <c r="L129" s="11">
        <f t="shared" si="8"/>
        <v>0</v>
      </c>
      <c r="M129" s="11">
        <v>0</v>
      </c>
      <c r="N129" s="11">
        <f t="shared" si="9"/>
        <v>0</v>
      </c>
      <c r="P129" s="13">
        <f t="shared" si="10"/>
        <v>0.53810934792456622</v>
      </c>
    </row>
    <row r="130" spans="1:16" x14ac:dyDescent="0.25">
      <c r="A130" s="16">
        <v>232413</v>
      </c>
      <c r="B130" s="4">
        <f>INDEX([1]!PREDICT[TRUE PTS],MATCH($A130,[1]!PREDICT[HARD CODE],0))</f>
        <v>14.756892438956665</v>
      </c>
      <c r="C130" s="7" t="str">
        <f>INDEX([1]!MODEL[POS],MATCH($A130,[1]!MODEL[Code],0))</f>
        <v>MID</v>
      </c>
      <c r="D130" s="7" t="str">
        <f>INDEX([1]!MODEL[TEAM],MATCH($A130,[1]!MODEL[Code],0))</f>
        <v>ARS</v>
      </c>
      <c r="E130" s="7">
        <f>INDEX([1]PREDICT!$M$3:$M$1001,MATCH($A130,[1]PREDICT!$B$3:$B$1001,0))</f>
        <v>6.5</v>
      </c>
      <c r="F130" s="15" t="str">
        <f>INDEX([1]!MODEL[FPL_Name],MATCH($A130,[1]!MODEL[Code],0))</f>
        <v>Eberechi Eze</v>
      </c>
      <c r="G130" s="10">
        <v>0</v>
      </c>
      <c r="H130" s="10">
        <v>0</v>
      </c>
      <c r="I130" s="10">
        <v>0</v>
      </c>
      <c r="J130" s="11">
        <f t="shared" ref="J130:J193" si="11">G130+H130</f>
        <v>0</v>
      </c>
      <c r="K130" s="11">
        <f t="shared" ref="K130:K193" si="12">G130*E130</f>
        <v>0</v>
      </c>
      <c r="L130" s="11">
        <f t="shared" ref="L130:L193" si="13">H130*E130</f>
        <v>0</v>
      </c>
      <c r="M130" s="11">
        <v>0</v>
      </c>
      <c r="N130" s="11">
        <f t="shared" ref="N130:N193" si="14">(G130*B130)+(H130*B130*$U$2)+(I130*B130)</f>
        <v>0</v>
      </c>
      <c r="P130" s="13">
        <f t="shared" si="10"/>
        <v>0.4540582288909743</v>
      </c>
    </row>
    <row r="131" spans="1:16" x14ac:dyDescent="0.25">
      <c r="A131" s="16">
        <v>496221</v>
      </c>
      <c r="B131" s="4">
        <f>INDEX([1]!PREDICT[TRUE PTS],MATCH($A131,[1]!PREDICT[HARD CODE],0))</f>
        <v>14.657298461230909</v>
      </c>
      <c r="C131" s="7" t="str">
        <f>INDEX([1]!MODEL[POS],MATCH($A131,[1]!MODEL[Code],0))</f>
        <v>MID</v>
      </c>
      <c r="D131" s="7" t="str">
        <f>INDEX([1]!MODEL[TEAM],MATCH($A131,[1]!MODEL[Code],0))</f>
        <v>CRY</v>
      </c>
      <c r="E131" s="7">
        <f>INDEX([1]PREDICT!$M$3:$M$1001,MATCH($A131,[1]PREDICT!$B$3:$B$1001,0))</f>
        <v>5.5</v>
      </c>
      <c r="F131" s="15" t="str">
        <f>INDEX([1]!MODEL[FPL_Name],MATCH($A131,[1]!MODEL[Code],0))</f>
        <v>Adam Wharton</v>
      </c>
      <c r="G131" s="10">
        <v>0</v>
      </c>
      <c r="H131" s="10">
        <v>0</v>
      </c>
      <c r="I131" s="10">
        <v>0</v>
      </c>
      <c r="J131" s="11">
        <f t="shared" si="11"/>
        <v>0</v>
      </c>
      <c r="K131" s="11">
        <f t="shared" si="12"/>
        <v>0</v>
      </c>
      <c r="L131" s="11">
        <f t="shared" si="13"/>
        <v>0</v>
      </c>
      <c r="M131" s="11">
        <v>0</v>
      </c>
      <c r="N131" s="11">
        <f t="shared" si="14"/>
        <v>0</v>
      </c>
      <c r="P131" s="13">
        <f t="shared" ref="P131:P194" si="15">IFERROR((B131/E131)/$Q$2,0)</f>
        <v>0.53299267131748762</v>
      </c>
    </row>
    <row r="132" spans="1:16" x14ac:dyDescent="0.25">
      <c r="A132" s="16">
        <v>538207</v>
      </c>
      <c r="B132" s="4">
        <f>INDEX([1]!PREDICT[TRUE PTS],MATCH($A132,[1]!PREDICT[HARD CODE],0))</f>
        <v>14.518808647678252</v>
      </c>
      <c r="C132" s="7" t="str">
        <f>INDEX([1]!MODEL[POS],MATCH($A132,[1]!MODEL[Code],0))</f>
        <v>FWD</v>
      </c>
      <c r="D132" s="7" t="str">
        <f>INDEX([1]!MODEL[TEAM],MATCH($A132,[1]!MODEL[Code],0))</f>
        <v>NEW</v>
      </c>
      <c r="E132" s="7">
        <f>INDEX([1]PREDICT!$M$3:$M$1001,MATCH($A132,[1]PREDICT!$B$3:$B$1001,0))</f>
        <v>6</v>
      </c>
      <c r="F132" s="15" t="str">
        <f>INDEX([1]!MODEL[FPL_Name],MATCH($A132,[1]!MODEL[Code],0))</f>
        <v>William Osula</v>
      </c>
      <c r="G132" s="10">
        <v>0</v>
      </c>
      <c r="H132" s="10">
        <v>0</v>
      </c>
      <c r="I132" s="10">
        <v>0</v>
      </c>
      <c r="J132" s="11">
        <f t="shared" si="11"/>
        <v>0</v>
      </c>
      <c r="K132" s="11">
        <f t="shared" si="12"/>
        <v>0</v>
      </c>
      <c r="L132" s="11">
        <f t="shared" si="13"/>
        <v>0</v>
      </c>
      <c r="M132" s="11">
        <v>0</v>
      </c>
      <c r="N132" s="11">
        <f t="shared" si="14"/>
        <v>0</v>
      </c>
      <c r="P132" s="13">
        <f t="shared" si="15"/>
        <v>0.48396028825594178</v>
      </c>
    </row>
    <row r="133" spans="1:16" x14ac:dyDescent="0.25">
      <c r="A133" s="16">
        <v>114283</v>
      </c>
      <c r="B133" s="4">
        <f>INDEX([1]!PREDICT[TRUE PTS],MATCH($A133,[1]!PREDICT[HARD CODE],0))</f>
        <v>14.485781786730039</v>
      </c>
      <c r="C133" s="7" t="str">
        <f>INDEX([1]!MODEL[POS],MATCH($A133,[1]!MODEL[Code],0))</f>
        <v>MID</v>
      </c>
      <c r="D133" s="7" t="str">
        <f>INDEX([1]!MODEL[TEAM],MATCH($A133,[1]!MODEL[Code],0))</f>
        <v>MCI</v>
      </c>
      <c r="E133" s="7">
        <f>INDEX([1]PREDICT!$M$3:$M$1001,MATCH($A133,[1]PREDICT!$B$3:$B$1001,0))</f>
        <v>6.5</v>
      </c>
      <c r="F133" s="15" t="str">
        <f>INDEX([1]!MODEL[FPL_Name],MATCH($A133,[1]!MODEL[Code],0))</f>
        <v>Jack Grealish</v>
      </c>
      <c r="G133" s="10">
        <v>0</v>
      </c>
      <c r="H133" s="10">
        <v>0</v>
      </c>
      <c r="I133" s="10">
        <v>0</v>
      </c>
      <c r="J133" s="11">
        <f t="shared" si="11"/>
        <v>0</v>
      </c>
      <c r="K133" s="11">
        <f t="shared" si="12"/>
        <v>0</v>
      </c>
      <c r="L133" s="11">
        <f t="shared" si="13"/>
        <v>0</v>
      </c>
      <c r="M133" s="11">
        <v>0</v>
      </c>
      <c r="N133" s="11">
        <f t="shared" si="14"/>
        <v>0</v>
      </c>
      <c r="P133" s="13">
        <f t="shared" si="15"/>
        <v>0.44571636266861658</v>
      </c>
    </row>
    <row r="134" spans="1:16" x14ac:dyDescent="0.25">
      <c r="A134" s="16">
        <v>482609</v>
      </c>
      <c r="B134" s="4">
        <f>INDEX([1]!PREDICT[TRUE PTS],MATCH($A134,[1]!PREDICT[HARD CODE],0))</f>
        <v>14.462393381172889</v>
      </c>
      <c r="C134" s="7" t="str">
        <f>INDEX([1]!MODEL[POS],MATCH($A134,[1]!MODEL[Code],0))</f>
        <v>DEF</v>
      </c>
      <c r="D134" s="7" t="str">
        <f>INDEX([1]!MODEL[TEAM],MATCH($A134,[1]!MODEL[Code],0))</f>
        <v>CHE</v>
      </c>
      <c r="E134" s="7">
        <f>INDEX([1]PREDICT!$M$3:$M$1001,MATCH($A134,[1]PREDICT!$B$3:$B$1001,0))</f>
        <v>5</v>
      </c>
      <c r="F134" s="15" t="str">
        <f>INDEX([1]!MODEL[FPL_Name],MATCH($A134,[1]!MODEL[Code],0))</f>
        <v>Malo Gusto</v>
      </c>
      <c r="G134" s="10">
        <v>0</v>
      </c>
      <c r="H134" s="10">
        <v>0</v>
      </c>
      <c r="I134" s="10">
        <v>0</v>
      </c>
      <c r="J134" s="11">
        <f t="shared" si="11"/>
        <v>0</v>
      </c>
      <c r="K134" s="11">
        <f t="shared" si="12"/>
        <v>0</v>
      </c>
      <c r="L134" s="11">
        <f t="shared" si="13"/>
        <v>0</v>
      </c>
      <c r="M134" s="11">
        <v>0</v>
      </c>
      <c r="N134" s="11">
        <f t="shared" si="14"/>
        <v>0</v>
      </c>
      <c r="P134" s="13">
        <f t="shared" si="15"/>
        <v>0.57849573524691555</v>
      </c>
    </row>
    <row r="135" spans="1:16" x14ac:dyDescent="0.25">
      <c r="A135" s="16">
        <v>184029</v>
      </c>
      <c r="B135" s="4">
        <f>INDEX([1]!PREDICT[TRUE PTS],MATCH($A135,[1]!PREDICT[HARD CODE],0))</f>
        <v>14.386262023203553</v>
      </c>
      <c r="C135" s="7" t="str">
        <f>INDEX([1]!MODEL[POS],MATCH($A135,[1]!MODEL[Code],0))</f>
        <v>MID</v>
      </c>
      <c r="D135" s="7" t="str">
        <f>INDEX([1]!MODEL[TEAM],MATCH($A135,[1]!MODEL[Code],0))</f>
        <v>ARS</v>
      </c>
      <c r="E135" s="7">
        <f>INDEX([1]PREDICT!$M$3:$M$1001,MATCH($A135,[1]PREDICT!$B$3:$B$1001,0))</f>
        <v>6.5</v>
      </c>
      <c r="F135" s="15" t="str">
        <f>INDEX([1]!MODEL[FPL_Name],MATCH($A135,[1]!MODEL[Code],0))</f>
        <v>Martin Ødegaard</v>
      </c>
      <c r="G135" s="10">
        <v>0</v>
      </c>
      <c r="H135" s="10">
        <v>0</v>
      </c>
      <c r="I135" s="10">
        <v>0</v>
      </c>
      <c r="J135" s="11">
        <f t="shared" si="11"/>
        <v>0</v>
      </c>
      <c r="K135" s="11">
        <f t="shared" si="12"/>
        <v>0</v>
      </c>
      <c r="L135" s="11">
        <f t="shared" si="13"/>
        <v>0</v>
      </c>
      <c r="M135" s="11">
        <v>0</v>
      </c>
      <c r="N135" s="11">
        <f t="shared" si="14"/>
        <v>0</v>
      </c>
      <c r="P135" s="13">
        <f t="shared" si="15"/>
        <v>0.44265421609857086</v>
      </c>
    </row>
    <row r="136" spans="1:16" x14ac:dyDescent="0.25">
      <c r="A136" s="16">
        <v>512462</v>
      </c>
      <c r="B136" s="4">
        <f>INDEX([1]!PREDICT[TRUE PTS],MATCH($A136,[1]!PREDICT[HARD CODE],0))</f>
        <v>14.367672921655728</v>
      </c>
      <c r="C136" s="7" t="str">
        <f>INDEX([1]!MODEL[POS],MATCH($A136,[1]!MODEL[Code],0))</f>
        <v>DEF</v>
      </c>
      <c r="D136" s="7" t="str">
        <f>INDEX([1]!MODEL[TEAM],MATCH($A136,[1]!MODEL[Code],0))</f>
        <v>EVE</v>
      </c>
      <c r="E136" s="7">
        <f>INDEX([1]PREDICT!$M$3:$M$1001,MATCH($A136,[1]PREDICT!$B$3:$B$1001,0))</f>
        <v>5</v>
      </c>
      <c r="F136" s="15" t="str">
        <f>INDEX([1]!MODEL[FPL_Name],MATCH($A136,[1]!MODEL[Code],0))</f>
        <v>Jake O'Brien</v>
      </c>
      <c r="G136" s="10">
        <v>0</v>
      </c>
      <c r="H136" s="10">
        <v>0</v>
      </c>
      <c r="I136" s="10">
        <v>0</v>
      </c>
      <c r="J136" s="11">
        <f t="shared" si="11"/>
        <v>0</v>
      </c>
      <c r="K136" s="11">
        <f t="shared" si="12"/>
        <v>0</v>
      </c>
      <c r="L136" s="11">
        <f t="shared" si="13"/>
        <v>0</v>
      </c>
      <c r="M136" s="11">
        <v>0</v>
      </c>
      <c r="N136" s="11">
        <f t="shared" si="14"/>
        <v>0</v>
      </c>
      <c r="P136" s="13">
        <f t="shared" si="15"/>
        <v>0.5747069168662291</v>
      </c>
    </row>
    <row r="137" spans="1:16" x14ac:dyDescent="0.25">
      <c r="A137" s="16">
        <v>243016</v>
      </c>
      <c r="B137" s="4">
        <f>INDEX([1]!PREDICT[TRUE PTS],MATCH($A137,[1]!PREDICT[HARD CODE],0))</f>
        <v>14.285646248640305</v>
      </c>
      <c r="C137" s="7" t="str">
        <f>INDEX([1]!MODEL[POS],MATCH($A137,[1]!MODEL[Code],0))</f>
        <v>MID</v>
      </c>
      <c r="D137" s="7" t="str">
        <f>INDEX([1]!MODEL[TEAM],MATCH($A137,[1]!MODEL[Code],0))</f>
        <v>LIV</v>
      </c>
      <c r="E137" s="7">
        <f>INDEX([1]PREDICT!$M$3:$M$1001,MATCH($A137,[1]PREDICT!$B$3:$B$1001,0))</f>
        <v>5.5</v>
      </c>
      <c r="F137" s="15" t="str">
        <f>INDEX([1]!MODEL[FPL_Name],MATCH($A137,[1]!MODEL[Code],0))</f>
        <v>Alexis Mac Allister</v>
      </c>
      <c r="G137" s="10">
        <v>0</v>
      </c>
      <c r="H137" s="10">
        <v>0</v>
      </c>
      <c r="I137" s="10">
        <v>0</v>
      </c>
      <c r="J137" s="11">
        <f t="shared" si="11"/>
        <v>0</v>
      </c>
      <c r="K137" s="11">
        <f t="shared" si="12"/>
        <v>0</v>
      </c>
      <c r="L137" s="11">
        <f t="shared" si="13"/>
        <v>0</v>
      </c>
      <c r="M137" s="11">
        <v>0</v>
      </c>
      <c r="N137" s="11">
        <f t="shared" si="14"/>
        <v>0</v>
      </c>
      <c r="P137" s="13">
        <f t="shared" si="15"/>
        <v>0.51947804540510201</v>
      </c>
    </row>
    <row r="138" spans="1:16" x14ac:dyDescent="0.25">
      <c r="A138" s="16">
        <v>432422</v>
      </c>
      <c r="B138" s="4">
        <f>INDEX([1]!PREDICT[TRUE PTS],MATCH($A138,[1]!PREDICT[HARD CODE],0))</f>
        <v>14.283582830538368</v>
      </c>
      <c r="C138" s="7" t="str">
        <f>INDEX([1]!MODEL[POS],MATCH($A138,[1]!MODEL[Code],0))</f>
        <v>MID</v>
      </c>
      <c r="D138" s="7" t="str">
        <f>INDEX([1]!MODEL[TEAM],MATCH($A138,[1]!MODEL[Code],0))</f>
        <v>TOT</v>
      </c>
      <c r="E138" s="7">
        <f>INDEX([1]PREDICT!$M$3:$M$1001,MATCH($A138,[1]PREDICT!$B$3:$B$1001,0))</f>
        <v>5.5</v>
      </c>
      <c r="F138" s="15" t="str">
        <f>INDEX([1]!MODEL[FPL_Name],MATCH($A138,[1]!MODEL[Code],0))</f>
        <v>Sandro Tonali</v>
      </c>
      <c r="G138" s="10">
        <v>0</v>
      </c>
      <c r="H138" s="10">
        <v>0</v>
      </c>
      <c r="I138" s="10">
        <v>0</v>
      </c>
      <c r="J138" s="11">
        <f t="shared" si="11"/>
        <v>0</v>
      </c>
      <c r="K138" s="11">
        <f t="shared" si="12"/>
        <v>0</v>
      </c>
      <c r="L138" s="11">
        <f t="shared" si="13"/>
        <v>0</v>
      </c>
      <c r="M138" s="11">
        <v>0</v>
      </c>
      <c r="N138" s="11">
        <f t="shared" si="14"/>
        <v>0</v>
      </c>
      <c r="P138" s="13">
        <f t="shared" si="15"/>
        <v>0.51940301201957706</v>
      </c>
    </row>
    <row r="139" spans="1:16" x14ac:dyDescent="0.25">
      <c r="A139" s="16">
        <v>171314</v>
      </c>
      <c r="B139" s="4">
        <f>INDEX([1]!PREDICT[TRUE PTS],MATCH($A139,[1]!PREDICT[HARD CODE],0))</f>
        <v>14.215551297934796</v>
      </c>
      <c r="C139" s="7" t="str">
        <f>INDEX([1]!MODEL[POS],MATCH($A139,[1]!MODEL[Code],0))</f>
        <v>DEF</v>
      </c>
      <c r="D139" s="7" t="str">
        <f>INDEX([1]!MODEL[TEAM],MATCH($A139,[1]!MODEL[Code],0))</f>
        <v>MCI</v>
      </c>
      <c r="E139" s="7">
        <f>INDEX([1]PREDICT!$M$3:$M$1001,MATCH($A139,[1]PREDICT!$B$3:$B$1001,0))</f>
        <v>5.5</v>
      </c>
      <c r="F139" s="15" t="str">
        <f>INDEX([1]!MODEL[FPL_Name],MATCH($A139,[1]!MODEL[Code],0))</f>
        <v>Rúben dos Santos Gato Alves Dias</v>
      </c>
      <c r="G139" s="10">
        <v>0</v>
      </c>
      <c r="H139" s="10">
        <v>0</v>
      </c>
      <c r="I139" s="10">
        <v>0</v>
      </c>
      <c r="J139" s="11">
        <f t="shared" si="11"/>
        <v>0</v>
      </c>
      <c r="K139" s="11">
        <f t="shared" si="12"/>
        <v>0</v>
      </c>
      <c r="L139" s="11">
        <f t="shared" si="13"/>
        <v>0</v>
      </c>
      <c r="M139" s="11">
        <v>0</v>
      </c>
      <c r="N139" s="11">
        <f t="shared" si="14"/>
        <v>0</v>
      </c>
      <c r="P139" s="13">
        <f t="shared" si="15"/>
        <v>0.51692913810671981</v>
      </c>
    </row>
    <row r="140" spans="1:16" x14ac:dyDescent="0.25">
      <c r="A140" s="16">
        <v>463981</v>
      </c>
      <c r="B140" s="4">
        <f>INDEX([1]!PREDICT[TRUE PTS],MATCH($A140,[1]!PREDICT[HARD CODE],0))</f>
        <v>14.165108192520682</v>
      </c>
      <c r="C140" s="7" t="str">
        <f>INDEX([1]!MODEL[POS],MATCH($A140,[1]!MODEL[Code],0))</f>
        <v>DEF</v>
      </c>
      <c r="D140" s="7" t="str">
        <f>INDEX([1]!MODEL[TEAM],MATCH($A140,[1]!MODEL[Code],0))</f>
        <v>BOU</v>
      </c>
      <c r="E140" s="7">
        <f>INDEX([1]PREDICT!$M$3:$M$1001,MATCH($A140,[1]PREDICT!$B$3:$B$1001,0))</f>
        <v>5.5</v>
      </c>
      <c r="F140" s="15" t="str">
        <f>INDEX([1]!MODEL[FPL_Name],MATCH($A140,[1]!MODEL[Code],0))</f>
        <v>James Hill</v>
      </c>
      <c r="G140" s="10">
        <v>0</v>
      </c>
      <c r="H140" s="10">
        <v>0</v>
      </c>
      <c r="I140" s="10">
        <v>0</v>
      </c>
      <c r="J140" s="11">
        <f t="shared" si="11"/>
        <v>0</v>
      </c>
      <c r="K140" s="11">
        <f t="shared" si="12"/>
        <v>0</v>
      </c>
      <c r="L140" s="11">
        <f t="shared" si="13"/>
        <v>0</v>
      </c>
      <c r="M140" s="11">
        <v>0</v>
      </c>
      <c r="N140" s="11">
        <f t="shared" si="14"/>
        <v>0</v>
      </c>
      <c r="P140" s="13">
        <f t="shared" si="15"/>
        <v>0.51509484336438838</v>
      </c>
    </row>
    <row r="141" spans="1:16" x14ac:dyDescent="0.25">
      <c r="A141" s="16">
        <v>232892</v>
      </c>
      <c r="B141" s="4">
        <f>INDEX([1]!PREDICT[TRUE PTS],MATCH($A141,[1]!PREDICT[HARD CODE],0))</f>
        <v>14.161876064274932</v>
      </c>
      <c r="C141" s="7" t="str">
        <f>INDEX([1]!MODEL[POS],MATCH($A141,[1]!MODEL[Code],0))</f>
        <v>DEF</v>
      </c>
      <c r="D141" s="7" t="str">
        <f>INDEX([1]!MODEL[TEAM],MATCH($A141,[1]!MODEL[Code],0))</f>
        <v>FUL</v>
      </c>
      <c r="E141" s="7">
        <f>INDEX([1]PREDICT!$M$3:$M$1001,MATCH($A141,[1]PREDICT!$B$3:$B$1001,0))</f>
        <v>4.5</v>
      </c>
      <c r="F141" s="15" t="str">
        <f>INDEX([1]!MODEL[FPL_Name],MATCH($A141,[1]!MODEL[Code],0))</f>
        <v>Calvin Bassey</v>
      </c>
      <c r="G141" s="10">
        <v>0</v>
      </c>
      <c r="H141" s="10">
        <v>0</v>
      </c>
      <c r="I141" s="10">
        <v>0</v>
      </c>
      <c r="J141" s="11">
        <f t="shared" si="11"/>
        <v>0</v>
      </c>
      <c r="K141" s="11">
        <f t="shared" si="12"/>
        <v>0</v>
      </c>
      <c r="L141" s="11">
        <f t="shared" si="13"/>
        <v>0</v>
      </c>
      <c r="M141" s="11">
        <v>0</v>
      </c>
      <c r="N141" s="11">
        <f t="shared" si="14"/>
        <v>0</v>
      </c>
      <c r="P141" s="13">
        <f t="shared" si="15"/>
        <v>0.62941671396777477</v>
      </c>
    </row>
    <row r="142" spans="1:16" x14ac:dyDescent="0.25">
      <c r="A142" s="16">
        <v>224967</v>
      </c>
      <c r="B142" s="4">
        <f>INDEX([1]!PREDICT[TRUE PTS],MATCH($A142,[1]!PREDICT[HARD CODE],0))</f>
        <v>14.153850044265559</v>
      </c>
      <c r="C142" s="7" t="str">
        <f>INDEX([1]!MODEL[POS],MATCH($A142,[1]!MODEL[Code],0))</f>
        <v>DEF</v>
      </c>
      <c r="D142" s="7" t="str">
        <f>INDEX([1]!MODEL[TEAM],MATCH($A142,[1]!MODEL[Code],0))</f>
        <v>EVE</v>
      </c>
      <c r="E142" s="7">
        <f>INDEX([1]PREDICT!$M$3:$M$1001,MATCH($A142,[1]PREDICT!$B$3:$B$1001,0))</f>
        <v>4.5</v>
      </c>
      <c r="F142" s="15" t="str">
        <f>INDEX([1]!MODEL[FPL_Name],MATCH($A142,[1]!MODEL[Code],0))</f>
        <v>Vitalii Mykolenko</v>
      </c>
      <c r="G142" s="10">
        <v>0</v>
      </c>
      <c r="H142" s="10">
        <v>0</v>
      </c>
      <c r="I142" s="10">
        <v>0</v>
      </c>
      <c r="J142" s="11">
        <f t="shared" si="11"/>
        <v>0</v>
      </c>
      <c r="K142" s="11">
        <f t="shared" si="12"/>
        <v>0</v>
      </c>
      <c r="L142" s="11">
        <f t="shared" si="13"/>
        <v>0</v>
      </c>
      <c r="M142" s="11">
        <v>0</v>
      </c>
      <c r="N142" s="11">
        <f t="shared" si="14"/>
        <v>0</v>
      </c>
      <c r="P142" s="13">
        <f t="shared" si="15"/>
        <v>0.62906000196735812</v>
      </c>
    </row>
    <row r="143" spans="1:16" x14ac:dyDescent="0.25">
      <c r="A143" s="16">
        <v>209400</v>
      </c>
      <c r="B143" s="4">
        <f>INDEX([1]!PREDICT[TRUE PTS],MATCH($A143,[1]!PREDICT[HARD CODE],0))</f>
        <v>15.346556640407339</v>
      </c>
      <c r="C143" s="7" t="str">
        <f>INDEX([1]!MODEL[POS],MATCH($A143,[1]!MODEL[Code],0))</f>
        <v>MID</v>
      </c>
      <c r="D143" s="7" t="str">
        <f>INDEX([1]!MODEL[TEAM],MATCH($A143,[1]!MODEL[Code],0))</f>
        <v>CRY</v>
      </c>
      <c r="E143" s="7">
        <f>INDEX([1]PREDICT!$M$3:$M$1001,MATCH($A143,[1]PREDICT!$B$3:$B$1001,0))</f>
        <v>5</v>
      </c>
      <c r="F143" s="15" t="str">
        <f>INDEX([1]!MODEL[FPL_Name],MATCH($A143,[1]!MODEL[Code],0))</f>
        <v>Daichi Kamada</v>
      </c>
      <c r="G143" s="10">
        <v>0</v>
      </c>
      <c r="H143" s="10">
        <v>0</v>
      </c>
      <c r="I143" s="10">
        <v>0</v>
      </c>
      <c r="J143" s="11">
        <f t="shared" si="11"/>
        <v>0</v>
      </c>
      <c r="K143" s="11">
        <f t="shared" si="12"/>
        <v>0</v>
      </c>
      <c r="L143" s="11">
        <f t="shared" si="13"/>
        <v>0</v>
      </c>
      <c r="M143" s="11">
        <v>0</v>
      </c>
      <c r="N143" s="11">
        <f t="shared" si="14"/>
        <v>0</v>
      </c>
      <c r="P143" s="13">
        <f t="shared" si="15"/>
        <v>0.61386226561629353</v>
      </c>
    </row>
    <row r="144" spans="1:16" x14ac:dyDescent="0.25">
      <c r="A144" s="16">
        <v>509416</v>
      </c>
      <c r="B144" s="4">
        <f>INDEX([1]!PREDICT[TRUE PTS],MATCH($A144,[1]!PREDICT[HARD CODE],0))</f>
        <v>14.144191317522443</v>
      </c>
      <c r="C144" s="7" t="str">
        <f>INDEX([1]!MODEL[POS],MATCH($A144,[1]!MODEL[Code],0))</f>
        <v>MID</v>
      </c>
      <c r="D144" s="7" t="str">
        <f>INDEX([1]!MODEL[TEAM],MATCH($A144,[1]!MODEL[Code],0))</f>
        <v>BHA</v>
      </c>
      <c r="E144" s="7">
        <f>INDEX([1]PREDICT!$M$3:$M$1001,MATCH($A144,[1]PREDICT!$B$3:$B$1001,0))</f>
        <v>5.5</v>
      </c>
      <c r="F144" s="15" t="str">
        <f>INDEX([1]!MODEL[FPL_Name],MATCH($A144,[1]!MODEL[Code],0))</f>
        <v>Yasin Ayari</v>
      </c>
      <c r="G144" s="10">
        <v>0</v>
      </c>
      <c r="H144" s="10">
        <v>0</v>
      </c>
      <c r="I144" s="10">
        <v>0</v>
      </c>
      <c r="J144" s="11">
        <f t="shared" si="11"/>
        <v>0</v>
      </c>
      <c r="K144" s="11">
        <f t="shared" si="12"/>
        <v>0</v>
      </c>
      <c r="L144" s="11">
        <f t="shared" si="13"/>
        <v>0</v>
      </c>
      <c r="M144" s="11">
        <v>0</v>
      </c>
      <c r="N144" s="11">
        <f t="shared" si="14"/>
        <v>0</v>
      </c>
      <c r="P144" s="13">
        <f t="shared" si="15"/>
        <v>0.51433422972808884</v>
      </c>
    </row>
    <row r="145" spans="1:16" x14ac:dyDescent="0.25">
      <c r="A145" s="16">
        <v>207283</v>
      </c>
      <c r="B145" s="4">
        <f>INDEX([1]!PREDICT[TRUE PTS],MATCH($A145,[1]!PREDICT[HARD CODE],0))</f>
        <v>14.016525213201808</v>
      </c>
      <c r="C145" s="7" t="str">
        <f>INDEX([1]!MODEL[POS],MATCH($A145,[1]!MODEL[Code],0))</f>
        <v>MID</v>
      </c>
      <c r="D145" s="7" t="str">
        <f>INDEX([1]!MODEL[TEAM],MATCH($A145,[1]!MODEL[Code],0))</f>
        <v>BRE</v>
      </c>
      <c r="E145" s="7">
        <f>INDEX([1]PREDICT!$M$3:$M$1001,MATCH($A145,[1]PREDICT!$B$3:$B$1001,0))</f>
        <v>5.5</v>
      </c>
      <c r="F145" s="15" t="str">
        <f>INDEX([1]!MODEL[FPL_Name],MATCH($A145,[1]!MODEL[Code],0))</f>
        <v>Mathias Jensen</v>
      </c>
      <c r="G145" s="10">
        <v>0</v>
      </c>
      <c r="H145" s="10">
        <v>0</v>
      </c>
      <c r="I145" s="10">
        <v>0</v>
      </c>
      <c r="J145" s="11">
        <f t="shared" si="11"/>
        <v>0</v>
      </c>
      <c r="K145" s="11">
        <f t="shared" si="12"/>
        <v>0</v>
      </c>
      <c r="L145" s="11">
        <f t="shared" si="13"/>
        <v>0</v>
      </c>
      <c r="M145" s="11">
        <v>0</v>
      </c>
      <c r="N145" s="11">
        <f t="shared" si="14"/>
        <v>0</v>
      </c>
      <c r="P145" s="13">
        <f t="shared" si="15"/>
        <v>0.50969182593461126</v>
      </c>
    </row>
    <row r="146" spans="1:16" x14ac:dyDescent="0.25">
      <c r="A146" s="16">
        <v>487838</v>
      </c>
      <c r="B146" s="4">
        <f>INDEX([1]!PREDICT[TRUE PTS],MATCH($A146,[1]!PREDICT[HARD CODE],0))</f>
        <v>13.951289292458444</v>
      </c>
      <c r="C146" s="7" t="str">
        <f>INDEX([1]!MODEL[POS],MATCH($A146,[1]!MODEL[Code],0))</f>
        <v>DEF</v>
      </c>
      <c r="D146" s="7" t="str">
        <f>INDEX([1]!MODEL[TEAM],MATCH($A146,[1]!MODEL[Code],0))</f>
        <v>NEW</v>
      </c>
      <c r="E146" s="7">
        <f>INDEX([1]PREDICT!$M$3:$M$1001,MATCH($A146,[1]PREDICT!$B$3:$B$1001,0))</f>
        <v>5</v>
      </c>
      <c r="F146" s="15" t="str">
        <f>INDEX([1]!MODEL[FPL_Name],MATCH($A146,[1]!MODEL[Code],0))</f>
        <v>Lewis Hall</v>
      </c>
      <c r="G146" s="10">
        <v>0</v>
      </c>
      <c r="H146" s="10">
        <v>0</v>
      </c>
      <c r="I146" s="10">
        <v>0</v>
      </c>
      <c r="J146" s="11">
        <f t="shared" si="11"/>
        <v>0</v>
      </c>
      <c r="K146" s="11">
        <f t="shared" si="12"/>
        <v>0</v>
      </c>
      <c r="L146" s="11">
        <f t="shared" si="13"/>
        <v>0</v>
      </c>
      <c r="M146" s="11">
        <v>0</v>
      </c>
      <c r="N146" s="11">
        <f t="shared" si="14"/>
        <v>0</v>
      </c>
      <c r="P146" s="13">
        <f t="shared" si="15"/>
        <v>0.55805157169833774</v>
      </c>
    </row>
    <row r="147" spans="1:16" x14ac:dyDescent="0.25">
      <c r="A147" s="16">
        <v>174594</v>
      </c>
      <c r="B147" s="4">
        <f>INDEX([1]!PREDICT[TRUE PTS],MATCH($A147,[1]!PREDICT[HARD CODE],0))</f>
        <v>13.833588212385678</v>
      </c>
      <c r="C147" s="7" t="str">
        <f>INDEX([1]!MODEL[POS],MATCH($A147,[1]!MODEL[Code],0))</f>
        <v>FWD</v>
      </c>
      <c r="D147" s="7" t="str">
        <f>INDEX([1]!MODEL[TEAM],MATCH($A147,[1]!MODEL[Code],0))</f>
        <v>LEE</v>
      </c>
      <c r="E147" s="7">
        <f>INDEX([1]PREDICT!$M$3:$M$1001,MATCH($A147,[1]PREDICT!$B$3:$B$1001,0))</f>
        <v>5.5</v>
      </c>
      <c r="F147" s="15" t="str">
        <f>INDEX([1]!MODEL[FPL_Name],MATCH($A147,[1]!MODEL[Code],0))</f>
        <v>Lukas Nmecha</v>
      </c>
      <c r="G147" s="10">
        <v>0</v>
      </c>
      <c r="H147" s="10">
        <v>0</v>
      </c>
      <c r="I147" s="10">
        <v>0</v>
      </c>
      <c r="J147" s="11">
        <f t="shared" si="11"/>
        <v>0</v>
      </c>
      <c r="K147" s="11">
        <f t="shared" si="12"/>
        <v>0</v>
      </c>
      <c r="L147" s="11">
        <f t="shared" si="13"/>
        <v>0</v>
      </c>
      <c r="M147" s="11">
        <v>0</v>
      </c>
      <c r="N147" s="11">
        <f t="shared" si="14"/>
        <v>0</v>
      </c>
      <c r="P147" s="13">
        <f t="shared" si="15"/>
        <v>0.50303957135947919</v>
      </c>
    </row>
    <row r="148" spans="1:16" x14ac:dyDescent="0.25">
      <c r="A148" s="16">
        <v>225796</v>
      </c>
      <c r="B148" s="4">
        <f>INDEX([1]!PREDICT[TRUE PTS],MATCH($A148,[1]!PREDICT[HARD CODE],0))</f>
        <v>13.814993316890437</v>
      </c>
      <c r="C148" s="7" t="str">
        <f>INDEX([1]!MODEL[POS],MATCH($A148,[1]!MODEL[Code],0))</f>
        <v>DEF</v>
      </c>
      <c r="D148" s="7" t="str">
        <f>INDEX([1]!MODEL[TEAM],MATCH($A148,[1]!MODEL[Code],0))</f>
        <v>CHE</v>
      </c>
      <c r="E148" s="7">
        <f>INDEX([1]PREDICT!$M$3:$M$1001,MATCH($A148,[1]PREDICT!$B$3:$B$1001,0))</f>
        <v>5.5</v>
      </c>
      <c r="F148" s="15" t="str">
        <f>INDEX([1]!MODEL[FPL_Name],MATCH($A148,[1]!MODEL[Code],0))</f>
        <v>Reece James</v>
      </c>
      <c r="G148" s="10">
        <v>0</v>
      </c>
      <c r="H148" s="10">
        <v>0</v>
      </c>
      <c r="I148" s="10">
        <v>0</v>
      </c>
      <c r="J148" s="11">
        <f t="shared" si="11"/>
        <v>0</v>
      </c>
      <c r="K148" s="11">
        <f t="shared" si="12"/>
        <v>0</v>
      </c>
      <c r="L148" s="11">
        <f t="shared" si="13"/>
        <v>0</v>
      </c>
      <c r="M148" s="11">
        <v>0</v>
      </c>
      <c r="N148" s="11">
        <f t="shared" si="14"/>
        <v>0</v>
      </c>
      <c r="P148" s="13">
        <f t="shared" si="15"/>
        <v>0.5023633933414704</v>
      </c>
    </row>
    <row r="149" spans="1:16" x14ac:dyDescent="0.25">
      <c r="A149" s="16">
        <v>486385</v>
      </c>
      <c r="B149" s="4">
        <f>INDEX([1]!PREDICT[TRUE PTS],MATCH($A149,[1]!PREDICT[HARD CODE],0))</f>
        <v>13.612373080378436</v>
      </c>
      <c r="C149" s="7" t="str">
        <f>INDEX([1]!MODEL[POS],MATCH($A149,[1]!MODEL[Code],0))</f>
        <v>FWD</v>
      </c>
      <c r="D149" s="7" t="str">
        <f>INDEX([1]!MODEL[TEAM],MATCH($A149,[1]!MODEL[Code],0))</f>
        <v>EVE</v>
      </c>
      <c r="E149" s="7">
        <f>INDEX([1]PREDICT!$M$3:$M$1001,MATCH($A149,[1]PREDICT!$B$3:$B$1001,0))</f>
        <v>5.5</v>
      </c>
      <c r="F149" s="15" t="str">
        <f>INDEX([1]!MODEL[FPL_Name],MATCH($A149,[1]!MODEL[Code],0))</f>
        <v>Norberto Bercique Gomes Betuncal</v>
      </c>
      <c r="G149" s="10">
        <v>0</v>
      </c>
      <c r="H149" s="10">
        <v>0</v>
      </c>
      <c r="I149" s="10">
        <v>0</v>
      </c>
      <c r="J149" s="11">
        <f t="shared" si="11"/>
        <v>0</v>
      </c>
      <c r="K149" s="11">
        <f t="shared" si="12"/>
        <v>0</v>
      </c>
      <c r="L149" s="11">
        <f t="shared" si="13"/>
        <v>0</v>
      </c>
      <c r="M149" s="11">
        <v>0</v>
      </c>
      <c r="N149" s="11">
        <f t="shared" si="14"/>
        <v>0</v>
      </c>
      <c r="P149" s="13">
        <f t="shared" si="15"/>
        <v>0.49499538474103411</v>
      </c>
    </row>
    <row r="150" spans="1:16" x14ac:dyDescent="0.25">
      <c r="A150" s="16">
        <v>503301</v>
      </c>
      <c r="B150" s="4">
        <f>INDEX([1]!PREDICT[TRUE PTS],MATCH($A150,[1]!PREDICT[HARD CODE],0))</f>
        <v>13.598574697105716</v>
      </c>
      <c r="C150" s="7" t="str">
        <f>INDEX([1]!MODEL[POS],MATCH($A150,[1]!MODEL[Code],0))</f>
        <v>MID</v>
      </c>
      <c r="D150" s="7" t="str">
        <f>INDEX([1]!MODEL[TEAM],MATCH($A150,[1]!MODEL[Code],0))</f>
        <v>NFO</v>
      </c>
      <c r="E150" s="7">
        <f>INDEX([1]PREDICT!$M$3:$M$1001,MATCH($A150,[1]PREDICT!$B$3:$B$1001,0))</f>
        <v>5.5</v>
      </c>
      <c r="F150" s="15" t="str">
        <f>INDEX([1]!MODEL[FPL_Name],MATCH($A150,[1]!MODEL[Code],0))</f>
        <v>Omari Hutchinson</v>
      </c>
      <c r="G150" s="10">
        <v>0</v>
      </c>
      <c r="H150" s="10">
        <v>0</v>
      </c>
      <c r="I150" s="10">
        <v>0</v>
      </c>
      <c r="J150" s="11">
        <f t="shared" si="11"/>
        <v>0</v>
      </c>
      <c r="K150" s="11">
        <f t="shared" si="12"/>
        <v>0</v>
      </c>
      <c r="L150" s="11">
        <f t="shared" si="13"/>
        <v>0</v>
      </c>
      <c r="M150" s="11">
        <v>0</v>
      </c>
      <c r="N150" s="11">
        <f t="shared" si="14"/>
        <v>0</v>
      </c>
      <c r="P150" s="13">
        <f t="shared" si="15"/>
        <v>0.49449362534929875</v>
      </c>
    </row>
    <row r="151" spans="1:16" x14ac:dyDescent="0.25">
      <c r="A151" s="16">
        <v>111317</v>
      </c>
      <c r="B151" s="4">
        <f>INDEX([1]!PREDICT[TRUE PTS],MATCH($A151,[1]!PREDICT[HARD CODE],0))</f>
        <v>13.557747286748658</v>
      </c>
      <c r="C151" s="7" t="str">
        <f>INDEX([1]!MODEL[POS],MATCH($A151,[1]!MODEL[Code],0))</f>
        <v>MID</v>
      </c>
      <c r="D151" s="7" t="str">
        <f>INDEX([1]!MODEL[TEAM],MATCH($A151,[1]!MODEL[Code],0))</f>
        <v>BOU</v>
      </c>
      <c r="E151" s="7">
        <f>INDEX([1]PREDICT!$M$3:$M$1001,MATCH($A151,[1]PREDICT!$B$3:$B$1001,0))</f>
        <v>5</v>
      </c>
      <c r="F151" s="15" t="str">
        <f>INDEX([1]!MODEL[FPL_Name],MATCH($A151,[1]!MODEL[Code],0))</f>
        <v>David Brooks</v>
      </c>
      <c r="G151" s="10">
        <v>0</v>
      </c>
      <c r="H151" s="10">
        <v>0</v>
      </c>
      <c r="I151" s="10">
        <v>0</v>
      </c>
      <c r="J151" s="11">
        <f t="shared" si="11"/>
        <v>0</v>
      </c>
      <c r="K151" s="11">
        <f t="shared" si="12"/>
        <v>0</v>
      </c>
      <c r="L151" s="11">
        <f t="shared" si="13"/>
        <v>0</v>
      </c>
      <c r="M151" s="11">
        <v>0</v>
      </c>
      <c r="N151" s="11">
        <f t="shared" si="14"/>
        <v>0</v>
      </c>
      <c r="P151" s="13">
        <f t="shared" si="15"/>
        <v>0.54230989146994635</v>
      </c>
    </row>
    <row r="152" spans="1:16" x14ac:dyDescent="0.25">
      <c r="A152" s="16">
        <v>219847</v>
      </c>
      <c r="B152" s="4">
        <f>INDEX([1]!PREDICT[TRUE PTS],MATCH($A152,[1]!PREDICT[HARD CODE],0))</f>
        <v>13.511060182813583</v>
      </c>
      <c r="C152" s="7" t="str">
        <f>INDEX([1]!MODEL[POS],MATCH($A152,[1]!MODEL[Code],0))</f>
        <v>FWD</v>
      </c>
      <c r="D152" s="7" t="str">
        <f>INDEX([1]!MODEL[TEAM],MATCH($A152,[1]!MODEL[Code],0))</f>
        <v>ARS</v>
      </c>
      <c r="E152" s="7">
        <f>INDEX([1]PREDICT!$M$3:$M$1001,MATCH($A152,[1]PREDICT!$B$3:$B$1001,0))</f>
        <v>7.5</v>
      </c>
      <c r="F152" s="15" t="str">
        <f>INDEX([1]!MODEL[FPL_Name],MATCH($A152,[1]!MODEL[Code],0))</f>
        <v>Kai Havertz</v>
      </c>
      <c r="G152" s="10">
        <v>0</v>
      </c>
      <c r="H152" s="10">
        <v>0</v>
      </c>
      <c r="I152" s="10">
        <v>0</v>
      </c>
      <c r="J152" s="11">
        <f t="shared" si="11"/>
        <v>0</v>
      </c>
      <c r="K152" s="11">
        <f t="shared" si="12"/>
        <v>0</v>
      </c>
      <c r="L152" s="11">
        <f t="shared" si="13"/>
        <v>0</v>
      </c>
      <c r="M152" s="11">
        <v>0</v>
      </c>
      <c r="N152" s="11">
        <f t="shared" si="14"/>
        <v>0</v>
      </c>
      <c r="P152" s="13">
        <f t="shared" si="15"/>
        <v>0.36029493820836223</v>
      </c>
    </row>
    <row r="153" spans="1:16" x14ac:dyDescent="0.25">
      <c r="A153" s="16">
        <v>209046</v>
      </c>
      <c r="B153" s="4">
        <f>INDEX([1]!PREDICT[TRUE PTS],MATCH($A153,[1]!PREDICT[HARD CODE],0))</f>
        <v>13.400595897848429</v>
      </c>
      <c r="C153" s="7" t="str">
        <f>INDEX([1]!MODEL[POS],MATCH($A153,[1]!MODEL[Code],0))</f>
        <v>MID</v>
      </c>
      <c r="D153" s="7" t="str">
        <f>INDEX([1]!MODEL[TEAM],MATCH($A153,[1]!MODEL[Code],0))</f>
        <v>NFO</v>
      </c>
      <c r="E153" s="7">
        <f>INDEX([1]PREDICT!$M$3:$M$1001,MATCH($A153,[1]PREDICT!$B$3:$B$1001,0))</f>
        <v>6</v>
      </c>
      <c r="F153" s="15" t="str">
        <f>INDEX([1]!MODEL[FPL_Name],MATCH($A153,[1]!MODEL[Code],0))</f>
        <v>Callum Hudson-Odoi</v>
      </c>
      <c r="G153" s="10">
        <v>0</v>
      </c>
      <c r="H153" s="10">
        <v>0</v>
      </c>
      <c r="I153" s="10">
        <v>0</v>
      </c>
      <c r="J153" s="11">
        <f t="shared" si="11"/>
        <v>0</v>
      </c>
      <c r="K153" s="11">
        <f t="shared" si="12"/>
        <v>0</v>
      </c>
      <c r="L153" s="11">
        <f t="shared" si="13"/>
        <v>0</v>
      </c>
      <c r="M153" s="11">
        <v>0</v>
      </c>
      <c r="N153" s="11">
        <f t="shared" si="14"/>
        <v>0</v>
      </c>
      <c r="P153" s="13">
        <f t="shared" si="15"/>
        <v>0.44668652992828095</v>
      </c>
    </row>
    <row r="154" spans="1:16" x14ac:dyDescent="0.25">
      <c r="A154" s="16">
        <v>487676</v>
      </c>
      <c r="B154" s="4">
        <f>INDEX([1]!PREDICT[TRUE PTS],MATCH($A154,[1]!PREDICT[HARD CODE],0))</f>
        <v>13.360327859477845</v>
      </c>
      <c r="C154" s="7" t="str">
        <f>INDEX([1]!MODEL[POS],MATCH($A154,[1]!MODEL[Code],0))</f>
        <v>DEF</v>
      </c>
      <c r="D154" s="7" t="str">
        <f>INDEX([1]!MODEL[TEAM],MATCH($A154,[1]!MODEL[Code],0))</f>
        <v>SUN</v>
      </c>
      <c r="E154" s="7">
        <f>INDEX([1]PREDICT!$M$3:$M$1001,MATCH($A154,[1]PREDICT!$B$3:$B$1001,0))</f>
        <v>4.5</v>
      </c>
      <c r="F154" s="15" t="str">
        <f>INDEX([1]!MODEL[FPL_Name],MATCH($A154,[1]!MODEL[Code],0))</f>
        <v>Trai Hume</v>
      </c>
      <c r="G154" s="10">
        <v>0</v>
      </c>
      <c r="H154" s="10">
        <v>0</v>
      </c>
      <c r="I154" s="10">
        <v>0</v>
      </c>
      <c r="J154" s="11">
        <f t="shared" si="11"/>
        <v>0</v>
      </c>
      <c r="K154" s="11">
        <f t="shared" si="12"/>
        <v>0</v>
      </c>
      <c r="L154" s="11">
        <f t="shared" si="13"/>
        <v>0</v>
      </c>
      <c r="M154" s="11">
        <v>0</v>
      </c>
      <c r="N154" s="11">
        <f t="shared" si="14"/>
        <v>0</v>
      </c>
      <c r="P154" s="13">
        <f t="shared" si="15"/>
        <v>0.59379234931012648</v>
      </c>
    </row>
    <row r="155" spans="1:16" x14ac:dyDescent="0.25">
      <c r="A155" s="16">
        <v>508395</v>
      </c>
      <c r="B155" s="4">
        <f>INDEX([1]!PREDICT[TRUE PTS],MATCH($A155,[1]!PREDICT[HARD CODE],0))</f>
        <v>13.346648987657016</v>
      </c>
      <c r="C155" s="7" t="str">
        <f>INDEX([1]!MODEL[POS],MATCH($A155,[1]!MODEL[Code],0))</f>
        <v>MID</v>
      </c>
      <c r="D155" s="7" t="str">
        <f>INDEX([1]!MODEL[TEAM],MATCH($A155,[1]!MODEL[Code],0))</f>
        <v>BRE</v>
      </c>
      <c r="E155" s="7">
        <f>INDEX([1]PREDICT!$M$3:$M$1001,MATCH($A155,[1]PREDICT!$B$3:$B$1001,0))</f>
        <v>5</v>
      </c>
      <c r="F155" s="15" t="str">
        <f>INDEX([1]!MODEL[FPL_Name],MATCH($A155,[1]!MODEL[Code],0))</f>
        <v>Yehor Yarmoliuk</v>
      </c>
      <c r="G155" s="10">
        <v>0</v>
      </c>
      <c r="H155" s="10">
        <v>0</v>
      </c>
      <c r="I155" s="10">
        <v>0</v>
      </c>
      <c r="J155" s="11">
        <f t="shared" si="11"/>
        <v>0</v>
      </c>
      <c r="K155" s="11">
        <f t="shared" si="12"/>
        <v>0</v>
      </c>
      <c r="L155" s="11">
        <f t="shared" si="13"/>
        <v>0</v>
      </c>
      <c r="M155" s="11">
        <v>0</v>
      </c>
      <c r="N155" s="11">
        <f t="shared" si="14"/>
        <v>0</v>
      </c>
      <c r="P155" s="13">
        <f t="shared" si="15"/>
        <v>0.53386595950628057</v>
      </c>
    </row>
    <row r="156" spans="1:16" x14ac:dyDescent="0.25">
      <c r="A156" s="16">
        <v>220627</v>
      </c>
      <c r="B156" s="4">
        <f>INDEX([1]!PREDICT[TRUE PTS],MATCH($A156,[1]!PREDICT[HARD CODE],0))</f>
        <v>13.342059547296127</v>
      </c>
      <c r="C156" s="7" t="str">
        <f>INDEX([1]!MODEL[POS],MATCH($A156,[1]!MODEL[Code],0))</f>
        <v>DEF</v>
      </c>
      <c r="D156" s="7" t="str">
        <f>INDEX([1]!MODEL[TEAM],MATCH($A156,[1]!MODEL[Code],0))</f>
        <v>LEE</v>
      </c>
      <c r="E156" s="7">
        <f>INDEX([1]PREDICT!$M$3:$M$1001,MATCH($A156,[1]PREDICT!$B$3:$B$1001,0))</f>
        <v>4.5</v>
      </c>
      <c r="F156" s="15" t="str">
        <f>INDEX([1]!MODEL[FPL_Name],MATCH($A156,[1]!MODEL[Code],0))</f>
        <v>James Justin</v>
      </c>
      <c r="G156" s="10">
        <v>0</v>
      </c>
      <c r="H156" s="10">
        <v>0</v>
      </c>
      <c r="I156" s="10">
        <v>0</v>
      </c>
      <c r="J156" s="11">
        <f t="shared" si="11"/>
        <v>0</v>
      </c>
      <c r="K156" s="11">
        <f t="shared" si="12"/>
        <v>0</v>
      </c>
      <c r="L156" s="11">
        <f t="shared" si="13"/>
        <v>0</v>
      </c>
      <c r="M156" s="11">
        <v>0</v>
      </c>
      <c r="N156" s="11">
        <f t="shared" si="14"/>
        <v>0</v>
      </c>
      <c r="P156" s="13">
        <f t="shared" si="15"/>
        <v>0.59298042432427234</v>
      </c>
    </row>
    <row r="157" spans="1:16" x14ac:dyDescent="0.25">
      <c r="A157" s="16">
        <v>206915</v>
      </c>
      <c r="B157" s="4">
        <f>INDEX([1]!PREDICT[TRUE PTS],MATCH($A157,[1]!PREDICT[HARD CODE],0))</f>
        <v>13.314839623386494</v>
      </c>
      <c r="C157" s="7" t="str">
        <f>INDEX([1]!MODEL[POS],MATCH($A157,[1]!MODEL[Code],0))</f>
        <v>MID</v>
      </c>
      <c r="D157" s="7" t="str">
        <f>INDEX([1]!MODEL[TEAM],MATCH($A157,[1]!MODEL[Code],0))</f>
        <v>LIV</v>
      </c>
      <c r="E157" s="7">
        <f>INDEX([1]PREDICT!$M$3:$M$1001,MATCH($A157,[1]PREDICT!$B$3:$B$1001,0))</f>
        <v>5.5</v>
      </c>
      <c r="F157" s="15" t="str">
        <f>INDEX([1]!MODEL[FPL_Name],MATCH($A157,[1]!MODEL[Code],0))</f>
        <v>Curtis Jones</v>
      </c>
      <c r="G157" s="10">
        <v>0</v>
      </c>
      <c r="H157" s="10">
        <v>0</v>
      </c>
      <c r="I157" s="10">
        <v>0</v>
      </c>
      <c r="J157" s="11">
        <f t="shared" si="11"/>
        <v>0</v>
      </c>
      <c r="K157" s="11">
        <f t="shared" si="12"/>
        <v>0</v>
      </c>
      <c r="L157" s="11">
        <f t="shared" si="13"/>
        <v>0</v>
      </c>
      <c r="M157" s="11">
        <v>0</v>
      </c>
      <c r="N157" s="11">
        <f t="shared" si="14"/>
        <v>0</v>
      </c>
      <c r="P157" s="13">
        <f t="shared" si="15"/>
        <v>0.48417598630496339</v>
      </c>
    </row>
    <row r="158" spans="1:16" x14ac:dyDescent="0.25">
      <c r="A158" s="16">
        <v>154566</v>
      </c>
      <c r="B158" s="4">
        <f>INDEX([1]!PREDICT[TRUE PTS],MATCH($A158,[1]!PREDICT[HARD CODE],0))</f>
        <v>13.257059725141149</v>
      </c>
      <c r="C158" s="7" t="str">
        <f>INDEX([1]!MODEL[POS],MATCH($A158,[1]!MODEL[Code],0))</f>
        <v>FWD</v>
      </c>
      <c r="D158" s="7" t="str">
        <f>INDEX([1]!MODEL[TEAM],MATCH($A158,[1]!MODEL[Code],0))</f>
        <v>TOT</v>
      </c>
      <c r="E158" s="7">
        <f>INDEX([1]PREDICT!$M$3:$M$1001,MATCH($A158,[1]PREDICT!$B$3:$B$1001,0))</f>
        <v>6</v>
      </c>
      <c r="F158" s="15" t="str">
        <f>INDEX([1]!MODEL[FPL_Name],MATCH($A158,[1]!MODEL[Code],0))</f>
        <v>Dominic Solanke-Mitchell</v>
      </c>
      <c r="G158" s="10">
        <v>0</v>
      </c>
      <c r="H158" s="10">
        <v>0</v>
      </c>
      <c r="I158" s="10">
        <v>0</v>
      </c>
      <c r="J158" s="11">
        <f t="shared" si="11"/>
        <v>0</v>
      </c>
      <c r="K158" s="11">
        <f t="shared" si="12"/>
        <v>0</v>
      </c>
      <c r="L158" s="11">
        <f t="shared" si="13"/>
        <v>0</v>
      </c>
      <c r="M158" s="11">
        <v>0</v>
      </c>
      <c r="N158" s="11">
        <f t="shared" si="14"/>
        <v>0</v>
      </c>
      <c r="P158" s="13">
        <f t="shared" si="15"/>
        <v>0.44190199083803827</v>
      </c>
    </row>
    <row r="159" spans="1:16" x14ac:dyDescent="0.25">
      <c r="A159" s="16">
        <v>460842</v>
      </c>
      <c r="B159" s="4">
        <f>INDEX([1]!PREDICT[TRUE PTS],MATCH($A159,[1]!PREDICT[HARD CODE],0))</f>
        <v>13.239588712307741</v>
      </c>
      <c r="C159" s="7" t="str">
        <f>INDEX([1]!MODEL[POS],MATCH($A159,[1]!MODEL[Code],0))</f>
        <v>MID</v>
      </c>
      <c r="D159" s="7" t="str">
        <f>INDEX([1]!MODEL[TEAM],MATCH($A159,[1]!MODEL[Code],0))</f>
        <v>TOT</v>
      </c>
      <c r="E159" s="7">
        <f>INDEX([1]PREDICT!$M$3:$M$1001,MATCH($A159,[1]PREDICT!$B$3:$B$1001,0))</f>
        <v>6.5</v>
      </c>
      <c r="F159" s="15" t="str">
        <f>INDEX([1]!MODEL[FPL_Name],MATCH($A159,[1]!MODEL[Code],0))</f>
        <v>Mohammed Kudus</v>
      </c>
      <c r="G159" s="10">
        <v>0</v>
      </c>
      <c r="H159" s="10">
        <v>0</v>
      </c>
      <c r="I159" s="10">
        <v>0</v>
      </c>
      <c r="J159" s="11">
        <f t="shared" si="11"/>
        <v>0</v>
      </c>
      <c r="K159" s="11">
        <f t="shared" si="12"/>
        <v>0</v>
      </c>
      <c r="L159" s="11">
        <f t="shared" si="13"/>
        <v>0</v>
      </c>
      <c r="M159" s="11">
        <v>0</v>
      </c>
      <c r="N159" s="11">
        <f t="shared" si="14"/>
        <v>0</v>
      </c>
      <c r="P159" s="13">
        <f t="shared" si="15"/>
        <v>0.40737196037869972</v>
      </c>
    </row>
    <row r="160" spans="1:16" x14ac:dyDescent="0.25">
      <c r="A160" s="16">
        <v>547027</v>
      </c>
      <c r="B160" s="4">
        <f>INDEX([1]!PREDICT[TRUE PTS],MATCH($A160,[1]!PREDICT[HARD CODE],0))</f>
        <v>13.220336483719416</v>
      </c>
      <c r="C160" s="7" t="str">
        <f>INDEX([1]!MODEL[POS],MATCH($A160,[1]!MODEL[Code],0))</f>
        <v>MID</v>
      </c>
      <c r="D160" s="7" t="str">
        <f>INDEX([1]!MODEL[TEAM],MATCH($A160,[1]!MODEL[Code],0))</f>
        <v>SUN</v>
      </c>
      <c r="E160" s="7">
        <f>INDEX([1]PREDICT!$M$3:$M$1001,MATCH($A160,[1]PREDICT!$B$3:$B$1001,0))</f>
        <v>5.5</v>
      </c>
      <c r="F160" s="15" t="str">
        <f>INDEX([1]!MODEL[FPL_Name],MATCH($A160,[1]!MODEL[Code],0))</f>
        <v>Habib Diarra</v>
      </c>
      <c r="G160" s="10">
        <v>0</v>
      </c>
      <c r="H160" s="10">
        <v>0</v>
      </c>
      <c r="I160" s="10">
        <v>0</v>
      </c>
      <c r="J160" s="11">
        <f t="shared" si="11"/>
        <v>0</v>
      </c>
      <c r="K160" s="11">
        <f t="shared" si="12"/>
        <v>0</v>
      </c>
      <c r="L160" s="11">
        <f t="shared" si="13"/>
        <v>0</v>
      </c>
      <c r="M160" s="11">
        <v>0</v>
      </c>
      <c r="N160" s="11">
        <f t="shared" si="14"/>
        <v>0</v>
      </c>
      <c r="P160" s="13">
        <f t="shared" si="15"/>
        <v>0.48073950849888786</v>
      </c>
    </row>
    <row r="161" spans="1:16" x14ac:dyDescent="0.25">
      <c r="A161" s="16">
        <v>207189</v>
      </c>
      <c r="B161" s="4">
        <f>INDEX([1]!PREDICT[TRUE PTS],MATCH($A161,[1]!PREDICT[HARD CODE],0))</f>
        <v>13.171665914854024</v>
      </c>
      <c r="C161" s="7" t="str">
        <f>INDEX([1]!MODEL[POS],MATCH($A161,[1]!MODEL[Code],0))</f>
        <v>MID</v>
      </c>
      <c r="D161" s="7" t="str">
        <f>INDEX([1]!MODEL[TEAM],MATCH($A161,[1]!MODEL[Code],0))</f>
        <v>FUL</v>
      </c>
      <c r="E161" s="7">
        <f>INDEX([1]PREDICT!$M$3:$M$1001,MATCH($A161,[1]PREDICT!$B$3:$B$1001,0))</f>
        <v>5</v>
      </c>
      <c r="F161" s="15" t="str">
        <f>INDEX([1]!MODEL[FPL_Name],MATCH($A161,[1]!MODEL[Code],0))</f>
        <v>Sander Berge</v>
      </c>
      <c r="G161" s="10">
        <v>0</v>
      </c>
      <c r="H161" s="10">
        <v>0</v>
      </c>
      <c r="I161" s="10">
        <v>0</v>
      </c>
      <c r="J161" s="11">
        <f t="shared" si="11"/>
        <v>0</v>
      </c>
      <c r="K161" s="11">
        <f t="shared" si="12"/>
        <v>0</v>
      </c>
      <c r="L161" s="11">
        <f t="shared" si="13"/>
        <v>0</v>
      </c>
      <c r="M161" s="11">
        <v>0</v>
      </c>
      <c r="N161" s="11">
        <f t="shared" si="14"/>
        <v>0</v>
      </c>
      <c r="P161" s="13">
        <f t="shared" si="15"/>
        <v>0.526866636594161</v>
      </c>
    </row>
    <row r="162" spans="1:16" x14ac:dyDescent="0.25">
      <c r="A162" s="16">
        <v>119471</v>
      </c>
      <c r="B162" s="4">
        <f>INDEX([1]!PREDICT[TRUE PTS],MATCH($A162,[1]!PREDICT[HARD CODE],0))</f>
        <v>14.190523714195741</v>
      </c>
      <c r="C162" s="7" t="str">
        <f>INDEX([1]!MODEL[POS],MATCH($A162,[1]!MODEL[Code],0))</f>
        <v>DEF</v>
      </c>
      <c r="D162" s="7" t="str">
        <f>INDEX([1]!MODEL[TEAM],MATCH($A162,[1]!MODEL[Code],0))</f>
        <v>NEW</v>
      </c>
      <c r="E162" s="7">
        <f>INDEX([1]PREDICT!$M$3:$M$1001,MATCH($A162,[1]PREDICT!$B$3:$B$1001,0))</f>
        <v>5</v>
      </c>
      <c r="F162" s="15" t="str">
        <f>INDEX([1]!MODEL[FPL_Name],MATCH($A162,[1]!MODEL[Code],0))</f>
        <v>Fabian Schär</v>
      </c>
      <c r="G162" s="10">
        <v>0</v>
      </c>
      <c r="H162" s="10">
        <v>0</v>
      </c>
      <c r="I162" s="10">
        <v>0</v>
      </c>
      <c r="J162" s="11">
        <f t="shared" si="11"/>
        <v>0</v>
      </c>
      <c r="K162" s="11">
        <f t="shared" si="12"/>
        <v>0</v>
      </c>
      <c r="L162" s="11">
        <f t="shared" si="13"/>
        <v>0</v>
      </c>
      <c r="M162" s="11">
        <v>0</v>
      </c>
      <c r="N162" s="11">
        <f t="shared" si="14"/>
        <v>0</v>
      </c>
      <c r="P162" s="13">
        <f t="shared" si="15"/>
        <v>0.56762094856782963</v>
      </c>
    </row>
    <row r="163" spans="1:16" x14ac:dyDescent="0.25">
      <c r="A163" s="16">
        <v>166989</v>
      </c>
      <c r="B163" s="4">
        <f>INDEX([1]!PREDICT[TRUE PTS],MATCH($A163,[1]!PREDICT[HARD CODE],0))</f>
        <v>13.000443666193148</v>
      </c>
      <c r="C163" s="7" t="str">
        <f>INDEX([1]!MODEL[POS],MATCH($A163,[1]!MODEL[Code],0))</f>
        <v>MID</v>
      </c>
      <c r="D163" s="7" t="str">
        <f>INDEX([1]!MODEL[TEAM],MATCH($A163,[1]!MODEL[Code],0))</f>
        <v>MUN</v>
      </c>
      <c r="E163" s="7">
        <f>INDEX([1]PREDICT!$M$3:$M$1001,MATCH($A163,[1]PREDICT!$B$3:$B$1001,0))</f>
        <v>6</v>
      </c>
      <c r="F163" s="15" t="str">
        <f>INDEX([1]!MODEL[FPL_Name],MATCH($A163,[1]!MODEL[Code],0))</f>
        <v>Youri Tielemans</v>
      </c>
      <c r="G163" s="10">
        <v>0</v>
      </c>
      <c r="H163" s="10">
        <v>0</v>
      </c>
      <c r="I163" s="10">
        <v>0</v>
      </c>
      <c r="J163" s="11">
        <f t="shared" si="11"/>
        <v>0</v>
      </c>
      <c r="K163" s="11">
        <f t="shared" si="12"/>
        <v>0</v>
      </c>
      <c r="L163" s="11">
        <f t="shared" si="13"/>
        <v>0</v>
      </c>
      <c r="M163" s="11">
        <v>0</v>
      </c>
      <c r="N163" s="11">
        <f t="shared" si="14"/>
        <v>0</v>
      </c>
      <c r="P163" s="13">
        <f t="shared" si="15"/>
        <v>0.43334812220643826</v>
      </c>
    </row>
    <row r="164" spans="1:16" x14ac:dyDescent="0.25">
      <c r="A164" s="16">
        <v>149484</v>
      </c>
      <c r="B164" s="4">
        <f>INDEX([1]!PREDICT[TRUE PTS],MATCH($A164,[1]!PREDICT[HARD CODE],0))</f>
        <v>12.999011880837084</v>
      </c>
      <c r="C164" s="7" t="str">
        <f>INDEX([1]!MODEL[POS],MATCH($A164,[1]!MODEL[Code],0))</f>
        <v>DEF</v>
      </c>
      <c r="D164" s="7" t="str">
        <f>INDEX([1]!MODEL[TEAM],MATCH($A164,[1]!MODEL[Code],0))</f>
        <v>AVL</v>
      </c>
      <c r="E164" s="7">
        <f>INDEX([1]PREDICT!$M$3:$M$1001,MATCH($A164,[1]PREDICT!$B$3:$B$1001,0))</f>
        <v>4.5</v>
      </c>
      <c r="F164" s="15" t="str">
        <f>INDEX([1]!MODEL[FPL_Name],MATCH($A164,[1]!MODEL[Code],0))</f>
        <v>Tyrone Mings</v>
      </c>
      <c r="G164" s="10">
        <v>0</v>
      </c>
      <c r="H164" s="10">
        <v>0</v>
      </c>
      <c r="I164" s="10">
        <v>0</v>
      </c>
      <c r="J164" s="11">
        <f t="shared" si="11"/>
        <v>0</v>
      </c>
      <c r="K164" s="11">
        <f t="shared" si="12"/>
        <v>0</v>
      </c>
      <c r="L164" s="11">
        <f t="shared" si="13"/>
        <v>0</v>
      </c>
      <c r="M164" s="11">
        <v>0</v>
      </c>
      <c r="N164" s="11">
        <f t="shared" si="14"/>
        <v>0</v>
      </c>
      <c r="P164" s="13">
        <f t="shared" si="15"/>
        <v>0.57773386137053717</v>
      </c>
    </row>
    <row r="165" spans="1:16" x14ac:dyDescent="0.25">
      <c r="A165" s="16">
        <v>247412</v>
      </c>
      <c r="B165" s="4">
        <f>INDEX([1]!PREDICT[TRUE PTS],MATCH($A165,[1]!PREDICT[HARD CODE],0))</f>
        <v>12.849821325879155</v>
      </c>
      <c r="C165" s="7" t="str">
        <f>INDEX([1]!MODEL[POS],MATCH($A165,[1]!MODEL[Code],0))</f>
        <v>FWD</v>
      </c>
      <c r="D165" s="7" t="str">
        <f>INDEX([1]!MODEL[TEAM],MATCH($A165,[1]!MODEL[Code],0))</f>
        <v>CRY</v>
      </c>
      <c r="E165" s="7">
        <f>INDEX([1]PREDICT!$M$3:$M$1001,MATCH($A165,[1]PREDICT!$B$3:$B$1001,0))</f>
        <v>6</v>
      </c>
      <c r="F165" s="15" t="str">
        <f>INDEX([1]!MODEL[FPL_Name],MATCH($A165,[1]!MODEL[Code],0))</f>
        <v>Jørgen Strand Larsen</v>
      </c>
      <c r="G165" s="10">
        <v>0</v>
      </c>
      <c r="H165" s="10">
        <v>0</v>
      </c>
      <c r="I165" s="10">
        <v>0</v>
      </c>
      <c r="J165" s="11">
        <f t="shared" si="11"/>
        <v>0</v>
      </c>
      <c r="K165" s="11">
        <f t="shared" si="12"/>
        <v>0</v>
      </c>
      <c r="L165" s="11">
        <f t="shared" si="13"/>
        <v>0</v>
      </c>
      <c r="M165" s="11">
        <v>0</v>
      </c>
      <c r="N165" s="11">
        <f t="shared" si="14"/>
        <v>0</v>
      </c>
      <c r="P165" s="13">
        <f t="shared" si="15"/>
        <v>0.42832737752930516</v>
      </c>
    </row>
    <row r="166" spans="1:16" x14ac:dyDescent="0.25">
      <c r="A166" s="16">
        <v>434752</v>
      </c>
      <c r="B166" s="4">
        <f>INDEX([1]!PREDICT[TRUE PTS],MATCH($A166,[1]!PREDICT[HARD CODE],0))</f>
        <v>12.840059485410396</v>
      </c>
      <c r="C166" s="7" t="str">
        <f>INDEX([1]!MODEL[POS],MATCH($A166,[1]!MODEL[Code],0))</f>
        <v>DEF</v>
      </c>
      <c r="D166" s="7" t="str">
        <f>INDEX([1]!MODEL[TEAM],MATCH($A166,[1]!MODEL[Code],0))</f>
        <v>LEE</v>
      </c>
      <c r="E166" s="7">
        <f>INDEX([1]PREDICT!$M$3:$M$1001,MATCH($A166,[1]PREDICT!$B$3:$B$1001,0))</f>
        <v>5</v>
      </c>
      <c r="F166" s="15" t="str">
        <f>INDEX([1]!MODEL[FPL_Name],MATCH($A166,[1]!MODEL[Code],0))</f>
        <v>Jaka Bijol</v>
      </c>
      <c r="G166" s="10">
        <v>0</v>
      </c>
      <c r="H166" s="10">
        <v>0</v>
      </c>
      <c r="I166" s="10">
        <v>0</v>
      </c>
      <c r="J166" s="11">
        <f t="shared" si="11"/>
        <v>0</v>
      </c>
      <c r="K166" s="11">
        <f t="shared" si="12"/>
        <v>0</v>
      </c>
      <c r="L166" s="11">
        <f t="shared" si="13"/>
        <v>0</v>
      </c>
      <c r="M166" s="11">
        <v>0</v>
      </c>
      <c r="N166" s="11">
        <f t="shared" si="14"/>
        <v>0</v>
      </c>
      <c r="P166" s="13">
        <f t="shared" si="15"/>
        <v>0.51360237941641584</v>
      </c>
    </row>
    <row r="167" spans="1:16" x14ac:dyDescent="0.25">
      <c r="A167" s="16">
        <v>480455</v>
      </c>
      <c r="B167" s="4">
        <f>INDEX([1]!PREDICT[TRUE PTS],MATCH($A167,[1]!PREDICT[HARD CODE],0))</f>
        <v>13.961765295504694</v>
      </c>
      <c r="C167" s="7" t="str">
        <f>INDEX([1]!MODEL[POS],MATCH($A167,[1]!MODEL[Code],0))</f>
        <v>DEF</v>
      </c>
      <c r="D167" s="7" t="str">
        <f>INDEX([1]!MODEL[TEAM],MATCH($A167,[1]!MODEL[Code],0))</f>
        <v>EVE</v>
      </c>
      <c r="E167" s="7">
        <f>INDEX([1]PREDICT!$M$3:$M$1001,MATCH($A167,[1]PREDICT!$B$3:$B$1001,0))</f>
        <v>5.5</v>
      </c>
      <c r="F167" s="15" t="str">
        <f>INDEX([1]!MODEL[FPL_Name],MATCH($A167,[1]!MODEL[Code],0))</f>
        <v>Jarrad Branthwaite</v>
      </c>
      <c r="G167" s="10">
        <v>0</v>
      </c>
      <c r="H167" s="10">
        <v>0</v>
      </c>
      <c r="I167" s="10">
        <v>0</v>
      </c>
      <c r="J167" s="11">
        <f t="shared" si="11"/>
        <v>0</v>
      </c>
      <c r="K167" s="11">
        <f t="shared" si="12"/>
        <v>0</v>
      </c>
      <c r="L167" s="11">
        <f t="shared" si="13"/>
        <v>0</v>
      </c>
      <c r="M167" s="11">
        <v>0</v>
      </c>
      <c r="N167" s="11">
        <f t="shared" si="14"/>
        <v>0</v>
      </c>
      <c r="P167" s="13">
        <f t="shared" si="15"/>
        <v>0.50770055620017074</v>
      </c>
    </row>
    <row r="168" spans="1:16" x14ac:dyDescent="0.25">
      <c r="A168" s="16">
        <v>167074</v>
      </c>
      <c r="B168" s="4">
        <f>INDEX([1]!PREDICT[TRUE PTS],MATCH($A168,[1]!PREDICT[HARD CODE],0))</f>
        <v>12.776920049569574</v>
      </c>
      <c r="C168" s="7" t="str">
        <f>INDEX([1]!MODEL[POS],MATCH($A168,[1]!MODEL[Code],0))</f>
        <v>DEF</v>
      </c>
      <c r="D168" s="7" t="str">
        <f>INDEX([1]!MODEL[TEAM],MATCH($A168,[1]!MODEL[Code],0))</f>
        <v>FUL</v>
      </c>
      <c r="E168" s="7">
        <f>INDEX([1]PREDICT!$M$3:$M$1001,MATCH($A168,[1]PREDICT!$B$3:$B$1001,0))</f>
        <v>4.5</v>
      </c>
      <c r="F168" s="15" t="str">
        <f>INDEX([1]!MODEL[FPL_Name],MATCH($A168,[1]!MODEL[Code],0))</f>
        <v>Kenny Tete</v>
      </c>
      <c r="G168" s="10">
        <v>0</v>
      </c>
      <c r="H168" s="10">
        <v>0</v>
      </c>
      <c r="I168" s="10">
        <v>0</v>
      </c>
      <c r="J168" s="11">
        <f t="shared" si="11"/>
        <v>0</v>
      </c>
      <c r="K168" s="11">
        <f t="shared" si="12"/>
        <v>0</v>
      </c>
      <c r="L168" s="11">
        <f t="shared" si="13"/>
        <v>0</v>
      </c>
      <c r="M168" s="11">
        <v>0</v>
      </c>
      <c r="N168" s="11">
        <f t="shared" si="14"/>
        <v>0</v>
      </c>
      <c r="P168" s="13">
        <f t="shared" si="15"/>
        <v>0.56786311331420325</v>
      </c>
    </row>
    <row r="169" spans="1:16" x14ac:dyDescent="0.25">
      <c r="A169" s="16">
        <v>169528</v>
      </c>
      <c r="B169" s="4">
        <f>INDEX([1]!PREDICT[TRUE PTS],MATCH($A169,[1]!PREDICT[HARD CODE],0))</f>
        <v>12.690950470150367</v>
      </c>
      <c r="C169" s="7" t="str">
        <f>INDEX([1]!MODEL[POS],MATCH($A169,[1]!MODEL[Code],0))</f>
        <v>DEF</v>
      </c>
      <c r="D169" s="7" t="str">
        <f>INDEX([1]!MODEL[TEAM],MATCH($A169,[1]!MODEL[Code],0))</f>
        <v>FUL</v>
      </c>
      <c r="E169" s="7">
        <f>INDEX([1]PREDICT!$M$3:$M$1001,MATCH($A169,[1]PREDICT!$B$3:$B$1001,0))</f>
        <v>4.5</v>
      </c>
      <c r="F169" s="15" t="str">
        <f>INDEX([1]!MODEL[FPL_Name],MATCH($A169,[1]!MODEL[Code],0))</f>
        <v>Antonee Robinson</v>
      </c>
      <c r="G169" s="10">
        <v>0</v>
      </c>
      <c r="H169" s="10">
        <v>0</v>
      </c>
      <c r="I169" s="10">
        <v>0</v>
      </c>
      <c r="J169" s="11">
        <f t="shared" si="11"/>
        <v>0</v>
      </c>
      <c r="K169" s="11">
        <f t="shared" si="12"/>
        <v>0</v>
      </c>
      <c r="L169" s="11">
        <f t="shared" si="13"/>
        <v>0</v>
      </c>
      <c r="M169" s="11">
        <v>0</v>
      </c>
      <c r="N169" s="11">
        <f t="shared" si="14"/>
        <v>0</v>
      </c>
      <c r="P169" s="13">
        <f t="shared" si="15"/>
        <v>0.56404224311779416</v>
      </c>
    </row>
    <row r="170" spans="1:16" x14ac:dyDescent="0.25">
      <c r="A170" s="16">
        <v>465730</v>
      </c>
      <c r="B170" s="4">
        <f>INDEX([1]!PREDICT[TRUE PTS],MATCH($A170,[1]!PREDICT[HARD CODE],0))</f>
        <v>12.670655282549166</v>
      </c>
      <c r="C170" s="7" t="str">
        <f>INDEX([1]!MODEL[POS],MATCH($A170,[1]!MODEL[Code],0))</f>
        <v>DEF</v>
      </c>
      <c r="D170" s="7" t="str">
        <f>INDEX([1]!MODEL[TEAM],MATCH($A170,[1]!MODEL[Code],0))</f>
        <v>BHA</v>
      </c>
      <c r="E170" s="7">
        <f>INDEX([1]PREDICT!$M$3:$M$1001,MATCH($A170,[1]PREDICT!$B$3:$B$1001,0))</f>
        <v>4.5</v>
      </c>
      <c r="F170" s="15" t="str">
        <f>INDEX([1]!MODEL[FPL_Name],MATCH($A170,[1]!MODEL[Code],0))</f>
        <v>Maxim De Cuyper</v>
      </c>
      <c r="G170" s="10">
        <v>0</v>
      </c>
      <c r="H170" s="10">
        <v>0</v>
      </c>
      <c r="I170" s="10">
        <v>0</v>
      </c>
      <c r="J170" s="11">
        <f t="shared" si="11"/>
        <v>0</v>
      </c>
      <c r="K170" s="11">
        <f t="shared" si="12"/>
        <v>0</v>
      </c>
      <c r="L170" s="11">
        <f t="shared" si="13"/>
        <v>0</v>
      </c>
      <c r="M170" s="11">
        <v>0</v>
      </c>
      <c r="N170" s="11">
        <f t="shared" si="14"/>
        <v>0</v>
      </c>
      <c r="P170" s="13">
        <f t="shared" si="15"/>
        <v>0.563140234779963</v>
      </c>
    </row>
    <row r="171" spans="1:16" x14ac:dyDescent="0.25">
      <c r="A171" s="16">
        <v>195546</v>
      </c>
      <c r="B171" s="4">
        <f>INDEX([1]!PREDICT[TRUE PTS],MATCH($A171,[1]!PREDICT[HARD CODE],0))</f>
        <v>12.660235310368012</v>
      </c>
      <c r="C171" s="7" t="str">
        <f>INDEX([1]!MODEL[POS],MATCH($A171,[1]!MODEL[Code],0))</f>
        <v>MID</v>
      </c>
      <c r="D171" s="7" t="str">
        <f>INDEX([1]!MODEL[TEAM],MATCH($A171,[1]!MODEL[Code],0))</f>
        <v>AVL</v>
      </c>
      <c r="E171" s="7">
        <f>INDEX([1]PREDICT!$M$3:$M$1001,MATCH($A171,[1]PREDICT!$B$3:$B$1001,0))</f>
        <v>6</v>
      </c>
      <c r="F171" s="15" t="str">
        <f>INDEX([1]!MODEL[FPL_Name],MATCH($A171,[1]!MODEL[Code],0))</f>
        <v>Emiliano Buendía Stati</v>
      </c>
      <c r="G171" s="10">
        <v>0</v>
      </c>
      <c r="H171" s="10">
        <v>0</v>
      </c>
      <c r="I171" s="10">
        <v>0</v>
      </c>
      <c r="J171" s="11">
        <f t="shared" si="11"/>
        <v>0</v>
      </c>
      <c r="K171" s="11">
        <f t="shared" si="12"/>
        <v>0</v>
      </c>
      <c r="L171" s="11">
        <f t="shared" si="13"/>
        <v>0</v>
      </c>
      <c r="M171" s="11">
        <v>0</v>
      </c>
      <c r="N171" s="11">
        <f t="shared" si="14"/>
        <v>0</v>
      </c>
      <c r="P171" s="13">
        <f t="shared" si="15"/>
        <v>0.42200784367893374</v>
      </c>
    </row>
    <row r="172" spans="1:16" x14ac:dyDescent="0.25">
      <c r="A172" s="16">
        <v>433036</v>
      </c>
      <c r="B172" s="4">
        <f>INDEX([1]!PREDICT[TRUE PTS],MATCH($A172,[1]!PREDICT[HARD CODE],0))</f>
        <v>12.626727090918163</v>
      </c>
      <c r="C172" s="7" t="str">
        <f>INDEX([1]!MODEL[POS],MATCH($A172,[1]!MODEL[Code],0))</f>
        <v>MID</v>
      </c>
      <c r="D172" s="7" t="str">
        <f>INDEX([1]!MODEL[TEAM],MATCH($A172,[1]!MODEL[Code],0))</f>
        <v>MCI</v>
      </c>
      <c r="E172" s="7">
        <f>INDEX([1]PREDICT!$M$3:$M$1001,MATCH($A172,[1]PREDICT!$B$3:$B$1001,0))</f>
        <v>6</v>
      </c>
      <c r="F172" s="15" t="str">
        <f>INDEX([1]!MODEL[FPL_Name],MATCH($A172,[1]!MODEL[Code],0))</f>
        <v>Tijjani Reijnders</v>
      </c>
      <c r="G172" s="10">
        <v>0</v>
      </c>
      <c r="H172" s="10">
        <v>0</v>
      </c>
      <c r="I172" s="10">
        <v>0</v>
      </c>
      <c r="J172" s="11">
        <f t="shared" si="11"/>
        <v>0</v>
      </c>
      <c r="K172" s="11">
        <f t="shared" si="12"/>
        <v>0</v>
      </c>
      <c r="L172" s="11">
        <f t="shared" si="13"/>
        <v>0</v>
      </c>
      <c r="M172" s="11">
        <v>0</v>
      </c>
      <c r="N172" s="11">
        <f t="shared" si="14"/>
        <v>0</v>
      </c>
      <c r="P172" s="13">
        <f t="shared" si="15"/>
        <v>0.42089090303060539</v>
      </c>
    </row>
    <row r="173" spans="1:16" x14ac:dyDescent="0.25">
      <c r="A173" s="16">
        <v>482442</v>
      </c>
      <c r="B173" s="4">
        <f>INDEX([1]!PREDICT[TRUE PTS],MATCH($A173,[1]!PREDICT[HARD CODE],0))</f>
        <v>12.567292970551462</v>
      </c>
      <c r="C173" s="7" t="str">
        <f>INDEX([1]!MODEL[POS],MATCH($A173,[1]!MODEL[Code],0))</f>
        <v>MID</v>
      </c>
      <c r="D173" s="7" t="str">
        <f>INDEX([1]!MODEL[TEAM],MATCH($A173,[1]!MODEL[Code],0))</f>
        <v>TOT</v>
      </c>
      <c r="E173" s="7">
        <f>INDEX([1]PREDICT!$M$3:$M$1001,MATCH($A173,[1]PREDICT!$B$3:$B$1001,0))</f>
        <v>5</v>
      </c>
      <c r="F173" s="15" t="str">
        <f>INDEX([1]!MODEL[FPL_Name],MATCH($A173,[1]!MODEL[Code],0))</f>
        <v>Pape Matar Sarr</v>
      </c>
      <c r="G173" s="10">
        <v>0</v>
      </c>
      <c r="H173" s="10">
        <v>0</v>
      </c>
      <c r="I173" s="10">
        <v>0</v>
      </c>
      <c r="J173" s="11">
        <f t="shared" si="11"/>
        <v>0</v>
      </c>
      <c r="K173" s="11">
        <f t="shared" si="12"/>
        <v>0</v>
      </c>
      <c r="L173" s="11">
        <f t="shared" si="13"/>
        <v>0</v>
      </c>
      <c r="M173" s="11">
        <v>0</v>
      </c>
      <c r="N173" s="11">
        <f t="shared" si="14"/>
        <v>0</v>
      </c>
      <c r="P173" s="13">
        <f t="shared" si="15"/>
        <v>0.50269171882205854</v>
      </c>
    </row>
    <row r="174" spans="1:16" x14ac:dyDescent="0.25">
      <c r="A174" s="16">
        <v>200785</v>
      </c>
      <c r="B174" s="4">
        <f>INDEX([1]!PREDICT[TRUE PTS],MATCH($A174,[1]!PREDICT[HARD CODE],0))</f>
        <v>12.479112014805821</v>
      </c>
      <c r="C174" s="7" t="str">
        <f>INDEX([1]!MODEL[POS],MATCH($A174,[1]!MODEL[Code],0))</f>
        <v>MID</v>
      </c>
      <c r="D174" s="7" t="str">
        <f>INDEX([1]!MODEL[TEAM],MATCH($A174,[1]!MODEL[Code],0))</f>
        <v>BOU</v>
      </c>
      <c r="E174" s="7">
        <f>INDEX([1]PREDICT!$M$3:$M$1001,MATCH($A174,[1]PREDICT!$B$3:$B$1001,0))</f>
        <v>5</v>
      </c>
      <c r="F174" s="15" t="str">
        <f>INDEX([1]!MODEL[FPL_Name],MATCH($A174,[1]!MODEL[Code],0))</f>
        <v>Tyler Adams</v>
      </c>
      <c r="G174" s="10">
        <v>0</v>
      </c>
      <c r="H174" s="10">
        <v>0</v>
      </c>
      <c r="I174" s="10">
        <v>0</v>
      </c>
      <c r="J174" s="11">
        <f t="shared" si="11"/>
        <v>0</v>
      </c>
      <c r="K174" s="11">
        <f t="shared" si="12"/>
        <v>0</v>
      </c>
      <c r="L174" s="11">
        <f t="shared" si="13"/>
        <v>0</v>
      </c>
      <c r="M174" s="11">
        <v>0</v>
      </c>
      <c r="N174" s="11">
        <f t="shared" si="14"/>
        <v>0</v>
      </c>
      <c r="P174" s="13">
        <f t="shared" si="15"/>
        <v>0.4991644805922329</v>
      </c>
    </row>
    <row r="175" spans="1:16" x14ac:dyDescent="0.25">
      <c r="A175" s="16">
        <v>180135</v>
      </c>
      <c r="B175" s="4">
        <f>INDEX([1]!PREDICT[TRUE PTS],MATCH($A175,[1]!PREDICT[HARD CODE],0))</f>
        <v>12.386248975757237</v>
      </c>
      <c r="C175" s="7" t="str">
        <f>INDEX([1]!MODEL[POS],MATCH($A175,[1]!MODEL[Code],0))</f>
        <v>MID</v>
      </c>
      <c r="D175" s="7" t="str">
        <f>INDEX([1]!MODEL[TEAM],MATCH($A175,[1]!MODEL[Code],0))</f>
        <v>LEE</v>
      </c>
      <c r="E175" s="7">
        <f>INDEX([1]PREDICT!$M$3:$M$1001,MATCH($A175,[1]PREDICT!$B$3:$B$1001,0))</f>
        <v>5</v>
      </c>
      <c r="F175" s="15" t="str">
        <f>INDEX([1]!MODEL[FPL_Name],MATCH($A175,[1]!MODEL[Code],0))</f>
        <v>Sean Longstaff</v>
      </c>
      <c r="G175" s="10">
        <v>0</v>
      </c>
      <c r="H175" s="10">
        <v>0</v>
      </c>
      <c r="I175" s="10">
        <v>0</v>
      </c>
      <c r="J175" s="11">
        <f t="shared" si="11"/>
        <v>0</v>
      </c>
      <c r="K175" s="11">
        <f t="shared" si="12"/>
        <v>0</v>
      </c>
      <c r="L175" s="11">
        <f t="shared" si="13"/>
        <v>0</v>
      </c>
      <c r="M175" s="11">
        <v>0</v>
      </c>
      <c r="N175" s="11">
        <f t="shared" si="14"/>
        <v>0</v>
      </c>
      <c r="P175" s="13">
        <f t="shared" si="15"/>
        <v>0.49544995903028949</v>
      </c>
    </row>
    <row r="176" spans="1:16" x14ac:dyDescent="0.25">
      <c r="A176" s="16">
        <v>441264</v>
      </c>
      <c r="B176" s="4">
        <f>INDEX([1]!PREDICT[TRUE PTS],MATCH($A176,[1]!PREDICT[HARD CODE],0))</f>
        <v>12.329360050629777</v>
      </c>
      <c r="C176" s="7" t="str">
        <f>INDEX([1]!MODEL[POS],MATCH($A176,[1]!MODEL[Code],0))</f>
        <v>FWD</v>
      </c>
      <c r="D176" s="7" t="str">
        <f>INDEX([1]!MODEL[TEAM],MATCH($A176,[1]!MODEL[Code],0))</f>
        <v>SUN</v>
      </c>
      <c r="E176" s="7">
        <f>INDEX([1]PREDICT!$M$3:$M$1001,MATCH($A176,[1]PREDICT!$B$3:$B$1001,0))</f>
        <v>6</v>
      </c>
      <c r="F176" s="15" t="str">
        <f>INDEX([1]!MODEL[FPL_Name],MATCH($A176,[1]!MODEL[Code],0))</f>
        <v>Brian Brobbey</v>
      </c>
      <c r="G176" s="10">
        <v>0</v>
      </c>
      <c r="H176" s="10">
        <v>0</v>
      </c>
      <c r="I176" s="10">
        <v>0</v>
      </c>
      <c r="J176" s="11">
        <f t="shared" si="11"/>
        <v>0</v>
      </c>
      <c r="K176" s="11">
        <f t="shared" si="12"/>
        <v>0</v>
      </c>
      <c r="L176" s="11">
        <f t="shared" si="13"/>
        <v>0</v>
      </c>
      <c r="M176" s="11">
        <v>0</v>
      </c>
      <c r="N176" s="11">
        <f t="shared" si="14"/>
        <v>0</v>
      </c>
      <c r="P176" s="13">
        <f t="shared" si="15"/>
        <v>0.41097866835432589</v>
      </c>
    </row>
    <row r="177" spans="1:16" x14ac:dyDescent="0.25">
      <c r="A177" s="16">
        <v>434399</v>
      </c>
      <c r="B177" s="4">
        <f>INDEX([1]!PREDICT[TRUE PTS],MATCH($A177,[1]!PREDICT[HARD CODE],0))</f>
        <v>12.284221513754247</v>
      </c>
      <c r="C177" s="7" t="str">
        <f>INDEX([1]!MODEL[POS],MATCH($A177,[1]!MODEL[Code],0))</f>
        <v>DEF</v>
      </c>
      <c r="D177" s="7" t="str">
        <f>INDEX([1]!MODEL[TEAM],MATCH($A177,[1]!MODEL[Code],0))</f>
        <v>SUN</v>
      </c>
      <c r="E177" s="7">
        <f>INDEX([1]PREDICT!$M$3:$M$1001,MATCH($A177,[1]PREDICT!$B$3:$B$1001,0))</f>
        <v>4.5</v>
      </c>
      <c r="F177" s="15" t="str">
        <f>INDEX([1]!MODEL[FPL_Name],MATCH($A177,[1]!MODEL[Code],0))</f>
        <v>Reinildo Mandava</v>
      </c>
      <c r="G177" s="10">
        <v>0</v>
      </c>
      <c r="H177" s="10">
        <v>0</v>
      </c>
      <c r="I177" s="10">
        <v>0</v>
      </c>
      <c r="J177" s="11">
        <f t="shared" si="11"/>
        <v>0</v>
      </c>
      <c r="K177" s="11">
        <f t="shared" si="12"/>
        <v>0</v>
      </c>
      <c r="L177" s="11">
        <f t="shared" si="13"/>
        <v>0</v>
      </c>
      <c r="M177" s="11">
        <v>0</v>
      </c>
      <c r="N177" s="11">
        <f t="shared" si="14"/>
        <v>0</v>
      </c>
      <c r="P177" s="13">
        <f t="shared" si="15"/>
        <v>0.54596540061129983</v>
      </c>
    </row>
    <row r="178" spans="1:16" x14ac:dyDescent="0.25">
      <c r="A178" s="16">
        <v>249231</v>
      </c>
      <c r="B178" s="4">
        <f>INDEX([1]!PREDICT[TRUE PTS],MATCH($A178,[1]!PREDICT[HARD CODE],0))</f>
        <v>12.08309707977768</v>
      </c>
      <c r="C178" s="7" t="str">
        <f>INDEX([1]!MODEL[POS],MATCH($A178,[1]!MODEL[Code],0))</f>
        <v>MID</v>
      </c>
      <c r="D178" s="7" t="str">
        <f>INDEX([1]!MODEL[TEAM],MATCH($A178,[1]!MODEL[Code],0))</f>
        <v>BRE</v>
      </c>
      <c r="E178" s="7">
        <f>INDEX([1]PREDICT!$M$3:$M$1001,MATCH($A178,[1]PREDICT!$B$3:$B$1001,0))</f>
        <v>5.5</v>
      </c>
      <c r="F178" s="15" t="str">
        <f>INDEX([1]!MODEL[FPL_Name],MATCH($A178,[1]!MODEL[Code],0))</f>
        <v>Keane Lewis-Potter</v>
      </c>
      <c r="G178" s="10">
        <v>0</v>
      </c>
      <c r="H178" s="10">
        <v>0</v>
      </c>
      <c r="I178" s="10">
        <v>0</v>
      </c>
      <c r="J178" s="11">
        <f t="shared" si="11"/>
        <v>0</v>
      </c>
      <c r="K178" s="11">
        <f t="shared" si="12"/>
        <v>0</v>
      </c>
      <c r="L178" s="11">
        <f t="shared" si="13"/>
        <v>0</v>
      </c>
      <c r="M178" s="11">
        <v>0</v>
      </c>
      <c r="N178" s="11">
        <f t="shared" si="14"/>
        <v>0</v>
      </c>
      <c r="P178" s="13">
        <f t="shared" si="15"/>
        <v>0.43938534835555199</v>
      </c>
    </row>
    <row r="179" spans="1:16" x14ac:dyDescent="0.25">
      <c r="A179" s="16">
        <v>212314</v>
      </c>
      <c r="B179" s="4">
        <f>INDEX([1]!PREDICT[TRUE PTS],MATCH($A179,[1]!PREDICT[HARD CODE],0))</f>
        <v>11.943061194435412</v>
      </c>
      <c r="C179" s="7" t="str">
        <f>INDEX([1]!MODEL[POS],MATCH($A179,[1]!MODEL[Code],0))</f>
        <v>MID</v>
      </c>
      <c r="D179" s="7" t="str">
        <f>INDEX([1]!MODEL[TEAM],MATCH($A179,[1]!MODEL[Code],0))</f>
        <v>FUL</v>
      </c>
      <c r="E179" s="7">
        <f>INDEX([1]PREDICT!$M$3:$M$1001,MATCH($A179,[1]PREDICT!$B$3:$B$1001,0))</f>
        <v>5</v>
      </c>
      <c r="F179" s="15" t="str">
        <f>INDEX([1]!MODEL[FPL_Name],MATCH($A179,[1]!MODEL[Code],0))</f>
        <v>Saša Lukić</v>
      </c>
      <c r="G179" s="10">
        <v>0</v>
      </c>
      <c r="H179" s="10">
        <v>0</v>
      </c>
      <c r="I179" s="10">
        <v>0</v>
      </c>
      <c r="J179" s="11">
        <f t="shared" si="11"/>
        <v>0</v>
      </c>
      <c r="K179" s="11">
        <f t="shared" si="12"/>
        <v>0</v>
      </c>
      <c r="L179" s="11">
        <f t="shared" si="13"/>
        <v>0</v>
      </c>
      <c r="M179" s="11">
        <v>0</v>
      </c>
      <c r="N179" s="11">
        <f t="shared" si="14"/>
        <v>0</v>
      </c>
      <c r="P179" s="13">
        <f t="shared" si="15"/>
        <v>0.47772244777741646</v>
      </c>
    </row>
    <row r="180" spans="1:16" x14ac:dyDescent="0.25">
      <c r="A180" s="16">
        <v>75115</v>
      </c>
      <c r="B180" s="4">
        <f>INDEX([1]!PREDICT[TRUE PTS],MATCH($A180,[1]!PREDICT[HARD CODE],0))</f>
        <v>2.8348362831418319</v>
      </c>
      <c r="C180" s="7" t="str">
        <f>INDEX([1]!MODEL[POS],MATCH($A180,[1]!MODEL[Code],0))</f>
        <v>FWD</v>
      </c>
      <c r="D180" s="7" t="str">
        <f>INDEX([1]!MODEL[TEAM],MATCH($A180,[1]!MODEL[Code],0))</f>
        <v>BRE</v>
      </c>
      <c r="E180" s="7">
        <f>INDEX([1]PREDICT!$M$3:$M$1001,MATCH($A180,[1]PREDICT!$B$3:$B$1001,0))</f>
        <v>5.5</v>
      </c>
      <c r="F180" s="15" t="str">
        <f>INDEX([1]!MODEL[FPL_Name],MATCH($A180,[1]!MODEL[Code],0))</f>
        <v>Callum Wilson</v>
      </c>
      <c r="G180" s="10">
        <v>0</v>
      </c>
      <c r="H180" s="10">
        <v>0</v>
      </c>
      <c r="I180" s="10">
        <v>0</v>
      </c>
      <c r="J180" s="11">
        <f t="shared" si="11"/>
        <v>0</v>
      </c>
      <c r="K180" s="11">
        <f t="shared" si="12"/>
        <v>0</v>
      </c>
      <c r="L180" s="11">
        <f t="shared" si="13"/>
        <v>0</v>
      </c>
      <c r="M180" s="11">
        <v>0</v>
      </c>
      <c r="N180" s="11">
        <f t="shared" si="14"/>
        <v>0</v>
      </c>
      <c r="P180" s="13">
        <f t="shared" si="15"/>
        <v>0.10308495575061208</v>
      </c>
    </row>
    <row r="181" spans="1:16" x14ac:dyDescent="0.25">
      <c r="A181" s="16">
        <v>607464</v>
      </c>
      <c r="B181" s="4">
        <f>INDEX([1]!PREDICT[TRUE PTS],MATCH($A181,[1]!PREDICT[HARD CODE],0))</f>
        <v>15.50780204124567</v>
      </c>
      <c r="C181" s="7" t="str">
        <f>INDEX([1]!MODEL[POS],MATCH($A181,[1]!MODEL[Code],0))</f>
        <v>DEF</v>
      </c>
      <c r="D181" s="7" t="str">
        <f>INDEX([1]!MODEL[TEAM],MATCH($A181,[1]!MODEL[Code],0))</f>
        <v>BRE</v>
      </c>
      <c r="E181" s="7">
        <f>INDEX([1]PREDICT!$M$3:$M$1001,MATCH($A181,[1]PREDICT!$B$3:$B$1001,0))</f>
        <v>4.5</v>
      </c>
      <c r="F181" s="15" t="str">
        <f>INDEX([1]!MODEL[FPL_Name],MATCH($A181,[1]!MODEL[Code],0))</f>
        <v>Michael Kayode</v>
      </c>
      <c r="G181" s="10">
        <v>0</v>
      </c>
      <c r="H181" s="10">
        <v>0</v>
      </c>
      <c r="I181" s="10">
        <v>0</v>
      </c>
      <c r="J181" s="11">
        <f t="shared" si="11"/>
        <v>0</v>
      </c>
      <c r="K181" s="11">
        <f t="shared" si="12"/>
        <v>0</v>
      </c>
      <c r="L181" s="11">
        <f t="shared" si="13"/>
        <v>0</v>
      </c>
      <c r="M181" s="11">
        <v>0</v>
      </c>
      <c r="N181" s="11">
        <f t="shared" si="14"/>
        <v>0</v>
      </c>
      <c r="P181" s="13">
        <f t="shared" si="15"/>
        <v>0.68923564627758538</v>
      </c>
    </row>
    <row r="182" spans="1:16" x14ac:dyDescent="0.25">
      <c r="A182" s="16">
        <v>232859</v>
      </c>
      <c r="B182" s="4">
        <f>INDEX([1]!PREDICT[TRUE PTS],MATCH($A182,[1]!PREDICT[HARD CODE],0))</f>
        <v>11.900912746577578</v>
      </c>
      <c r="C182" s="7" t="str">
        <f>INDEX([1]!MODEL[POS],MATCH($A182,[1]!MODEL[Code],0))</f>
        <v>DEF</v>
      </c>
      <c r="D182" s="7" t="str">
        <f>INDEX([1]!MODEL[TEAM],MATCH($A182,[1]!MODEL[Code],0))</f>
        <v>TOT</v>
      </c>
      <c r="E182" s="7">
        <f>INDEX([1]PREDICT!$M$3:$M$1001,MATCH($A182,[1]PREDICT!$B$3:$B$1001,0))</f>
        <v>4.5</v>
      </c>
      <c r="F182" s="15" t="str">
        <f>INDEX([1]!MODEL[FPL_Name],MATCH($A182,[1]!MODEL[Code],0))</f>
        <v>Djed Spence</v>
      </c>
      <c r="G182" s="10">
        <v>0</v>
      </c>
      <c r="H182" s="10">
        <v>0</v>
      </c>
      <c r="I182" s="10">
        <v>0</v>
      </c>
      <c r="J182" s="11">
        <f t="shared" si="11"/>
        <v>0</v>
      </c>
      <c r="K182" s="11">
        <f t="shared" si="12"/>
        <v>0</v>
      </c>
      <c r="L182" s="11">
        <f t="shared" si="13"/>
        <v>0</v>
      </c>
      <c r="M182" s="11">
        <v>0</v>
      </c>
      <c r="N182" s="11">
        <f t="shared" si="14"/>
        <v>0</v>
      </c>
      <c r="P182" s="13">
        <f t="shared" si="15"/>
        <v>0.52892945540344793</v>
      </c>
    </row>
    <row r="183" spans="1:16" x14ac:dyDescent="0.25">
      <c r="A183" s="16">
        <v>493105</v>
      </c>
      <c r="B183" s="4">
        <f>INDEX([1]!PREDICT[TRUE PTS],MATCH($A183,[1]!PREDICT[HARD CODE],0))</f>
        <v>11.869311292208456</v>
      </c>
      <c r="C183" s="7" t="str">
        <f>INDEX([1]!MODEL[POS],MATCH($A183,[1]!MODEL[Code],0))</f>
        <v>MID</v>
      </c>
      <c r="D183" s="7" t="str">
        <f>INDEX([1]!MODEL[TEAM],MATCH($A183,[1]!MODEL[Code],0))</f>
        <v>AVL</v>
      </c>
      <c r="E183" s="7">
        <f>INDEX([1]PREDICT!$M$3:$M$1001,MATCH($A183,[1]PREDICT!$B$3:$B$1001,0))</f>
        <v>6</v>
      </c>
      <c r="F183" s="15" t="str">
        <f>INDEX([1]!MODEL[FPL_Name],MATCH($A183,[1]!MODEL[Code],0))</f>
        <v>Alejandro Garnacho Ferreyra</v>
      </c>
      <c r="G183" s="10">
        <v>0</v>
      </c>
      <c r="H183" s="10">
        <v>0</v>
      </c>
      <c r="I183" s="10">
        <v>0</v>
      </c>
      <c r="J183" s="11">
        <f t="shared" si="11"/>
        <v>0</v>
      </c>
      <c r="K183" s="11">
        <f t="shared" si="12"/>
        <v>0</v>
      </c>
      <c r="L183" s="11">
        <f t="shared" si="13"/>
        <v>0</v>
      </c>
      <c r="M183" s="11">
        <v>0</v>
      </c>
      <c r="N183" s="11">
        <f t="shared" si="14"/>
        <v>0</v>
      </c>
      <c r="P183" s="13">
        <f t="shared" si="15"/>
        <v>0.3956437097402819</v>
      </c>
    </row>
    <row r="184" spans="1:16" x14ac:dyDescent="0.25">
      <c r="A184" s="16">
        <v>204580</v>
      </c>
      <c r="B184" s="4">
        <f>INDEX([1]!PREDICT[TRUE PTS],MATCH($A184,[1]!PREDICT[HARD CODE],0))</f>
        <v>11.802963579688335</v>
      </c>
      <c r="C184" s="7" t="str">
        <f>INDEX([1]!MODEL[POS],MATCH($A184,[1]!MODEL[Code],0))</f>
        <v>MID</v>
      </c>
      <c r="D184" s="7" t="str">
        <f>INDEX([1]!MODEL[TEAM],MATCH($A184,[1]!MODEL[Code],0))</f>
        <v>BRE</v>
      </c>
      <c r="E184" s="7">
        <f>INDEX([1]PREDICT!$M$3:$M$1001,MATCH($A184,[1]PREDICT!$B$3:$B$1001,0))</f>
        <v>5</v>
      </c>
      <c r="F184" s="15" t="str">
        <f>INDEX([1]!MODEL[FPL_Name],MATCH($A184,[1]!MODEL[Code],0))</f>
        <v>Vitaly Janelt</v>
      </c>
      <c r="G184" s="10">
        <v>0</v>
      </c>
      <c r="H184" s="10">
        <v>0</v>
      </c>
      <c r="I184" s="10">
        <v>0</v>
      </c>
      <c r="J184" s="11">
        <f t="shared" si="11"/>
        <v>0</v>
      </c>
      <c r="K184" s="11">
        <f t="shared" si="12"/>
        <v>0</v>
      </c>
      <c r="L184" s="11">
        <f t="shared" si="13"/>
        <v>0</v>
      </c>
      <c r="M184" s="11">
        <v>0</v>
      </c>
      <c r="N184" s="11">
        <f t="shared" si="14"/>
        <v>0</v>
      </c>
      <c r="P184" s="13">
        <f t="shared" si="15"/>
        <v>0.47211854318753338</v>
      </c>
    </row>
    <row r="185" spans="1:16" x14ac:dyDescent="0.25">
      <c r="A185" s="16">
        <v>114243</v>
      </c>
      <c r="B185" s="4">
        <f>INDEX([1]!PREDICT[TRUE PTS],MATCH($A185,[1]!PREDICT[HARD CODE],0))</f>
        <v>11.793607465758171</v>
      </c>
      <c r="C185" s="7" t="str">
        <f>INDEX([1]!MODEL[POS],MATCH($A185,[1]!MODEL[Code],0))</f>
        <v>MID</v>
      </c>
      <c r="D185" s="7" t="str">
        <f>INDEX([1]!MODEL[TEAM],MATCH($A185,[1]!MODEL[Code],0))</f>
        <v>NEW</v>
      </c>
      <c r="E185" s="7">
        <f>INDEX([1]PREDICT!$M$3:$M$1001,MATCH($A185,[1]PREDICT!$B$3:$B$1001,0))</f>
        <v>6</v>
      </c>
      <c r="F185" s="15" t="str">
        <f>INDEX([1]!MODEL[FPL_Name],MATCH($A185,[1]!MODEL[Code],0))</f>
        <v>Jacob Murphy</v>
      </c>
      <c r="G185" s="10">
        <v>0</v>
      </c>
      <c r="H185" s="10">
        <v>0</v>
      </c>
      <c r="I185" s="10">
        <v>0</v>
      </c>
      <c r="J185" s="11">
        <f t="shared" si="11"/>
        <v>0</v>
      </c>
      <c r="K185" s="11">
        <f t="shared" si="12"/>
        <v>0</v>
      </c>
      <c r="L185" s="11">
        <f t="shared" si="13"/>
        <v>0</v>
      </c>
      <c r="M185" s="11">
        <v>0</v>
      </c>
      <c r="N185" s="11">
        <f t="shared" si="14"/>
        <v>0</v>
      </c>
      <c r="P185" s="13">
        <f t="shared" si="15"/>
        <v>0.39312024885860575</v>
      </c>
    </row>
    <row r="186" spans="1:16" x14ac:dyDescent="0.25">
      <c r="A186" s="16">
        <v>448514</v>
      </c>
      <c r="B186" s="4">
        <f>INDEX([1]!PREDICT[TRUE PTS],MATCH($A186,[1]!PREDICT[HARD CODE],0))</f>
        <v>11.656305361341332</v>
      </c>
      <c r="C186" s="7" t="str">
        <f>INDEX([1]!MODEL[POS],MATCH($A186,[1]!MODEL[Code],0))</f>
        <v>DEF</v>
      </c>
      <c r="D186" s="7" t="str">
        <f>INDEX([1]!MODEL[TEAM],MATCH($A186,[1]!MODEL[Code],0))</f>
        <v>MCI</v>
      </c>
      <c r="E186" s="7">
        <f>INDEX([1]PREDICT!$M$3:$M$1001,MATCH($A186,[1]PREDICT!$B$3:$B$1001,0))</f>
        <v>5.5</v>
      </c>
      <c r="F186" s="15" t="str">
        <f>INDEX([1]!MODEL[FPL_Name],MATCH($A186,[1]!MODEL[Code],0))</f>
        <v>Rayan Aït-Nouri</v>
      </c>
      <c r="G186" s="10">
        <v>0</v>
      </c>
      <c r="H186" s="10">
        <v>0</v>
      </c>
      <c r="I186" s="10">
        <v>0</v>
      </c>
      <c r="J186" s="11">
        <f t="shared" si="11"/>
        <v>0</v>
      </c>
      <c r="K186" s="11">
        <f t="shared" si="12"/>
        <v>0</v>
      </c>
      <c r="L186" s="11">
        <f t="shared" si="13"/>
        <v>0</v>
      </c>
      <c r="M186" s="11">
        <v>0</v>
      </c>
      <c r="N186" s="11">
        <f t="shared" si="14"/>
        <v>0</v>
      </c>
      <c r="P186" s="13">
        <f t="shared" si="15"/>
        <v>0.42386564950332117</v>
      </c>
    </row>
    <row r="187" spans="1:16" x14ac:dyDescent="0.25">
      <c r="A187" s="16">
        <v>209289</v>
      </c>
      <c r="B187" s="4">
        <f>INDEX([1]!PREDICT[TRUE PTS],MATCH($A187,[1]!PREDICT[HARD CODE],0))</f>
        <v>11.616760458261114</v>
      </c>
      <c r="C187" s="7" t="str">
        <f>INDEX([1]!MODEL[POS],MATCH($A187,[1]!MODEL[Code],0))</f>
        <v>MID</v>
      </c>
      <c r="D187" s="7" t="str">
        <f>INDEX([1]!MODEL[TEAM],MATCH($A187,[1]!MODEL[Code],0))</f>
        <v>FUL</v>
      </c>
      <c r="E187" s="7">
        <f>INDEX([1]PREDICT!$M$3:$M$1001,MATCH($A187,[1]PREDICT!$B$3:$B$1001,0))</f>
        <v>5.5</v>
      </c>
      <c r="F187" s="15" t="str">
        <f>INDEX([1]!MODEL[FPL_Name],MATCH($A187,[1]!MODEL[Code],0))</f>
        <v>Emile Smith Rowe</v>
      </c>
      <c r="G187" s="10">
        <v>0</v>
      </c>
      <c r="H187" s="10">
        <v>0</v>
      </c>
      <c r="I187" s="10">
        <v>0</v>
      </c>
      <c r="J187" s="11">
        <f t="shared" si="11"/>
        <v>0</v>
      </c>
      <c r="K187" s="11">
        <f t="shared" si="12"/>
        <v>0</v>
      </c>
      <c r="L187" s="11">
        <f t="shared" si="13"/>
        <v>0</v>
      </c>
      <c r="M187" s="11">
        <v>0</v>
      </c>
      <c r="N187" s="11">
        <f t="shared" si="14"/>
        <v>0</v>
      </c>
      <c r="P187" s="13">
        <f t="shared" si="15"/>
        <v>0.42242765302767687</v>
      </c>
    </row>
    <row r="188" spans="1:16" x14ac:dyDescent="0.25">
      <c r="A188" s="16">
        <v>101188</v>
      </c>
      <c r="B188" s="4">
        <f>INDEX([1]!PREDICT[TRUE PTS],MATCH($A188,[1]!PREDICT[HARD CODE],0))</f>
        <v>11.544211865399872</v>
      </c>
      <c r="C188" s="7" t="str">
        <f>INDEX([1]!MODEL[POS],MATCH($A188,[1]!MODEL[Code],0))</f>
        <v>DEF</v>
      </c>
      <c r="D188" s="7" t="str">
        <f>INDEX([1]!MODEL[TEAM],MATCH($A188,[1]!MODEL[Code],0))</f>
        <v>AVL</v>
      </c>
      <c r="E188" s="7">
        <f>INDEX([1]PREDICT!$M$3:$M$1001,MATCH($A188,[1]PREDICT!$B$3:$B$1001,0))</f>
        <v>4.5</v>
      </c>
      <c r="F188" s="15" t="str">
        <f>INDEX([1]!MODEL[FPL_Name],MATCH($A188,[1]!MODEL[Code],0))</f>
        <v>Lucas Digne</v>
      </c>
      <c r="G188" s="10">
        <v>0</v>
      </c>
      <c r="H188" s="10">
        <v>0</v>
      </c>
      <c r="I188" s="10">
        <v>0</v>
      </c>
      <c r="J188" s="11">
        <f t="shared" si="11"/>
        <v>0</v>
      </c>
      <c r="K188" s="11">
        <f t="shared" si="12"/>
        <v>0</v>
      </c>
      <c r="L188" s="11">
        <f t="shared" si="13"/>
        <v>0</v>
      </c>
      <c r="M188" s="11">
        <v>0</v>
      </c>
      <c r="N188" s="11">
        <f t="shared" si="14"/>
        <v>0</v>
      </c>
      <c r="P188" s="13">
        <f t="shared" si="15"/>
        <v>0.51307608290666096</v>
      </c>
    </row>
    <row r="189" spans="1:16" x14ac:dyDescent="0.25">
      <c r="A189" s="16">
        <v>544877</v>
      </c>
      <c r="B189" s="4">
        <f>INDEX([1]!PREDICT[TRUE PTS],MATCH($A189,[1]!PREDICT[HARD CODE],0))</f>
        <v>11.541691998445421</v>
      </c>
      <c r="C189" s="7" t="str">
        <f>INDEX([1]!MODEL[POS],MATCH($A189,[1]!MODEL[Code],0))</f>
        <v>DEF</v>
      </c>
      <c r="D189" s="7" t="str">
        <f>INDEX([1]!MODEL[TEAM],MATCH($A189,[1]!MODEL[Code],0))</f>
        <v>LIV</v>
      </c>
      <c r="E189" s="7">
        <f>INDEX([1]PREDICT!$M$3:$M$1001,MATCH($A189,[1]PREDICT!$B$3:$B$1001,0))</f>
        <v>5.5</v>
      </c>
      <c r="F189" s="15" t="str">
        <f>INDEX([1]!MODEL[FPL_Name],MATCH($A189,[1]!MODEL[Code],0))</f>
        <v>Milos Kerkez</v>
      </c>
      <c r="G189" s="10">
        <v>0</v>
      </c>
      <c r="H189" s="10">
        <v>0</v>
      </c>
      <c r="I189" s="10">
        <v>0</v>
      </c>
      <c r="J189" s="11">
        <f t="shared" si="11"/>
        <v>0</v>
      </c>
      <c r="K189" s="11">
        <f t="shared" si="12"/>
        <v>0</v>
      </c>
      <c r="L189" s="11">
        <f t="shared" si="13"/>
        <v>0</v>
      </c>
      <c r="M189" s="11">
        <v>0</v>
      </c>
      <c r="N189" s="11">
        <f t="shared" si="14"/>
        <v>0</v>
      </c>
      <c r="P189" s="13">
        <f t="shared" si="15"/>
        <v>0.41969789085256071</v>
      </c>
    </row>
    <row r="190" spans="1:16" x14ac:dyDescent="0.25">
      <c r="A190" s="16">
        <v>248857</v>
      </c>
      <c r="B190" s="4">
        <f>INDEX([1]!PREDICT[TRUE PTS],MATCH($A190,[1]!PREDICT[HARD CODE],0))</f>
        <v>11.514050455713376</v>
      </c>
      <c r="C190" s="7" t="str">
        <f>INDEX([1]!MODEL[POS],MATCH($A190,[1]!MODEL[Code],0))</f>
        <v>MID</v>
      </c>
      <c r="D190" s="7" t="str">
        <f>INDEX([1]!MODEL[TEAM],MATCH($A190,[1]!MODEL[Code],0))</f>
        <v>ARS</v>
      </c>
      <c r="E190" s="7">
        <f>INDEX([1]PREDICT!$M$3:$M$1001,MATCH($A190,[1]PREDICT!$B$3:$B$1001,0))</f>
        <v>6.5</v>
      </c>
      <c r="F190" s="15" t="str">
        <f>INDEX([1]!MODEL[FPL_Name],MATCH($A190,[1]!MODEL[Code],0))</f>
        <v>Noni Madueke</v>
      </c>
      <c r="G190" s="10">
        <v>0</v>
      </c>
      <c r="H190" s="10">
        <v>0</v>
      </c>
      <c r="I190" s="10">
        <v>0</v>
      </c>
      <c r="J190" s="11">
        <f t="shared" si="11"/>
        <v>0</v>
      </c>
      <c r="K190" s="11">
        <f t="shared" si="12"/>
        <v>0</v>
      </c>
      <c r="L190" s="11">
        <f t="shared" si="13"/>
        <v>0</v>
      </c>
      <c r="M190" s="11">
        <v>0</v>
      </c>
      <c r="N190" s="11">
        <f t="shared" si="14"/>
        <v>0</v>
      </c>
      <c r="P190" s="13">
        <f t="shared" si="15"/>
        <v>0.35427847556041153</v>
      </c>
    </row>
    <row r="191" spans="1:16" x14ac:dyDescent="0.25">
      <c r="A191" s="16">
        <v>219168</v>
      </c>
      <c r="B191" s="4">
        <f>INDEX([1]!PREDICT[TRUE PTS],MATCH($A191,[1]!PREDICT[HARD CODE],0))</f>
        <v>11.446579594995711</v>
      </c>
      <c r="C191" s="7" t="str">
        <f>INDEX([1]!MODEL[POS],MATCH($A191,[1]!MODEL[Code],0))</f>
        <v>FWD</v>
      </c>
      <c r="D191" s="7" t="str">
        <f>INDEX([1]!MODEL[TEAM],MATCH($A191,[1]!MODEL[Code],0))</f>
        <v>LIV</v>
      </c>
      <c r="E191" s="7">
        <f>INDEX([1]PREDICT!$M$3:$M$1001,MATCH($A191,[1]PREDICT!$B$3:$B$1001,0))</f>
        <v>9</v>
      </c>
      <c r="F191" s="15" t="str">
        <f>INDEX([1]!MODEL[FPL_Name],MATCH($A191,[1]!MODEL[Code],0))</f>
        <v>Alexander Isak</v>
      </c>
      <c r="G191" s="10">
        <v>0</v>
      </c>
      <c r="H191" s="10">
        <v>0</v>
      </c>
      <c r="I191" s="10">
        <v>0</v>
      </c>
      <c r="J191" s="11">
        <f t="shared" si="11"/>
        <v>0</v>
      </c>
      <c r="K191" s="11">
        <f t="shared" si="12"/>
        <v>0</v>
      </c>
      <c r="L191" s="11">
        <f t="shared" si="13"/>
        <v>0</v>
      </c>
      <c r="M191" s="11">
        <v>0</v>
      </c>
      <c r="N191" s="11">
        <f t="shared" si="14"/>
        <v>0</v>
      </c>
      <c r="P191" s="13">
        <f t="shared" si="15"/>
        <v>0.25436843544434912</v>
      </c>
    </row>
    <row r="192" spans="1:16" x14ac:dyDescent="0.25">
      <c r="A192" s="16">
        <v>88894</v>
      </c>
      <c r="B192" s="4">
        <f>INDEX([1]!PREDICT[TRUE PTS],MATCH($A192,[1]!PREDICT[HARD CODE],0))</f>
        <v>11.415653700485654</v>
      </c>
      <c r="C192" s="7" t="str">
        <f>INDEX([1]!MODEL[POS],MATCH($A192,[1]!MODEL[Code],0))</f>
        <v>MID</v>
      </c>
      <c r="D192" s="7" t="str">
        <f>INDEX([1]!MODEL[TEAM],MATCH($A192,[1]!MODEL[Code],0))</f>
        <v>AVL</v>
      </c>
      <c r="E192" s="7">
        <f>INDEX([1]PREDICT!$M$3:$M$1001,MATCH($A192,[1]PREDICT!$B$3:$B$1001,0))</f>
        <v>5</v>
      </c>
      <c r="F192" s="15" t="str">
        <f>INDEX([1]!MODEL[FPL_Name],MATCH($A192,[1]!MODEL[Code],0))</f>
        <v>Ross Barkley</v>
      </c>
      <c r="G192" s="10">
        <v>0</v>
      </c>
      <c r="H192" s="10">
        <v>0</v>
      </c>
      <c r="I192" s="10">
        <v>0</v>
      </c>
      <c r="J192" s="11">
        <f t="shared" si="11"/>
        <v>0</v>
      </c>
      <c r="K192" s="11">
        <f t="shared" si="12"/>
        <v>0</v>
      </c>
      <c r="L192" s="11">
        <f t="shared" si="13"/>
        <v>0</v>
      </c>
      <c r="M192" s="11">
        <v>0</v>
      </c>
      <c r="N192" s="11">
        <f t="shared" si="14"/>
        <v>0</v>
      </c>
      <c r="P192" s="13">
        <f t="shared" si="15"/>
        <v>0.45662614801942619</v>
      </c>
    </row>
    <row r="193" spans="1:16" x14ac:dyDescent="0.25">
      <c r="A193" s="16">
        <v>221820</v>
      </c>
      <c r="B193" s="4">
        <f>INDEX([1]!PREDICT[TRUE PTS],MATCH($A193,[1]!PREDICT[HARD CODE],0))</f>
        <v>11.338732290041587</v>
      </c>
      <c r="C193" s="7" t="str">
        <f>INDEX([1]!MODEL[POS],MATCH($A193,[1]!MODEL[Code],0))</f>
        <v>DEF</v>
      </c>
      <c r="D193" s="7" t="str">
        <f>INDEX([1]!MODEL[TEAM],MATCH($A193,[1]!MODEL[Code],0))</f>
        <v>MUN</v>
      </c>
      <c r="E193" s="7">
        <f>INDEX([1]PREDICT!$M$3:$M$1001,MATCH($A193,[1]PREDICT!$B$3:$B$1001,0))</f>
        <v>5</v>
      </c>
      <c r="F193" s="15" t="str">
        <f>INDEX([1]!MODEL[FPL_Name],MATCH($A193,[1]!MODEL[Code],0))</f>
        <v>Lisandro Martínez</v>
      </c>
      <c r="G193" s="10">
        <v>0</v>
      </c>
      <c r="H193" s="10">
        <v>0</v>
      </c>
      <c r="I193" s="10">
        <v>0</v>
      </c>
      <c r="J193" s="11">
        <f t="shared" si="11"/>
        <v>0</v>
      </c>
      <c r="K193" s="11">
        <f t="shared" si="12"/>
        <v>0</v>
      </c>
      <c r="L193" s="11">
        <f t="shared" si="13"/>
        <v>0</v>
      </c>
      <c r="M193" s="11">
        <v>0</v>
      </c>
      <c r="N193" s="11">
        <f t="shared" si="14"/>
        <v>0</v>
      </c>
      <c r="P193" s="13">
        <f t="shared" si="15"/>
        <v>0.45354929160166346</v>
      </c>
    </row>
    <row r="194" spans="1:16" x14ac:dyDescent="0.25">
      <c r="A194" s="16">
        <v>463067</v>
      </c>
      <c r="B194" s="4">
        <f>INDEX([1]!PREDICT[TRUE PTS],MATCH($A194,[1]!PREDICT[HARD CODE],0))</f>
        <v>11.283472333265992</v>
      </c>
      <c r="C194" s="7" t="str">
        <f>INDEX([1]!MODEL[POS],MATCH($A194,[1]!MODEL[Code],0))</f>
        <v>FWD</v>
      </c>
      <c r="D194" s="7" t="str">
        <f>INDEX([1]!MODEL[TEAM],MATCH($A194,[1]!MODEL[Code],0))</f>
        <v>BHA</v>
      </c>
      <c r="E194" s="7">
        <f>INDEX([1]PREDICT!$M$3:$M$1001,MATCH($A194,[1]PREDICT!$B$3:$B$1001,0))</f>
        <v>5.5</v>
      </c>
      <c r="F194" s="15" t="str">
        <f>INDEX([1]!MODEL[FPL_Name],MATCH($A194,[1]!MODEL[Code],0))</f>
        <v>Georginio Rutter</v>
      </c>
      <c r="G194" s="10">
        <v>0</v>
      </c>
      <c r="H194" s="10">
        <v>0</v>
      </c>
      <c r="I194" s="10">
        <v>0</v>
      </c>
      <c r="J194" s="11">
        <f t="shared" ref="J194:J257" si="16">G194+H194</f>
        <v>0</v>
      </c>
      <c r="K194" s="11">
        <f t="shared" ref="K194:K257" si="17">G194*E194</f>
        <v>0</v>
      </c>
      <c r="L194" s="11">
        <f t="shared" ref="L194:L257" si="18">H194*E194</f>
        <v>0</v>
      </c>
      <c r="M194" s="11">
        <v>0</v>
      </c>
      <c r="N194" s="11">
        <f t="shared" ref="N194:N257" si="19">(G194*B194)+(H194*B194*$U$2)+(I194*B194)</f>
        <v>0</v>
      </c>
      <c r="P194" s="13">
        <f t="shared" si="15"/>
        <v>0.41030808484603609</v>
      </c>
    </row>
    <row r="195" spans="1:16" x14ac:dyDescent="0.25">
      <c r="A195" s="16">
        <v>222683</v>
      </c>
      <c r="B195" s="4">
        <f>INDEX([1]!PREDICT[TRUE PTS],MATCH($A195,[1]!PREDICT[HARD CODE],0))</f>
        <v>11.256357461635837</v>
      </c>
      <c r="C195" s="7" t="str">
        <f>INDEX([1]!MODEL[POS],MATCH($A195,[1]!MODEL[Code],0))</f>
        <v>MID</v>
      </c>
      <c r="D195" s="7" t="str">
        <f>INDEX([1]!MODEL[TEAM],MATCH($A195,[1]!MODEL[Code],0))</f>
        <v>BOU</v>
      </c>
      <c r="E195" s="7">
        <f>INDEX([1]PREDICT!$M$3:$M$1001,MATCH($A195,[1]PREDICT!$B$3:$B$1001,0))</f>
        <v>6</v>
      </c>
      <c r="F195" s="15" t="str">
        <f>INDEX([1]!MODEL[FPL_Name],MATCH($A195,[1]!MODEL[Code],0))</f>
        <v>Justin Kluivert</v>
      </c>
      <c r="G195" s="10">
        <v>0</v>
      </c>
      <c r="H195" s="10">
        <v>0</v>
      </c>
      <c r="I195" s="10">
        <v>0</v>
      </c>
      <c r="J195" s="11">
        <f t="shared" si="16"/>
        <v>0</v>
      </c>
      <c r="K195" s="11">
        <f t="shared" si="17"/>
        <v>0</v>
      </c>
      <c r="L195" s="11">
        <f t="shared" si="18"/>
        <v>0</v>
      </c>
      <c r="M195" s="11">
        <v>0</v>
      </c>
      <c r="N195" s="11">
        <f t="shared" si="19"/>
        <v>0</v>
      </c>
      <c r="P195" s="13">
        <f t="shared" ref="P195:P257" si="20">IFERROR((B195/E195)/$Q$2,0)</f>
        <v>0.37521191538786119</v>
      </c>
    </row>
    <row r="196" spans="1:16" x14ac:dyDescent="0.25">
      <c r="A196" s="16">
        <v>244954</v>
      </c>
      <c r="B196" s="4">
        <f>INDEX([1]!PREDICT[TRUE PTS],MATCH($A196,[1]!PREDICT[HARD CODE],0))</f>
        <v>11.224527365138105</v>
      </c>
      <c r="C196" s="7" t="str">
        <f>INDEX([1]!MODEL[POS],MATCH($A196,[1]!MODEL[Code],0))</f>
        <v>DEF</v>
      </c>
      <c r="D196" s="7" t="str">
        <f>INDEX([1]!MODEL[TEAM],MATCH($A196,[1]!MODEL[Code],0))</f>
        <v>AVL</v>
      </c>
      <c r="E196" s="7">
        <f>INDEX([1]PREDICT!$M$3:$M$1001,MATCH($A196,[1]PREDICT!$B$3:$B$1001,0))</f>
        <v>4.5</v>
      </c>
      <c r="F196" s="15" t="str">
        <f>INDEX([1]!MODEL[FPL_Name],MATCH($A196,[1]!MODEL[Code],0))</f>
        <v>Pau Torres</v>
      </c>
      <c r="G196" s="10">
        <v>0</v>
      </c>
      <c r="H196" s="10">
        <v>0</v>
      </c>
      <c r="I196" s="10">
        <v>0</v>
      </c>
      <c r="J196" s="11">
        <f t="shared" si="16"/>
        <v>0</v>
      </c>
      <c r="K196" s="11">
        <f t="shared" si="17"/>
        <v>0</v>
      </c>
      <c r="L196" s="11">
        <f t="shared" si="18"/>
        <v>0</v>
      </c>
      <c r="M196" s="11">
        <v>0</v>
      </c>
      <c r="N196" s="11">
        <f t="shared" si="19"/>
        <v>0</v>
      </c>
      <c r="P196" s="13">
        <f t="shared" si="20"/>
        <v>0.49886788289502687</v>
      </c>
    </row>
    <row r="197" spans="1:16" x14ac:dyDescent="0.25">
      <c r="A197" s="16">
        <v>210156</v>
      </c>
      <c r="B197" s="4">
        <f>INDEX([1]!PREDICT[TRUE PTS],MATCH($A197,[1]!PREDICT[HARD CODE],0))</f>
        <v>11.146743562602074</v>
      </c>
      <c r="C197" s="7" t="str">
        <f>INDEX([1]!MODEL[POS],MATCH($A197,[1]!MODEL[Code],0))</f>
        <v>FWD</v>
      </c>
      <c r="D197" s="7" t="str">
        <f>INDEX([1]!MODEL[TEAM],MATCH($A197,[1]!MODEL[Code],0))</f>
        <v>NFO</v>
      </c>
      <c r="E197" s="7">
        <f>INDEX([1]PREDICT!$M$3:$M$1001,MATCH($A197,[1]PREDICT!$B$3:$B$1001,0))</f>
        <v>5.5</v>
      </c>
      <c r="F197" s="15" t="str">
        <f>INDEX([1]!MODEL[FPL_Name],MATCH($A197,[1]!MODEL[Code],0))</f>
        <v>Taiwo Awoniyi</v>
      </c>
      <c r="G197" s="10">
        <v>0</v>
      </c>
      <c r="H197" s="10">
        <v>0</v>
      </c>
      <c r="I197" s="10">
        <v>0</v>
      </c>
      <c r="J197" s="11">
        <f t="shared" si="16"/>
        <v>0</v>
      </c>
      <c r="K197" s="11">
        <f t="shared" si="17"/>
        <v>0</v>
      </c>
      <c r="L197" s="11">
        <f t="shared" si="18"/>
        <v>0</v>
      </c>
      <c r="M197" s="11">
        <v>0</v>
      </c>
      <c r="N197" s="11">
        <f t="shared" si="19"/>
        <v>0</v>
      </c>
      <c r="P197" s="13">
        <f t="shared" si="20"/>
        <v>0.40533612954916631</v>
      </c>
    </row>
    <row r="198" spans="1:16" x14ac:dyDescent="0.25">
      <c r="A198" s="16">
        <v>551226</v>
      </c>
      <c r="B198" s="4">
        <f>INDEX([1]!PREDICT[TRUE PTS],MATCH($A198,[1]!PREDICT[HARD CODE],0))</f>
        <v>1.0896079339652942</v>
      </c>
      <c r="C198" s="7" t="str">
        <f>INDEX([1]!MODEL[POS],MATCH($A198,[1]!MODEL[Code],0))</f>
        <v>MID</v>
      </c>
      <c r="D198" s="7" t="str">
        <f>INDEX([1]!MODEL[TEAM],MATCH($A198,[1]!MODEL[Code],0))</f>
        <v>TOT</v>
      </c>
      <c r="E198" s="7">
        <f>INDEX([1]PREDICT!$M$3:$M$1001,MATCH($A198,[1]PREDICT!$B$3:$B$1001,0))</f>
        <v>6</v>
      </c>
      <c r="F198" s="15" t="str">
        <f>INDEX([1]!MODEL[FPL_Name],MATCH($A198,[1]!MODEL[Code],0))</f>
        <v>Mateus Fernandes</v>
      </c>
      <c r="G198" s="10">
        <v>0</v>
      </c>
      <c r="H198" s="10">
        <v>0</v>
      </c>
      <c r="I198" s="10">
        <v>0</v>
      </c>
      <c r="J198" s="11">
        <f t="shared" si="16"/>
        <v>0</v>
      </c>
      <c r="K198" s="11">
        <f t="shared" si="17"/>
        <v>0</v>
      </c>
      <c r="L198" s="11">
        <f t="shared" si="18"/>
        <v>0</v>
      </c>
      <c r="M198" s="11">
        <v>0</v>
      </c>
      <c r="N198" s="11">
        <f t="shared" si="19"/>
        <v>0</v>
      </c>
      <c r="P198" s="13">
        <f t="shared" si="20"/>
        <v>3.6320264465509802E-2</v>
      </c>
    </row>
    <row r="199" spans="1:16" x14ac:dyDescent="0.25">
      <c r="A199" s="16">
        <v>456512</v>
      </c>
      <c r="B199" s="4">
        <f>INDEX([1]!PREDICT[TRUE PTS],MATCH($A199,[1]!PREDICT[HARD CODE],0))</f>
        <v>11.075470718825065</v>
      </c>
      <c r="C199" s="7" t="str">
        <f>INDEX([1]!MODEL[POS],MATCH($A199,[1]!MODEL[Code],0))</f>
        <v>MID</v>
      </c>
      <c r="D199" s="7" t="str">
        <f>INDEX([1]!MODEL[TEAM],MATCH($A199,[1]!MODEL[Code],0))</f>
        <v>NFO</v>
      </c>
      <c r="E199" s="7">
        <f>INDEX([1]PREDICT!$M$3:$M$1001,MATCH($A199,[1]PREDICT!$B$3:$B$1001,0))</f>
        <v>5.5</v>
      </c>
      <c r="F199" s="15" t="str">
        <f>INDEX([1]!MODEL[FPL_Name],MATCH($A199,[1]!MODEL[Code],0))</f>
        <v>Dan Ndoye</v>
      </c>
      <c r="G199" s="10">
        <v>0</v>
      </c>
      <c r="H199" s="10">
        <v>0</v>
      </c>
      <c r="I199" s="10">
        <v>0</v>
      </c>
      <c r="J199" s="11">
        <f t="shared" si="16"/>
        <v>0</v>
      </c>
      <c r="K199" s="11">
        <f t="shared" si="17"/>
        <v>0</v>
      </c>
      <c r="L199" s="11">
        <f t="shared" si="18"/>
        <v>0</v>
      </c>
      <c r="M199" s="11">
        <v>0</v>
      </c>
      <c r="N199" s="11">
        <f t="shared" si="19"/>
        <v>0</v>
      </c>
      <c r="P199" s="13">
        <f t="shared" si="20"/>
        <v>0.4027443897754569</v>
      </c>
    </row>
    <row r="200" spans="1:16" x14ac:dyDescent="0.25">
      <c r="A200" s="16">
        <v>242898</v>
      </c>
      <c r="B200" s="4">
        <f>INDEX([1]!PREDICT[TRUE PTS],MATCH($A200,[1]!PREDICT[HARD CODE],0))</f>
        <v>11.027168444279019</v>
      </c>
      <c r="C200" s="7" t="str">
        <f>INDEX([1]!MODEL[POS],MATCH($A200,[1]!MODEL[Code],0))</f>
        <v>MID</v>
      </c>
      <c r="D200" s="7" t="str">
        <f>INDEX([1]!MODEL[TEAM],MATCH($A200,[1]!MODEL[Code],0))</f>
        <v>CRY</v>
      </c>
      <c r="E200" s="7">
        <f>INDEX([1]PREDICT!$M$3:$M$1001,MATCH($A200,[1]PREDICT!$B$3:$B$1001,0))</f>
        <v>6</v>
      </c>
      <c r="F200" s="15" t="str">
        <f>INDEX([1]!MODEL[FPL_Name],MATCH($A200,[1]!MODEL[Code],0))</f>
        <v>Brennan Johnson</v>
      </c>
      <c r="G200" s="10">
        <v>0</v>
      </c>
      <c r="H200" s="10">
        <v>0</v>
      </c>
      <c r="I200" s="10">
        <v>0</v>
      </c>
      <c r="J200" s="11">
        <f t="shared" si="16"/>
        <v>0</v>
      </c>
      <c r="K200" s="11">
        <f t="shared" si="17"/>
        <v>0</v>
      </c>
      <c r="L200" s="11">
        <f t="shared" si="18"/>
        <v>0</v>
      </c>
      <c r="M200" s="11">
        <v>0</v>
      </c>
      <c r="N200" s="11">
        <f t="shared" si="19"/>
        <v>0</v>
      </c>
      <c r="P200" s="13">
        <f t="shared" si="20"/>
        <v>0.36757228147596732</v>
      </c>
    </row>
    <row r="201" spans="1:16" x14ac:dyDescent="0.25">
      <c r="A201" s="16">
        <v>511499</v>
      </c>
      <c r="B201" s="4">
        <f>INDEX([1]!PREDICT[TRUE PTS],MATCH($A201,[1]!PREDICT[HARD CODE],0))</f>
        <v>10.967049699321439</v>
      </c>
      <c r="C201" s="7" t="str">
        <f>INDEX([1]!MODEL[POS],MATCH($A201,[1]!MODEL[Code],0))</f>
        <v>MID</v>
      </c>
      <c r="D201" s="7" t="str">
        <f>INDEX([1]!MODEL[TEAM],MATCH($A201,[1]!MODEL[Code],0))</f>
        <v>TOT</v>
      </c>
      <c r="E201" s="7">
        <f>INDEX([1]PREDICT!$M$3:$M$1001,MATCH($A201,[1]PREDICT!$B$3:$B$1001,0))</f>
        <v>6</v>
      </c>
      <c r="F201" s="15" t="str">
        <f>INDEX([1]!MODEL[FPL_Name],MATCH($A201,[1]!MODEL[Code],0))</f>
        <v>Mathys Tel</v>
      </c>
      <c r="G201" s="10">
        <v>0</v>
      </c>
      <c r="H201" s="10">
        <v>0</v>
      </c>
      <c r="I201" s="10">
        <v>0</v>
      </c>
      <c r="J201" s="11">
        <f t="shared" si="16"/>
        <v>0</v>
      </c>
      <c r="K201" s="11">
        <f t="shared" si="17"/>
        <v>0</v>
      </c>
      <c r="L201" s="11">
        <f t="shared" si="18"/>
        <v>0</v>
      </c>
      <c r="M201" s="11">
        <v>0</v>
      </c>
      <c r="N201" s="11">
        <f t="shared" si="19"/>
        <v>0</v>
      </c>
      <c r="P201" s="13">
        <f t="shared" si="20"/>
        <v>0.36556832331071465</v>
      </c>
    </row>
    <row r="202" spans="1:16" x14ac:dyDescent="0.25">
      <c r="A202" s="16">
        <v>155408</v>
      </c>
      <c r="B202" s="4">
        <f>INDEX([1]!PREDICT[TRUE PTS],MATCH($A202,[1]!PREDICT[HARD CODE],0))</f>
        <v>11.728716876574943</v>
      </c>
      <c r="C202" s="7" t="str">
        <f>INDEX([1]!MODEL[POS],MATCH($A202,[1]!MODEL[Code],0))</f>
        <v>MID</v>
      </c>
      <c r="D202" s="7" t="str">
        <f>INDEX([1]!MODEL[TEAM],MATCH($A202,[1]!MODEL[Code],0))</f>
        <v>BOU</v>
      </c>
      <c r="E202" s="7">
        <f>INDEX([1]PREDICT!$M$3:$M$1001,MATCH($A202,[1]PREDICT!$B$3:$B$1001,0))</f>
        <v>5</v>
      </c>
      <c r="F202" s="15" t="str">
        <f>INDEX([1]!MODEL[FPL_Name],MATCH($A202,[1]!MODEL[Code],0))</f>
        <v>Lewis Cook</v>
      </c>
      <c r="G202" s="10">
        <v>0</v>
      </c>
      <c r="H202" s="10">
        <v>0</v>
      </c>
      <c r="I202" s="10">
        <v>0</v>
      </c>
      <c r="J202" s="11">
        <f t="shared" si="16"/>
        <v>0</v>
      </c>
      <c r="K202" s="11">
        <f t="shared" si="17"/>
        <v>0</v>
      </c>
      <c r="L202" s="11">
        <f t="shared" si="18"/>
        <v>0</v>
      </c>
      <c r="M202" s="11">
        <v>0</v>
      </c>
      <c r="N202" s="11">
        <f t="shared" si="19"/>
        <v>0</v>
      </c>
      <c r="P202" s="13">
        <f t="shared" si="20"/>
        <v>0.46914867506299773</v>
      </c>
    </row>
    <row r="203" spans="1:16" x14ac:dyDescent="0.25">
      <c r="A203" s="16">
        <v>244042</v>
      </c>
      <c r="B203" s="4">
        <f>INDEX([1]!PREDICT[TRUE PTS],MATCH($A203,[1]!PREDICT[HARD CODE],0))</f>
        <v>10.925028577071302</v>
      </c>
      <c r="C203" s="7" t="str">
        <f>INDEX([1]!MODEL[POS],MATCH($A203,[1]!MODEL[Code],0))</f>
        <v>FWD</v>
      </c>
      <c r="D203" s="7" t="str">
        <f>INDEX([1]!MODEL[TEAM],MATCH($A203,[1]!MODEL[Code],0))</f>
        <v>FUL</v>
      </c>
      <c r="E203" s="7">
        <f>INDEX([1]PREDICT!$M$3:$M$1001,MATCH($A203,[1]PREDICT!$B$3:$B$1001,0))</f>
        <v>5.5</v>
      </c>
      <c r="F203" s="15" t="str">
        <f>INDEX([1]!MODEL[FPL_Name],MATCH($A203,[1]!MODEL[Code],0))</f>
        <v>Rodrigo Muniz Carvalho</v>
      </c>
      <c r="G203" s="10">
        <v>0</v>
      </c>
      <c r="H203" s="10">
        <v>0</v>
      </c>
      <c r="I203" s="10">
        <v>0</v>
      </c>
      <c r="J203" s="11">
        <f t="shared" si="16"/>
        <v>0</v>
      </c>
      <c r="K203" s="11">
        <f t="shared" si="17"/>
        <v>0</v>
      </c>
      <c r="L203" s="11">
        <f t="shared" si="18"/>
        <v>0</v>
      </c>
      <c r="M203" s="11">
        <v>0</v>
      </c>
      <c r="N203" s="11">
        <f t="shared" si="19"/>
        <v>0</v>
      </c>
      <c r="P203" s="13">
        <f t="shared" si="20"/>
        <v>0.3972737664389564</v>
      </c>
    </row>
    <row r="204" spans="1:16" x14ac:dyDescent="0.25">
      <c r="A204" s="16">
        <v>135720</v>
      </c>
      <c r="B204" s="4">
        <f>INDEX([1]!PREDICT[TRUE PTS],MATCH($A204,[1]!PREDICT[HARD CODE],0))</f>
        <v>10.846281656177986</v>
      </c>
      <c r="C204" s="7" t="str">
        <f>INDEX([1]!MODEL[POS],MATCH($A204,[1]!MODEL[Code],0))</f>
        <v>DEF</v>
      </c>
      <c r="D204" s="7" t="str">
        <f>INDEX([1]!MODEL[TEAM],MATCH($A204,[1]!MODEL[Code],0))</f>
        <v>TOT</v>
      </c>
      <c r="E204" s="7">
        <f>INDEX([1]PREDICT!$M$3:$M$1001,MATCH($A204,[1]PREDICT!$B$3:$B$1001,0))</f>
        <v>5</v>
      </c>
      <c r="F204" s="15" t="str">
        <f>INDEX([1]!MODEL[FPL_Name],MATCH($A204,[1]!MODEL[Code],0))</f>
        <v>Kevin Danso</v>
      </c>
      <c r="G204" s="10">
        <v>0</v>
      </c>
      <c r="H204" s="10">
        <v>0</v>
      </c>
      <c r="I204" s="10">
        <v>0</v>
      </c>
      <c r="J204" s="11">
        <f t="shared" si="16"/>
        <v>0</v>
      </c>
      <c r="K204" s="11">
        <f t="shared" si="17"/>
        <v>0</v>
      </c>
      <c r="L204" s="11">
        <f t="shared" si="18"/>
        <v>0</v>
      </c>
      <c r="M204" s="11">
        <v>0</v>
      </c>
      <c r="N204" s="11">
        <f t="shared" si="19"/>
        <v>0</v>
      </c>
      <c r="P204" s="13">
        <f t="shared" si="20"/>
        <v>0.43385126624711939</v>
      </c>
    </row>
    <row r="205" spans="1:16" x14ac:dyDescent="0.25">
      <c r="A205" s="16">
        <v>152551</v>
      </c>
      <c r="B205" s="4">
        <f>INDEX([1]!PREDICT[TRUE PTS],MATCH($A205,[1]!PREDICT[HARD CODE],0))</f>
        <v>10.813652052350157</v>
      </c>
      <c r="C205" s="7" t="str">
        <f>INDEX([1]!MODEL[POS],MATCH($A205,[1]!MODEL[Code],0))</f>
        <v>MID</v>
      </c>
      <c r="D205" s="7" t="str">
        <f>INDEX([1]!MODEL[TEAM],MATCH($A205,[1]!MODEL[Code],0))</f>
        <v>CRY</v>
      </c>
      <c r="E205" s="7">
        <f>INDEX([1]PREDICT!$M$3:$M$1001,MATCH($A205,[1]PREDICT!$B$3:$B$1001,0))</f>
        <v>5</v>
      </c>
      <c r="F205" s="15" t="str">
        <f>INDEX([1]!MODEL[FPL_Name],MATCH($A205,[1]!MODEL[Code],0))</f>
        <v>Jefferson Lerma Solís</v>
      </c>
      <c r="G205" s="10">
        <v>0</v>
      </c>
      <c r="H205" s="10">
        <v>0</v>
      </c>
      <c r="I205" s="10">
        <v>0</v>
      </c>
      <c r="J205" s="11">
        <f t="shared" si="16"/>
        <v>0</v>
      </c>
      <c r="K205" s="11">
        <f t="shared" si="17"/>
        <v>0</v>
      </c>
      <c r="L205" s="11">
        <f t="shared" si="18"/>
        <v>0</v>
      </c>
      <c r="M205" s="11">
        <v>0</v>
      </c>
      <c r="N205" s="11">
        <f t="shared" si="19"/>
        <v>0</v>
      </c>
      <c r="P205" s="13">
        <f t="shared" si="20"/>
        <v>0.4325460820940063</v>
      </c>
    </row>
    <row r="206" spans="1:16" x14ac:dyDescent="0.25">
      <c r="A206" s="16">
        <v>226944</v>
      </c>
      <c r="B206" s="4">
        <f>INDEX([1]!PREDICT[TRUE PTS],MATCH($A206,[1]!PREDICT[HARD CODE],0))</f>
        <v>10.776006858650382</v>
      </c>
      <c r="C206" s="7" t="str">
        <f>INDEX([1]!MODEL[POS],MATCH($A206,[1]!MODEL[Code],0))</f>
        <v>MID</v>
      </c>
      <c r="D206" s="7" t="str">
        <f>INDEX([1]!MODEL[TEAM],MATCH($A206,[1]!MODEL[Code],0))</f>
        <v>AVL</v>
      </c>
      <c r="E206" s="7">
        <f>INDEX([1]PREDICT!$M$3:$M$1001,MATCH($A206,[1]PREDICT!$B$3:$B$1001,0))</f>
        <v>5</v>
      </c>
      <c r="F206" s="15" t="str">
        <f>INDEX([1]!MODEL[FPL_Name],MATCH($A206,[1]!MODEL[Code],0))</f>
        <v>Boubacar Kamara</v>
      </c>
      <c r="G206" s="10">
        <v>0</v>
      </c>
      <c r="H206" s="10">
        <v>0</v>
      </c>
      <c r="I206" s="10">
        <v>0</v>
      </c>
      <c r="J206" s="11">
        <f t="shared" si="16"/>
        <v>0</v>
      </c>
      <c r="K206" s="11">
        <f t="shared" si="17"/>
        <v>0</v>
      </c>
      <c r="L206" s="11">
        <f t="shared" si="18"/>
        <v>0</v>
      </c>
      <c r="M206" s="11">
        <v>0</v>
      </c>
      <c r="N206" s="11">
        <f t="shared" si="19"/>
        <v>0</v>
      </c>
      <c r="P206" s="13">
        <f t="shared" si="20"/>
        <v>0.43104027434601527</v>
      </c>
    </row>
    <row r="207" spans="1:16" x14ac:dyDescent="0.25">
      <c r="A207" s="16">
        <v>536661</v>
      </c>
      <c r="B207" s="4">
        <f>INDEX([1]!PREDICT[TRUE PTS],MATCH($A207,[1]!PREDICT[HARD CODE],0))</f>
        <v>10.707409793019638</v>
      </c>
      <c r="C207" s="7" t="str">
        <f>INDEX([1]!MODEL[POS],MATCH($A207,[1]!MODEL[Code],0))</f>
        <v>MID</v>
      </c>
      <c r="D207" s="7" t="str">
        <f>INDEX([1]!MODEL[TEAM],MATCH($A207,[1]!MODEL[Code],0))</f>
        <v>SUN</v>
      </c>
      <c r="E207" s="7">
        <f>INDEX([1]PREDICT!$M$3:$M$1001,MATCH($A207,[1]PREDICT!$B$3:$B$1001,0))</f>
        <v>5</v>
      </c>
      <c r="F207" s="15" t="str">
        <f>INDEX([1]!MODEL[FPL_Name],MATCH($A207,[1]!MODEL[Code],0))</f>
        <v>Nilson Angulo</v>
      </c>
      <c r="G207" s="10">
        <v>0</v>
      </c>
      <c r="H207" s="10">
        <v>0</v>
      </c>
      <c r="I207" s="10">
        <v>0</v>
      </c>
      <c r="J207" s="11">
        <f t="shared" si="16"/>
        <v>0</v>
      </c>
      <c r="K207" s="11">
        <f t="shared" si="17"/>
        <v>0</v>
      </c>
      <c r="L207" s="11">
        <f t="shared" si="18"/>
        <v>0</v>
      </c>
      <c r="M207" s="11">
        <v>0</v>
      </c>
      <c r="N207" s="11">
        <f t="shared" si="19"/>
        <v>0</v>
      </c>
      <c r="P207" s="13">
        <f t="shared" si="20"/>
        <v>0.42829639172078549</v>
      </c>
    </row>
    <row r="208" spans="1:16" x14ac:dyDescent="0.25">
      <c r="A208" s="16">
        <v>516895</v>
      </c>
      <c r="B208" s="4">
        <f>INDEX([1]!PREDICT[TRUE PTS],MATCH($A208,[1]!PREDICT[HARD CODE],0))</f>
        <v>10.662926963104962</v>
      </c>
      <c r="C208" s="7" t="str">
        <f>INDEX([1]!MODEL[POS],MATCH($A208,[1]!MODEL[Code],0))</f>
        <v>MID</v>
      </c>
      <c r="D208" s="7" t="str">
        <f>INDEX([1]!MODEL[TEAM],MATCH($A208,[1]!MODEL[Code],0))</f>
        <v>MUN</v>
      </c>
      <c r="E208" s="7">
        <f>INDEX([1]PREDICT!$M$3:$M$1001,MATCH($A208,[1]PREDICT!$B$3:$B$1001,0))</f>
        <v>5.5</v>
      </c>
      <c r="F208" s="15" t="str">
        <f>INDEX([1]!MODEL[FPL_Name],MATCH($A208,[1]!MODEL[Code],0))</f>
        <v>Kobbie Mainoo</v>
      </c>
      <c r="G208" s="10">
        <v>0</v>
      </c>
      <c r="H208" s="10">
        <v>0</v>
      </c>
      <c r="I208" s="10">
        <v>0</v>
      </c>
      <c r="J208" s="11">
        <f t="shared" si="16"/>
        <v>0</v>
      </c>
      <c r="K208" s="11">
        <f t="shared" si="17"/>
        <v>0</v>
      </c>
      <c r="L208" s="11">
        <f t="shared" si="18"/>
        <v>0</v>
      </c>
      <c r="M208" s="11">
        <v>0</v>
      </c>
      <c r="N208" s="11">
        <f t="shared" si="19"/>
        <v>0</v>
      </c>
      <c r="P208" s="13">
        <f t="shared" si="20"/>
        <v>0.38774279865836225</v>
      </c>
    </row>
    <row r="209" spans="1:16" x14ac:dyDescent="0.25">
      <c r="A209" s="16">
        <v>437505</v>
      </c>
      <c r="B209" s="4">
        <f>INDEX([1]!PREDICT[TRUE PTS],MATCH($A209,[1]!PREDICT[HARD CODE],0))</f>
        <v>10.616142295367428</v>
      </c>
      <c r="C209" s="7" t="str">
        <f>INDEX([1]!MODEL[POS],MATCH($A209,[1]!MODEL[Code],0))</f>
        <v>FWD</v>
      </c>
      <c r="D209" s="7" t="str">
        <f>INDEX([1]!MODEL[TEAM],MATCH($A209,[1]!MODEL[Code],0))</f>
        <v>SUN</v>
      </c>
      <c r="E209" s="7">
        <f>INDEX([1]PREDICT!$M$3:$M$1001,MATCH($A209,[1]PREDICT!$B$3:$B$1001,0))</f>
        <v>5.5</v>
      </c>
      <c r="F209" s="15" t="str">
        <f>INDEX([1]!MODEL[FPL_Name],MATCH($A209,[1]!MODEL[Code],0))</f>
        <v>Wilson Isidor</v>
      </c>
      <c r="G209" s="10">
        <v>0</v>
      </c>
      <c r="H209" s="10">
        <v>0</v>
      </c>
      <c r="I209" s="10">
        <v>0</v>
      </c>
      <c r="J209" s="11">
        <f t="shared" si="16"/>
        <v>0</v>
      </c>
      <c r="K209" s="11">
        <f t="shared" si="17"/>
        <v>0</v>
      </c>
      <c r="L209" s="11">
        <f t="shared" si="18"/>
        <v>0</v>
      </c>
      <c r="M209" s="11">
        <v>0</v>
      </c>
      <c r="N209" s="11">
        <f t="shared" si="19"/>
        <v>0</v>
      </c>
      <c r="P209" s="13">
        <f t="shared" si="20"/>
        <v>0.386041538013361</v>
      </c>
    </row>
    <row r="210" spans="1:16" x14ac:dyDescent="0.25">
      <c r="A210" s="16">
        <v>487053</v>
      </c>
      <c r="B210" s="4">
        <f>INDEX([1]!PREDICT[TRUE PTS],MATCH($A210,[1]!PREDICT[HARD CODE],0))</f>
        <v>10.579431213240921</v>
      </c>
      <c r="C210" s="7" t="str">
        <f>INDEX([1]!MODEL[POS],MATCH($A210,[1]!MODEL[Code],0))</f>
        <v>DEF</v>
      </c>
      <c r="D210" s="7" t="str">
        <f>INDEX([1]!MODEL[TEAM],MATCH($A210,[1]!MODEL[Code],0))</f>
        <v>TOT</v>
      </c>
      <c r="E210" s="7">
        <f>INDEX([1]PREDICT!$M$3:$M$1001,MATCH($A210,[1]PREDICT!$B$3:$B$1001,0))</f>
        <v>4.5</v>
      </c>
      <c r="F210" s="15" t="str">
        <f>INDEX([1]!MODEL[FPL_Name],MATCH($A210,[1]!MODEL[Code],0))</f>
        <v>Destiny Udogie</v>
      </c>
      <c r="G210" s="10">
        <v>0</v>
      </c>
      <c r="H210" s="10">
        <v>0</v>
      </c>
      <c r="I210" s="10">
        <v>0</v>
      </c>
      <c r="J210" s="11">
        <f t="shared" si="16"/>
        <v>0</v>
      </c>
      <c r="K210" s="11">
        <f t="shared" si="17"/>
        <v>0</v>
      </c>
      <c r="L210" s="11">
        <f t="shared" si="18"/>
        <v>0</v>
      </c>
      <c r="M210" s="11">
        <v>0</v>
      </c>
      <c r="N210" s="11">
        <f t="shared" si="19"/>
        <v>0</v>
      </c>
      <c r="P210" s="13">
        <f t="shared" si="20"/>
        <v>0.47019694281070762</v>
      </c>
    </row>
    <row r="211" spans="1:16" x14ac:dyDescent="0.25">
      <c r="A211" s="16">
        <v>250199</v>
      </c>
      <c r="B211" s="4">
        <f>INDEX([1]!PREDICT[TRUE PTS],MATCH($A211,[1]!PREDICT[HARD CODE],0))</f>
        <v>10.445845546156278</v>
      </c>
      <c r="C211" s="7" t="str">
        <f>INDEX([1]!MODEL[POS],MATCH($A211,[1]!MODEL[Code],0))</f>
        <v>MID</v>
      </c>
      <c r="D211" s="7" t="str">
        <f>INDEX([1]!MODEL[TEAM],MATCH($A211,[1]!MODEL[Code],0))</f>
        <v>NFO</v>
      </c>
      <c r="E211" s="7">
        <f>INDEX([1]PREDICT!$M$3:$M$1001,MATCH($A211,[1]PREDICT!$B$3:$B$1001,0))</f>
        <v>5</v>
      </c>
      <c r="F211" s="15" t="str">
        <f>INDEX([1]!MODEL[FPL_Name],MATCH($A211,[1]!MODEL[Code],0))</f>
        <v>Nicolás Domínguez</v>
      </c>
      <c r="G211" s="10">
        <v>0</v>
      </c>
      <c r="H211" s="10">
        <v>0</v>
      </c>
      <c r="I211" s="10">
        <v>0</v>
      </c>
      <c r="J211" s="11">
        <f t="shared" si="16"/>
        <v>0</v>
      </c>
      <c r="K211" s="11">
        <f t="shared" si="17"/>
        <v>0</v>
      </c>
      <c r="L211" s="11">
        <f t="shared" si="18"/>
        <v>0</v>
      </c>
      <c r="M211" s="11">
        <v>0</v>
      </c>
      <c r="N211" s="11">
        <f t="shared" si="19"/>
        <v>0</v>
      </c>
      <c r="P211" s="13">
        <f t="shared" si="20"/>
        <v>0.41783382184625112</v>
      </c>
    </row>
    <row r="212" spans="1:16" ht="30" x14ac:dyDescent="0.25">
      <c r="A212" s="16">
        <v>180974</v>
      </c>
      <c r="B212" s="4">
        <f>INDEX([1]!PREDICT[TRUE PTS],MATCH($A212,[1]!PREDICT[HARD CODE],0))</f>
        <v>10.436357117463665</v>
      </c>
      <c r="C212" s="7" t="str">
        <f>INDEX([1]!MODEL[POS],MATCH($A212,[1]!MODEL[Code],0))</f>
        <v>MID</v>
      </c>
      <c r="D212" s="7" t="str">
        <f>INDEX([1]!MODEL[TEAM],MATCH($A212,[1]!MODEL[Code],0))</f>
        <v>NEW</v>
      </c>
      <c r="E212" s="7">
        <f>INDEX([1]PREDICT!$M$3:$M$1001,MATCH($A212,[1]PREDICT!$B$3:$B$1001,0))</f>
        <v>5.5</v>
      </c>
      <c r="F212" s="15" t="str">
        <f>INDEX([1]!MODEL[FPL_Name],MATCH($A212,[1]!MODEL[Code],0))</f>
        <v>Joelinton Cássio Apolinário de Lira</v>
      </c>
      <c r="G212" s="10">
        <v>0</v>
      </c>
      <c r="H212" s="10">
        <v>0</v>
      </c>
      <c r="I212" s="10">
        <v>0</v>
      </c>
      <c r="J212" s="11">
        <f t="shared" si="16"/>
        <v>0</v>
      </c>
      <c r="K212" s="11">
        <f t="shared" si="17"/>
        <v>0</v>
      </c>
      <c r="L212" s="11">
        <f t="shared" si="18"/>
        <v>0</v>
      </c>
      <c r="M212" s="11">
        <v>0</v>
      </c>
      <c r="N212" s="11">
        <f t="shared" si="19"/>
        <v>0</v>
      </c>
      <c r="P212" s="13">
        <f t="shared" si="20"/>
        <v>0.37950389518049688</v>
      </c>
    </row>
    <row r="213" spans="1:16" x14ac:dyDescent="0.25">
      <c r="A213" s="16">
        <v>216094</v>
      </c>
      <c r="B213" s="4">
        <f>INDEX([1]!PREDICT[TRUE PTS],MATCH($A213,[1]!PREDICT[HARD CODE],0))</f>
        <v>10.344482250361652</v>
      </c>
      <c r="C213" s="7" t="str">
        <f>INDEX([1]!MODEL[POS],MATCH($A213,[1]!MODEL[Code],0))</f>
        <v>DEF</v>
      </c>
      <c r="D213" s="7" t="str">
        <f>INDEX([1]!MODEL[TEAM],MATCH($A213,[1]!MODEL[Code],0))</f>
        <v>LIV</v>
      </c>
      <c r="E213" s="7">
        <f>INDEX([1]PREDICT!$M$3:$M$1001,MATCH($A213,[1]PREDICT!$B$3:$B$1001,0))</f>
        <v>5.5</v>
      </c>
      <c r="F213" s="15" t="str">
        <f>INDEX([1]!MODEL[FPL_Name],MATCH($A213,[1]!MODEL[Code],0))</f>
        <v>Jeremie Frimpong</v>
      </c>
      <c r="G213" s="10">
        <v>0</v>
      </c>
      <c r="H213" s="10">
        <v>0</v>
      </c>
      <c r="I213" s="10">
        <v>0</v>
      </c>
      <c r="J213" s="11">
        <f t="shared" si="16"/>
        <v>0</v>
      </c>
      <c r="K213" s="11">
        <f t="shared" si="17"/>
        <v>0</v>
      </c>
      <c r="L213" s="11">
        <f t="shared" si="18"/>
        <v>0</v>
      </c>
      <c r="M213" s="11">
        <v>0</v>
      </c>
      <c r="N213" s="11">
        <f t="shared" si="19"/>
        <v>0</v>
      </c>
      <c r="P213" s="13">
        <f t="shared" si="20"/>
        <v>0.37616299092224192</v>
      </c>
    </row>
    <row r="214" spans="1:16" x14ac:dyDescent="0.25">
      <c r="A214" s="16">
        <v>441191</v>
      </c>
      <c r="B214" s="4">
        <f>INDEX([1]!PREDICT[TRUE PTS],MATCH($A214,[1]!PREDICT[HARD CODE],0))</f>
        <v>10.316978108162022</v>
      </c>
      <c r="C214" s="7" t="str">
        <f>INDEX([1]!MODEL[POS],MATCH($A214,[1]!MODEL[Code],0))</f>
        <v>DEF</v>
      </c>
      <c r="D214" s="7" t="str">
        <f>INDEX([1]!MODEL[TEAM],MATCH($A214,[1]!MODEL[Code],0))</f>
        <v>NEW</v>
      </c>
      <c r="E214" s="7">
        <f>INDEX([1]PREDICT!$M$3:$M$1001,MATCH($A214,[1]PREDICT!$B$3:$B$1001,0))</f>
        <v>5</v>
      </c>
      <c r="F214" s="15" t="str">
        <f>INDEX([1]!MODEL[FPL_Name],MATCH($A214,[1]!MODEL[Code],0))</f>
        <v>Tino Livramento</v>
      </c>
      <c r="G214" s="10">
        <v>0</v>
      </c>
      <c r="H214" s="10">
        <v>0</v>
      </c>
      <c r="I214" s="10">
        <v>0</v>
      </c>
      <c r="J214" s="11">
        <f t="shared" si="16"/>
        <v>0</v>
      </c>
      <c r="K214" s="11">
        <f t="shared" si="17"/>
        <v>0</v>
      </c>
      <c r="L214" s="11">
        <f t="shared" si="18"/>
        <v>0</v>
      </c>
      <c r="M214" s="11">
        <v>0</v>
      </c>
      <c r="N214" s="11">
        <f t="shared" si="19"/>
        <v>0</v>
      </c>
      <c r="P214" s="13">
        <f t="shared" si="20"/>
        <v>0.41267912432648091</v>
      </c>
    </row>
    <row r="215" spans="1:16" x14ac:dyDescent="0.25">
      <c r="A215" s="16">
        <v>441302</v>
      </c>
      <c r="B215" s="4">
        <f>INDEX([1]!PREDICT[TRUE PTS],MATCH($A215,[1]!PREDICT[HARD CODE],0))</f>
        <v>10.304706913349602</v>
      </c>
      <c r="C215" s="7" t="str">
        <f>INDEX([1]!MODEL[POS],MATCH($A215,[1]!MODEL[Code],0))</f>
        <v>DEF</v>
      </c>
      <c r="D215" s="7" t="str">
        <f>INDEX([1]!MODEL[TEAM],MATCH($A215,[1]!MODEL[Code],0))</f>
        <v>AVL</v>
      </c>
      <c r="E215" s="7">
        <f>INDEX([1]PREDICT!$M$3:$M$1001,MATCH($A215,[1]PREDICT!$B$3:$B$1001,0))</f>
        <v>4.5</v>
      </c>
      <c r="F215" s="15" t="str">
        <f>INDEX([1]!MODEL[FPL_Name],MATCH($A215,[1]!MODEL[Code],0))</f>
        <v>Ian Maatsen</v>
      </c>
      <c r="G215" s="10">
        <v>0</v>
      </c>
      <c r="H215" s="10">
        <v>0</v>
      </c>
      <c r="I215" s="10">
        <v>0</v>
      </c>
      <c r="J215" s="11">
        <f t="shared" si="16"/>
        <v>0</v>
      </c>
      <c r="K215" s="11">
        <f t="shared" si="17"/>
        <v>0</v>
      </c>
      <c r="L215" s="11">
        <f t="shared" si="18"/>
        <v>0</v>
      </c>
      <c r="M215" s="11">
        <v>0</v>
      </c>
      <c r="N215" s="11">
        <f t="shared" si="19"/>
        <v>0</v>
      </c>
      <c r="P215" s="13">
        <f t="shared" si="20"/>
        <v>0.45798697392664894</v>
      </c>
    </row>
    <row r="216" spans="1:16" x14ac:dyDescent="0.25">
      <c r="A216" s="16">
        <v>230001</v>
      </c>
      <c r="B216" s="4">
        <f>INDEX([1]!PREDICT[TRUE PTS],MATCH($A216,[1]!PREDICT[HARD CODE],0))</f>
        <v>10.009972949064174</v>
      </c>
      <c r="C216" s="7" t="str">
        <f>INDEX([1]!MODEL[POS],MATCH($A216,[1]!MODEL[Code],0))</f>
        <v>DEF</v>
      </c>
      <c r="D216" s="7" t="str">
        <f>INDEX([1]!MODEL[TEAM],MATCH($A216,[1]!MODEL[Code],0))</f>
        <v>MUN</v>
      </c>
      <c r="E216" s="7">
        <f>INDEX([1]PREDICT!$M$3:$M$1001,MATCH($A216,[1]PREDICT!$B$3:$B$1001,0))</f>
        <v>4.5</v>
      </c>
      <c r="F216" s="15" t="str">
        <f>INDEX([1]!MODEL[FPL_Name],MATCH($A216,[1]!MODEL[Code],0))</f>
        <v>Noussair Mazraoui</v>
      </c>
      <c r="G216" s="10">
        <v>0</v>
      </c>
      <c r="H216" s="10">
        <v>0</v>
      </c>
      <c r="I216" s="10">
        <v>0</v>
      </c>
      <c r="J216" s="11">
        <f t="shared" si="16"/>
        <v>0</v>
      </c>
      <c r="K216" s="11">
        <f t="shared" si="17"/>
        <v>0</v>
      </c>
      <c r="L216" s="11">
        <f t="shared" si="18"/>
        <v>0</v>
      </c>
      <c r="M216" s="11">
        <v>0</v>
      </c>
      <c r="N216" s="11">
        <f t="shared" si="19"/>
        <v>0</v>
      </c>
      <c r="P216" s="13">
        <f t="shared" si="20"/>
        <v>0.44488768662507444</v>
      </c>
    </row>
    <row r="217" spans="1:16" x14ac:dyDescent="0.25">
      <c r="A217" s="16">
        <v>444145</v>
      </c>
      <c r="B217" s="4">
        <f>INDEX([1]!PREDICT[TRUE PTS],MATCH($A217,[1]!PREDICT[HARD CODE],0))</f>
        <v>9.9643204781275809</v>
      </c>
      <c r="C217" s="7" t="str">
        <f>INDEX([1]!MODEL[POS],MATCH($A217,[1]!MODEL[Code],0))</f>
        <v>MID</v>
      </c>
      <c r="D217" s="7" t="str">
        <f>INDEX([1]!MODEL[TEAM],MATCH($A217,[1]!MODEL[Code],0))</f>
        <v>ARS</v>
      </c>
      <c r="E217" s="7">
        <f>INDEX([1]PREDICT!$M$3:$M$1001,MATCH($A217,[1]PREDICT!$B$3:$B$1001,0))</f>
        <v>6.5</v>
      </c>
      <c r="F217" s="15" t="str">
        <f>INDEX([1]!MODEL[FPL_Name],MATCH($A217,[1]!MODEL[Code],0))</f>
        <v>Gabriel Martinelli Silva</v>
      </c>
      <c r="G217" s="10">
        <v>0</v>
      </c>
      <c r="H217" s="10">
        <v>0</v>
      </c>
      <c r="I217" s="10">
        <v>0</v>
      </c>
      <c r="J217" s="11">
        <f t="shared" si="16"/>
        <v>0</v>
      </c>
      <c r="K217" s="11">
        <f t="shared" si="17"/>
        <v>0</v>
      </c>
      <c r="L217" s="11">
        <f t="shared" si="18"/>
        <v>0</v>
      </c>
      <c r="M217" s="11">
        <v>0</v>
      </c>
      <c r="N217" s="11">
        <f t="shared" si="19"/>
        <v>0</v>
      </c>
      <c r="P217" s="13">
        <f t="shared" si="20"/>
        <v>0.30659447625007941</v>
      </c>
    </row>
    <row r="218" spans="1:16" x14ac:dyDescent="0.25">
      <c r="A218" s="16">
        <v>592031</v>
      </c>
      <c r="B218" s="4">
        <f>INDEX([1]!PREDICT[TRUE PTS],MATCH($A218,[1]!PREDICT[HARD CODE],0))</f>
        <v>15.312019841034664</v>
      </c>
      <c r="C218" s="7" t="str">
        <f>INDEX([1]!MODEL[POS],MATCH($A218,[1]!MODEL[Code],0))</f>
        <v>MID</v>
      </c>
      <c r="D218" s="7" t="str">
        <f>INDEX([1]!MODEL[TEAM],MATCH($A218,[1]!MODEL[Code],0))</f>
        <v>BHA</v>
      </c>
      <c r="E218" s="7">
        <f>INDEX([1]PREDICT!$M$3:$M$1001,MATCH($A218,[1]PREDICT!$B$3:$B$1001,0))</f>
        <v>6</v>
      </c>
      <c r="F218" s="15" t="str">
        <f>INDEX([1]!MODEL[FPL_Name],MATCH($A218,[1]!MODEL[Code],0))</f>
        <v>Yankuba Minteh</v>
      </c>
      <c r="G218" s="10">
        <v>0</v>
      </c>
      <c r="H218" s="10">
        <v>0</v>
      </c>
      <c r="I218" s="10">
        <v>0</v>
      </c>
      <c r="J218" s="11">
        <f t="shared" si="16"/>
        <v>0</v>
      </c>
      <c r="K218" s="11">
        <f t="shared" si="17"/>
        <v>0</v>
      </c>
      <c r="L218" s="11">
        <f t="shared" si="18"/>
        <v>0</v>
      </c>
      <c r="M218" s="11">
        <v>0</v>
      </c>
      <c r="N218" s="11">
        <f t="shared" si="19"/>
        <v>0</v>
      </c>
      <c r="P218" s="13">
        <f t="shared" si="20"/>
        <v>0.51040066136782214</v>
      </c>
    </row>
    <row r="219" spans="1:16" x14ac:dyDescent="0.25">
      <c r="A219" s="16">
        <v>166477</v>
      </c>
      <c r="B219" s="4">
        <f>INDEX([1]!PREDICT[TRUE PTS],MATCH($A219,[1]!PREDICT[HARD CODE],0))</f>
        <v>9.9026435999944109</v>
      </c>
      <c r="C219" s="7" t="str">
        <f>INDEX([1]!MODEL[POS],MATCH($A219,[1]!MODEL[Code],0))</f>
        <v>DEF</v>
      </c>
      <c r="D219" s="7" t="str">
        <f>INDEX([1]!MODEL[TEAM],MATCH($A219,[1]!MODEL[Code],0))</f>
        <v>FUL</v>
      </c>
      <c r="E219" s="7">
        <f>INDEX([1]PREDICT!$M$3:$M$1001,MATCH($A219,[1]PREDICT!$B$3:$B$1001,0))</f>
        <v>4.5</v>
      </c>
      <c r="F219" s="15" t="str">
        <f>INDEX([1]!MODEL[FPL_Name],MATCH($A219,[1]!MODEL[Code],0))</f>
        <v>Timothy Castagne</v>
      </c>
      <c r="G219" s="10">
        <v>0</v>
      </c>
      <c r="H219" s="10">
        <v>0</v>
      </c>
      <c r="I219" s="10">
        <v>0</v>
      </c>
      <c r="J219" s="11">
        <f t="shared" si="16"/>
        <v>0</v>
      </c>
      <c r="K219" s="11">
        <f t="shared" si="17"/>
        <v>0</v>
      </c>
      <c r="L219" s="11">
        <f t="shared" si="18"/>
        <v>0</v>
      </c>
      <c r="M219" s="11">
        <v>0</v>
      </c>
      <c r="N219" s="11">
        <f t="shared" si="19"/>
        <v>0</v>
      </c>
      <c r="P219" s="13">
        <f t="shared" si="20"/>
        <v>0.44011749333308492</v>
      </c>
    </row>
    <row r="220" spans="1:16" x14ac:dyDescent="0.25">
      <c r="A220" s="16">
        <v>477555</v>
      </c>
      <c r="B220" s="4">
        <f>INDEX([1]!PREDICT[TRUE PTS],MATCH($A220,[1]!PREDICT[HARD CODE],0))</f>
        <v>10.813612923728119</v>
      </c>
      <c r="C220" s="7" t="str">
        <f>INDEX([1]!MODEL[POS],MATCH($A220,[1]!MODEL[Code],0))</f>
        <v>MID</v>
      </c>
      <c r="D220" s="7" t="str">
        <f>INDEX([1]!MODEL[TEAM],MATCH($A220,[1]!MODEL[Code],0))</f>
        <v>FUL</v>
      </c>
      <c r="E220" s="7">
        <f>INDEX([1]PREDICT!$M$3:$M$1001,MATCH($A220,[1]PREDICT!$B$3:$B$1001,0))</f>
        <v>5.5</v>
      </c>
      <c r="F220" s="15" t="str">
        <f>INDEX([1]!MODEL[FPL_Name],MATCH($A220,[1]!MODEL[Code],0))</f>
        <v>Oscar Bobb</v>
      </c>
      <c r="G220" s="10">
        <v>0</v>
      </c>
      <c r="H220" s="10">
        <v>0</v>
      </c>
      <c r="I220" s="10">
        <v>0</v>
      </c>
      <c r="J220" s="11">
        <f t="shared" si="16"/>
        <v>0</v>
      </c>
      <c r="K220" s="11">
        <f t="shared" si="17"/>
        <v>0</v>
      </c>
      <c r="L220" s="11">
        <f t="shared" si="18"/>
        <v>0</v>
      </c>
      <c r="M220" s="11">
        <v>0</v>
      </c>
      <c r="N220" s="11">
        <f t="shared" si="19"/>
        <v>0</v>
      </c>
      <c r="P220" s="13">
        <f t="shared" si="20"/>
        <v>0.39322228813556792</v>
      </c>
    </row>
    <row r="221" spans="1:16" x14ac:dyDescent="0.25">
      <c r="A221" s="16">
        <v>510281</v>
      </c>
      <c r="B221" s="4">
        <f>INDEX([1]!PREDICT[TRUE PTS],MATCH($A221,[1]!PREDICT[HARD CODE],0))</f>
        <v>9.8167804325083949</v>
      </c>
      <c r="C221" s="7" t="str">
        <f>INDEX([1]!MODEL[POS],MATCH($A221,[1]!MODEL[Code],0))</f>
        <v>MID</v>
      </c>
      <c r="D221" s="7" t="str">
        <f>INDEX([1]!MODEL[TEAM],MATCH($A221,[1]!MODEL[Code],0))</f>
        <v>MCI</v>
      </c>
      <c r="E221" s="7">
        <f>INDEX([1]PREDICT!$M$3:$M$1001,MATCH($A221,[1]PREDICT!$B$3:$B$1001,0))</f>
        <v>6.5</v>
      </c>
      <c r="F221" s="15" t="str">
        <f>INDEX([1]!MODEL[FPL_Name],MATCH($A221,[1]!MODEL[Code],0))</f>
        <v>Sávio Moreira de Oliveira</v>
      </c>
      <c r="G221" s="10">
        <v>0</v>
      </c>
      <c r="H221" s="10">
        <v>0</v>
      </c>
      <c r="I221" s="10">
        <v>0</v>
      </c>
      <c r="J221" s="11">
        <f t="shared" si="16"/>
        <v>0</v>
      </c>
      <c r="K221" s="11">
        <f t="shared" si="17"/>
        <v>0</v>
      </c>
      <c r="L221" s="11">
        <f t="shared" si="18"/>
        <v>0</v>
      </c>
      <c r="M221" s="11">
        <v>0</v>
      </c>
      <c r="N221" s="11">
        <f t="shared" si="19"/>
        <v>0</v>
      </c>
      <c r="P221" s="13">
        <f t="shared" si="20"/>
        <v>0.30205478253871981</v>
      </c>
    </row>
    <row r="222" spans="1:16" x14ac:dyDescent="0.25">
      <c r="A222" s="16">
        <v>191866</v>
      </c>
      <c r="B222" s="4">
        <f>INDEX([1]!PREDICT[TRUE PTS],MATCH($A222,[1]!PREDICT[HARD CODE],0))</f>
        <v>9.8025591863942658</v>
      </c>
      <c r="C222" s="7" t="str">
        <f>INDEX([1]!MODEL[POS],MATCH($A222,[1]!MODEL[Code],0))</f>
        <v>DEF</v>
      </c>
      <c r="D222" s="7" t="str">
        <f>INDEX([1]!MODEL[TEAM],MATCH($A222,[1]!MODEL[Code],0))</f>
        <v>BRE</v>
      </c>
      <c r="E222" s="7">
        <f>INDEX([1]PREDICT!$M$3:$M$1001,MATCH($A222,[1]PREDICT!$B$3:$B$1001,0))</f>
        <v>4.5</v>
      </c>
      <c r="F222" s="15" t="str">
        <f>INDEX([1]!MODEL[FPL_Name],MATCH($A222,[1]!MODEL[Code],0))</f>
        <v>Kristoffer Ajer</v>
      </c>
      <c r="G222" s="10">
        <v>0</v>
      </c>
      <c r="H222" s="10">
        <v>0</v>
      </c>
      <c r="I222" s="10">
        <v>0</v>
      </c>
      <c r="J222" s="11">
        <f t="shared" si="16"/>
        <v>0</v>
      </c>
      <c r="K222" s="11">
        <f t="shared" si="17"/>
        <v>0</v>
      </c>
      <c r="L222" s="11">
        <f t="shared" si="18"/>
        <v>0</v>
      </c>
      <c r="M222" s="11">
        <v>0</v>
      </c>
      <c r="N222" s="11">
        <f t="shared" si="19"/>
        <v>0</v>
      </c>
      <c r="P222" s="13">
        <f t="shared" si="20"/>
        <v>0.43566929717307845</v>
      </c>
    </row>
    <row r="223" spans="1:16" x14ac:dyDescent="0.25">
      <c r="A223" s="16">
        <v>575476</v>
      </c>
      <c r="B223" s="4">
        <f>INDEX([1]!PREDICT[TRUE PTS],MATCH($A223,[1]!PREDICT[HARD CODE],0))</f>
        <v>14.245338255668326</v>
      </c>
      <c r="C223" s="7" t="str">
        <f>INDEX([1]!MODEL[POS],MATCH($A223,[1]!MODEL[Code],0))</f>
        <v>DEF</v>
      </c>
      <c r="D223" s="7" t="str">
        <f>INDEX([1]!MODEL[TEAM],MATCH($A223,[1]!MODEL[Code],0))</f>
        <v>NFO</v>
      </c>
      <c r="E223" s="7">
        <f>INDEX([1]PREDICT!$M$3:$M$1001,MATCH($A223,[1]PREDICT!$B$3:$B$1001,0))</f>
        <v>5.5</v>
      </c>
      <c r="F223" s="15" t="str">
        <f>INDEX([1]!MODEL[FPL_Name],MATCH($A223,[1]!MODEL[Code],0))</f>
        <v>Murillo Costa dos Santos</v>
      </c>
      <c r="G223" s="10">
        <v>0</v>
      </c>
      <c r="H223" s="10">
        <v>0</v>
      </c>
      <c r="I223" s="10">
        <v>0</v>
      </c>
      <c r="J223" s="11">
        <f t="shared" si="16"/>
        <v>0</v>
      </c>
      <c r="K223" s="11">
        <f t="shared" si="17"/>
        <v>0</v>
      </c>
      <c r="L223" s="11">
        <f t="shared" si="18"/>
        <v>0</v>
      </c>
      <c r="M223" s="11">
        <v>0</v>
      </c>
      <c r="N223" s="11">
        <f t="shared" si="19"/>
        <v>0</v>
      </c>
      <c r="P223" s="13">
        <f t="shared" si="20"/>
        <v>0.51801230020612088</v>
      </c>
    </row>
    <row r="224" spans="1:16" x14ac:dyDescent="0.25">
      <c r="A224" s="16">
        <v>232653</v>
      </c>
      <c r="B224" s="4">
        <f>INDEX([1]!PREDICT[TRUE PTS],MATCH($A224,[1]!PREDICT[HARD CODE],0))</f>
        <v>9.7783123558279144</v>
      </c>
      <c r="C224" s="7" t="str">
        <f>INDEX([1]!MODEL[POS],MATCH($A224,[1]!MODEL[Code],0))</f>
        <v>MID</v>
      </c>
      <c r="D224" s="7" t="str">
        <f>INDEX([1]!MODEL[TEAM],MATCH($A224,[1]!MODEL[Code],0))</f>
        <v>NEW</v>
      </c>
      <c r="E224" s="7">
        <f>INDEX([1]PREDICT!$M$3:$M$1001,MATCH($A224,[1]PREDICT!$B$3:$B$1001,0))</f>
        <v>5</v>
      </c>
      <c r="F224" s="15" t="str">
        <f>INDEX([1]!MODEL[FPL_Name],MATCH($A224,[1]!MODEL[Code],0))</f>
        <v>Jacob Ramsey</v>
      </c>
      <c r="G224" s="10">
        <v>0</v>
      </c>
      <c r="H224" s="10">
        <v>0</v>
      </c>
      <c r="I224" s="10">
        <v>0</v>
      </c>
      <c r="J224" s="11">
        <f t="shared" si="16"/>
        <v>0</v>
      </c>
      <c r="K224" s="11">
        <f t="shared" si="17"/>
        <v>0</v>
      </c>
      <c r="L224" s="11">
        <f t="shared" si="18"/>
        <v>0</v>
      </c>
      <c r="M224" s="11">
        <v>0</v>
      </c>
      <c r="N224" s="11">
        <f t="shared" si="19"/>
        <v>0</v>
      </c>
      <c r="P224" s="13">
        <f t="shared" si="20"/>
        <v>0.39113249423311658</v>
      </c>
    </row>
    <row r="225" spans="1:16" x14ac:dyDescent="0.25">
      <c r="A225" s="16">
        <v>449434</v>
      </c>
      <c r="B225" s="4">
        <f>INDEX([1]!PREDICT[TRUE PTS],MATCH($A225,[1]!PREDICT[HARD CODE],0))</f>
        <v>10.666513399479978</v>
      </c>
      <c r="C225" s="7" t="str">
        <f>INDEX([1]!MODEL[POS],MATCH($A225,[1]!MODEL[Code],0))</f>
        <v>MID</v>
      </c>
      <c r="D225" s="7" t="str">
        <f>INDEX([1]!MODEL[TEAM],MATCH($A225,[1]!MODEL[Code],0))</f>
        <v>NEW</v>
      </c>
      <c r="E225" s="7">
        <f>INDEX([1]PREDICT!$M$3:$M$1001,MATCH($A225,[1]PREDICT!$B$3:$B$1001,0))</f>
        <v>6</v>
      </c>
      <c r="F225" s="15" t="str">
        <f>INDEX([1]!MODEL[FPL_Name],MATCH($A225,[1]!MODEL[Code],0))</f>
        <v>Anthony Elanga</v>
      </c>
      <c r="G225" s="10">
        <v>0</v>
      </c>
      <c r="H225" s="10">
        <v>0</v>
      </c>
      <c r="I225" s="10">
        <v>0</v>
      </c>
      <c r="J225" s="11">
        <f t="shared" si="16"/>
        <v>0</v>
      </c>
      <c r="K225" s="11">
        <f t="shared" si="17"/>
        <v>0</v>
      </c>
      <c r="L225" s="11">
        <f t="shared" si="18"/>
        <v>0</v>
      </c>
      <c r="M225" s="11">
        <v>0</v>
      </c>
      <c r="N225" s="11">
        <f t="shared" si="19"/>
        <v>0</v>
      </c>
      <c r="P225" s="13">
        <f t="shared" si="20"/>
        <v>0.35555044664933261</v>
      </c>
    </row>
    <row r="226" spans="1:16" x14ac:dyDescent="0.25">
      <c r="A226" s="16">
        <v>535301</v>
      </c>
      <c r="B226" s="4">
        <f>INDEX([1]!PREDICT[TRUE PTS],MATCH($A226,[1]!PREDICT[HARD CODE],0))</f>
        <v>10.72522807903208</v>
      </c>
      <c r="C226" s="7" t="str">
        <f>INDEX([1]!MODEL[POS],MATCH($A226,[1]!MODEL[Code],0))</f>
        <v>MID</v>
      </c>
      <c r="D226" s="7" t="str">
        <f>INDEX([1]!MODEL[TEAM],MATCH($A226,[1]!MODEL[Code],0))</f>
        <v>BHA</v>
      </c>
      <c r="E226" s="7">
        <f>INDEX([1]PREDICT!$M$3:$M$1001,MATCH($A226,[1]PREDICT!$B$3:$B$1001,0))</f>
        <v>5</v>
      </c>
      <c r="F226" s="15" t="str">
        <f>INDEX([1]!MODEL[FPL_Name],MATCH($A226,[1]!MODEL[Code],0))</f>
        <v>Carlos Baleba</v>
      </c>
      <c r="G226" s="10">
        <v>0</v>
      </c>
      <c r="H226" s="10">
        <v>0</v>
      </c>
      <c r="I226" s="10">
        <v>0</v>
      </c>
      <c r="J226" s="11">
        <f t="shared" si="16"/>
        <v>0</v>
      </c>
      <c r="K226" s="11">
        <f t="shared" si="17"/>
        <v>0</v>
      </c>
      <c r="L226" s="11">
        <f t="shared" si="18"/>
        <v>0</v>
      </c>
      <c r="M226" s="11">
        <v>0</v>
      </c>
      <c r="N226" s="11">
        <f t="shared" si="19"/>
        <v>0</v>
      </c>
      <c r="P226" s="13">
        <f t="shared" si="20"/>
        <v>0.42900912316128326</v>
      </c>
    </row>
    <row r="227" spans="1:16" x14ac:dyDescent="0.25">
      <c r="A227" s="16">
        <v>596777</v>
      </c>
      <c r="B227" s="4">
        <f>INDEX([1]!PREDICT[TRUE PTS],MATCH($A227,[1]!PREDICT[HARD CODE],0))</f>
        <v>15.164741959082953</v>
      </c>
      <c r="C227" s="7" t="str">
        <f>INDEX([1]!MODEL[POS],MATCH($A227,[1]!MODEL[Code],0))</f>
        <v>MID</v>
      </c>
      <c r="D227" s="7" t="str">
        <f>INDEX([1]!MODEL[TEAM],MATCH($A227,[1]!MODEL[Code],0))</f>
        <v>MUN</v>
      </c>
      <c r="E227" s="7">
        <f>INDEX([1]PREDICT!$M$3:$M$1001,MATCH($A227,[1]PREDICT!$B$3:$B$1001,0))</f>
        <v>6</v>
      </c>
      <c r="F227" s="15" t="str">
        <f>INDEX([1]!MODEL[FPL_Name],MATCH($A227,[1]!MODEL[Code],0))</f>
        <v>Patrick Dorgu</v>
      </c>
      <c r="G227" s="10">
        <v>0</v>
      </c>
      <c r="H227" s="10">
        <v>0</v>
      </c>
      <c r="I227" s="10">
        <v>0</v>
      </c>
      <c r="J227" s="11">
        <f t="shared" si="16"/>
        <v>0</v>
      </c>
      <c r="K227" s="11">
        <f t="shared" si="17"/>
        <v>0</v>
      </c>
      <c r="L227" s="11">
        <f t="shared" si="18"/>
        <v>0</v>
      </c>
      <c r="M227" s="11">
        <v>0</v>
      </c>
      <c r="N227" s="11">
        <f t="shared" si="19"/>
        <v>0</v>
      </c>
      <c r="P227" s="13">
        <f t="shared" si="20"/>
        <v>0.50549139863609838</v>
      </c>
    </row>
    <row r="228" spans="1:16" x14ac:dyDescent="0.25">
      <c r="A228" s="16">
        <v>465694</v>
      </c>
      <c r="B228" s="4">
        <f>INDEX([1]!PREDICT[TRUE PTS],MATCH($A228,[1]!PREDICT[HARD CODE],0))</f>
        <v>9.6209802354245593</v>
      </c>
      <c r="C228" s="7" t="str">
        <f>INDEX([1]!MODEL[POS],MATCH($A228,[1]!MODEL[Code],0))</f>
        <v>MID</v>
      </c>
      <c r="D228" s="7" t="str">
        <f>INDEX([1]!MODEL[TEAM],MATCH($A228,[1]!MODEL[Code],0))</f>
        <v>MCI</v>
      </c>
      <c r="E228" s="7">
        <f>INDEX([1]PREDICT!$M$3:$M$1001,MATCH($A228,[1]PREDICT!$B$3:$B$1001,0))</f>
        <v>5.5</v>
      </c>
      <c r="F228" s="15" t="str">
        <f>INDEX([1]!MODEL[FPL_Name],MATCH($A228,[1]!MODEL[Code],0))</f>
        <v>Nico González Iglesias</v>
      </c>
      <c r="G228" s="10">
        <v>0</v>
      </c>
      <c r="H228" s="10">
        <v>0</v>
      </c>
      <c r="I228" s="10">
        <v>0</v>
      </c>
      <c r="J228" s="11">
        <f t="shared" si="16"/>
        <v>0</v>
      </c>
      <c r="K228" s="11">
        <f t="shared" si="17"/>
        <v>0</v>
      </c>
      <c r="L228" s="11">
        <f t="shared" si="18"/>
        <v>0</v>
      </c>
      <c r="M228" s="11">
        <v>0</v>
      </c>
      <c r="N228" s="11">
        <f t="shared" si="19"/>
        <v>0</v>
      </c>
      <c r="P228" s="13">
        <f t="shared" si="20"/>
        <v>0.34985382674271126</v>
      </c>
    </row>
    <row r="229" spans="1:16" x14ac:dyDescent="0.25">
      <c r="A229" s="16">
        <v>184341</v>
      </c>
      <c r="B229" s="4">
        <f>INDEX([1]!PREDICT[TRUE PTS],MATCH($A229,[1]!PREDICT[HARD CODE],0))</f>
        <v>9.5569798967902155</v>
      </c>
      <c r="C229" s="7" t="str">
        <f>INDEX([1]!MODEL[POS],MATCH($A229,[1]!MODEL[Code],0))</f>
        <v>MID</v>
      </c>
      <c r="D229" s="7" t="str">
        <f>INDEX([1]!MODEL[TEAM],MATCH($A229,[1]!MODEL[Code],0))</f>
        <v>MUN</v>
      </c>
      <c r="E229" s="7">
        <f>INDEX([1]PREDICT!$M$3:$M$1001,MATCH($A229,[1]PREDICT!$B$3:$B$1001,0))</f>
        <v>5.5</v>
      </c>
      <c r="F229" s="15" t="str">
        <f>INDEX([1]!MODEL[FPL_Name],MATCH($A229,[1]!MODEL[Code],0))</f>
        <v>Mason Mount</v>
      </c>
      <c r="G229" s="10">
        <v>0</v>
      </c>
      <c r="H229" s="10">
        <v>0</v>
      </c>
      <c r="I229" s="10">
        <v>0</v>
      </c>
      <c r="J229" s="11">
        <f t="shared" si="16"/>
        <v>0</v>
      </c>
      <c r="K229" s="11">
        <f t="shared" si="17"/>
        <v>0</v>
      </c>
      <c r="L229" s="11">
        <f t="shared" si="18"/>
        <v>0</v>
      </c>
      <c r="M229" s="11">
        <v>0</v>
      </c>
      <c r="N229" s="11">
        <f t="shared" si="19"/>
        <v>0</v>
      </c>
      <c r="P229" s="13">
        <f t="shared" si="20"/>
        <v>0.34752654170146241</v>
      </c>
    </row>
    <row r="230" spans="1:16" x14ac:dyDescent="0.25">
      <c r="A230" s="16">
        <v>485047</v>
      </c>
      <c r="B230" s="4">
        <f>INDEX([1]!PREDICT[TRUE PTS],MATCH($A230,[1]!PREDICT[HARD CODE],0))</f>
        <v>9.507074068454628</v>
      </c>
      <c r="C230" s="7" t="str">
        <f>INDEX([1]!MODEL[POS],MATCH($A230,[1]!MODEL[Code],0))</f>
        <v>DEF</v>
      </c>
      <c r="D230" s="7" t="str">
        <f>INDEX([1]!MODEL[TEAM],MATCH($A230,[1]!MODEL[Code],0))</f>
        <v>NFO</v>
      </c>
      <c r="E230" s="7">
        <f>INDEX([1]PREDICT!$M$3:$M$1001,MATCH($A230,[1]PREDICT!$B$3:$B$1001,0))</f>
        <v>5</v>
      </c>
      <c r="F230" s="15" t="str">
        <f>INDEX([1]!MODEL[FPL_Name],MATCH($A230,[1]!MODEL[Code],0))</f>
        <v>Felipe Rodrigues da Silva</v>
      </c>
      <c r="G230" s="10">
        <v>0</v>
      </c>
      <c r="H230" s="10">
        <v>0</v>
      </c>
      <c r="I230" s="10">
        <v>0</v>
      </c>
      <c r="J230" s="11">
        <f t="shared" si="16"/>
        <v>0</v>
      </c>
      <c r="K230" s="11">
        <f t="shared" si="17"/>
        <v>0</v>
      </c>
      <c r="L230" s="11">
        <f t="shared" si="18"/>
        <v>0</v>
      </c>
      <c r="M230" s="11">
        <v>0</v>
      </c>
      <c r="N230" s="11">
        <f t="shared" si="19"/>
        <v>0</v>
      </c>
      <c r="P230" s="13">
        <f t="shared" si="20"/>
        <v>0.38028296273818513</v>
      </c>
    </row>
    <row r="231" spans="1:16" x14ac:dyDescent="0.25">
      <c r="A231" s="16">
        <v>216646</v>
      </c>
      <c r="B231" s="4">
        <f>INDEX([1]!PREDICT[TRUE PTS],MATCH($A231,[1]!PREDICT[HARD CODE],0))</f>
        <v>9.3371992217887083</v>
      </c>
      <c r="C231" s="7" t="str">
        <f>INDEX([1]!MODEL[POS],MATCH($A231,[1]!MODEL[Code],0))</f>
        <v>FWD</v>
      </c>
      <c r="D231" s="7" t="str">
        <f>INDEX([1]!MODEL[TEAM],MATCH($A231,[1]!MODEL[Code],0))</f>
        <v>NEW</v>
      </c>
      <c r="E231" s="7">
        <f>INDEX([1]PREDICT!$M$3:$M$1001,MATCH($A231,[1]PREDICT!$B$3:$B$1001,0))</f>
        <v>6</v>
      </c>
      <c r="F231" s="15" t="str">
        <f>INDEX([1]!MODEL[FPL_Name],MATCH($A231,[1]!MODEL[Code],0))</f>
        <v>Yoane Wissa</v>
      </c>
      <c r="G231" s="10">
        <v>0</v>
      </c>
      <c r="H231" s="10">
        <v>0</v>
      </c>
      <c r="I231" s="10">
        <v>0</v>
      </c>
      <c r="J231" s="11">
        <f t="shared" si="16"/>
        <v>0</v>
      </c>
      <c r="K231" s="11">
        <f t="shared" si="17"/>
        <v>0</v>
      </c>
      <c r="L231" s="11">
        <f t="shared" si="18"/>
        <v>0</v>
      </c>
      <c r="M231" s="11">
        <v>0</v>
      </c>
      <c r="N231" s="11">
        <f t="shared" si="19"/>
        <v>0</v>
      </c>
      <c r="P231" s="13">
        <f t="shared" si="20"/>
        <v>0.31123997405962361</v>
      </c>
    </row>
    <row r="232" spans="1:16" x14ac:dyDescent="0.25">
      <c r="A232" s="16">
        <v>577669</v>
      </c>
      <c r="B232" s="4">
        <f>INDEX([1]!PREDICT[TRUE PTS],MATCH($A232,[1]!PREDICT[HARD CODE],0))</f>
        <v>13.672109662306747</v>
      </c>
      <c r="C232" s="7" t="str">
        <f>INDEX([1]!MODEL[POS],MATCH($A232,[1]!MODEL[Code],0))</f>
        <v>MID</v>
      </c>
      <c r="D232" s="7" t="str">
        <f>INDEX([1]!MODEL[TEAM],MATCH($A232,[1]!MODEL[Code],0))</f>
        <v>SUN</v>
      </c>
      <c r="E232" s="7">
        <f>INDEX([1]PREDICT!$M$3:$M$1001,MATCH($A232,[1]PREDICT!$B$3:$B$1001,0))</f>
        <v>5</v>
      </c>
      <c r="F232" s="15" t="str">
        <f>INDEX([1]!MODEL[FPL_Name],MATCH($A232,[1]!MODEL[Code],0))</f>
        <v>Noah Sadiki</v>
      </c>
      <c r="G232" s="10">
        <v>0</v>
      </c>
      <c r="H232" s="10">
        <v>0</v>
      </c>
      <c r="I232" s="10">
        <v>0</v>
      </c>
      <c r="J232" s="11">
        <f t="shared" si="16"/>
        <v>0</v>
      </c>
      <c r="K232" s="11">
        <f t="shared" si="17"/>
        <v>0</v>
      </c>
      <c r="L232" s="11">
        <f t="shared" si="18"/>
        <v>0</v>
      </c>
      <c r="M232" s="11">
        <v>0</v>
      </c>
      <c r="N232" s="11">
        <f t="shared" si="19"/>
        <v>0</v>
      </c>
      <c r="P232" s="13">
        <f t="shared" si="20"/>
        <v>0.54688438649226989</v>
      </c>
    </row>
    <row r="233" spans="1:16" x14ac:dyDescent="0.25">
      <c r="A233" s="16">
        <v>489888</v>
      </c>
      <c r="B233" s="4">
        <f>INDEX([1]!PREDICT[TRUE PTS],MATCH($A233,[1]!PREDICT[HARD CODE],0))</f>
        <v>9.2710909087481035</v>
      </c>
      <c r="C233" s="7" t="str">
        <f>INDEX([1]!MODEL[POS],MATCH($A233,[1]!MODEL[Code],0))</f>
        <v>MID</v>
      </c>
      <c r="D233" s="7" t="str">
        <f>INDEX([1]!MODEL[TEAM],MATCH($A233,[1]!MODEL[Code],0))</f>
        <v>BOU</v>
      </c>
      <c r="E233" s="7">
        <f>INDEX([1]PREDICT!$M$3:$M$1001,MATCH($A233,[1]PREDICT!$B$3:$B$1001,0))</f>
        <v>5</v>
      </c>
      <c r="F233" s="15" t="str">
        <f>INDEX([1]!MODEL[FPL_Name],MATCH($A233,[1]!MODEL[Code],0))</f>
        <v>Amine Adli</v>
      </c>
      <c r="G233" s="10">
        <v>0</v>
      </c>
      <c r="H233" s="10">
        <v>0</v>
      </c>
      <c r="I233" s="10">
        <v>0</v>
      </c>
      <c r="J233" s="11">
        <f t="shared" si="16"/>
        <v>0</v>
      </c>
      <c r="K233" s="11">
        <f t="shared" si="17"/>
        <v>0</v>
      </c>
      <c r="L233" s="11">
        <f t="shared" si="18"/>
        <v>0</v>
      </c>
      <c r="M233" s="11">
        <v>0</v>
      </c>
      <c r="N233" s="11">
        <f t="shared" si="19"/>
        <v>0</v>
      </c>
      <c r="P233" s="13">
        <f t="shared" si="20"/>
        <v>0.37084363634992412</v>
      </c>
    </row>
    <row r="234" spans="1:16" x14ac:dyDescent="0.25">
      <c r="A234" s="16">
        <v>550864</v>
      </c>
      <c r="B234" s="4">
        <f>INDEX([1]!PREDICT[TRUE PTS],MATCH($A234,[1]!PREDICT[HARD CODE],0))</f>
        <v>11.428784844457143</v>
      </c>
      <c r="C234" s="7" t="str">
        <f>INDEX([1]!MODEL[POS],MATCH($A234,[1]!MODEL[Code],0))</f>
        <v>DEF</v>
      </c>
      <c r="D234" s="7" t="str">
        <f>INDEX([1]!MODEL[TEAM],MATCH($A234,[1]!MODEL[Code],0))</f>
        <v>MUN</v>
      </c>
      <c r="E234" s="7">
        <f>INDEX([1]PREDICT!$M$3:$M$1001,MATCH($A234,[1]PREDICT!$B$3:$B$1001,0))</f>
        <v>5</v>
      </c>
      <c r="F234" s="15" t="str">
        <f>INDEX([1]!MODEL[FPL_Name],MATCH($A234,[1]!MODEL[Code],0))</f>
        <v>Leny Yoro</v>
      </c>
      <c r="G234" s="10">
        <v>0</v>
      </c>
      <c r="H234" s="10">
        <v>0</v>
      </c>
      <c r="I234" s="10">
        <v>0</v>
      </c>
      <c r="J234" s="11">
        <f t="shared" si="16"/>
        <v>0</v>
      </c>
      <c r="K234" s="11">
        <f t="shared" si="17"/>
        <v>0</v>
      </c>
      <c r="L234" s="11">
        <f t="shared" si="18"/>
        <v>0</v>
      </c>
      <c r="M234" s="11">
        <v>0</v>
      </c>
      <c r="N234" s="11">
        <f t="shared" si="19"/>
        <v>0</v>
      </c>
      <c r="P234" s="13">
        <f t="shared" si="20"/>
        <v>0.45715139377828573</v>
      </c>
    </row>
    <row r="235" spans="1:16" x14ac:dyDescent="0.25">
      <c r="A235" s="16">
        <v>463034</v>
      </c>
      <c r="B235" s="4">
        <f>INDEX([1]!PREDICT[TRUE PTS],MATCH($A235,[1]!PREDICT[HARD CODE],0))</f>
        <v>9.0094017135372866</v>
      </c>
      <c r="C235" s="7" t="str">
        <f>INDEX([1]!MODEL[POS],MATCH($A235,[1]!MODEL[Code],0))</f>
        <v>FWD</v>
      </c>
      <c r="D235" s="7" t="str">
        <f>INDEX([1]!MODEL[TEAM],MATCH($A235,[1]!MODEL[Code],0))</f>
        <v>CHE</v>
      </c>
      <c r="E235" s="7">
        <f>INDEX([1]PREDICT!$M$3:$M$1001,MATCH($A235,[1]PREDICT!$B$3:$B$1001,0))</f>
        <v>5.5</v>
      </c>
      <c r="F235" s="15" t="str">
        <f>INDEX([1]!MODEL[FPL_Name],MATCH($A235,[1]!MODEL[Code],0))</f>
        <v>Liam Delap</v>
      </c>
      <c r="G235" s="10">
        <v>0</v>
      </c>
      <c r="H235" s="10">
        <v>0</v>
      </c>
      <c r="I235" s="10">
        <v>0</v>
      </c>
      <c r="J235" s="11">
        <f t="shared" si="16"/>
        <v>0</v>
      </c>
      <c r="K235" s="11">
        <f t="shared" si="17"/>
        <v>0</v>
      </c>
      <c r="L235" s="11">
        <f t="shared" si="18"/>
        <v>0</v>
      </c>
      <c r="M235" s="11">
        <v>0</v>
      </c>
      <c r="N235" s="11">
        <f t="shared" si="19"/>
        <v>0</v>
      </c>
      <c r="P235" s="13">
        <f t="shared" si="20"/>
        <v>0.32761460776499224</v>
      </c>
    </row>
    <row r="236" spans="1:16" x14ac:dyDescent="0.25">
      <c r="A236" s="16">
        <v>219924</v>
      </c>
      <c r="B236" s="4">
        <f>INDEX([1]!PREDICT[TRUE PTS],MATCH($A236,[1]!PREDICT[HARD CODE],0))</f>
        <v>9.0024138730943744</v>
      </c>
      <c r="C236" s="7" t="str">
        <f>INDEX([1]!MODEL[POS],MATCH($A236,[1]!MODEL[Code],0))</f>
        <v>DEF</v>
      </c>
      <c r="D236" s="7" t="str">
        <f>INDEX([1]!MODEL[TEAM],MATCH($A236,[1]!MODEL[Code],0))</f>
        <v>IPS</v>
      </c>
      <c r="E236" s="7">
        <f>INDEX([1]PREDICT!$M$3:$M$1001,MATCH($A236,[1]PREDICT!$B$3:$B$1001,0))</f>
        <v>4</v>
      </c>
      <c r="F236" s="15" t="str">
        <f>INDEX([1]!MODEL[FPL_Name],MATCH($A236,[1]!MODEL[Code],0))</f>
        <v>Issa Diop</v>
      </c>
      <c r="G236" s="10">
        <v>0</v>
      </c>
      <c r="H236" s="10">
        <v>0</v>
      </c>
      <c r="I236" s="10">
        <v>0</v>
      </c>
      <c r="J236" s="11">
        <f t="shared" si="16"/>
        <v>0</v>
      </c>
      <c r="K236" s="11">
        <f t="shared" si="17"/>
        <v>0</v>
      </c>
      <c r="L236" s="11">
        <f t="shared" si="18"/>
        <v>0</v>
      </c>
      <c r="M236" s="11">
        <v>0</v>
      </c>
      <c r="N236" s="11">
        <f t="shared" si="19"/>
        <v>0</v>
      </c>
      <c r="P236" s="13">
        <f t="shared" si="20"/>
        <v>0.45012069365471874</v>
      </c>
    </row>
    <row r="237" spans="1:16" x14ac:dyDescent="0.25">
      <c r="A237" s="16">
        <v>248056</v>
      </c>
      <c r="B237" s="4">
        <f>INDEX([1]!PREDICT[TRUE PTS],MATCH($A237,[1]!PREDICT[HARD CODE],0))</f>
        <v>8.9978568057539441</v>
      </c>
      <c r="C237" s="7" t="str">
        <f>INDEX([1]!MODEL[POS],MATCH($A237,[1]!MODEL[Code],0))</f>
        <v>MID</v>
      </c>
      <c r="D237" s="7" t="str">
        <f>INDEX([1]!MODEL[TEAM],MATCH($A237,[1]!MODEL[Code],0))</f>
        <v>LEE</v>
      </c>
      <c r="E237" s="7">
        <f>INDEX([1]PREDICT!$M$3:$M$1001,MATCH($A237,[1]PREDICT!$B$3:$B$1001,0))</f>
        <v>5</v>
      </c>
      <c r="F237" s="15" t="str">
        <f>INDEX([1]!MODEL[FPL_Name],MATCH($A237,[1]!MODEL[Code],0))</f>
        <v>Tanaka Ao</v>
      </c>
      <c r="G237" s="10">
        <v>0</v>
      </c>
      <c r="H237" s="10">
        <v>0</v>
      </c>
      <c r="I237" s="10">
        <v>0</v>
      </c>
      <c r="J237" s="11">
        <f t="shared" si="16"/>
        <v>0</v>
      </c>
      <c r="K237" s="11">
        <f t="shared" si="17"/>
        <v>0</v>
      </c>
      <c r="L237" s="11">
        <f t="shared" si="18"/>
        <v>0</v>
      </c>
      <c r="M237" s="11">
        <v>0</v>
      </c>
      <c r="N237" s="11">
        <f t="shared" si="19"/>
        <v>0</v>
      </c>
      <c r="P237" s="13">
        <f t="shared" si="20"/>
        <v>0.35991427223015776</v>
      </c>
    </row>
    <row r="238" spans="1:16" x14ac:dyDescent="0.25">
      <c r="A238" s="16">
        <v>547701</v>
      </c>
      <c r="B238" s="4">
        <f>INDEX([1]!PREDICT[TRUE PTS],MATCH($A238,[1]!PREDICT[HARD CODE],0))</f>
        <v>8.9708118171020512</v>
      </c>
      <c r="C238" s="7" t="str">
        <f>INDEX([1]!MODEL[POS],MATCH($A238,[1]!MODEL[Code],0))</f>
        <v>MID</v>
      </c>
      <c r="D238" s="7" t="str">
        <f>INDEX([1]!MODEL[TEAM],MATCH($A238,[1]!MODEL[Code],0))</f>
        <v>TOT</v>
      </c>
      <c r="E238" s="7">
        <f>INDEX([1]PREDICT!$M$3:$M$1001,MATCH($A238,[1]PREDICT!$B$3:$B$1001,0))</f>
        <v>5</v>
      </c>
      <c r="F238" s="15" t="str">
        <f>INDEX([1]!MODEL[FPL_Name],MATCH($A238,[1]!MODEL[Code],0))</f>
        <v>Archie Gray</v>
      </c>
      <c r="G238" s="10">
        <v>0</v>
      </c>
      <c r="H238" s="10">
        <v>0</v>
      </c>
      <c r="I238" s="10">
        <v>0</v>
      </c>
      <c r="J238" s="11">
        <f t="shared" si="16"/>
        <v>0</v>
      </c>
      <c r="K238" s="11">
        <f t="shared" si="17"/>
        <v>0</v>
      </c>
      <c r="L238" s="11">
        <f t="shared" si="18"/>
        <v>0</v>
      </c>
      <c r="M238" s="11">
        <v>0</v>
      </c>
      <c r="N238" s="11">
        <f t="shared" si="19"/>
        <v>0</v>
      </c>
      <c r="P238" s="13">
        <f t="shared" si="20"/>
        <v>0.35883247268408203</v>
      </c>
    </row>
    <row r="239" spans="1:16" x14ac:dyDescent="0.25">
      <c r="A239" s="16">
        <v>59735</v>
      </c>
      <c r="B239" s="4">
        <f>INDEX([1]!PREDICT[TRUE PTS],MATCH($A239,[1]!PREDICT[HARD CODE],0))</f>
        <v>8.8694386340257392</v>
      </c>
      <c r="C239" s="7" t="str">
        <f>INDEX([1]!MODEL[POS],MATCH($A239,[1]!MODEL[Code],0))</f>
        <v>GK</v>
      </c>
      <c r="D239" s="7" t="str">
        <f>INDEX([1]!MODEL[TEAM],MATCH($A239,[1]!MODEL[Code],0))</f>
        <v>MUN</v>
      </c>
      <c r="E239" s="7">
        <f>INDEX([1]PREDICT!$M$3:$M$1001,MATCH($A239,[1]PREDICT!$B$3:$B$1001,0))</f>
        <v>4.5</v>
      </c>
      <c r="F239" s="15" t="str">
        <f>INDEX([1]!MODEL[FPL_Name],MATCH($A239,[1]!MODEL[Code],0))</f>
        <v>Karl Darlow</v>
      </c>
      <c r="G239" s="10">
        <v>0</v>
      </c>
      <c r="H239" s="10">
        <v>0</v>
      </c>
      <c r="I239" s="10">
        <v>0</v>
      </c>
      <c r="J239" s="11">
        <f t="shared" si="16"/>
        <v>0</v>
      </c>
      <c r="K239" s="11">
        <f t="shared" si="17"/>
        <v>0</v>
      </c>
      <c r="L239" s="11">
        <f t="shared" si="18"/>
        <v>0</v>
      </c>
      <c r="M239" s="11">
        <v>0</v>
      </c>
      <c r="N239" s="11">
        <f t="shared" si="19"/>
        <v>0</v>
      </c>
      <c r="P239" s="13">
        <f t="shared" si="20"/>
        <v>0.39419727262336618</v>
      </c>
    </row>
    <row r="240" spans="1:16" x14ac:dyDescent="0.25">
      <c r="A240" s="16">
        <v>433154</v>
      </c>
      <c r="B240" s="4">
        <f>INDEX([1]!PREDICT[TRUE PTS],MATCH($A240,[1]!PREDICT[HARD CODE],0))</f>
        <v>8.6184334104107876</v>
      </c>
      <c r="C240" s="7" t="str">
        <f>INDEX([1]!MODEL[POS],MATCH($A240,[1]!MODEL[Code],0))</f>
        <v>MID</v>
      </c>
      <c r="D240" s="7" t="str">
        <f>INDEX([1]!MODEL[TEAM],MATCH($A240,[1]!MODEL[Code],0))</f>
        <v>EVE</v>
      </c>
      <c r="E240" s="7">
        <f>INDEX([1]PREDICT!$M$3:$M$1001,MATCH($A240,[1]PREDICT!$B$3:$B$1001,0))</f>
        <v>5.5</v>
      </c>
      <c r="F240" s="15" t="str">
        <f>INDEX([1]!MODEL[FPL_Name],MATCH($A240,[1]!MODEL[Code],0))</f>
        <v>Dwight McNeil</v>
      </c>
      <c r="G240" s="10">
        <v>0</v>
      </c>
      <c r="H240" s="10">
        <v>0</v>
      </c>
      <c r="I240" s="10">
        <v>0</v>
      </c>
      <c r="J240" s="11">
        <f t="shared" si="16"/>
        <v>0</v>
      </c>
      <c r="K240" s="11">
        <f t="shared" si="17"/>
        <v>0</v>
      </c>
      <c r="L240" s="11">
        <f t="shared" si="18"/>
        <v>0</v>
      </c>
      <c r="M240" s="11">
        <v>0</v>
      </c>
      <c r="N240" s="11">
        <f t="shared" si="19"/>
        <v>0</v>
      </c>
      <c r="P240" s="13">
        <f t="shared" si="20"/>
        <v>0.3133975785603923</v>
      </c>
    </row>
    <row r="241" spans="1:16" x14ac:dyDescent="0.25">
      <c r="A241" s="16">
        <v>215711</v>
      </c>
      <c r="B241" s="4">
        <f>INDEX([1]!PREDICT[TRUE PTS],MATCH($A241,[1]!PREDICT[HARD CODE],0))</f>
        <v>8.5346462086112425</v>
      </c>
      <c r="C241" s="7" t="str">
        <f>INDEX([1]!MODEL[POS],MATCH($A241,[1]!MODEL[Code],0))</f>
        <v>MID</v>
      </c>
      <c r="D241" s="7" t="str">
        <f>INDEX([1]!MODEL[TEAM],MATCH($A241,[1]!MODEL[Code],0))</f>
        <v>AVL</v>
      </c>
      <c r="E241" s="7">
        <f>INDEX([1]PREDICT!$M$3:$M$1001,MATCH($A241,[1]PREDICT!$B$3:$B$1001,0))</f>
        <v>5.5</v>
      </c>
      <c r="F241" s="15" t="str">
        <f>INDEX([1]!MODEL[FPL_Name],MATCH($A241,[1]!MODEL[Code],0))</f>
        <v>Leon Bailey</v>
      </c>
      <c r="G241" s="10">
        <v>0</v>
      </c>
      <c r="H241" s="10">
        <v>0</v>
      </c>
      <c r="I241" s="10">
        <v>0</v>
      </c>
      <c r="J241" s="11">
        <f t="shared" si="16"/>
        <v>0</v>
      </c>
      <c r="K241" s="11">
        <f t="shared" si="17"/>
        <v>0</v>
      </c>
      <c r="L241" s="11">
        <f t="shared" si="18"/>
        <v>0</v>
      </c>
      <c r="M241" s="11">
        <v>0</v>
      </c>
      <c r="N241" s="11">
        <f t="shared" si="19"/>
        <v>0</v>
      </c>
      <c r="P241" s="13">
        <f t="shared" si="20"/>
        <v>0.31035077122222698</v>
      </c>
    </row>
    <row r="242" spans="1:16" x14ac:dyDescent="0.25">
      <c r="A242" s="16">
        <v>205533</v>
      </c>
      <c r="B242" s="4">
        <f>INDEX([1]!PREDICT[TRUE PTS],MATCH($A242,[1]!PREDICT[HARD CODE],0))</f>
        <v>8.5270182686356648</v>
      </c>
      <c r="C242" s="7" t="str">
        <f>INDEX([1]!MODEL[POS],MATCH($A242,[1]!MODEL[Code],0))</f>
        <v>FWD</v>
      </c>
      <c r="D242" s="7" t="str">
        <f>INDEX([1]!MODEL[TEAM],MATCH($A242,[1]!MODEL[Code],0))</f>
        <v>CRY</v>
      </c>
      <c r="E242" s="7">
        <f>INDEX([1]PREDICT!$M$3:$M$1001,MATCH($A242,[1]PREDICT!$B$3:$B$1001,0))</f>
        <v>5.5</v>
      </c>
      <c r="F242" s="15" t="str">
        <f>INDEX([1]!MODEL[FPL_Name],MATCH($A242,[1]!MODEL[Code],0))</f>
        <v>Eddie Nketiah</v>
      </c>
      <c r="G242" s="10">
        <v>0</v>
      </c>
      <c r="H242" s="10">
        <v>0</v>
      </c>
      <c r="I242" s="10">
        <v>0</v>
      </c>
      <c r="J242" s="11">
        <f t="shared" si="16"/>
        <v>0</v>
      </c>
      <c r="K242" s="11">
        <f t="shared" si="17"/>
        <v>0</v>
      </c>
      <c r="L242" s="11">
        <f t="shared" si="18"/>
        <v>0</v>
      </c>
      <c r="M242" s="11">
        <v>0</v>
      </c>
      <c r="N242" s="11">
        <f t="shared" si="19"/>
        <v>0</v>
      </c>
      <c r="P242" s="13">
        <f t="shared" si="20"/>
        <v>0.31007339158675146</v>
      </c>
    </row>
    <row r="243" spans="1:16" x14ac:dyDescent="0.25">
      <c r="A243" s="16">
        <v>122798</v>
      </c>
      <c r="B243" s="4">
        <f>INDEX([1]!PREDICT[TRUE PTS],MATCH($A243,[1]!PREDICT[HARD CODE],0))</f>
        <v>8.5233324768894789</v>
      </c>
      <c r="C243" s="7" t="str">
        <f>INDEX([1]!MODEL[POS],MATCH($A243,[1]!MODEL[Code],0))</f>
        <v>DEF</v>
      </c>
      <c r="D243" s="7" t="str">
        <f>INDEX([1]!MODEL[TEAM],MATCH($A243,[1]!MODEL[Code],0))</f>
        <v>TOT</v>
      </c>
      <c r="E243" s="7">
        <f>INDEX([1]PREDICT!$M$3:$M$1001,MATCH($A243,[1]PREDICT!$B$3:$B$1001,0))</f>
        <v>4.5</v>
      </c>
      <c r="F243" s="15" t="str">
        <f>INDEX([1]!MODEL[FPL_Name],MATCH($A243,[1]!MODEL[Code],0))</f>
        <v>Andrew Robertson</v>
      </c>
      <c r="G243" s="10">
        <v>0</v>
      </c>
      <c r="H243" s="10">
        <v>0</v>
      </c>
      <c r="I243" s="10">
        <v>0</v>
      </c>
      <c r="J243" s="11">
        <f t="shared" si="16"/>
        <v>0</v>
      </c>
      <c r="K243" s="11">
        <f t="shared" si="17"/>
        <v>0</v>
      </c>
      <c r="L243" s="11">
        <f t="shared" si="18"/>
        <v>0</v>
      </c>
      <c r="M243" s="11">
        <v>0</v>
      </c>
      <c r="N243" s="11">
        <f t="shared" si="19"/>
        <v>0</v>
      </c>
      <c r="P243" s="13">
        <f t="shared" si="20"/>
        <v>0.37881477675064351</v>
      </c>
    </row>
    <row r="244" spans="1:16" x14ac:dyDescent="0.25">
      <c r="A244" s="16">
        <v>438234</v>
      </c>
      <c r="B244" s="4">
        <f>INDEX([1]!PREDICT[TRUE PTS],MATCH($A244,[1]!PREDICT[HARD CODE],0))</f>
        <v>8.4762806789792471</v>
      </c>
      <c r="C244" s="7" t="str">
        <f>INDEX([1]!MODEL[POS],MATCH($A244,[1]!MODEL[Code],0))</f>
        <v>FWD</v>
      </c>
      <c r="D244" s="7" t="str">
        <f>INDEX([1]!MODEL[TEAM],MATCH($A244,[1]!MODEL[Code],0))</f>
        <v>MCI</v>
      </c>
      <c r="E244" s="7">
        <f>INDEX([1]PREDICT!$M$3:$M$1001,MATCH($A244,[1]PREDICT!$B$3:$B$1001,0))</f>
        <v>7</v>
      </c>
      <c r="F244" s="15" t="str">
        <f>INDEX([1]!MODEL[FPL_Name],MATCH($A244,[1]!MODEL[Code],0))</f>
        <v>Omar Marmoush</v>
      </c>
      <c r="G244" s="10">
        <v>0</v>
      </c>
      <c r="H244" s="10">
        <v>0</v>
      </c>
      <c r="I244" s="10">
        <v>0</v>
      </c>
      <c r="J244" s="11">
        <f t="shared" si="16"/>
        <v>0</v>
      </c>
      <c r="K244" s="11">
        <f t="shared" si="17"/>
        <v>0</v>
      </c>
      <c r="L244" s="11">
        <f t="shared" si="18"/>
        <v>0</v>
      </c>
      <c r="M244" s="11">
        <v>0</v>
      </c>
      <c r="N244" s="11">
        <f t="shared" si="19"/>
        <v>0</v>
      </c>
      <c r="P244" s="13">
        <f t="shared" si="20"/>
        <v>0.24217944797083563</v>
      </c>
    </row>
    <row r="245" spans="1:16" x14ac:dyDescent="0.25">
      <c r="A245" s="16">
        <v>586309</v>
      </c>
      <c r="B245" s="4">
        <f>INDEX([1]!PREDICT[TRUE PTS],MATCH($A245,[1]!PREDICT[HARD CODE],0))</f>
        <v>13.610944790889445</v>
      </c>
      <c r="C245" s="7" t="str">
        <f>INDEX([1]!MODEL[POS],MATCH($A245,[1]!MODEL[Code],0))</f>
        <v>FWD</v>
      </c>
      <c r="D245" s="7" t="str">
        <f>INDEX([1]!MODEL[TEAM],MATCH($A245,[1]!MODEL[Code],0))</f>
        <v>EVE</v>
      </c>
      <c r="E245" s="7">
        <f>INDEX([1]PREDICT!$M$3:$M$1001,MATCH($A245,[1]PREDICT!$B$3:$B$1001,0))</f>
        <v>5.5</v>
      </c>
      <c r="F245" s="15" t="str">
        <f>INDEX([1]!MODEL[FPL_Name],MATCH($A245,[1]!MODEL[Code],0))</f>
        <v>Thierno Barry</v>
      </c>
      <c r="G245" s="10">
        <v>0</v>
      </c>
      <c r="H245" s="10">
        <v>0</v>
      </c>
      <c r="I245" s="10">
        <v>0</v>
      </c>
      <c r="J245" s="11">
        <f t="shared" si="16"/>
        <v>0</v>
      </c>
      <c r="K245" s="11">
        <f t="shared" si="17"/>
        <v>0</v>
      </c>
      <c r="L245" s="11">
        <f t="shared" si="18"/>
        <v>0</v>
      </c>
      <c r="M245" s="11">
        <v>0</v>
      </c>
      <c r="N245" s="11">
        <f t="shared" si="19"/>
        <v>0</v>
      </c>
      <c r="P245" s="13">
        <f t="shared" si="20"/>
        <v>0.49494344694143433</v>
      </c>
    </row>
    <row r="246" spans="1:16" x14ac:dyDescent="0.25">
      <c r="A246" s="16">
        <v>549912</v>
      </c>
      <c r="B246" s="4">
        <f>INDEX([1]!PREDICT[TRUE PTS],MATCH($A246,[1]!PREDICT[HARD CODE],0))</f>
        <v>10.641601956322017</v>
      </c>
      <c r="C246" s="7" t="str">
        <f>INDEX([1]!MODEL[POS],MATCH($A246,[1]!MODEL[Code],0))</f>
        <v>MID</v>
      </c>
      <c r="D246" s="7" t="str">
        <f>INDEX([1]!MODEL[TEAM],MATCH($A246,[1]!MODEL[Code],0))</f>
        <v>SUN</v>
      </c>
      <c r="E246" s="7">
        <f>INDEX([1]PREDICT!$M$3:$M$1001,MATCH($A246,[1]PREDICT!$B$3:$B$1001,0))</f>
        <v>5.5</v>
      </c>
      <c r="F246" s="15" t="str">
        <f>INDEX([1]!MODEL[FPL_Name],MATCH($A246,[1]!MODEL[Code],0))</f>
        <v>Chemsdine Talbi</v>
      </c>
      <c r="G246" s="10">
        <v>0</v>
      </c>
      <c r="H246" s="10">
        <v>0</v>
      </c>
      <c r="I246" s="10">
        <v>0</v>
      </c>
      <c r="J246" s="11">
        <f t="shared" si="16"/>
        <v>0</v>
      </c>
      <c r="K246" s="11">
        <f t="shared" si="17"/>
        <v>0</v>
      </c>
      <c r="L246" s="11">
        <f t="shared" si="18"/>
        <v>0</v>
      </c>
      <c r="M246" s="11">
        <v>0</v>
      </c>
      <c r="N246" s="11">
        <f t="shared" si="19"/>
        <v>0</v>
      </c>
      <c r="P246" s="13">
        <f t="shared" si="20"/>
        <v>0.3869673438662552</v>
      </c>
    </row>
    <row r="247" spans="1:16" x14ac:dyDescent="0.25">
      <c r="A247" s="16">
        <v>532605</v>
      </c>
      <c r="B247" s="4">
        <f>INDEX([1]!PREDICT[TRUE PTS],MATCH($A247,[1]!PREDICT[HARD CODE],0))</f>
        <v>8.2647516407619328</v>
      </c>
      <c r="C247" s="7" t="str">
        <f>INDEX([1]!MODEL[POS],MATCH($A247,[1]!MODEL[Code],0))</f>
        <v>MID</v>
      </c>
      <c r="D247" s="7" t="str">
        <f>INDEX([1]!MODEL[TEAM],MATCH($A247,[1]!MODEL[Code],0))</f>
        <v>MUN</v>
      </c>
      <c r="E247" s="7">
        <f>INDEX([1]PREDICT!$M$3:$M$1001,MATCH($A247,[1]PREDICT!$B$3:$B$1001,0))</f>
        <v>5</v>
      </c>
      <c r="F247" s="15" t="str">
        <f>INDEX([1]!MODEL[FPL_Name],MATCH($A247,[1]!MODEL[Code],0))</f>
        <v>Andrey Nascimento dos Santos</v>
      </c>
      <c r="G247" s="10">
        <v>0</v>
      </c>
      <c r="H247" s="10">
        <v>0</v>
      </c>
      <c r="I247" s="10">
        <v>0</v>
      </c>
      <c r="J247" s="11">
        <f t="shared" si="16"/>
        <v>0</v>
      </c>
      <c r="K247" s="11">
        <f t="shared" si="17"/>
        <v>0</v>
      </c>
      <c r="L247" s="11">
        <f t="shared" si="18"/>
        <v>0</v>
      </c>
      <c r="M247" s="11">
        <v>0</v>
      </c>
      <c r="N247" s="11">
        <f t="shared" si="19"/>
        <v>0</v>
      </c>
      <c r="P247" s="13">
        <f t="shared" si="20"/>
        <v>0.33059006563047733</v>
      </c>
    </row>
    <row r="248" spans="1:16" x14ac:dyDescent="0.25">
      <c r="A248" s="16">
        <v>578153</v>
      </c>
      <c r="B248" s="4">
        <f>INDEX([1]!PREDICT[TRUE PTS],MATCH($A248,[1]!PREDICT[HARD CODE],0))</f>
        <v>11.345067551749029</v>
      </c>
      <c r="C248" s="7" t="str">
        <f>INDEX([1]!MODEL[POS],MATCH($A248,[1]!MODEL[Code],0))</f>
        <v>DEF</v>
      </c>
      <c r="D248" s="7" t="str">
        <f>INDEX([1]!MODEL[TEAM],MATCH($A248,[1]!MODEL[Code],0))</f>
        <v>MCI</v>
      </c>
      <c r="E248" s="7">
        <f>INDEX([1]PREDICT!$M$3:$M$1001,MATCH($A248,[1]PREDICT!$B$3:$B$1001,0))</f>
        <v>5.5</v>
      </c>
      <c r="F248" s="15" t="str">
        <f>INDEX([1]!MODEL[FPL_Name],MATCH($A248,[1]!MODEL[Code],0))</f>
        <v>Abdukodir Khusanov</v>
      </c>
      <c r="G248" s="10">
        <v>0</v>
      </c>
      <c r="H248" s="10">
        <v>0</v>
      </c>
      <c r="I248" s="10">
        <v>0</v>
      </c>
      <c r="J248" s="11">
        <f t="shared" si="16"/>
        <v>0</v>
      </c>
      <c r="K248" s="11">
        <f t="shared" si="17"/>
        <v>0</v>
      </c>
      <c r="L248" s="11">
        <f t="shared" si="18"/>
        <v>0</v>
      </c>
      <c r="M248" s="11">
        <v>0</v>
      </c>
      <c r="N248" s="11">
        <f t="shared" si="19"/>
        <v>0</v>
      </c>
      <c r="P248" s="13">
        <f t="shared" si="20"/>
        <v>0.41254791097269194</v>
      </c>
    </row>
    <row r="249" spans="1:16" x14ac:dyDescent="0.25">
      <c r="A249" s="16">
        <v>490094</v>
      </c>
      <c r="B249" s="4">
        <f>INDEX([1]!PREDICT[TRUE PTS],MATCH($A249,[1]!PREDICT[HARD CODE],0))</f>
        <v>8.0513365743018941</v>
      </c>
      <c r="C249" s="7" t="str">
        <f>INDEX([1]!MODEL[POS],MATCH($A249,[1]!MODEL[Code],0))</f>
        <v>MID</v>
      </c>
      <c r="D249" s="7" t="str">
        <f>INDEX([1]!MODEL[TEAM],MATCH($A249,[1]!MODEL[Code],0))</f>
        <v>EVE</v>
      </c>
      <c r="E249" s="7">
        <f>INDEX([1]PREDICT!$M$3:$M$1001,MATCH($A249,[1]PREDICT!$B$3:$B$1001,0))</f>
        <v>5</v>
      </c>
      <c r="F249" s="15" t="str">
        <f>INDEX([1]!MODEL[FPL_Name],MATCH($A249,[1]!MODEL[Code],0))</f>
        <v>Tim Iroegbunam</v>
      </c>
      <c r="G249" s="10">
        <v>0</v>
      </c>
      <c r="H249" s="10">
        <v>0</v>
      </c>
      <c r="I249" s="10">
        <v>0</v>
      </c>
      <c r="J249" s="11">
        <f t="shared" si="16"/>
        <v>0</v>
      </c>
      <c r="K249" s="11">
        <f t="shared" si="17"/>
        <v>0</v>
      </c>
      <c r="L249" s="11">
        <f t="shared" si="18"/>
        <v>0</v>
      </c>
      <c r="M249" s="11">
        <v>0</v>
      </c>
      <c r="N249" s="11">
        <f t="shared" si="19"/>
        <v>0</v>
      </c>
      <c r="P249" s="13">
        <f t="shared" si="20"/>
        <v>0.32205346297207577</v>
      </c>
    </row>
    <row r="250" spans="1:16" x14ac:dyDescent="0.25">
      <c r="A250" s="16">
        <v>502697</v>
      </c>
      <c r="B250" s="4">
        <f>INDEX([1]!PREDICT[TRUE PTS],MATCH($A250,[1]!PREDICT[HARD CODE],0))</f>
        <v>8.537161844751413</v>
      </c>
      <c r="C250" s="7" t="str">
        <f>INDEX([1]!MODEL[POS],MATCH($A250,[1]!MODEL[Code],0))</f>
        <v>MID</v>
      </c>
      <c r="D250" s="7" t="str">
        <f>INDEX([1]!MODEL[TEAM],MATCH($A250,[1]!MODEL[Code],0))</f>
        <v>EVE</v>
      </c>
      <c r="E250" s="7">
        <f>INDEX([1]PREDICT!$M$3:$M$1001,MATCH($A250,[1]PREDICT!$B$3:$B$1001,0))</f>
        <v>5</v>
      </c>
      <c r="F250" s="15" t="str">
        <f>INDEX([1]!MODEL[FPL_Name],MATCH($A250,[1]!MODEL[Code],0))</f>
        <v>Carlos Alcaraz Durán</v>
      </c>
      <c r="G250" s="10">
        <v>0</v>
      </c>
      <c r="H250" s="10">
        <v>0</v>
      </c>
      <c r="I250" s="10">
        <v>0</v>
      </c>
      <c r="J250" s="11">
        <f t="shared" si="16"/>
        <v>0</v>
      </c>
      <c r="K250" s="11">
        <f t="shared" si="17"/>
        <v>0</v>
      </c>
      <c r="L250" s="11">
        <f t="shared" si="18"/>
        <v>0</v>
      </c>
      <c r="M250" s="11">
        <v>0</v>
      </c>
      <c r="N250" s="11">
        <f t="shared" si="19"/>
        <v>0</v>
      </c>
      <c r="P250" s="13">
        <f t="shared" si="20"/>
        <v>0.34148647379005653</v>
      </c>
    </row>
    <row r="251" spans="1:16" x14ac:dyDescent="0.25">
      <c r="A251" s="16">
        <v>476887</v>
      </c>
      <c r="B251" s="4">
        <f>INDEX([1]!PREDICT[TRUE PTS],MATCH($A251,[1]!PREDICT[HARD CODE],0))</f>
        <v>7.9445873277600949</v>
      </c>
      <c r="C251" s="7" t="str">
        <f>INDEX([1]!MODEL[POS],MATCH($A251,[1]!MODEL[Code],0))</f>
        <v>MID</v>
      </c>
      <c r="D251" s="7" t="str">
        <f>INDEX([1]!MODEL[TEAM],MATCH($A251,[1]!MODEL[Code],0))</f>
        <v>NFO</v>
      </c>
      <c r="E251" s="7">
        <f>INDEX([1]PREDICT!$M$3:$M$1001,MATCH($A251,[1]PREDICT!$B$3:$B$1001,0))</f>
        <v>5.5</v>
      </c>
      <c r="F251" s="15" t="str">
        <f>INDEX([1]!MODEL[FPL_Name],MATCH($A251,[1]!MODEL[Code],0))</f>
        <v>Dilane Bakwa</v>
      </c>
      <c r="G251" s="10">
        <v>0</v>
      </c>
      <c r="H251" s="10">
        <v>0</v>
      </c>
      <c r="I251" s="10">
        <v>0</v>
      </c>
      <c r="J251" s="11">
        <f t="shared" si="16"/>
        <v>0</v>
      </c>
      <c r="K251" s="11">
        <f t="shared" si="17"/>
        <v>0</v>
      </c>
      <c r="L251" s="11">
        <f t="shared" si="18"/>
        <v>0</v>
      </c>
      <c r="M251" s="11">
        <v>0</v>
      </c>
      <c r="N251" s="11">
        <f t="shared" si="19"/>
        <v>0</v>
      </c>
      <c r="P251" s="13">
        <f t="shared" si="20"/>
        <v>0.28889408464582161</v>
      </c>
    </row>
    <row r="252" spans="1:16" x14ac:dyDescent="0.25">
      <c r="A252" s="16">
        <v>485337</v>
      </c>
      <c r="B252" s="4">
        <f>INDEX([1]!PREDICT[TRUE PTS],MATCH($A252,[1]!PREDICT[HARD CODE],0))</f>
        <v>8.8230873149827023</v>
      </c>
      <c r="C252" s="7" t="str">
        <f>INDEX([1]!MODEL[POS],MATCH($A252,[1]!MODEL[Code],0))</f>
        <v>MID</v>
      </c>
      <c r="D252" s="7" t="str">
        <f>INDEX([1]!MODEL[TEAM],MATCH($A252,[1]!MODEL[Code],0))</f>
        <v>AVL</v>
      </c>
      <c r="E252" s="7">
        <f>INDEX([1]PREDICT!$M$3:$M$1001,MATCH($A252,[1]PREDICT!$B$3:$B$1001,0))</f>
        <v>5.5</v>
      </c>
      <c r="F252" s="15" t="str">
        <f>INDEX([1]!MODEL[FPL_Name],MATCH($A252,[1]!MODEL[Code],0))</f>
        <v>Evann Guessand</v>
      </c>
      <c r="G252" s="10">
        <v>0</v>
      </c>
      <c r="H252" s="10">
        <v>0</v>
      </c>
      <c r="I252" s="10">
        <v>0</v>
      </c>
      <c r="J252" s="11">
        <f t="shared" si="16"/>
        <v>0</v>
      </c>
      <c r="K252" s="11">
        <f t="shared" si="17"/>
        <v>0</v>
      </c>
      <c r="L252" s="11">
        <f t="shared" si="18"/>
        <v>0</v>
      </c>
      <c r="M252" s="11">
        <v>0</v>
      </c>
      <c r="N252" s="11">
        <f t="shared" si="19"/>
        <v>0</v>
      </c>
      <c r="P252" s="13">
        <f t="shared" si="20"/>
        <v>0.32083953872664372</v>
      </c>
    </row>
    <row r="253" spans="1:16" x14ac:dyDescent="0.25">
      <c r="A253" s="16">
        <v>198869</v>
      </c>
      <c r="B253" s="4">
        <f>INDEX([1]!PREDICT[TRUE PTS],MATCH($A253,[1]!PREDICT[HARD CODE],0))</f>
        <v>7.9047652862899884</v>
      </c>
      <c r="C253" s="7" t="str">
        <f>INDEX([1]!MODEL[POS],MATCH($A253,[1]!MODEL[Code],0))</f>
        <v>DEF</v>
      </c>
      <c r="D253" s="7" t="str">
        <f>INDEX([1]!MODEL[TEAM],MATCH($A253,[1]!MODEL[Code],0))</f>
        <v>ARS</v>
      </c>
      <c r="E253" s="7">
        <f>INDEX([1]PREDICT!$M$3:$M$1001,MATCH($A253,[1]PREDICT!$B$3:$B$1001,0))</f>
        <v>5.5</v>
      </c>
      <c r="F253" s="15" t="str">
        <f>INDEX([1]!MODEL[FPL_Name],MATCH($A253,[1]!MODEL[Code],0))</f>
        <v>Benjamin White</v>
      </c>
      <c r="G253" s="10">
        <v>0</v>
      </c>
      <c r="H253" s="10">
        <v>0</v>
      </c>
      <c r="I253" s="10">
        <v>0</v>
      </c>
      <c r="J253" s="11">
        <f t="shared" si="16"/>
        <v>0</v>
      </c>
      <c r="K253" s="11">
        <f t="shared" si="17"/>
        <v>0</v>
      </c>
      <c r="L253" s="11">
        <f t="shared" si="18"/>
        <v>0</v>
      </c>
      <c r="M253" s="11">
        <v>0</v>
      </c>
      <c r="N253" s="11">
        <f t="shared" si="19"/>
        <v>0</v>
      </c>
      <c r="P253" s="13">
        <f t="shared" si="20"/>
        <v>0.28744601041054507</v>
      </c>
    </row>
    <row r="254" spans="1:16" x14ac:dyDescent="0.25">
      <c r="A254" s="16">
        <v>108413</v>
      </c>
      <c r="B254" s="4">
        <f>INDEX([1]!PREDICT[TRUE PTS],MATCH($A254,[1]!PREDICT[HARD CODE],0))</f>
        <v>8.7286097345767946</v>
      </c>
      <c r="C254" s="7" t="str">
        <f>INDEX([1]!MODEL[POS],MATCH($A254,[1]!MODEL[Code],0))</f>
        <v>MID</v>
      </c>
      <c r="D254" s="7" t="str">
        <f>INDEX([1]!MODEL[TEAM],MATCH($A254,[1]!MODEL[Code],0))</f>
        <v>CRY</v>
      </c>
      <c r="E254" s="7">
        <f>INDEX([1]PREDICT!$M$3:$M$1001,MATCH($A254,[1]PREDICT!$B$3:$B$1001,0))</f>
        <v>4.5</v>
      </c>
      <c r="F254" s="15" t="str">
        <f>INDEX([1]!MODEL[FPL_Name],MATCH($A254,[1]!MODEL[Code],0))</f>
        <v>Will Hughes</v>
      </c>
      <c r="G254" s="10">
        <v>0</v>
      </c>
      <c r="H254" s="10">
        <v>0</v>
      </c>
      <c r="I254" s="10">
        <v>0</v>
      </c>
      <c r="J254" s="11">
        <f t="shared" si="16"/>
        <v>0</v>
      </c>
      <c r="K254" s="11">
        <f t="shared" si="17"/>
        <v>0</v>
      </c>
      <c r="L254" s="11">
        <f t="shared" si="18"/>
        <v>0</v>
      </c>
      <c r="M254" s="11">
        <v>0</v>
      </c>
      <c r="N254" s="11">
        <f t="shared" si="19"/>
        <v>0</v>
      </c>
      <c r="P254" s="13">
        <f t="shared" si="20"/>
        <v>0.38793821042563531</v>
      </c>
    </row>
    <row r="255" spans="1:16" x14ac:dyDescent="0.25">
      <c r="A255" s="16">
        <v>201595</v>
      </c>
      <c r="B255" s="4">
        <f>INDEX([1]!PREDICT[TRUE PTS],MATCH($A255,[1]!PREDICT[HARD CODE],0))</f>
        <v>7.7002703153197078</v>
      </c>
      <c r="C255" s="7" t="str">
        <f>INDEX([1]!MODEL[POS],MATCH($A255,[1]!MODEL[Code],0))</f>
        <v>GK</v>
      </c>
      <c r="D255" s="7" t="str">
        <f>INDEX([1]!MODEL[TEAM],MATCH($A255,[1]!MODEL[Code],0))</f>
        <v>LEE</v>
      </c>
      <c r="E255" s="7">
        <f>INDEX([1]PREDICT!$M$3:$M$1001,MATCH($A255,[1]PREDICT!$B$3:$B$1001,0))</f>
        <v>4.5</v>
      </c>
      <c r="F255" s="15" t="str">
        <f>INDEX([1]!MODEL[FPL_Name],MATCH($A255,[1]!MODEL[Code],0))</f>
        <v>Lucas Estella Perri</v>
      </c>
      <c r="G255" s="10">
        <v>0</v>
      </c>
      <c r="H255" s="10">
        <v>0</v>
      </c>
      <c r="I255" s="10">
        <v>0</v>
      </c>
      <c r="J255" s="11">
        <f t="shared" si="16"/>
        <v>0</v>
      </c>
      <c r="K255" s="11">
        <f t="shared" si="17"/>
        <v>0</v>
      </c>
      <c r="L255" s="11">
        <f t="shared" si="18"/>
        <v>0</v>
      </c>
      <c r="M255" s="11">
        <v>0</v>
      </c>
      <c r="N255" s="11">
        <f t="shared" si="19"/>
        <v>0</v>
      </c>
      <c r="P255" s="13">
        <f t="shared" si="20"/>
        <v>0.34223423623643145</v>
      </c>
    </row>
    <row r="256" spans="1:16" x14ac:dyDescent="0.25">
      <c r="A256" s="16">
        <v>194010</v>
      </c>
      <c r="B256" s="4">
        <f>INDEX([1]!PREDICT[TRUE PTS],MATCH($A256,[1]!PREDICT[HARD CODE],0))</f>
        <v>8.2552790034453274</v>
      </c>
      <c r="C256" s="7" t="str">
        <f>INDEX([1]!MODEL[POS],MATCH($A256,[1]!MODEL[Code],0))</f>
        <v>DEF</v>
      </c>
      <c r="D256" s="7" t="str">
        <f>INDEX([1]!MODEL[TEAM],MATCH($A256,[1]!MODEL[Code],0))</f>
        <v>BRE</v>
      </c>
      <c r="E256" s="7">
        <f>INDEX([1]PREDICT!$M$3:$M$1001,MATCH($A256,[1]PREDICT!$B$3:$B$1001,0))</f>
        <v>4.5</v>
      </c>
      <c r="F256" s="15" t="str">
        <f>INDEX([1]!MODEL[FPL_Name],MATCH($A256,[1]!MODEL[Code],0))</f>
        <v>Rico Henry</v>
      </c>
      <c r="G256" s="10">
        <v>0</v>
      </c>
      <c r="H256" s="10">
        <v>0</v>
      </c>
      <c r="I256" s="10">
        <v>0</v>
      </c>
      <c r="J256" s="11">
        <f t="shared" si="16"/>
        <v>0</v>
      </c>
      <c r="K256" s="11">
        <f t="shared" si="17"/>
        <v>0</v>
      </c>
      <c r="L256" s="11">
        <f t="shared" si="18"/>
        <v>0</v>
      </c>
      <c r="M256" s="11">
        <v>0</v>
      </c>
      <c r="N256" s="11">
        <f t="shared" si="19"/>
        <v>0</v>
      </c>
      <c r="P256" s="13">
        <f t="shared" si="20"/>
        <v>0.36690128904201458</v>
      </c>
    </row>
    <row r="257" spans="1:16" x14ac:dyDescent="0.25">
      <c r="A257" s="16">
        <v>486520</v>
      </c>
      <c r="B257" s="4">
        <f>INDEX([1]!PREDICT[TRUE PTS],MATCH($A257,[1]!PREDICT[HARD CODE],0))</f>
        <v>7.3015037383267289</v>
      </c>
      <c r="C257" s="7" t="str">
        <f>INDEX([1]!MODEL[POS],MATCH($A257,[1]!MODEL[Code],0))</f>
        <v>MID</v>
      </c>
      <c r="D257" s="7" t="str">
        <f>INDEX([1]!MODEL[TEAM],MATCH($A257,[1]!MODEL[Code],0))</f>
        <v>LEE</v>
      </c>
      <c r="E257" s="7">
        <f>INDEX([1]PREDICT!$M$3:$M$1001,MATCH($A257,[1]PREDICT!$B$3:$B$1001,0))</f>
        <v>5</v>
      </c>
      <c r="F257" s="15" t="str">
        <f>INDEX([1]!MODEL[FPL_Name],MATCH($A257,[1]!MODEL[Code],0))</f>
        <v>Ilia Gruev</v>
      </c>
      <c r="G257" s="10">
        <v>0</v>
      </c>
      <c r="H257" s="10">
        <v>0</v>
      </c>
      <c r="I257" s="10">
        <v>0</v>
      </c>
      <c r="J257" s="11">
        <f t="shared" si="16"/>
        <v>0</v>
      </c>
      <c r="K257" s="11">
        <f t="shared" si="17"/>
        <v>0</v>
      </c>
      <c r="L257" s="11">
        <f t="shared" si="18"/>
        <v>0</v>
      </c>
      <c r="M257" s="11">
        <v>0</v>
      </c>
      <c r="N257" s="11">
        <f t="shared" si="19"/>
        <v>0</v>
      </c>
      <c r="P257" s="13">
        <f t="shared" si="20"/>
        <v>0.29206014953306914</v>
      </c>
    </row>
    <row r="258" spans="1:16" x14ac:dyDescent="0.25">
      <c r="A258" s="16">
        <v>500040</v>
      </c>
      <c r="B258" s="4">
        <f>INDEX([1]!PREDICT[TRUE PTS],MATCH($A258,[1]!PREDICT[HARD CODE],0))</f>
        <v>7.2391265672610245</v>
      </c>
      <c r="C258" s="7" t="str">
        <f>INDEX([1]!MODEL[POS],MATCH($A258,[1]!MODEL[Code],0))</f>
        <v>DEF</v>
      </c>
      <c r="D258" s="7" t="str">
        <f>INDEX([1]!MODEL[TEAM],MATCH($A258,[1]!MODEL[Code],0))</f>
        <v>ARS</v>
      </c>
      <c r="E258" s="7">
        <f>INDEX([1]PREDICT!$M$3:$M$1001,MATCH($A258,[1]PREDICT!$B$3:$B$1001,0))</f>
        <v>5.5</v>
      </c>
      <c r="F258" s="15" t="str">
        <f>INDEX([1]!MODEL[FPL_Name],MATCH($A258,[1]!MODEL[Code],0))</f>
        <v>Cristhian Mosquera</v>
      </c>
      <c r="G258" s="10">
        <v>0</v>
      </c>
      <c r="H258" s="10">
        <v>0</v>
      </c>
      <c r="I258" s="10">
        <v>0</v>
      </c>
      <c r="J258" s="11">
        <f t="shared" ref="J258:J321" si="21">G258+H258</f>
        <v>0</v>
      </c>
      <c r="K258" s="11">
        <f t="shared" ref="K258:K321" si="22">G258*E258</f>
        <v>0</v>
      </c>
      <c r="L258" s="11">
        <f t="shared" ref="L258:L321" si="23">H258*E258</f>
        <v>0</v>
      </c>
      <c r="M258" s="11">
        <v>0</v>
      </c>
      <c r="N258" s="11">
        <f t="shared" ref="N258:N321" si="24">(G258*B258)+(H258*B258*$U$2)+(I258*B258)</f>
        <v>0</v>
      </c>
      <c r="P258" s="13">
        <f t="shared" ref="P258:P321" si="25">IFERROR((B258/E258)/$Q$2,0)</f>
        <v>0.26324096608221909</v>
      </c>
    </row>
    <row r="259" spans="1:16" x14ac:dyDescent="0.25">
      <c r="A259" s="16">
        <v>200617</v>
      </c>
      <c r="B259" s="4">
        <f>INDEX([1]!PREDICT[TRUE PTS],MATCH($A259,[1]!PREDICT[HARD CODE],0))</f>
        <v>7.6902230593459944</v>
      </c>
      <c r="C259" s="7" t="str">
        <f>INDEX([1]!MODEL[POS],MATCH($A259,[1]!MODEL[Code],0))</f>
        <v>MID</v>
      </c>
      <c r="D259" s="7" t="str">
        <f>INDEX([1]!MODEL[TEAM],MATCH($A259,[1]!MODEL[Code],0))</f>
        <v>LEE</v>
      </c>
      <c r="E259" s="7">
        <f>INDEX([1]PREDICT!$M$3:$M$1001,MATCH($A259,[1]PREDICT!$B$3:$B$1001,0))</f>
        <v>5</v>
      </c>
      <c r="F259" s="15" t="str">
        <f>INDEX([1]!MODEL[FPL_Name],MATCH($A259,[1]!MODEL[Code],0))</f>
        <v>Daniel James</v>
      </c>
      <c r="G259" s="10">
        <v>0</v>
      </c>
      <c r="H259" s="10">
        <v>0</v>
      </c>
      <c r="I259" s="10">
        <v>0</v>
      </c>
      <c r="J259" s="11">
        <f t="shared" si="21"/>
        <v>0</v>
      </c>
      <c r="K259" s="11">
        <f t="shared" si="22"/>
        <v>0</v>
      </c>
      <c r="L259" s="11">
        <f t="shared" si="23"/>
        <v>0</v>
      </c>
      <c r="M259" s="11">
        <v>0</v>
      </c>
      <c r="N259" s="11">
        <f t="shared" si="24"/>
        <v>0</v>
      </c>
      <c r="P259" s="13">
        <f t="shared" si="25"/>
        <v>0.30760892237383974</v>
      </c>
    </row>
    <row r="260" spans="1:16" x14ac:dyDescent="0.25">
      <c r="A260" s="16">
        <v>463936</v>
      </c>
      <c r="B260" s="4">
        <f>INDEX([1]!PREDICT[TRUE PTS],MATCH($A260,[1]!PREDICT[HARD CODE],0))</f>
        <v>6.9207113413756272</v>
      </c>
      <c r="C260" s="7" t="str">
        <f>INDEX([1]!MODEL[POS],MATCH($A260,[1]!MODEL[Code],0))</f>
        <v>MID</v>
      </c>
      <c r="D260" s="7" t="str">
        <f>INDEX([1]!MODEL[TEAM],MATCH($A260,[1]!MODEL[Code],0))</f>
        <v>CHE</v>
      </c>
      <c r="E260" s="7">
        <f>INDEX([1]PREDICT!$M$3:$M$1001,MATCH($A260,[1]PREDICT!$B$3:$B$1001,0))</f>
        <v>6</v>
      </c>
      <c r="F260" s="15" t="str">
        <f>INDEX([1]!MODEL[FPL_Name],MATCH($A260,[1]!MODEL[Code],0))</f>
        <v>Jamie Bynoe-Gittens</v>
      </c>
      <c r="G260" s="10">
        <v>0</v>
      </c>
      <c r="H260" s="10">
        <v>0</v>
      </c>
      <c r="I260" s="10">
        <v>0</v>
      </c>
      <c r="J260" s="11">
        <f t="shared" si="21"/>
        <v>0</v>
      </c>
      <c r="K260" s="11">
        <f t="shared" si="22"/>
        <v>0</v>
      </c>
      <c r="L260" s="11">
        <f t="shared" si="23"/>
        <v>0</v>
      </c>
      <c r="M260" s="11">
        <v>0</v>
      </c>
      <c r="N260" s="11">
        <f t="shared" si="24"/>
        <v>0</v>
      </c>
      <c r="P260" s="13">
        <f t="shared" si="25"/>
        <v>0.23069037804585424</v>
      </c>
    </row>
    <row r="261" spans="1:16" x14ac:dyDescent="0.25">
      <c r="A261" s="16">
        <v>514356</v>
      </c>
      <c r="B261" s="4">
        <f>INDEX([1]!PREDICT[TRUE PTS],MATCH($A261,[1]!PREDICT[HARD CODE],0))</f>
        <v>6.9062114188355572</v>
      </c>
      <c r="C261" s="7" t="str">
        <f>INDEX([1]!MODEL[POS],MATCH($A261,[1]!MODEL[Code],0))</f>
        <v>MID</v>
      </c>
      <c r="D261" s="7" t="str">
        <f>INDEX([1]!MODEL[TEAM],MATCH($A261,[1]!MODEL[Code],0))</f>
        <v>CHE</v>
      </c>
      <c r="E261" s="7">
        <f>INDEX([1]PREDICT!$M$3:$M$1001,MATCH($A261,[1]PREDICT!$B$3:$B$1001,0))</f>
        <v>5</v>
      </c>
      <c r="F261" s="15" t="str">
        <f>INDEX([1]!MODEL[FPL_Name],MATCH($A261,[1]!MODEL[Code],0))</f>
        <v>Roméo Lavia</v>
      </c>
      <c r="G261" s="10">
        <v>0</v>
      </c>
      <c r="H261" s="10">
        <v>0</v>
      </c>
      <c r="I261" s="10">
        <v>0</v>
      </c>
      <c r="J261" s="11">
        <f t="shared" si="21"/>
        <v>0</v>
      </c>
      <c r="K261" s="11">
        <f t="shared" si="22"/>
        <v>0</v>
      </c>
      <c r="L261" s="11">
        <f t="shared" si="23"/>
        <v>0</v>
      </c>
      <c r="M261" s="11">
        <v>0</v>
      </c>
      <c r="N261" s="11">
        <f t="shared" si="24"/>
        <v>0</v>
      </c>
      <c r="P261" s="13">
        <f t="shared" si="25"/>
        <v>0.2762484567534223</v>
      </c>
    </row>
    <row r="262" spans="1:16" x14ac:dyDescent="0.25">
      <c r="A262" s="16">
        <v>205651</v>
      </c>
      <c r="B262" s="4">
        <f>INDEX([1]!PREDICT[TRUE PTS],MATCH($A262,[1]!PREDICT[HARD CODE],0))</f>
        <v>6.8958759424994378</v>
      </c>
      <c r="C262" s="7" t="str">
        <f>INDEX([1]!MODEL[POS],MATCH($A262,[1]!MODEL[Code],0))</f>
        <v>FWD</v>
      </c>
      <c r="D262" s="7" t="str">
        <f>INDEX([1]!MODEL[TEAM],MATCH($A262,[1]!MODEL[Code],0))</f>
        <v>ARS</v>
      </c>
      <c r="E262" s="7">
        <f>INDEX([1]PREDICT!$M$3:$M$1001,MATCH($A262,[1]PREDICT!$B$3:$B$1001,0))</f>
        <v>6</v>
      </c>
      <c r="F262" s="15" t="str">
        <f>INDEX([1]!MODEL[FPL_Name],MATCH($A262,[1]!MODEL[Code],0))</f>
        <v>Gabriel Fernando de Jesus</v>
      </c>
      <c r="G262" s="10">
        <v>0</v>
      </c>
      <c r="H262" s="10">
        <v>0</v>
      </c>
      <c r="I262" s="10">
        <v>0</v>
      </c>
      <c r="J262" s="11">
        <f t="shared" si="21"/>
        <v>0</v>
      </c>
      <c r="K262" s="11">
        <f t="shared" si="22"/>
        <v>0</v>
      </c>
      <c r="L262" s="11">
        <f t="shared" si="23"/>
        <v>0</v>
      </c>
      <c r="M262" s="11">
        <v>0</v>
      </c>
      <c r="N262" s="11">
        <f t="shared" si="24"/>
        <v>0</v>
      </c>
      <c r="P262" s="13">
        <f t="shared" si="25"/>
        <v>0.22986253141664795</v>
      </c>
    </row>
    <row r="263" spans="1:16" x14ac:dyDescent="0.25">
      <c r="A263" s="16">
        <v>469272</v>
      </c>
      <c r="B263" s="4">
        <f>INDEX([1]!PREDICT[TRUE PTS],MATCH($A263,[1]!PREDICT[HARD CODE],0))</f>
        <v>7.6794081917775401</v>
      </c>
      <c r="C263" s="7" t="str">
        <f>INDEX([1]!MODEL[POS],MATCH($A263,[1]!MODEL[Code],0))</f>
        <v>MID</v>
      </c>
      <c r="D263" s="7" t="str">
        <f>INDEX([1]!MODEL[TEAM],MATCH($A263,[1]!MODEL[Code],0))</f>
        <v>COV</v>
      </c>
      <c r="E263" s="7">
        <f>INDEX([1]PREDICT!$M$3:$M$1001,MATCH($A263,[1]PREDICT!$B$3:$B$1001,0))</f>
        <v>5.5</v>
      </c>
      <c r="F263" s="15" t="str">
        <f>INDEX([1]!MODEL[FPL_Name],MATCH($A263,[1]!MODEL[Code],0))</f>
        <v>Loum Tchaouna</v>
      </c>
      <c r="G263" s="10">
        <v>0</v>
      </c>
      <c r="H263" s="10">
        <v>0</v>
      </c>
      <c r="I263" s="10">
        <v>0</v>
      </c>
      <c r="J263" s="11">
        <f t="shared" si="21"/>
        <v>0</v>
      </c>
      <c r="K263" s="11">
        <f t="shared" si="22"/>
        <v>0</v>
      </c>
      <c r="L263" s="11">
        <f t="shared" si="23"/>
        <v>0</v>
      </c>
      <c r="M263" s="11">
        <v>0</v>
      </c>
      <c r="N263" s="11">
        <f t="shared" si="24"/>
        <v>0</v>
      </c>
      <c r="P263" s="13">
        <f t="shared" si="25"/>
        <v>0.27925120697372874</v>
      </c>
    </row>
    <row r="264" spans="1:16" x14ac:dyDescent="0.25">
      <c r="A264" s="16">
        <v>112520</v>
      </c>
      <c r="B264" s="4">
        <f>INDEX([1]!PREDICT[TRUE PTS],MATCH($A264,[1]!PREDICT[HARD CODE],0))</f>
        <v>4.4421729449212508</v>
      </c>
      <c r="C264" s="7" t="str">
        <f>INDEX([1]!MODEL[POS],MATCH($A264,[1]!MODEL[Code],0))</f>
        <v>GK</v>
      </c>
      <c r="D264" s="7" t="str">
        <f>INDEX([1]!MODEL[TEAM],MATCH($A264,[1]!MODEL[Code],0))</f>
        <v>IPS</v>
      </c>
      <c r="E264" s="7">
        <f>INDEX([1]PREDICT!$M$3:$M$1001,MATCH($A264,[1]PREDICT!$B$3:$B$1001,0))</f>
        <v>4</v>
      </c>
      <c r="F264" s="15" t="str">
        <f>INDEX([1]!MODEL[FPL_Name],MATCH($A264,[1]!MODEL[Code],0))</f>
        <v>Alex Palmer</v>
      </c>
      <c r="G264" s="10">
        <v>0</v>
      </c>
      <c r="H264" s="10">
        <v>0</v>
      </c>
      <c r="I264" s="10">
        <v>0</v>
      </c>
      <c r="J264" s="11">
        <f t="shared" si="21"/>
        <v>0</v>
      </c>
      <c r="K264" s="11">
        <f t="shared" si="22"/>
        <v>0</v>
      </c>
      <c r="L264" s="11">
        <f t="shared" si="23"/>
        <v>0</v>
      </c>
      <c r="M264" s="11">
        <v>0</v>
      </c>
      <c r="N264" s="11">
        <f t="shared" si="24"/>
        <v>0</v>
      </c>
      <c r="P264" s="13">
        <f t="shared" si="25"/>
        <v>0.22210864724606255</v>
      </c>
    </row>
    <row r="265" spans="1:16" x14ac:dyDescent="0.25">
      <c r="A265" s="16">
        <v>461199</v>
      </c>
      <c r="B265" s="4">
        <f>INDEX([1]!PREDICT[TRUE PTS],MATCH($A265,[1]!PREDICT[HARD CODE],0))</f>
        <v>6.7174973485028042</v>
      </c>
      <c r="C265" s="7" t="str">
        <f>INDEX([1]!MODEL[POS],MATCH($A265,[1]!MODEL[Code],0))</f>
        <v>MID</v>
      </c>
      <c r="D265" s="7" t="str">
        <f>INDEX([1]!MODEL[TEAM],MATCH($A265,[1]!MODEL[Code],0))</f>
        <v>SUN</v>
      </c>
      <c r="E265" s="7">
        <f>INDEX([1]PREDICT!$M$3:$M$1001,MATCH($A265,[1]PREDICT!$B$3:$B$1001,0))</f>
        <v>5</v>
      </c>
      <c r="F265" s="15" t="str">
        <f>INDEX([1]!MODEL[FPL_Name],MATCH($A265,[1]!MODEL[Code],0))</f>
        <v>Romaine Mundle</v>
      </c>
      <c r="G265" s="10">
        <v>0</v>
      </c>
      <c r="H265" s="10">
        <v>0</v>
      </c>
      <c r="I265" s="10">
        <v>0</v>
      </c>
      <c r="J265" s="11">
        <f t="shared" si="21"/>
        <v>0</v>
      </c>
      <c r="K265" s="11">
        <f t="shared" si="22"/>
        <v>0</v>
      </c>
      <c r="L265" s="11">
        <f t="shared" si="23"/>
        <v>0</v>
      </c>
      <c r="M265" s="11">
        <v>0</v>
      </c>
      <c r="N265" s="11">
        <f t="shared" si="24"/>
        <v>0</v>
      </c>
      <c r="P265" s="13">
        <f t="shared" si="25"/>
        <v>0.26869989394011218</v>
      </c>
    </row>
    <row r="266" spans="1:16" x14ac:dyDescent="0.25">
      <c r="A266" s="16">
        <v>109646</v>
      </c>
      <c r="B266" s="4">
        <f>INDEX([1]!PREDICT[TRUE PTS],MATCH($A266,[1]!PREDICT[HARD CODE],0))</f>
        <v>6.6313202731716414</v>
      </c>
      <c r="C266" s="7" t="str">
        <f>INDEX([1]!MODEL[POS],MATCH($A266,[1]!MODEL[Code],0))</f>
        <v>DEF</v>
      </c>
      <c r="D266" s="7" t="str">
        <f>INDEX([1]!MODEL[TEAM],MATCH($A266,[1]!MODEL[Code],0))</f>
        <v>CHE</v>
      </c>
      <c r="E266" s="7">
        <f>INDEX([1]PREDICT!$M$3:$M$1001,MATCH($A266,[1]PREDICT!$B$3:$B$1001,0))</f>
        <v>4.5</v>
      </c>
      <c r="F266" s="15" t="str">
        <f>INDEX([1]!MODEL[FPL_Name],MATCH($A266,[1]!MODEL[Code],0))</f>
        <v>Tosin Adarabioyo</v>
      </c>
      <c r="G266" s="10">
        <v>0</v>
      </c>
      <c r="H266" s="10">
        <v>0</v>
      </c>
      <c r="I266" s="10">
        <v>0</v>
      </c>
      <c r="J266" s="11">
        <f t="shared" si="21"/>
        <v>0</v>
      </c>
      <c r="K266" s="11">
        <f t="shared" si="22"/>
        <v>0</v>
      </c>
      <c r="L266" s="11">
        <f t="shared" si="23"/>
        <v>0</v>
      </c>
      <c r="M266" s="11">
        <v>0</v>
      </c>
      <c r="N266" s="11">
        <f t="shared" si="24"/>
        <v>0</v>
      </c>
      <c r="P266" s="13">
        <f t="shared" si="25"/>
        <v>0.29472534547429519</v>
      </c>
    </row>
    <row r="267" spans="1:16" x14ac:dyDescent="0.25">
      <c r="A267" s="16">
        <v>651426</v>
      </c>
      <c r="B267" s="4">
        <f>INDEX([1]!PREDICT[TRUE PTS],MATCH($A267,[1]!PREDICT[HARD CODE],0))</f>
        <v>10.88729590523908</v>
      </c>
      <c r="C267" s="7" t="str">
        <f>INDEX([1]!MODEL[POS],MATCH($A267,[1]!MODEL[Code],0))</f>
        <v>DEF</v>
      </c>
      <c r="D267" s="7" t="str">
        <f>INDEX([1]!MODEL[TEAM],MATCH($A267,[1]!MODEL[Code],0))</f>
        <v>CRY</v>
      </c>
      <c r="E267" s="7">
        <f>INDEX([1]PREDICT!$M$3:$M$1001,MATCH($A267,[1]PREDICT!$B$3:$B$1001,0))</f>
        <v>5</v>
      </c>
      <c r="F267" s="15" t="str">
        <f>INDEX([1]!MODEL[FPL_Name],MATCH($A267,[1]!MODEL[Code],0))</f>
        <v>Jaydee Canvot</v>
      </c>
      <c r="G267" s="10">
        <v>0</v>
      </c>
      <c r="H267" s="10">
        <v>0</v>
      </c>
      <c r="I267" s="10">
        <v>0</v>
      </c>
      <c r="J267" s="11">
        <f t="shared" si="21"/>
        <v>0</v>
      </c>
      <c r="K267" s="11">
        <f t="shared" si="22"/>
        <v>0</v>
      </c>
      <c r="L267" s="11">
        <f t="shared" si="23"/>
        <v>0</v>
      </c>
      <c r="M267" s="11">
        <v>0</v>
      </c>
      <c r="N267" s="11">
        <f t="shared" si="24"/>
        <v>0</v>
      </c>
      <c r="P267" s="13">
        <f t="shared" si="25"/>
        <v>0.43549183620956322</v>
      </c>
    </row>
    <row r="268" spans="1:16" x14ac:dyDescent="0.25">
      <c r="A268" s="16">
        <v>200089</v>
      </c>
      <c r="B268" s="4">
        <f>INDEX([1]!PREDICT[TRUE PTS],MATCH($A268,[1]!PREDICT[HARD CODE],0))</f>
        <v>7.2928791324012163</v>
      </c>
      <c r="C268" s="7" t="str">
        <f>INDEX([1]!MODEL[POS],MATCH($A268,[1]!MODEL[Code],0))</f>
        <v>MID</v>
      </c>
      <c r="D268" s="7" t="str">
        <f>INDEX([1]!MODEL[TEAM],MATCH($A268,[1]!MODEL[Code],0))</f>
        <v>NEW</v>
      </c>
      <c r="E268" s="7">
        <f>INDEX([1]PREDICT!$M$3:$M$1001,MATCH($A268,[1]PREDICT!$B$3:$B$1001,0))</f>
        <v>5</v>
      </c>
      <c r="F268" s="15" t="str">
        <f>INDEX([1]!MODEL[FPL_Name],MATCH($A268,[1]!MODEL[Code],0))</f>
        <v>Joe Willock</v>
      </c>
      <c r="G268" s="10">
        <v>0</v>
      </c>
      <c r="H268" s="10">
        <v>0</v>
      </c>
      <c r="I268" s="10">
        <v>0</v>
      </c>
      <c r="J268" s="11">
        <f t="shared" si="21"/>
        <v>0</v>
      </c>
      <c r="K268" s="11">
        <f t="shared" si="22"/>
        <v>0</v>
      </c>
      <c r="L268" s="11">
        <f t="shared" si="23"/>
        <v>0</v>
      </c>
      <c r="M268" s="11">
        <v>0</v>
      </c>
      <c r="N268" s="11">
        <f t="shared" si="24"/>
        <v>0</v>
      </c>
      <c r="P268" s="13">
        <f t="shared" si="25"/>
        <v>0.29171516529604868</v>
      </c>
    </row>
    <row r="269" spans="1:16" x14ac:dyDescent="0.25">
      <c r="A269" s="16">
        <v>458249</v>
      </c>
      <c r="B269" s="4">
        <f>INDEX([1]!PREDICT[TRUE PTS],MATCH($A269,[1]!PREDICT[HARD CODE],0))</f>
        <v>6.4437524297365734</v>
      </c>
      <c r="C269" s="7" t="str">
        <f>INDEX([1]!MODEL[POS],MATCH($A269,[1]!MODEL[Code],0))</f>
        <v>FWD</v>
      </c>
      <c r="D269" s="7" t="str">
        <f>INDEX([1]!MODEL[TEAM],MATCH($A269,[1]!MODEL[Code],0))</f>
        <v>MUN</v>
      </c>
      <c r="E269" s="7">
        <f>INDEX([1]PREDICT!$M$3:$M$1001,MATCH($A269,[1]PREDICT!$B$3:$B$1001,0))</f>
        <v>5.5</v>
      </c>
      <c r="F269" s="15" t="str">
        <f>INDEX([1]!MODEL[FPL_Name],MATCH($A269,[1]!MODEL[Code],0))</f>
        <v>Joshua Zirkzee</v>
      </c>
      <c r="G269" s="10">
        <v>0</v>
      </c>
      <c r="H269" s="10">
        <v>0</v>
      </c>
      <c r="I269" s="10">
        <v>0</v>
      </c>
      <c r="J269" s="11">
        <f t="shared" si="21"/>
        <v>0</v>
      </c>
      <c r="K269" s="11">
        <f t="shared" si="22"/>
        <v>0</v>
      </c>
      <c r="L269" s="11">
        <f t="shared" si="23"/>
        <v>0</v>
      </c>
      <c r="M269" s="11">
        <v>0</v>
      </c>
      <c r="N269" s="11">
        <f t="shared" si="24"/>
        <v>0</v>
      </c>
      <c r="P269" s="13">
        <f t="shared" si="25"/>
        <v>0.23431827017223905</v>
      </c>
    </row>
    <row r="270" spans="1:16" x14ac:dyDescent="0.25">
      <c r="A270" s="16">
        <v>242882</v>
      </c>
      <c r="B270" s="4">
        <f>INDEX([1]!PREDICT[TRUE PTS],MATCH($A270,[1]!PREDICT[HARD CODE],0))</f>
        <v>6.4055368759295916</v>
      </c>
      <c r="C270" s="7" t="str">
        <f>INDEX([1]!MODEL[POS],MATCH($A270,[1]!MODEL[Code],0))</f>
        <v>DEF</v>
      </c>
      <c r="D270" s="7" t="str">
        <f>INDEX([1]!MODEL[TEAM],MATCH($A270,[1]!MODEL[Code],0))</f>
        <v>BOU</v>
      </c>
      <c r="E270" s="7">
        <f>INDEX([1]PREDICT!$M$3:$M$1001,MATCH($A270,[1]PREDICT!$B$3:$B$1001,0))</f>
        <v>5</v>
      </c>
      <c r="F270" s="15" t="str">
        <f>INDEX([1]!MODEL[FPL_Name],MATCH($A270,[1]!MODEL[Code],0))</f>
        <v>Bafodé Diakité</v>
      </c>
      <c r="G270" s="10">
        <v>0</v>
      </c>
      <c r="H270" s="10">
        <v>0</v>
      </c>
      <c r="I270" s="10">
        <v>0</v>
      </c>
      <c r="J270" s="11">
        <f t="shared" si="21"/>
        <v>0</v>
      </c>
      <c r="K270" s="11">
        <f t="shared" si="22"/>
        <v>0</v>
      </c>
      <c r="L270" s="11">
        <f t="shared" si="23"/>
        <v>0</v>
      </c>
      <c r="M270" s="11">
        <v>0</v>
      </c>
      <c r="N270" s="11">
        <f t="shared" si="24"/>
        <v>0</v>
      </c>
      <c r="P270" s="13">
        <f t="shared" si="25"/>
        <v>0.25622147503718368</v>
      </c>
    </row>
    <row r="271" spans="1:16" x14ac:dyDescent="0.25">
      <c r="A271" s="16">
        <v>577725</v>
      </c>
      <c r="B271" s="4">
        <f>INDEX([1]!PREDICT[TRUE PTS],MATCH($A271,[1]!PREDICT[HARD CODE],0))</f>
        <v>8.7124158653383645</v>
      </c>
      <c r="C271" s="7" t="str">
        <f>INDEX([1]!MODEL[POS],MATCH($A271,[1]!MODEL[Code],0))</f>
        <v>MID</v>
      </c>
      <c r="D271" s="7" t="str">
        <f>INDEX([1]!MODEL[TEAM],MATCH($A271,[1]!MODEL[Code],0))</f>
        <v>FUL</v>
      </c>
      <c r="E271" s="7">
        <f>INDEX([1]PREDICT!$M$3:$M$1001,MATCH($A271,[1]PREDICT!$B$3:$B$1001,0))</f>
        <v>5.5</v>
      </c>
      <c r="F271" s="15" t="str">
        <f>INDEX([1]!MODEL[FPL_Name],MATCH($A271,[1]!MODEL[Code],0))</f>
        <v>Josh King</v>
      </c>
      <c r="G271" s="10">
        <v>0</v>
      </c>
      <c r="H271" s="10">
        <v>0</v>
      </c>
      <c r="I271" s="10">
        <v>0</v>
      </c>
      <c r="J271" s="11">
        <f t="shared" si="21"/>
        <v>0</v>
      </c>
      <c r="K271" s="11">
        <f t="shared" si="22"/>
        <v>0</v>
      </c>
      <c r="L271" s="11">
        <f t="shared" si="23"/>
        <v>0</v>
      </c>
      <c r="M271" s="11">
        <v>0</v>
      </c>
      <c r="N271" s="11">
        <f t="shared" si="24"/>
        <v>0</v>
      </c>
      <c r="P271" s="13">
        <f t="shared" si="25"/>
        <v>0.31681512237594051</v>
      </c>
    </row>
    <row r="272" spans="1:16" ht="30" x14ac:dyDescent="0.25">
      <c r="A272" s="16">
        <v>624773</v>
      </c>
      <c r="B272" s="4">
        <f>INDEX([1]!PREDICT[TRUE PTS],MATCH($A272,[1]!PREDICT[HARD CODE],0))</f>
        <v>11.897423460855284</v>
      </c>
      <c r="C272" s="7" t="str">
        <f>INDEX([1]!MODEL[POS],MATCH($A272,[1]!MODEL[Code],0))</f>
        <v>MID</v>
      </c>
      <c r="D272" s="7" t="str">
        <f>INDEX([1]!MODEL[TEAM],MATCH($A272,[1]!MODEL[Code],0))</f>
        <v>CHE</v>
      </c>
      <c r="E272" s="7">
        <f>INDEX([1]PREDICT!$M$3:$M$1001,MATCH($A272,[1]PREDICT!$B$3:$B$1001,0))</f>
        <v>6.5</v>
      </c>
      <c r="F272" s="15" t="str">
        <f>INDEX([1]!MODEL[FPL_Name],MATCH($A272,[1]!MODEL[Code],0))</f>
        <v>Estêvão Almeida de Oliveira Gonçalves</v>
      </c>
      <c r="G272" s="10">
        <v>0</v>
      </c>
      <c r="H272" s="10">
        <v>0</v>
      </c>
      <c r="I272" s="10">
        <v>0</v>
      </c>
      <c r="J272" s="11">
        <f t="shared" si="21"/>
        <v>0</v>
      </c>
      <c r="K272" s="11">
        <f t="shared" si="22"/>
        <v>0</v>
      </c>
      <c r="L272" s="11">
        <f t="shared" si="23"/>
        <v>0</v>
      </c>
      <c r="M272" s="11">
        <v>0</v>
      </c>
      <c r="N272" s="11">
        <f t="shared" si="24"/>
        <v>0</v>
      </c>
      <c r="P272" s="13">
        <f t="shared" si="25"/>
        <v>0.36607456802631644</v>
      </c>
    </row>
    <row r="273" spans="1:16" x14ac:dyDescent="0.25">
      <c r="A273" s="16">
        <v>54469</v>
      </c>
      <c r="B273" s="4">
        <f>INDEX([1]!PREDICT[TRUE PTS],MATCH($A273,[1]!PREDICT[HARD CODE],0))</f>
        <v>6.3420908328601184</v>
      </c>
      <c r="C273" s="7" t="str">
        <f>INDEX([1]!MODEL[POS],MATCH($A273,[1]!MODEL[Code],0))</f>
        <v>DEF</v>
      </c>
      <c r="D273" s="7" t="str">
        <f>INDEX([1]!MODEL[TEAM],MATCH($A273,[1]!MODEL[Code],0))</f>
        <v>BOU</v>
      </c>
      <c r="E273" s="7">
        <f>INDEX([1]PREDICT!$M$3:$M$1001,MATCH($A273,[1]PREDICT!$B$3:$B$1001,0))</f>
        <v>4.5</v>
      </c>
      <c r="F273" s="15" t="str">
        <f>INDEX([1]!MODEL[FPL_Name],MATCH($A273,[1]!MODEL[Code],0))</f>
        <v>Adam Smith</v>
      </c>
      <c r="G273" s="10">
        <v>0</v>
      </c>
      <c r="H273" s="10">
        <v>0</v>
      </c>
      <c r="I273" s="10">
        <v>0</v>
      </c>
      <c r="J273" s="11">
        <f t="shared" si="21"/>
        <v>0</v>
      </c>
      <c r="K273" s="11">
        <f t="shared" si="22"/>
        <v>0</v>
      </c>
      <c r="L273" s="11">
        <f t="shared" si="23"/>
        <v>0</v>
      </c>
      <c r="M273" s="11">
        <v>0</v>
      </c>
      <c r="N273" s="11">
        <f t="shared" si="24"/>
        <v>0</v>
      </c>
      <c r="P273" s="13">
        <f t="shared" si="25"/>
        <v>0.28187070368267192</v>
      </c>
    </row>
    <row r="274" spans="1:16" x14ac:dyDescent="0.25">
      <c r="A274" s="16">
        <v>513466</v>
      </c>
      <c r="B274" s="4">
        <f>INDEX([1]!PREDICT[TRUE PTS],MATCH($A274,[1]!PREDICT[HARD CODE],0))</f>
        <v>6.2877704476813605</v>
      </c>
      <c r="C274" s="7" t="str">
        <f>INDEX([1]!MODEL[POS],MATCH($A274,[1]!MODEL[Code],0))</f>
        <v>MID</v>
      </c>
      <c r="D274" s="7" t="str">
        <f>INDEX([1]!MODEL[TEAM],MATCH($A274,[1]!MODEL[Code],0))</f>
        <v>EVE</v>
      </c>
      <c r="E274" s="7">
        <f>INDEX([1]PREDICT!$M$3:$M$1001,MATCH($A274,[1]PREDICT!$B$3:$B$1001,0))</f>
        <v>5</v>
      </c>
      <c r="F274" s="15" t="str">
        <f>INDEX([1]!MODEL[FPL_Name],MATCH($A274,[1]!MODEL[Code],0))</f>
        <v>Merlin Röhl</v>
      </c>
      <c r="G274" s="10">
        <v>0</v>
      </c>
      <c r="H274" s="10">
        <v>0</v>
      </c>
      <c r="I274" s="10">
        <v>0</v>
      </c>
      <c r="J274" s="11">
        <f t="shared" si="21"/>
        <v>0</v>
      </c>
      <c r="K274" s="11">
        <f t="shared" si="22"/>
        <v>0</v>
      </c>
      <c r="L274" s="11">
        <f t="shared" si="23"/>
        <v>0</v>
      </c>
      <c r="M274" s="11">
        <v>0</v>
      </c>
      <c r="N274" s="11">
        <f t="shared" si="24"/>
        <v>0</v>
      </c>
      <c r="P274" s="13">
        <f t="shared" si="25"/>
        <v>0.25151081790725438</v>
      </c>
    </row>
    <row r="275" spans="1:16" x14ac:dyDescent="0.25">
      <c r="A275" s="16">
        <v>470315</v>
      </c>
      <c r="B275" s="4">
        <f>INDEX([1]!PREDICT[TRUE PTS],MATCH($A275,[1]!PREDICT[HARD CODE],0))</f>
        <v>6.2688458374297058</v>
      </c>
      <c r="C275" s="7" t="str">
        <f>INDEX([1]!MODEL[POS],MATCH($A275,[1]!MODEL[Code],0))</f>
        <v>DEF</v>
      </c>
      <c r="D275" s="7" t="str">
        <f>INDEX([1]!MODEL[TEAM],MATCH($A275,[1]!MODEL[Code],0))</f>
        <v>NFO</v>
      </c>
      <c r="E275" s="7">
        <f>INDEX([1]PREDICT!$M$3:$M$1001,MATCH($A275,[1]PREDICT!$B$3:$B$1001,0))</f>
        <v>4.5</v>
      </c>
      <c r="F275" s="15" t="str">
        <f>INDEX([1]!MODEL[FPL_Name],MATCH($A275,[1]!MODEL[Code],0))</f>
        <v>Luca Netz</v>
      </c>
      <c r="G275" s="10">
        <v>0</v>
      </c>
      <c r="H275" s="10">
        <v>0</v>
      </c>
      <c r="I275" s="10">
        <v>0</v>
      </c>
      <c r="J275" s="11">
        <f t="shared" si="21"/>
        <v>0</v>
      </c>
      <c r="K275" s="11">
        <f t="shared" si="22"/>
        <v>0</v>
      </c>
      <c r="L275" s="11">
        <f t="shared" si="23"/>
        <v>0</v>
      </c>
      <c r="M275" s="11">
        <v>0</v>
      </c>
      <c r="N275" s="11">
        <f t="shared" si="24"/>
        <v>0</v>
      </c>
      <c r="P275" s="13">
        <f t="shared" si="25"/>
        <v>0.27861537055243135</v>
      </c>
    </row>
    <row r="276" spans="1:16" x14ac:dyDescent="0.25">
      <c r="A276" s="16">
        <v>560552</v>
      </c>
      <c r="B276" s="4">
        <f>INDEX([1]!PREDICT[TRUE PTS],MATCH($A276,[1]!PREDICT[HARD CODE],0))</f>
        <v>9.2536064798476581</v>
      </c>
      <c r="C276" s="7" t="str">
        <f>INDEX([1]!MODEL[POS],MATCH($A276,[1]!MODEL[Code],0))</f>
        <v>MID</v>
      </c>
      <c r="D276" s="7" t="str">
        <f>INDEX([1]!MODEL[TEAM],MATCH($A276,[1]!MODEL[Code],0))</f>
        <v>FUL</v>
      </c>
      <c r="E276" s="7">
        <f>INDEX([1]PREDICT!$M$3:$M$1001,MATCH($A276,[1]PREDICT!$B$3:$B$1001,0))</f>
        <v>5.5</v>
      </c>
      <c r="F276" s="15" t="str">
        <f>INDEX([1]!MODEL[FPL_Name],MATCH($A276,[1]!MODEL[Code],0))</f>
        <v>Kevin Santos Lopes de Macedo</v>
      </c>
      <c r="G276" s="10">
        <v>0</v>
      </c>
      <c r="H276" s="10">
        <v>0</v>
      </c>
      <c r="I276" s="10">
        <v>0</v>
      </c>
      <c r="J276" s="11">
        <f t="shared" si="21"/>
        <v>0</v>
      </c>
      <c r="K276" s="11">
        <f t="shared" si="22"/>
        <v>0</v>
      </c>
      <c r="L276" s="11">
        <f t="shared" si="23"/>
        <v>0</v>
      </c>
      <c r="M276" s="11">
        <v>0</v>
      </c>
      <c r="N276" s="11">
        <f t="shared" si="24"/>
        <v>0</v>
      </c>
      <c r="P276" s="13">
        <f t="shared" si="25"/>
        <v>0.3364947810853694</v>
      </c>
    </row>
    <row r="277" spans="1:16" x14ac:dyDescent="0.25">
      <c r="A277" s="16">
        <v>246301</v>
      </c>
      <c r="B277" s="4">
        <f>INDEX([1]!PREDICT[TRUE PTS],MATCH($A277,[1]!PREDICT[HARD CODE],0))</f>
        <v>6.1880930503586598</v>
      </c>
      <c r="C277" s="7" t="str">
        <f>INDEX([1]!MODEL[POS],MATCH($A277,[1]!MODEL[Code],0))</f>
        <v>DEF</v>
      </c>
      <c r="D277" s="7" t="str">
        <f>INDEX([1]!MODEL[TEAM],MATCH($A277,[1]!MODEL[Code],0))</f>
        <v>FUL</v>
      </c>
      <c r="E277" s="7">
        <f>INDEX([1]PREDICT!$M$3:$M$1001,MATCH($A277,[1]PREDICT!$B$3:$B$1001,0))</f>
        <v>4.5</v>
      </c>
      <c r="F277" s="15" t="str">
        <f>INDEX([1]!MODEL[FPL_Name],MATCH($A277,[1]!MODEL[Code],0))</f>
        <v>Jorge Cuenca Barreno</v>
      </c>
      <c r="G277" s="10">
        <v>0</v>
      </c>
      <c r="H277" s="10">
        <v>0</v>
      </c>
      <c r="I277" s="10">
        <v>0</v>
      </c>
      <c r="J277" s="11">
        <f t="shared" si="21"/>
        <v>0</v>
      </c>
      <c r="K277" s="11">
        <f t="shared" si="22"/>
        <v>0</v>
      </c>
      <c r="L277" s="11">
        <f t="shared" si="23"/>
        <v>0</v>
      </c>
      <c r="M277" s="11">
        <v>0</v>
      </c>
      <c r="N277" s="11">
        <f t="shared" si="24"/>
        <v>0</v>
      </c>
      <c r="P277" s="13">
        <f t="shared" si="25"/>
        <v>0.2750263577937182</v>
      </c>
    </row>
    <row r="278" spans="1:16" x14ac:dyDescent="0.25">
      <c r="A278" s="16">
        <v>219249</v>
      </c>
      <c r="B278" s="4">
        <f>INDEX([1]!PREDICT[TRUE PTS],MATCH($A278,[1]!PREDICT[HARD CODE],0))</f>
        <v>6.1421809756241572</v>
      </c>
      <c r="C278" s="7" t="str">
        <f>INDEX([1]!MODEL[POS],MATCH($A278,[1]!MODEL[Code],0))</f>
        <v>MID</v>
      </c>
      <c r="D278" s="7" t="str">
        <f>INDEX([1]!MODEL[TEAM],MATCH($A278,[1]!MODEL[Code],0))</f>
        <v>BHA</v>
      </c>
      <c r="E278" s="7">
        <f>INDEX([1]PREDICT!$M$3:$M$1001,MATCH($A278,[1]PREDICT!$B$3:$B$1001,0))</f>
        <v>5.5</v>
      </c>
      <c r="F278" s="15" t="str">
        <f>INDEX([1]!MODEL[FPL_Name],MATCH($A278,[1]!MODEL[Code],0))</f>
        <v>Matt O'Riley</v>
      </c>
      <c r="G278" s="10">
        <v>0</v>
      </c>
      <c r="H278" s="10">
        <v>0</v>
      </c>
      <c r="I278" s="10">
        <v>0</v>
      </c>
      <c r="J278" s="11">
        <f t="shared" si="21"/>
        <v>0</v>
      </c>
      <c r="K278" s="11">
        <f t="shared" si="22"/>
        <v>0</v>
      </c>
      <c r="L278" s="11">
        <f t="shared" si="23"/>
        <v>0</v>
      </c>
      <c r="M278" s="11">
        <v>0</v>
      </c>
      <c r="N278" s="11">
        <f t="shared" si="24"/>
        <v>0</v>
      </c>
      <c r="P278" s="13">
        <f t="shared" si="25"/>
        <v>0.22335203547724208</v>
      </c>
    </row>
    <row r="279" spans="1:16" x14ac:dyDescent="0.25">
      <c r="A279" s="16">
        <v>494307</v>
      </c>
      <c r="B279" s="4">
        <f>INDEX([1]!PREDICT[TRUE PTS],MATCH($A279,[1]!PREDICT[HARD CODE],0))</f>
        <v>6.0768634806503297</v>
      </c>
      <c r="C279" s="7" t="str">
        <f>INDEX([1]!MODEL[POS],MATCH($A279,[1]!MODEL[Code],0))</f>
        <v>DEF</v>
      </c>
      <c r="D279" s="7" t="str">
        <f>INDEX([1]!MODEL[TEAM],MATCH($A279,[1]!MODEL[Code],0))</f>
        <v>MCI</v>
      </c>
      <c r="E279" s="7">
        <f>INDEX([1]PREDICT!$M$3:$M$1001,MATCH($A279,[1]PREDICT!$B$3:$B$1001,0))</f>
        <v>5</v>
      </c>
      <c r="F279" s="15" t="str">
        <f>INDEX([1]!MODEL[FPL_Name],MATCH($A279,[1]!MODEL[Code],0))</f>
        <v>Max Alleyne</v>
      </c>
      <c r="G279" s="10">
        <v>0</v>
      </c>
      <c r="H279" s="10">
        <v>0</v>
      </c>
      <c r="I279" s="10">
        <v>0</v>
      </c>
      <c r="J279" s="11">
        <f t="shared" si="21"/>
        <v>0</v>
      </c>
      <c r="K279" s="11">
        <f t="shared" si="22"/>
        <v>0</v>
      </c>
      <c r="L279" s="11">
        <f t="shared" si="23"/>
        <v>0</v>
      </c>
      <c r="M279" s="11">
        <v>0</v>
      </c>
      <c r="N279" s="11">
        <f t="shared" si="24"/>
        <v>0</v>
      </c>
      <c r="P279" s="13">
        <f t="shared" si="25"/>
        <v>0.24307453922601319</v>
      </c>
    </row>
    <row r="280" spans="1:16" x14ac:dyDescent="0.25">
      <c r="A280" s="16">
        <v>489706</v>
      </c>
      <c r="B280" s="4">
        <f>INDEX([1]!PREDICT[TRUE PTS],MATCH($A280,[1]!PREDICT[HARD CODE],0))</f>
        <v>6.5391640059638663</v>
      </c>
      <c r="C280" s="7" t="str">
        <f>INDEX([1]!MODEL[POS],MATCH($A280,[1]!MODEL[Code],0))</f>
        <v>MID</v>
      </c>
      <c r="D280" s="7" t="str">
        <f>INDEX([1]!MODEL[TEAM],MATCH($A280,[1]!MODEL[Code],0))</f>
        <v>CRY</v>
      </c>
      <c r="E280" s="7">
        <f>INDEX([1]PREDICT!$M$3:$M$1001,MATCH($A280,[1]PREDICT!$B$3:$B$1001,0))</f>
        <v>5</v>
      </c>
      <c r="F280" s="15" t="str">
        <f>INDEX([1]!MODEL[FPL_Name],MATCH($A280,[1]!MODEL[Code],0))</f>
        <v>Justin Devenny</v>
      </c>
      <c r="G280" s="10">
        <v>0</v>
      </c>
      <c r="H280" s="10">
        <v>0</v>
      </c>
      <c r="I280" s="10">
        <v>0</v>
      </c>
      <c r="J280" s="11">
        <f t="shared" si="21"/>
        <v>0</v>
      </c>
      <c r="K280" s="11">
        <f t="shared" si="22"/>
        <v>0</v>
      </c>
      <c r="L280" s="11">
        <f t="shared" si="23"/>
        <v>0</v>
      </c>
      <c r="M280" s="11">
        <v>0</v>
      </c>
      <c r="N280" s="11">
        <f t="shared" si="24"/>
        <v>0</v>
      </c>
      <c r="P280" s="13">
        <f t="shared" si="25"/>
        <v>0.26156656023855468</v>
      </c>
    </row>
    <row r="281" spans="1:16" x14ac:dyDescent="0.25">
      <c r="A281" s="16">
        <v>168636</v>
      </c>
      <c r="B281" s="4">
        <f>INDEX([1]!PREDICT[TRUE PTS],MATCH($A281,[1]!PREDICT[HARD CODE],0))</f>
        <v>6.0179549262280725</v>
      </c>
      <c r="C281" s="7" t="str">
        <f>INDEX([1]!MODEL[POS],MATCH($A281,[1]!MODEL[Code],0))</f>
        <v>FWD</v>
      </c>
      <c r="D281" s="7" t="str">
        <f>INDEX([1]!MODEL[TEAM],MATCH($A281,[1]!MODEL[Code],0))</f>
        <v>BOU</v>
      </c>
      <c r="E281" s="7">
        <f>INDEX([1]PREDICT!$M$3:$M$1001,MATCH($A281,[1]PREDICT!$B$3:$B$1001,0))</f>
        <v>5.5</v>
      </c>
      <c r="F281" s="15" t="str">
        <f>INDEX([1]!MODEL[FPL_Name],MATCH($A281,[1]!MODEL[Code],0))</f>
        <v>Enes Ünal</v>
      </c>
      <c r="G281" s="10">
        <v>0</v>
      </c>
      <c r="H281" s="10">
        <v>0</v>
      </c>
      <c r="I281" s="10">
        <v>0</v>
      </c>
      <c r="J281" s="11">
        <f t="shared" si="21"/>
        <v>0</v>
      </c>
      <c r="K281" s="11">
        <f t="shared" si="22"/>
        <v>0</v>
      </c>
      <c r="L281" s="11">
        <f t="shared" si="23"/>
        <v>0</v>
      </c>
      <c r="M281" s="11">
        <v>0</v>
      </c>
      <c r="N281" s="11">
        <f t="shared" si="24"/>
        <v>0</v>
      </c>
      <c r="P281" s="13">
        <f t="shared" si="25"/>
        <v>0.21883472459011172</v>
      </c>
    </row>
    <row r="282" spans="1:16" x14ac:dyDescent="0.25">
      <c r="A282" s="16">
        <v>535818</v>
      </c>
      <c r="B282" s="4">
        <f>INDEX([1]!PREDICT[TRUE PTS],MATCH($A282,[1]!PREDICT[HARD CODE],0))</f>
        <v>5.9273272317450001</v>
      </c>
      <c r="C282" s="7" t="str">
        <f>INDEX([1]!MODEL[POS],MATCH($A282,[1]!MODEL[Code],0))</f>
        <v>MID</v>
      </c>
      <c r="D282" s="7" t="str">
        <f>INDEX([1]!MODEL[TEAM],MATCH($A282,[1]!MODEL[Code],0))</f>
        <v>SUN</v>
      </c>
      <c r="E282" s="7">
        <f>INDEX([1]PREDICT!$M$3:$M$1001,MATCH($A282,[1]PREDICT!$B$3:$B$1001,0))</f>
        <v>5</v>
      </c>
      <c r="F282" s="15" t="str">
        <f>INDEX([1]!MODEL[FPL_Name],MATCH($A282,[1]!MODEL[Code],0))</f>
        <v>Simon Adingra</v>
      </c>
      <c r="G282" s="10">
        <v>0</v>
      </c>
      <c r="H282" s="10">
        <v>0</v>
      </c>
      <c r="I282" s="10">
        <v>0</v>
      </c>
      <c r="J282" s="11">
        <f t="shared" si="21"/>
        <v>0</v>
      </c>
      <c r="K282" s="11">
        <f t="shared" si="22"/>
        <v>0</v>
      </c>
      <c r="L282" s="11">
        <f t="shared" si="23"/>
        <v>0</v>
      </c>
      <c r="M282" s="11">
        <v>0</v>
      </c>
      <c r="N282" s="11">
        <f t="shared" si="24"/>
        <v>0</v>
      </c>
      <c r="P282" s="13">
        <f t="shared" si="25"/>
        <v>0.23709308926979999</v>
      </c>
    </row>
    <row r="283" spans="1:16" x14ac:dyDescent="0.25">
      <c r="A283" s="16">
        <v>76357</v>
      </c>
      <c r="B283" s="4">
        <f>INDEX([1]!PREDICT[TRUE PTS],MATCH($A283,[1]!PREDICT[HARD CODE],0))</f>
        <v>5.8775974313264037</v>
      </c>
      <c r="C283" s="7" t="str">
        <f>INDEX([1]!MODEL[POS],MATCH($A283,[1]!MODEL[Code],0))</f>
        <v>MID</v>
      </c>
      <c r="D283" s="7" t="str">
        <f>INDEX([1]!MODEL[TEAM],MATCH($A283,[1]!MODEL[Code],0))</f>
        <v>FUL</v>
      </c>
      <c r="E283" s="7">
        <f>INDEX([1]PREDICT!$M$3:$M$1001,MATCH($A283,[1]PREDICT!$B$3:$B$1001,0))</f>
        <v>5</v>
      </c>
      <c r="F283" s="15" t="str">
        <f>INDEX([1]!MODEL[FPL_Name],MATCH($A283,[1]!MODEL[Code],0))</f>
        <v>Tom Cairney</v>
      </c>
      <c r="G283" s="10">
        <v>0</v>
      </c>
      <c r="H283" s="10">
        <v>0</v>
      </c>
      <c r="I283" s="10">
        <v>0</v>
      </c>
      <c r="J283" s="11">
        <f t="shared" si="21"/>
        <v>0</v>
      </c>
      <c r="K283" s="11">
        <f t="shared" si="22"/>
        <v>0</v>
      </c>
      <c r="L283" s="11">
        <f t="shared" si="23"/>
        <v>0</v>
      </c>
      <c r="M283" s="11">
        <v>0</v>
      </c>
      <c r="N283" s="11">
        <f t="shared" si="24"/>
        <v>0</v>
      </c>
      <c r="P283" s="13">
        <f t="shared" si="25"/>
        <v>0.23510389725305614</v>
      </c>
    </row>
    <row r="284" spans="1:16" x14ac:dyDescent="0.25">
      <c r="A284" s="16">
        <v>204968</v>
      </c>
      <c r="B284" s="4">
        <f>INDEX([1]!PREDICT[TRUE PTS],MATCH($A284,[1]!PREDICT[HARD CODE],0))</f>
        <v>5.7248411327805409</v>
      </c>
      <c r="C284" s="7" t="str">
        <f>INDEX([1]!MODEL[POS],MATCH($A284,[1]!MODEL[Code],0))</f>
        <v>MID</v>
      </c>
      <c r="D284" s="7" t="str">
        <f>INDEX([1]!MODEL[TEAM],MATCH($A284,[1]!MODEL[Code],0))</f>
        <v>NFO</v>
      </c>
      <c r="E284" s="7">
        <f>INDEX([1]PREDICT!$M$3:$M$1001,MATCH($A284,[1]PREDICT!$B$3:$B$1001,0))</f>
        <v>4.5</v>
      </c>
      <c r="F284" s="15" t="str">
        <f>INDEX([1]!MODEL[FPL_Name],MATCH($A284,[1]!MODEL[Code],0))</f>
        <v>Ryan Yates</v>
      </c>
      <c r="G284" s="10">
        <v>0</v>
      </c>
      <c r="H284" s="10">
        <v>0</v>
      </c>
      <c r="I284" s="10">
        <v>0</v>
      </c>
      <c r="J284" s="11">
        <f t="shared" si="21"/>
        <v>0</v>
      </c>
      <c r="K284" s="11">
        <f t="shared" si="22"/>
        <v>0</v>
      </c>
      <c r="L284" s="11">
        <f t="shared" si="23"/>
        <v>0</v>
      </c>
      <c r="M284" s="11">
        <v>0</v>
      </c>
      <c r="N284" s="11">
        <f t="shared" si="24"/>
        <v>0</v>
      </c>
      <c r="P284" s="13">
        <f t="shared" si="25"/>
        <v>0.25443738367913515</v>
      </c>
    </row>
    <row r="285" spans="1:16" x14ac:dyDescent="0.25">
      <c r="A285" s="16">
        <v>570526</v>
      </c>
      <c r="B285" s="4">
        <f>INDEX([1]!PREDICT[TRUE PTS],MATCH($A285,[1]!PREDICT[HARD CODE],0))</f>
        <v>8.1147738751678293</v>
      </c>
      <c r="C285" s="7" t="str">
        <f>INDEX([1]!MODEL[POS],MATCH($A285,[1]!MODEL[Code],0))</f>
        <v>MID</v>
      </c>
      <c r="D285" s="7" t="str">
        <f>INDEX([1]!MODEL[TEAM],MATCH($A285,[1]!MODEL[Code],0))</f>
        <v>TOT</v>
      </c>
      <c r="E285" s="7">
        <f>INDEX([1]PREDICT!$M$3:$M$1001,MATCH($A285,[1]PREDICT!$B$3:$B$1001,0))</f>
        <v>5.5</v>
      </c>
      <c r="F285" s="15" t="str">
        <f>INDEX([1]!MODEL[FPL_Name],MATCH($A285,[1]!MODEL[Code],0))</f>
        <v>Lucas Bergvall</v>
      </c>
      <c r="G285" s="10">
        <v>0</v>
      </c>
      <c r="H285" s="10">
        <v>0</v>
      </c>
      <c r="I285" s="10">
        <v>0</v>
      </c>
      <c r="J285" s="11">
        <f t="shared" si="21"/>
        <v>0</v>
      </c>
      <c r="K285" s="11">
        <f t="shared" si="22"/>
        <v>0</v>
      </c>
      <c r="L285" s="11">
        <f t="shared" si="23"/>
        <v>0</v>
      </c>
      <c r="M285" s="11">
        <v>0</v>
      </c>
      <c r="N285" s="11">
        <f t="shared" si="24"/>
        <v>0</v>
      </c>
      <c r="P285" s="13">
        <f t="shared" si="25"/>
        <v>0.29508268636973922</v>
      </c>
    </row>
    <row r="286" spans="1:16" x14ac:dyDescent="0.25">
      <c r="A286" s="16">
        <v>515597</v>
      </c>
      <c r="B286" s="4">
        <f>INDEX([1]!PREDICT[TRUE PTS],MATCH($A286,[1]!PREDICT[HARD CODE],0))</f>
        <v>5.4381604800018897</v>
      </c>
      <c r="C286" s="7" t="str">
        <f>INDEX([1]!MODEL[POS],MATCH($A286,[1]!MODEL[Code],0))</f>
        <v>MID</v>
      </c>
      <c r="D286" s="7" t="str">
        <f>INDEX([1]!MODEL[TEAM],MATCH($A286,[1]!MODEL[Code],0))</f>
        <v>AVL</v>
      </c>
      <c r="E286" s="7">
        <f>INDEX([1]PREDICT!$M$3:$M$1001,MATCH($A286,[1]PREDICT!$B$3:$B$1001,0))</f>
        <v>5</v>
      </c>
      <c r="F286" s="15" t="str">
        <f>INDEX([1]!MODEL[FPL_Name],MATCH($A286,[1]!MODEL[Code],0))</f>
        <v>Lamare Bogarde</v>
      </c>
      <c r="G286" s="10">
        <v>0</v>
      </c>
      <c r="H286" s="10">
        <v>0</v>
      </c>
      <c r="I286" s="10">
        <v>0</v>
      </c>
      <c r="J286" s="11">
        <f t="shared" si="21"/>
        <v>0</v>
      </c>
      <c r="K286" s="11">
        <f t="shared" si="22"/>
        <v>0</v>
      </c>
      <c r="L286" s="11">
        <f t="shared" si="23"/>
        <v>0</v>
      </c>
      <c r="M286" s="11">
        <v>0</v>
      </c>
      <c r="N286" s="11">
        <f t="shared" si="24"/>
        <v>0</v>
      </c>
      <c r="P286" s="13">
        <f t="shared" si="25"/>
        <v>0.21752641920007559</v>
      </c>
    </row>
    <row r="287" spans="1:16" x14ac:dyDescent="0.25">
      <c r="A287" s="16">
        <v>184667</v>
      </c>
      <c r="B287" s="4">
        <f>INDEX([1]!PREDICT[TRUE PTS],MATCH($A287,[1]!PREDICT[HARD CODE],0))</f>
        <v>6.0002483916764824</v>
      </c>
      <c r="C287" s="7" t="str">
        <f>INDEX([1]!MODEL[POS],MATCH($A287,[1]!MODEL[Code],0))</f>
        <v>DEF</v>
      </c>
      <c r="D287" s="7" t="str">
        <f>INDEX([1]!MODEL[TEAM],MATCH($A287,[1]!MODEL[Code],0))</f>
        <v>AVL</v>
      </c>
      <c r="E287" s="7">
        <f>INDEX([1]PREDICT!$M$3:$M$1001,MATCH($A287,[1]PREDICT!$B$3:$B$1001,0))</f>
        <v>4.5</v>
      </c>
      <c r="F287" s="15" t="str">
        <f>INDEX([1]!MODEL[FPL_Name],MATCH($A287,[1]!MODEL[Code],0))</f>
        <v>Victor Lindelöf</v>
      </c>
      <c r="G287" s="10">
        <v>0</v>
      </c>
      <c r="H287" s="10">
        <v>0</v>
      </c>
      <c r="I287" s="10">
        <v>0</v>
      </c>
      <c r="J287" s="11">
        <f t="shared" si="21"/>
        <v>0</v>
      </c>
      <c r="K287" s="11">
        <f t="shared" si="22"/>
        <v>0</v>
      </c>
      <c r="L287" s="11">
        <f t="shared" si="23"/>
        <v>0</v>
      </c>
      <c r="M287" s="11">
        <v>0</v>
      </c>
      <c r="N287" s="11">
        <f t="shared" si="24"/>
        <v>0</v>
      </c>
      <c r="P287" s="13">
        <f t="shared" si="25"/>
        <v>0.26667770629673254</v>
      </c>
    </row>
    <row r="288" spans="1:16" x14ac:dyDescent="0.25">
      <c r="A288" s="16">
        <v>472713</v>
      </c>
      <c r="B288" s="4">
        <f>INDEX([1]!PREDICT[TRUE PTS],MATCH($A288,[1]!PREDICT[HARD CODE],0))</f>
        <v>5.999569458506814</v>
      </c>
      <c r="C288" s="7" t="str">
        <f>INDEX([1]!MODEL[POS],MATCH($A288,[1]!MODEL[Code],0))</f>
        <v>DEF</v>
      </c>
      <c r="D288" s="7" t="str">
        <f>INDEX([1]!MODEL[TEAM],MATCH($A288,[1]!MODEL[Code],0))</f>
        <v>BRE</v>
      </c>
      <c r="E288" s="7">
        <f>INDEX([1]PREDICT!$M$3:$M$1001,MATCH($A288,[1]PREDICT!$B$3:$B$1001,0))</f>
        <v>4.5</v>
      </c>
      <c r="F288" s="15" t="str">
        <f>INDEX([1]!MODEL[FPL_Name],MATCH($A288,[1]!MODEL[Code],0))</f>
        <v>Aaron Hickey</v>
      </c>
      <c r="G288" s="10">
        <v>0</v>
      </c>
      <c r="H288" s="10">
        <v>0</v>
      </c>
      <c r="I288" s="10">
        <v>0</v>
      </c>
      <c r="J288" s="11">
        <f t="shared" si="21"/>
        <v>0</v>
      </c>
      <c r="K288" s="11">
        <f t="shared" si="22"/>
        <v>0</v>
      </c>
      <c r="L288" s="11">
        <f t="shared" si="23"/>
        <v>0</v>
      </c>
      <c r="M288" s="11">
        <v>0</v>
      </c>
      <c r="N288" s="11">
        <f t="shared" si="24"/>
        <v>0</v>
      </c>
      <c r="P288" s="13">
        <f t="shared" si="25"/>
        <v>0.26664753148919174</v>
      </c>
    </row>
    <row r="289" spans="1:16" x14ac:dyDescent="0.25">
      <c r="A289" s="16">
        <v>91651</v>
      </c>
      <c r="B289" s="4">
        <f>INDEX([1]!PREDICT[TRUE PTS],MATCH($A289,[1]!PREDICT[HARD CODE],0))</f>
        <v>5.3556651668082198</v>
      </c>
      <c r="C289" s="7" t="str">
        <f>INDEX([1]!MODEL[POS],MATCH($A289,[1]!MODEL[Code],0))</f>
        <v>MID</v>
      </c>
      <c r="D289" s="7" t="str">
        <f>INDEX([1]!MODEL[TEAM],MATCH($A289,[1]!MODEL[Code],0))</f>
        <v>MCI</v>
      </c>
      <c r="E289" s="7">
        <f>INDEX([1]PREDICT!$M$3:$M$1001,MATCH($A289,[1]PREDICT!$B$3:$B$1001,0))</f>
        <v>5.5</v>
      </c>
      <c r="F289" s="15" t="str">
        <f>INDEX([1]!MODEL[FPL_Name],MATCH($A289,[1]!MODEL[Code],0))</f>
        <v>Mateo Kovačić</v>
      </c>
      <c r="G289" s="10">
        <v>0</v>
      </c>
      <c r="H289" s="10">
        <v>0</v>
      </c>
      <c r="I289" s="10">
        <v>0</v>
      </c>
      <c r="J289" s="11">
        <f t="shared" si="21"/>
        <v>0</v>
      </c>
      <c r="K289" s="11">
        <f t="shared" si="22"/>
        <v>0</v>
      </c>
      <c r="L289" s="11">
        <f t="shared" si="23"/>
        <v>0</v>
      </c>
      <c r="M289" s="11">
        <v>0</v>
      </c>
      <c r="N289" s="11">
        <f t="shared" si="24"/>
        <v>0</v>
      </c>
      <c r="P289" s="13">
        <f t="shared" si="25"/>
        <v>0.19475146061120799</v>
      </c>
    </row>
    <row r="290" spans="1:16" x14ac:dyDescent="0.25">
      <c r="A290" s="16">
        <v>492859</v>
      </c>
      <c r="B290" s="4">
        <f>INDEX([1]!PREDICT[TRUE PTS],MATCH($A290,[1]!PREDICT[HARD CODE],0))</f>
        <v>5.3431268060554524</v>
      </c>
      <c r="C290" s="7" t="str">
        <f>INDEX([1]!MODEL[POS],MATCH($A290,[1]!MODEL[Code],0))</f>
        <v>MID</v>
      </c>
      <c r="D290" s="7" t="str">
        <f>INDEX([1]!MODEL[TEAM],MATCH($A290,[1]!MODEL[Code],0))</f>
        <v>LEE</v>
      </c>
      <c r="E290" s="7">
        <f>INDEX([1]PREDICT!$M$3:$M$1001,MATCH($A290,[1]PREDICT!$B$3:$B$1001,0))</f>
        <v>5</v>
      </c>
      <c r="F290" s="15" t="str">
        <f>INDEX([1]!MODEL[FPL_Name],MATCH($A290,[1]!MODEL[Code],0))</f>
        <v>Wilfried Gnonto</v>
      </c>
      <c r="G290" s="10">
        <v>0</v>
      </c>
      <c r="H290" s="10">
        <v>0</v>
      </c>
      <c r="I290" s="10">
        <v>0</v>
      </c>
      <c r="J290" s="11">
        <f t="shared" si="21"/>
        <v>0</v>
      </c>
      <c r="K290" s="11">
        <f t="shared" si="22"/>
        <v>0</v>
      </c>
      <c r="L290" s="11">
        <f t="shared" si="23"/>
        <v>0</v>
      </c>
      <c r="M290" s="11">
        <v>0</v>
      </c>
      <c r="N290" s="11">
        <f t="shared" si="24"/>
        <v>0</v>
      </c>
      <c r="P290" s="13">
        <f t="shared" si="25"/>
        <v>0.21372507224221809</v>
      </c>
    </row>
    <row r="291" spans="1:16" x14ac:dyDescent="0.25">
      <c r="A291" s="16">
        <v>449027</v>
      </c>
      <c r="B291" s="4">
        <f>INDEX([1]!PREDICT[TRUE PTS],MATCH($A291,[1]!PREDICT[HARD CODE],0))</f>
        <v>5.3209506107757889</v>
      </c>
      <c r="C291" s="7" t="str">
        <f>INDEX([1]!MODEL[POS],MATCH($A291,[1]!MODEL[Code],0))</f>
        <v>GK</v>
      </c>
      <c r="D291" s="7" t="str">
        <f>INDEX([1]!MODEL[TEAM],MATCH($A291,[1]!MODEL[Code],0))</f>
        <v>LIV</v>
      </c>
      <c r="E291" s="7">
        <f>INDEX([1]PREDICT!$M$3:$M$1001,MATCH($A291,[1]PREDICT!$B$3:$B$1001,0))</f>
        <v>5</v>
      </c>
      <c r="F291" s="15" t="str">
        <f>INDEX([1]!MODEL[FPL_Name],MATCH($A291,[1]!MODEL[Code],0))</f>
        <v>Giorgi Mamardashvili</v>
      </c>
      <c r="G291" s="10">
        <v>0</v>
      </c>
      <c r="H291" s="10">
        <v>0</v>
      </c>
      <c r="I291" s="10">
        <v>0</v>
      </c>
      <c r="J291" s="11">
        <f t="shared" si="21"/>
        <v>0</v>
      </c>
      <c r="K291" s="11">
        <f t="shared" si="22"/>
        <v>0</v>
      </c>
      <c r="L291" s="11">
        <f t="shared" si="23"/>
        <v>0</v>
      </c>
      <c r="M291" s="11">
        <v>0</v>
      </c>
      <c r="N291" s="11">
        <f t="shared" si="24"/>
        <v>0</v>
      </c>
      <c r="P291" s="13">
        <f t="shared" si="25"/>
        <v>0.21283802443103156</v>
      </c>
    </row>
    <row r="292" spans="1:16" x14ac:dyDescent="0.25">
      <c r="A292" s="16">
        <v>499309</v>
      </c>
      <c r="B292" s="4">
        <f>INDEX([1]!PREDICT[TRUE PTS],MATCH($A292,[1]!PREDICT[HARD CODE],0))</f>
        <v>5.2901062628822082</v>
      </c>
      <c r="C292" s="7" t="str">
        <f>INDEX([1]!MODEL[POS],MATCH($A292,[1]!MODEL[Code],0))</f>
        <v>FWD</v>
      </c>
      <c r="D292" s="7" t="str">
        <f>INDEX([1]!MODEL[TEAM],MATCH($A292,[1]!MODEL[Code],0))</f>
        <v>CHE</v>
      </c>
      <c r="E292" s="7">
        <f>INDEX([1]PREDICT!$M$3:$M$1001,MATCH($A292,[1]PREDICT!$B$3:$B$1001,0))</f>
        <v>5</v>
      </c>
      <c r="F292" s="15" t="str">
        <f>INDEX([1]!MODEL[FPL_Name],MATCH($A292,[1]!MODEL[Code],0))</f>
        <v>Marc Guiu Paz</v>
      </c>
      <c r="G292" s="10">
        <v>0</v>
      </c>
      <c r="H292" s="10">
        <v>0</v>
      </c>
      <c r="I292" s="10">
        <v>0</v>
      </c>
      <c r="J292" s="11">
        <f t="shared" si="21"/>
        <v>0</v>
      </c>
      <c r="K292" s="11">
        <f t="shared" si="22"/>
        <v>0</v>
      </c>
      <c r="L292" s="11">
        <f t="shared" si="23"/>
        <v>0</v>
      </c>
      <c r="M292" s="11">
        <v>0</v>
      </c>
      <c r="N292" s="11">
        <f t="shared" si="24"/>
        <v>0</v>
      </c>
      <c r="P292" s="13">
        <f t="shared" si="25"/>
        <v>0.21160425051528833</v>
      </c>
    </row>
    <row r="293" spans="1:16" x14ac:dyDescent="0.25">
      <c r="A293" s="16">
        <v>223541</v>
      </c>
      <c r="B293" s="4">
        <f>INDEX([1]!PREDICT[TRUE PTS],MATCH($A293,[1]!PREDICT[HARD CODE],0))</f>
        <v>5.2847918070432858</v>
      </c>
      <c r="C293" s="7" t="str">
        <f>INDEX([1]!MODEL[POS],MATCH($A293,[1]!MODEL[Code],0))</f>
        <v>MID</v>
      </c>
      <c r="D293" s="7" t="str">
        <f>INDEX([1]!MODEL[TEAM],MATCH($A293,[1]!MODEL[Code],0))</f>
        <v>LIV</v>
      </c>
      <c r="E293" s="7">
        <f>INDEX([1]PREDICT!$M$3:$M$1001,MATCH($A293,[1]PREDICT!$B$3:$B$1001,0))</f>
        <v>5.5</v>
      </c>
      <c r="F293" s="15" t="str">
        <f>INDEX([1]!MODEL[FPL_Name],MATCH($A293,[1]!MODEL[Code],0))</f>
        <v>Federico Chiesa</v>
      </c>
      <c r="G293" s="10">
        <v>0</v>
      </c>
      <c r="H293" s="10">
        <v>0</v>
      </c>
      <c r="I293" s="10">
        <v>0</v>
      </c>
      <c r="J293" s="11">
        <f t="shared" si="21"/>
        <v>0</v>
      </c>
      <c r="K293" s="11">
        <f t="shared" si="22"/>
        <v>0</v>
      </c>
      <c r="L293" s="11">
        <f t="shared" si="23"/>
        <v>0</v>
      </c>
      <c r="M293" s="11">
        <v>0</v>
      </c>
      <c r="N293" s="11">
        <f t="shared" si="24"/>
        <v>0</v>
      </c>
      <c r="P293" s="13">
        <f t="shared" si="25"/>
        <v>0.19217424752884676</v>
      </c>
    </row>
    <row r="294" spans="1:16" x14ac:dyDescent="0.25">
      <c r="A294" s="16">
        <v>172780</v>
      </c>
      <c r="B294" s="4">
        <f>INDEX([1]!PREDICT[TRUE PTS],MATCH($A294,[1]!PREDICT[HARD CODE],0))</f>
        <v>5.2698647300006556</v>
      </c>
      <c r="C294" s="7" t="str">
        <f>INDEX([1]!MODEL[POS],MATCH($A294,[1]!MODEL[Code],0))</f>
        <v>MID</v>
      </c>
      <c r="D294" s="7" t="str">
        <f>INDEX([1]!MODEL[TEAM],MATCH($A294,[1]!MODEL[Code],0))</f>
        <v>TOT</v>
      </c>
      <c r="E294" s="7">
        <f>INDEX([1]PREDICT!$M$3:$M$1001,MATCH($A294,[1]PREDICT!$B$3:$B$1001,0))</f>
        <v>6.5</v>
      </c>
      <c r="F294" s="15" t="str">
        <f>INDEX([1]!MODEL[FPL_Name],MATCH($A294,[1]!MODEL[Code],0))</f>
        <v>James Maddison</v>
      </c>
      <c r="G294" s="10">
        <v>0</v>
      </c>
      <c r="H294" s="10">
        <v>0</v>
      </c>
      <c r="I294" s="10">
        <v>0</v>
      </c>
      <c r="J294" s="11">
        <f t="shared" si="21"/>
        <v>0</v>
      </c>
      <c r="K294" s="11">
        <f t="shared" si="22"/>
        <v>0</v>
      </c>
      <c r="L294" s="11">
        <f t="shared" si="23"/>
        <v>0</v>
      </c>
      <c r="M294" s="11">
        <v>0</v>
      </c>
      <c r="N294" s="11">
        <f t="shared" si="24"/>
        <v>0</v>
      </c>
      <c r="P294" s="13">
        <f t="shared" si="25"/>
        <v>0.16214968400002017</v>
      </c>
    </row>
    <row r="295" spans="1:16" x14ac:dyDescent="0.25">
      <c r="A295" s="16">
        <v>606745</v>
      </c>
      <c r="B295" s="4">
        <f>INDEX([1]!PREDICT[TRUE PTS],MATCH($A295,[1]!PREDICT[HARD CODE],0))</f>
        <v>6.4966985429710711</v>
      </c>
      <c r="C295" s="7" t="str">
        <f>INDEX([1]!MODEL[POS],MATCH($A295,[1]!MODEL[Code],0))</f>
        <v>DEF</v>
      </c>
      <c r="D295" s="7" t="str">
        <f>INDEX([1]!MODEL[TEAM],MATCH($A295,[1]!MODEL[Code],0))</f>
        <v>MUN</v>
      </c>
      <c r="E295" s="7">
        <f>INDEX([1]PREDICT!$M$3:$M$1001,MATCH($A295,[1]PREDICT!$B$3:$B$1001,0))</f>
        <v>4.5</v>
      </c>
      <c r="F295" s="15" t="str">
        <f>INDEX([1]!MODEL[FPL_Name],MATCH($A295,[1]!MODEL[Code],0))</f>
        <v>Ayden Heaven</v>
      </c>
      <c r="G295" s="10">
        <v>0</v>
      </c>
      <c r="H295" s="10">
        <v>0</v>
      </c>
      <c r="I295" s="10">
        <v>0</v>
      </c>
      <c r="J295" s="11">
        <f t="shared" si="21"/>
        <v>0</v>
      </c>
      <c r="K295" s="11">
        <f t="shared" si="22"/>
        <v>0</v>
      </c>
      <c r="L295" s="11">
        <f t="shared" si="23"/>
        <v>0</v>
      </c>
      <c r="M295" s="11">
        <v>0</v>
      </c>
      <c r="N295" s="11">
        <f t="shared" si="24"/>
        <v>0</v>
      </c>
      <c r="P295" s="13">
        <f t="shared" si="25"/>
        <v>0.2887421574653809</v>
      </c>
    </row>
    <row r="296" spans="1:16" x14ac:dyDescent="0.25">
      <c r="A296" s="16">
        <v>515621</v>
      </c>
      <c r="B296" s="4">
        <f>INDEX([1]!PREDICT[TRUE PTS],MATCH($A296,[1]!PREDICT[HARD CODE],0))</f>
        <v>5.8615508732285395</v>
      </c>
      <c r="C296" s="7" t="str">
        <f>INDEX([1]!MODEL[POS],MATCH($A296,[1]!MODEL[Code],0))</f>
        <v>DEF</v>
      </c>
      <c r="D296" s="7" t="str">
        <f>INDEX([1]!MODEL[TEAM],MATCH($A296,[1]!MODEL[Code],0))</f>
        <v>CRY</v>
      </c>
      <c r="E296" s="7">
        <f>INDEX([1]PREDICT!$M$3:$M$1001,MATCH($A296,[1]PREDICT!$B$3:$B$1001,0))</f>
        <v>4.5</v>
      </c>
      <c r="F296" s="15" t="str">
        <f>INDEX([1]!MODEL[FPL_Name],MATCH($A296,[1]!MODEL[Code],0))</f>
        <v>Chadi Riad Dnanou</v>
      </c>
      <c r="G296" s="10">
        <v>0</v>
      </c>
      <c r="H296" s="10">
        <v>0</v>
      </c>
      <c r="I296" s="10">
        <v>0</v>
      </c>
      <c r="J296" s="11">
        <f t="shared" si="21"/>
        <v>0</v>
      </c>
      <c r="K296" s="11">
        <f t="shared" si="22"/>
        <v>0</v>
      </c>
      <c r="L296" s="11">
        <f t="shared" si="23"/>
        <v>0</v>
      </c>
      <c r="M296" s="11">
        <v>0</v>
      </c>
      <c r="N296" s="11">
        <f t="shared" si="24"/>
        <v>0</v>
      </c>
      <c r="P296" s="13">
        <f t="shared" si="25"/>
        <v>0.26051337214349063</v>
      </c>
    </row>
    <row r="297" spans="1:16" x14ac:dyDescent="0.25">
      <c r="A297" s="16">
        <v>567119</v>
      </c>
      <c r="B297" s="4">
        <f>INDEX([1]!PREDICT[TRUE PTS],MATCH($A297,[1]!PREDICT[HARD CODE],0))</f>
        <v>4.9533982836118646</v>
      </c>
      <c r="C297" s="7" t="str">
        <f>INDEX([1]!MODEL[POS],MATCH($A297,[1]!MODEL[Code],0))</f>
        <v>FWD</v>
      </c>
      <c r="D297" s="7" t="str">
        <f>INDEX([1]!MODEL[TEAM],MATCH($A297,[1]!MODEL[Code],0))</f>
        <v>CHE</v>
      </c>
      <c r="E297" s="7">
        <f>INDEX([1]PREDICT!$M$3:$M$1001,MATCH($A297,[1]PREDICT!$B$3:$B$1001,0))</f>
        <v>4.5</v>
      </c>
      <c r="F297" s="15" t="str">
        <f>INDEX([1]!MODEL[FPL_Name],MATCH($A297,[1]!MODEL[Code],0))</f>
        <v>Shumaira Mheuka</v>
      </c>
      <c r="G297" s="10">
        <v>0</v>
      </c>
      <c r="H297" s="10">
        <v>0</v>
      </c>
      <c r="I297" s="10">
        <v>0</v>
      </c>
      <c r="J297" s="11">
        <f t="shared" si="21"/>
        <v>0</v>
      </c>
      <c r="K297" s="11">
        <f t="shared" si="22"/>
        <v>0</v>
      </c>
      <c r="L297" s="11">
        <f t="shared" si="23"/>
        <v>0</v>
      </c>
      <c r="M297" s="11">
        <v>0</v>
      </c>
      <c r="N297" s="11">
        <f t="shared" si="24"/>
        <v>0</v>
      </c>
      <c r="P297" s="13">
        <f t="shared" si="25"/>
        <v>0.220151034827194</v>
      </c>
    </row>
    <row r="298" spans="1:16" x14ac:dyDescent="0.25">
      <c r="A298" s="16">
        <v>444884</v>
      </c>
      <c r="B298" s="4">
        <f>INDEX([1]!PREDICT[TRUE PTS],MATCH($A298,[1]!PREDICT[HARD CODE],0))</f>
        <v>4.9313836607603676</v>
      </c>
      <c r="C298" s="7" t="str">
        <f>INDEX([1]!MODEL[POS],MATCH($A298,[1]!MODEL[Code],0))</f>
        <v>MID</v>
      </c>
      <c r="D298" s="7" t="str">
        <f>INDEX([1]!MODEL[TEAM],MATCH($A298,[1]!MODEL[Code],0))</f>
        <v>LIV</v>
      </c>
      <c r="E298" s="7">
        <f>INDEX([1]PREDICT!$M$3:$M$1001,MATCH($A298,[1]PREDICT!$B$3:$B$1001,0))</f>
        <v>5.5</v>
      </c>
      <c r="F298" s="15" t="str">
        <f>INDEX([1]!MODEL[FPL_Name],MATCH($A298,[1]!MODEL[Code],0))</f>
        <v>Harvey Elliott</v>
      </c>
      <c r="G298" s="10">
        <v>0</v>
      </c>
      <c r="H298" s="10">
        <v>0</v>
      </c>
      <c r="I298" s="10">
        <v>0</v>
      </c>
      <c r="J298" s="11">
        <f t="shared" si="21"/>
        <v>0</v>
      </c>
      <c r="K298" s="11">
        <f t="shared" si="22"/>
        <v>0</v>
      </c>
      <c r="L298" s="11">
        <f t="shared" si="23"/>
        <v>0</v>
      </c>
      <c r="M298" s="11">
        <v>0</v>
      </c>
      <c r="N298" s="11">
        <f t="shared" si="24"/>
        <v>0</v>
      </c>
      <c r="P298" s="13">
        <f t="shared" si="25"/>
        <v>0.1793230422094679</v>
      </c>
    </row>
    <row r="299" spans="1:16" x14ac:dyDescent="0.25">
      <c r="A299" s="16">
        <v>609873</v>
      </c>
      <c r="B299" s="4">
        <f>INDEX([1]!PREDICT[TRUE PTS],MATCH($A299,[1]!PREDICT[HARD CODE],0))</f>
        <v>6.7962395947888687</v>
      </c>
      <c r="C299" s="7" t="str">
        <f>INDEX([1]!MODEL[POS],MATCH($A299,[1]!MODEL[Code],0))</f>
        <v>MID</v>
      </c>
      <c r="D299" s="7" t="str">
        <f>INDEX([1]!MODEL[TEAM],MATCH($A299,[1]!MODEL[Code],0))</f>
        <v>EVE</v>
      </c>
      <c r="E299" s="7">
        <f>INDEX([1]PREDICT!$M$3:$M$1001,MATCH($A299,[1]PREDICT!$B$3:$B$1001,0))</f>
        <v>5</v>
      </c>
      <c r="F299" s="15" t="str">
        <f>INDEX([1]!MODEL[FPL_Name],MATCH($A299,[1]!MODEL[Code],0))</f>
        <v>Harrison Armstrong</v>
      </c>
      <c r="G299" s="10">
        <v>0</v>
      </c>
      <c r="H299" s="10">
        <v>0</v>
      </c>
      <c r="I299" s="10">
        <v>0</v>
      </c>
      <c r="J299" s="11">
        <f t="shared" si="21"/>
        <v>0</v>
      </c>
      <c r="K299" s="11">
        <f t="shared" si="22"/>
        <v>0</v>
      </c>
      <c r="L299" s="11">
        <f t="shared" si="23"/>
        <v>0</v>
      </c>
      <c r="M299" s="11">
        <v>0</v>
      </c>
      <c r="N299" s="11">
        <f t="shared" si="24"/>
        <v>0</v>
      </c>
      <c r="P299" s="13">
        <f t="shared" si="25"/>
        <v>0.27184958379155477</v>
      </c>
    </row>
    <row r="300" spans="1:16" x14ac:dyDescent="0.25">
      <c r="A300" s="16">
        <v>477064</v>
      </c>
      <c r="B300" s="4">
        <f>INDEX([1]!PREDICT[TRUE PTS],MATCH($A300,[1]!PREDICT[HARD CODE],0))</f>
        <v>4.7846182867386844</v>
      </c>
      <c r="C300" s="7" t="str">
        <f>INDEX([1]!MODEL[POS],MATCH($A300,[1]!MODEL[Code],0))</f>
        <v>DEF</v>
      </c>
      <c r="D300" s="7" t="str">
        <f>INDEX([1]!MODEL[TEAM],MATCH($A300,[1]!MODEL[Code],0))</f>
        <v>MCI</v>
      </c>
      <c r="E300" s="7">
        <f>INDEX([1]PREDICT!$M$3:$M$1001,MATCH($A300,[1]PREDICT!$B$3:$B$1001,0))</f>
        <v>4.5</v>
      </c>
      <c r="F300" s="15" t="str">
        <f>INDEX([1]!MODEL[FPL_Name],MATCH($A300,[1]!MODEL[Code],0))</f>
        <v>Rico Lewis</v>
      </c>
      <c r="G300" s="10">
        <v>0</v>
      </c>
      <c r="H300" s="10">
        <v>0</v>
      </c>
      <c r="I300" s="10">
        <v>0</v>
      </c>
      <c r="J300" s="11">
        <f t="shared" si="21"/>
        <v>0</v>
      </c>
      <c r="K300" s="11">
        <f t="shared" si="22"/>
        <v>0</v>
      </c>
      <c r="L300" s="11">
        <f t="shared" si="23"/>
        <v>0</v>
      </c>
      <c r="M300" s="11">
        <v>0</v>
      </c>
      <c r="N300" s="11">
        <f t="shared" si="24"/>
        <v>0</v>
      </c>
      <c r="P300" s="13">
        <f t="shared" si="25"/>
        <v>0.21264970163283042</v>
      </c>
    </row>
    <row r="301" spans="1:16" x14ac:dyDescent="0.25">
      <c r="A301" s="16">
        <v>510663</v>
      </c>
      <c r="B301" s="4">
        <f>INDEX([1]!PREDICT[TRUE PTS],MATCH($A301,[1]!PREDICT[HARD CODE],0))</f>
        <v>4.7495977814047503</v>
      </c>
      <c r="C301" s="7" t="str">
        <f>INDEX([1]!MODEL[POS],MATCH($A301,[1]!MODEL[Code],0))</f>
        <v>FWD</v>
      </c>
      <c r="D301" s="7" t="str">
        <f>INDEX([1]!MODEL[TEAM],MATCH($A301,[1]!MODEL[Code],0))</f>
        <v>LIV</v>
      </c>
      <c r="E301" s="7">
        <f>INDEX([1]PREDICT!$M$3:$M$1001,MATCH($A301,[1]PREDICT!$B$3:$B$1001,0))</f>
        <v>7.5</v>
      </c>
      <c r="F301" s="15" t="str">
        <f>INDEX([1]!MODEL[FPL_Name],MATCH($A301,[1]!MODEL[Code],0))</f>
        <v>Hugo Ekitiké</v>
      </c>
      <c r="G301" s="10">
        <v>0</v>
      </c>
      <c r="H301" s="10">
        <v>0</v>
      </c>
      <c r="I301" s="10">
        <v>0</v>
      </c>
      <c r="J301" s="11">
        <f t="shared" si="21"/>
        <v>0</v>
      </c>
      <c r="K301" s="11">
        <f t="shared" si="22"/>
        <v>0</v>
      </c>
      <c r="L301" s="11">
        <f t="shared" si="23"/>
        <v>0</v>
      </c>
      <c r="M301" s="11">
        <v>0</v>
      </c>
      <c r="N301" s="11">
        <f t="shared" si="24"/>
        <v>0</v>
      </c>
      <c r="P301" s="13">
        <f t="shared" si="25"/>
        <v>0.12665594083746001</v>
      </c>
    </row>
    <row r="302" spans="1:16" x14ac:dyDescent="0.25">
      <c r="A302" s="16">
        <v>577016</v>
      </c>
      <c r="B302" s="4">
        <f>INDEX([1]!PREDICT[TRUE PTS],MATCH($A302,[1]!PREDICT[HARD CODE],0))</f>
        <v>5.4183197628504027</v>
      </c>
      <c r="C302" s="7" t="str">
        <f>INDEX([1]!MODEL[POS],MATCH($A302,[1]!MODEL[Code],0))</f>
        <v>DEF</v>
      </c>
      <c r="D302" s="7" t="str">
        <f>INDEX([1]!MODEL[TEAM],MATCH($A302,[1]!MODEL[Code],0))</f>
        <v>CHE</v>
      </c>
      <c r="E302" s="7">
        <f>INDEX([1]PREDICT!$M$3:$M$1001,MATCH($A302,[1]PREDICT!$B$3:$B$1001,0))</f>
        <v>4.5</v>
      </c>
      <c r="F302" s="15" t="str">
        <f>INDEX([1]!MODEL[FPL_Name],MATCH($A302,[1]!MODEL[Code],0))</f>
        <v>Josh Acheampong</v>
      </c>
      <c r="G302" s="10">
        <v>0</v>
      </c>
      <c r="H302" s="10">
        <v>0</v>
      </c>
      <c r="I302" s="10">
        <v>0</v>
      </c>
      <c r="J302" s="11">
        <f t="shared" si="21"/>
        <v>0</v>
      </c>
      <c r="K302" s="11">
        <f t="shared" si="22"/>
        <v>0</v>
      </c>
      <c r="L302" s="11">
        <f t="shared" si="23"/>
        <v>0</v>
      </c>
      <c r="M302" s="11">
        <v>0</v>
      </c>
      <c r="N302" s="11">
        <f t="shared" si="24"/>
        <v>0</v>
      </c>
      <c r="P302" s="13">
        <f t="shared" si="25"/>
        <v>0.24081421168224013</v>
      </c>
    </row>
    <row r="303" spans="1:16" x14ac:dyDescent="0.25">
      <c r="A303" s="16">
        <v>204120</v>
      </c>
      <c r="B303" s="4">
        <f>INDEX([1]!PREDICT[TRUE PTS],MATCH($A303,[1]!PREDICT[HARD CODE],0))</f>
        <v>4.5791111633616364</v>
      </c>
      <c r="C303" s="7" t="str">
        <f>INDEX([1]!MODEL[POS],MATCH($A303,[1]!MODEL[Code],0))</f>
        <v>DEF</v>
      </c>
      <c r="D303" s="7" t="str">
        <f>INDEX([1]!MODEL[TEAM],MATCH($A303,[1]!MODEL[Code],0))</f>
        <v>BHA</v>
      </c>
      <c r="E303" s="7">
        <f>INDEX([1]PREDICT!$M$3:$M$1001,MATCH($A303,[1]PREDICT!$B$3:$B$1001,0))</f>
        <v>4.5</v>
      </c>
      <c r="F303" s="15" t="str">
        <f>INDEX([1]!MODEL[FPL_Name],MATCH($A303,[1]!MODEL[Code],0))</f>
        <v>Olivier Boscagli</v>
      </c>
      <c r="G303" s="10">
        <v>0</v>
      </c>
      <c r="H303" s="10">
        <v>0</v>
      </c>
      <c r="I303" s="10">
        <v>0</v>
      </c>
      <c r="J303" s="11">
        <f t="shared" si="21"/>
        <v>0</v>
      </c>
      <c r="K303" s="11">
        <f t="shared" si="22"/>
        <v>0</v>
      </c>
      <c r="L303" s="11">
        <f t="shared" si="23"/>
        <v>0</v>
      </c>
      <c r="M303" s="11">
        <v>0</v>
      </c>
      <c r="N303" s="11">
        <f t="shared" si="24"/>
        <v>0</v>
      </c>
      <c r="P303" s="13">
        <f t="shared" si="25"/>
        <v>0.20351605170496162</v>
      </c>
    </row>
    <row r="304" spans="1:16" x14ac:dyDescent="0.25">
      <c r="A304" s="16">
        <v>465680</v>
      </c>
      <c r="B304" s="4">
        <f>INDEX([1]!PREDICT[TRUE PTS],MATCH($A304,[1]!PREDICT[HARD CODE],0))</f>
        <v>4.4483989168162159</v>
      </c>
      <c r="C304" s="7" t="str">
        <f>INDEX([1]!MODEL[POS],MATCH($A304,[1]!MODEL[Code],0))</f>
        <v>FWD</v>
      </c>
      <c r="D304" s="7" t="str">
        <f>INDEX([1]!MODEL[TEAM],MATCH($A304,[1]!MODEL[Code],0))</f>
        <v>NFO</v>
      </c>
      <c r="E304" s="7">
        <f>INDEX([1]PREDICT!$M$3:$M$1001,MATCH($A304,[1]PREDICT!$B$3:$B$1001,0))</f>
        <v>5.5</v>
      </c>
      <c r="F304" s="15" t="str">
        <f>INDEX([1]!MODEL[FPL_Name],MATCH($A304,[1]!MODEL[Code],0))</f>
        <v>Arnaud Kalimuendo</v>
      </c>
      <c r="G304" s="10">
        <v>0</v>
      </c>
      <c r="H304" s="10">
        <v>0</v>
      </c>
      <c r="I304" s="10">
        <v>0</v>
      </c>
      <c r="J304" s="11">
        <f t="shared" si="21"/>
        <v>0</v>
      </c>
      <c r="K304" s="11">
        <f t="shared" si="22"/>
        <v>0</v>
      </c>
      <c r="L304" s="11">
        <f t="shared" si="23"/>
        <v>0</v>
      </c>
      <c r="M304" s="11">
        <v>0</v>
      </c>
      <c r="N304" s="11">
        <f t="shared" si="24"/>
        <v>0</v>
      </c>
      <c r="P304" s="13">
        <f t="shared" si="25"/>
        <v>0.16175996061149875</v>
      </c>
    </row>
    <row r="305" spans="1:16" x14ac:dyDescent="0.25">
      <c r="A305" s="16">
        <v>437738</v>
      </c>
      <c r="B305" s="4">
        <f>INDEX([1]!PREDICT[TRUE PTS],MATCH($A305,[1]!PREDICT[HARD CODE],0))</f>
        <v>4.1918509105262611</v>
      </c>
      <c r="C305" s="7" t="str">
        <f>INDEX([1]!MODEL[POS],MATCH($A305,[1]!MODEL[Code],0))</f>
        <v>DEF</v>
      </c>
      <c r="D305" s="7" t="str">
        <f>INDEX([1]!MODEL[TEAM],MATCH($A305,[1]!MODEL[Code],0))</f>
        <v>LEE</v>
      </c>
      <c r="E305" s="7">
        <f>INDEX([1]PREDICT!$M$3:$M$1001,MATCH($A305,[1]PREDICT!$B$3:$B$1001,0))</f>
        <v>4.5</v>
      </c>
      <c r="F305" s="15" t="str">
        <f>INDEX([1]!MODEL[FPL_Name],MATCH($A305,[1]!MODEL[Code],0))</f>
        <v>Sebastiaan Bornauw</v>
      </c>
      <c r="G305" s="10">
        <v>0</v>
      </c>
      <c r="H305" s="10">
        <v>0</v>
      </c>
      <c r="I305" s="10">
        <v>0</v>
      </c>
      <c r="J305" s="11">
        <f t="shared" si="21"/>
        <v>0</v>
      </c>
      <c r="K305" s="11">
        <f t="shared" si="22"/>
        <v>0</v>
      </c>
      <c r="L305" s="11">
        <f t="shared" si="23"/>
        <v>0</v>
      </c>
      <c r="M305" s="11">
        <v>0</v>
      </c>
      <c r="N305" s="11">
        <f t="shared" si="24"/>
        <v>0</v>
      </c>
      <c r="P305" s="13">
        <f t="shared" si="25"/>
        <v>0.18630448491227827</v>
      </c>
    </row>
    <row r="306" spans="1:16" x14ac:dyDescent="0.25">
      <c r="A306" s="16">
        <v>200641</v>
      </c>
      <c r="B306" s="4">
        <f>INDEX([1]!PREDICT[TRUE PTS],MATCH($A306,[1]!PREDICT[HARD CODE],0))</f>
        <v>4.1672614087604973</v>
      </c>
      <c r="C306" s="7" t="str">
        <f>INDEX([1]!MODEL[POS],MATCH($A306,[1]!MODEL[Code],0))</f>
        <v>MID</v>
      </c>
      <c r="D306" s="7" t="str">
        <f>INDEX([1]!MODEL[TEAM],MATCH($A306,[1]!MODEL[Code],0))</f>
        <v>ARS</v>
      </c>
      <c r="E306" s="7">
        <f>INDEX([1]PREDICT!$M$3:$M$1001,MATCH($A306,[1]PREDICT!$B$3:$B$1001,0))</f>
        <v>5.5</v>
      </c>
      <c r="F306" s="15" t="str">
        <f>INDEX([1]!MODEL[FPL_Name],MATCH($A306,[1]!MODEL[Code],0))</f>
        <v>Reiss Nelson</v>
      </c>
      <c r="G306" s="10">
        <v>0</v>
      </c>
      <c r="H306" s="10">
        <v>0</v>
      </c>
      <c r="I306" s="10">
        <v>0</v>
      </c>
      <c r="J306" s="11">
        <f t="shared" si="21"/>
        <v>0</v>
      </c>
      <c r="K306" s="11">
        <f t="shared" si="22"/>
        <v>0</v>
      </c>
      <c r="L306" s="11">
        <f t="shared" si="23"/>
        <v>0</v>
      </c>
      <c r="M306" s="11">
        <v>0</v>
      </c>
      <c r="N306" s="11">
        <f t="shared" si="24"/>
        <v>0</v>
      </c>
      <c r="P306" s="13">
        <f t="shared" si="25"/>
        <v>0.15153677850038172</v>
      </c>
    </row>
    <row r="307" spans="1:16" x14ac:dyDescent="0.25">
      <c r="A307" s="16">
        <v>231899</v>
      </c>
      <c r="B307" s="4">
        <f>INDEX([1]!PREDICT[TRUE PTS],MATCH($A307,[1]!PREDICT[HARD CODE],0))</f>
        <v>0.47808049093578836</v>
      </c>
      <c r="C307" s="7" t="str">
        <f>INDEX([1]!MODEL[POS],MATCH($A307,[1]!MODEL[Code],0))</f>
        <v>MID</v>
      </c>
      <c r="D307" s="7" t="str">
        <f>INDEX([1]!MODEL[TEAM],MATCH($A307,[1]!MODEL[Code],0))</f>
        <v>IPS</v>
      </c>
      <c r="E307" s="7">
        <f>INDEX([1]PREDICT!$M$3:$M$1001,MATCH($A307,[1]PREDICT!$B$3:$B$1001,0))</f>
        <v>4.5</v>
      </c>
      <c r="F307" s="15" t="str">
        <f>INDEX([1]!MODEL[FPL_Name],MATCH($A307,[1]!MODEL[Code],0))</f>
        <v>Jack Taylor</v>
      </c>
      <c r="G307" s="10">
        <v>0</v>
      </c>
      <c r="H307" s="10">
        <v>0</v>
      </c>
      <c r="I307" s="10">
        <v>0</v>
      </c>
      <c r="J307" s="11">
        <f t="shared" si="21"/>
        <v>0</v>
      </c>
      <c r="K307" s="11">
        <f t="shared" si="22"/>
        <v>0</v>
      </c>
      <c r="L307" s="11">
        <f t="shared" si="23"/>
        <v>0</v>
      </c>
      <c r="M307" s="11">
        <v>0</v>
      </c>
      <c r="N307" s="11">
        <f t="shared" si="24"/>
        <v>0</v>
      </c>
      <c r="P307" s="13">
        <f t="shared" si="25"/>
        <v>2.1248021819368371E-2</v>
      </c>
    </row>
    <row r="308" spans="1:16" x14ac:dyDescent="0.25">
      <c r="A308" s="16">
        <v>115556</v>
      </c>
      <c r="B308" s="4">
        <f>INDEX([1]!PREDICT[TRUE PTS],MATCH($A308,[1]!PREDICT[HARD CODE],0))</f>
        <v>4.0760515355513665</v>
      </c>
      <c r="C308" s="7" t="str">
        <f>INDEX([1]!MODEL[POS],MATCH($A308,[1]!MODEL[Code],0))</f>
        <v>DEF</v>
      </c>
      <c r="D308" s="7" t="str">
        <f>INDEX([1]!MODEL[TEAM],MATCH($A308,[1]!MODEL[Code],0))</f>
        <v>TOT</v>
      </c>
      <c r="E308" s="7">
        <f>INDEX([1]PREDICT!$M$3:$M$1001,MATCH($A308,[1]PREDICT!$B$3:$B$1001,0))</f>
        <v>4</v>
      </c>
      <c r="F308" s="15" t="str">
        <f>INDEX([1]!MODEL[FPL_Name],MATCH($A308,[1]!MODEL[Code],0))</f>
        <v>Ben Davies</v>
      </c>
      <c r="G308" s="10">
        <v>0</v>
      </c>
      <c r="H308" s="10">
        <v>0</v>
      </c>
      <c r="I308" s="10">
        <v>0</v>
      </c>
      <c r="J308" s="11">
        <f t="shared" si="21"/>
        <v>0</v>
      </c>
      <c r="K308" s="11">
        <f t="shared" si="22"/>
        <v>0</v>
      </c>
      <c r="L308" s="11">
        <f t="shared" si="23"/>
        <v>0</v>
      </c>
      <c r="M308" s="11">
        <v>0</v>
      </c>
      <c r="N308" s="11">
        <f t="shared" si="24"/>
        <v>0</v>
      </c>
      <c r="P308" s="13">
        <f t="shared" si="25"/>
        <v>0.20380257677756833</v>
      </c>
    </row>
    <row r="309" spans="1:16" x14ac:dyDescent="0.25">
      <c r="A309" s="16">
        <v>183656</v>
      </c>
      <c r="B309" s="4">
        <f>INDEX([1]!PREDICT[TRUE PTS],MATCH($A309,[1]!PREDICT[HARD CODE],0))</f>
        <v>4.0581573688052632</v>
      </c>
      <c r="C309" s="7" t="str">
        <f>INDEX([1]!MODEL[POS],MATCH($A309,[1]!MODEL[Code],0))</f>
        <v>MID</v>
      </c>
      <c r="D309" s="7" t="str">
        <f>INDEX([1]!MODEL[TEAM],MATCH($A309,[1]!MODEL[Code],0))</f>
        <v>BRE</v>
      </c>
      <c r="E309" s="7">
        <f>INDEX([1]PREDICT!$M$3:$M$1001,MATCH($A309,[1]PREDICT!$B$3:$B$1001,0))</f>
        <v>5</v>
      </c>
      <c r="F309" s="15" t="str">
        <f>INDEX([1]!MODEL[FPL_Name],MATCH($A309,[1]!MODEL[Code],0))</f>
        <v>Josh Dasilva</v>
      </c>
      <c r="G309" s="10">
        <v>0</v>
      </c>
      <c r="H309" s="10">
        <v>0</v>
      </c>
      <c r="I309" s="10">
        <v>0</v>
      </c>
      <c r="J309" s="11">
        <f t="shared" si="21"/>
        <v>0</v>
      </c>
      <c r="K309" s="11">
        <f t="shared" si="22"/>
        <v>0</v>
      </c>
      <c r="L309" s="11">
        <f t="shared" si="23"/>
        <v>0</v>
      </c>
      <c r="M309" s="11">
        <v>0</v>
      </c>
      <c r="N309" s="11">
        <f t="shared" si="24"/>
        <v>0</v>
      </c>
      <c r="P309" s="13">
        <f t="shared" si="25"/>
        <v>0.16232629475221053</v>
      </c>
    </row>
    <row r="310" spans="1:16" x14ac:dyDescent="0.25">
      <c r="A310" s="16">
        <v>647850</v>
      </c>
      <c r="B310" s="4">
        <f>INDEX([1]!PREDICT[TRUE PTS],MATCH($A310,[1]!PREDICT[HARD CODE],0))</f>
        <v>6.6805649028225478</v>
      </c>
      <c r="C310" s="7" t="str">
        <f>INDEX([1]!MODEL[POS],MATCH($A310,[1]!MODEL[Code],0))</f>
        <v>FWD</v>
      </c>
      <c r="D310" s="7" t="str">
        <f>INDEX([1]!MODEL[TEAM],MATCH($A310,[1]!MODEL[Code],0))</f>
        <v>BHA</v>
      </c>
      <c r="E310" s="7">
        <f>INDEX([1]PREDICT!$M$3:$M$1001,MATCH($A310,[1]PREDICT!$B$3:$B$1001,0))</f>
        <v>5.5</v>
      </c>
      <c r="F310" s="15" t="str">
        <f>INDEX([1]!MODEL[FPL_Name],MATCH($A310,[1]!MODEL[Code],0))</f>
        <v>Charalampos Kostoulas</v>
      </c>
      <c r="G310" s="10">
        <v>0</v>
      </c>
      <c r="H310" s="10">
        <v>0</v>
      </c>
      <c r="I310" s="10">
        <v>0</v>
      </c>
      <c r="J310" s="11">
        <f t="shared" si="21"/>
        <v>0</v>
      </c>
      <c r="K310" s="11">
        <f t="shared" si="22"/>
        <v>0</v>
      </c>
      <c r="L310" s="11">
        <f t="shared" si="23"/>
        <v>0</v>
      </c>
      <c r="M310" s="11">
        <v>0</v>
      </c>
      <c r="N310" s="11">
        <f t="shared" si="24"/>
        <v>0</v>
      </c>
      <c r="P310" s="13">
        <f t="shared" si="25"/>
        <v>0.24292963282991081</v>
      </c>
    </row>
    <row r="311" spans="1:16" x14ac:dyDescent="0.25">
      <c r="A311" s="16">
        <v>221389</v>
      </c>
      <c r="B311" s="4">
        <f>INDEX([1]!PREDICT[TRUE PTS],MATCH($A311,[1]!PREDICT[HARD CODE],0))</f>
        <v>4.0420769644198753</v>
      </c>
      <c r="C311" s="7" t="str">
        <f>INDEX([1]!MODEL[POS],MATCH($A311,[1]!MODEL[Code],0))</f>
        <v>GK</v>
      </c>
      <c r="D311" s="7" t="str">
        <f>INDEX([1]!MODEL[TEAM],MATCH($A311,[1]!MODEL[Code],0))</f>
        <v>NFO</v>
      </c>
      <c r="E311" s="7">
        <f>INDEX([1]PREDICT!$M$3:$M$1001,MATCH($A311,[1]PREDICT!$B$3:$B$1001,0))</f>
        <v>4.5</v>
      </c>
      <c r="F311" s="15" t="str">
        <f>INDEX([1]!MODEL[FPL_Name],MATCH($A311,[1]!MODEL[Code],0))</f>
        <v>John Victor Maciel Furtado</v>
      </c>
      <c r="G311" s="10">
        <v>0</v>
      </c>
      <c r="H311" s="10">
        <v>0</v>
      </c>
      <c r="I311" s="10">
        <v>0</v>
      </c>
      <c r="J311" s="11">
        <f t="shared" si="21"/>
        <v>0</v>
      </c>
      <c r="K311" s="11">
        <f t="shared" si="22"/>
        <v>0</v>
      </c>
      <c r="L311" s="11">
        <f t="shared" si="23"/>
        <v>0</v>
      </c>
      <c r="M311" s="11">
        <v>0</v>
      </c>
      <c r="N311" s="11">
        <f t="shared" si="24"/>
        <v>0</v>
      </c>
      <c r="P311" s="13">
        <f t="shared" si="25"/>
        <v>0.17964786508532779</v>
      </c>
    </row>
    <row r="312" spans="1:16" x14ac:dyDescent="0.25">
      <c r="A312" s="16">
        <v>515046</v>
      </c>
      <c r="B312" s="4">
        <f>INDEX([1]!PREDICT[TRUE PTS],MATCH($A312,[1]!PREDICT[HARD CODE],0))</f>
        <v>4.0296698155308839</v>
      </c>
      <c r="C312" s="7" t="str">
        <f>INDEX([1]!MODEL[POS],MATCH($A312,[1]!MODEL[Code],0))</f>
        <v>GK</v>
      </c>
      <c r="D312" s="7" t="str">
        <f>INDEX([1]!MODEL[TEAM],MATCH($A312,[1]!MODEL[Code],0))</f>
        <v>SUN</v>
      </c>
      <c r="E312" s="7">
        <f>INDEX([1]PREDICT!$M$3:$M$1001,MATCH($A312,[1]PREDICT!$B$3:$B$1001,0))</f>
        <v>4.5</v>
      </c>
      <c r="F312" s="15" t="str">
        <f>INDEX([1]!MODEL[FPL_Name],MATCH($A312,[1]!MODEL[Code],0))</f>
        <v>Melker Ellborg</v>
      </c>
      <c r="G312" s="10">
        <v>0</v>
      </c>
      <c r="H312" s="10">
        <v>0</v>
      </c>
      <c r="I312" s="10">
        <v>0</v>
      </c>
      <c r="J312" s="11">
        <f t="shared" si="21"/>
        <v>0</v>
      </c>
      <c r="K312" s="11">
        <f t="shared" si="22"/>
        <v>0</v>
      </c>
      <c r="L312" s="11">
        <f t="shared" si="23"/>
        <v>0</v>
      </c>
      <c r="M312" s="11">
        <v>0</v>
      </c>
      <c r="N312" s="11">
        <f t="shared" si="24"/>
        <v>0</v>
      </c>
      <c r="P312" s="13">
        <f t="shared" si="25"/>
        <v>0.17909643624581706</v>
      </c>
    </row>
    <row r="313" spans="1:16" x14ac:dyDescent="0.25">
      <c r="A313" s="16">
        <v>611922</v>
      </c>
      <c r="B313" s="4">
        <f>INDEX([1]!PREDICT[TRUE PTS],MATCH($A313,[1]!PREDICT[HARD CODE],0))</f>
        <v>6.7306400133260436</v>
      </c>
      <c r="C313" s="7" t="str">
        <f>INDEX([1]!MODEL[POS],MATCH($A313,[1]!MODEL[Code],0))</f>
        <v>MID</v>
      </c>
      <c r="D313" s="7" t="str">
        <f>INDEX([1]!MODEL[TEAM],MATCH($A313,[1]!MODEL[Code],0))</f>
        <v>LIV</v>
      </c>
      <c r="E313" s="7">
        <f>INDEX([1]PREDICT!$M$3:$M$1001,MATCH($A313,[1]PREDICT!$B$3:$B$1001,0))</f>
        <v>6</v>
      </c>
      <c r="F313" s="15" t="str">
        <f>INDEX([1]!MODEL[FPL_Name],MATCH($A313,[1]!MODEL[Code],0))</f>
        <v>Rio Ngumoha</v>
      </c>
      <c r="G313" s="10">
        <v>0</v>
      </c>
      <c r="H313" s="10">
        <v>0</v>
      </c>
      <c r="I313" s="10">
        <v>0</v>
      </c>
      <c r="J313" s="11">
        <f t="shared" si="21"/>
        <v>0</v>
      </c>
      <c r="K313" s="11">
        <f t="shared" si="22"/>
        <v>0</v>
      </c>
      <c r="L313" s="11">
        <f t="shared" si="23"/>
        <v>0</v>
      </c>
      <c r="M313" s="11">
        <v>0</v>
      </c>
      <c r="N313" s="11">
        <f t="shared" si="24"/>
        <v>0</v>
      </c>
      <c r="P313" s="13">
        <f t="shared" si="25"/>
        <v>0.22435466711086813</v>
      </c>
    </row>
    <row r="314" spans="1:16" x14ac:dyDescent="0.25">
      <c r="A314" s="16">
        <v>173878</v>
      </c>
      <c r="B314" s="4">
        <f>INDEX([1]!PREDICT[TRUE PTS],MATCH($A314,[1]!PREDICT[HARD CODE],0))</f>
        <v>13.007667368355284</v>
      </c>
      <c r="C314" s="7" t="str">
        <f>INDEX([1]!MODEL[POS],MATCH($A314,[1]!MODEL[Code],0))</f>
        <v>DEF</v>
      </c>
      <c r="D314" s="7" t="str">
        <f>INDEX([1]!MODEL[TEAM],MATCH($A314,[1]!MODEL[Code],0))</f>
        <v>COV</v>
      </c>
      <c r="E314" s="7">
        <f>INDEX([1]PREDICT!$M$3:$M$1001,MATCH($A314,[1]PREDICT!$B$3:$B$1001,0))</f>
        <v>4</v>
      </c>
      <c r="F314" s="15" t="str">
        <f>INDEX([1]!MODEL[FPL_Name],MATCH($A314,[1]!MODEL[Code],0))</f>
        <v>Jay Dasilva</v>
      </c>
      <c r="G314" s="10">
        <v>0</v>
      </c>
      <c r="H314" s="10">
        <v>0</v>
      </c>
      <c r="I314" s="10">
        <v>0</v>
      </c>
      <c r="J314" s="11">
        <f t="shared" si="21"/>
        <v>0</v>
      </c>
      <c r="K314" s="11">
        <f t="shared" si="22"/>
        <v>0</v>
      </c>
      <c r="L314" s="11">
        <f t="shared" si="23"/>
        <v>0</v>
      </c>
      <c r="M314" s="11">
        <v>0</v>
      </c>
      <c r="N314" s="11">
        <f t="shared" si="24"/>
        <v>0</v>
      </c>
      <c r="P314" s="13">
        <f t="shared" si="25"/>
        <v>0.65038336841776423</v>
      </c>
    </row>
    <row r="315" spans="1:16" x14ac:dyDescent="0.25">
      <c r="A315" s="16">
        <v>551210</v>
      </c>
      <c r="B315" s="4">
        <f>INDEX([1]!PREDICT[TRUE PTS],MATCH($A315,[1]!PREDICT[HARD CODE],0))</f>
        <v>5.9200316048258088</v>
      </c>
      <c r="C315" s="7" t="str">
        <f>INDEX([1]!MODEL[POS],MATCH($A315,[1]!MODEL[Code],0))</f>
        <v>DEF</v>
      </c>
      <c r="D315" s="7" t="str">
        <f>INDEX([1]!MODEL[TEAM],MATCH($A315,[1]!MODEL[Code],0))</f>
        <v>CHE</v>
      </c>
      <c r="E315" s="7">
        <f>INDEX([1]PREDICT!$M$3:$M$1001,MATCH($A315,[1]PREDICT!$B$3:$B$1001,0))</f>
        <v>4.5</v>
      </c>
      <c r="F315" s="15" t="str">
        <f>INDEX([1]!MODEL[FPL_Name],MATCH($A315,[1]!MODEL[Code],0))</f>
        <v>Jorrel Hato</v>
      </c>
      <c r="G315" s="10">
        <v>0</v>
      </c>
      <c r="H315" s="10">
        <v>0</v>
      </c>
      <c r="I315" s="10">
        <v>0</v>
      </c>
      <c r="J315" s="11">
        <f t="shared" si="21"/>
        <v>0</v>
      </c>
      <c r="K315" s="11">
        <f t="shared" si="22"/>
        <v>0</v>
      </c>
      <c r="L315" s="11">
        <f t="shared" si="23"/>
        <v>0</v>
      </c>
      <c r="M315" s="11">
        <v>0</v>
      </c>
      <c r="N315" s="11">
        <f t="shared" si="24"/>
        <v>0</v>
      </c>
      <c r="P315" s="13">
        <f t="shared" si="25"/>
        <v>0.26311251577003592</v>
      </c>
    </row>
    <row r="316" spans="1:16" x14ac:dyDescent="0.25">
      <c r="A316" s="16">
        <v>432714</v>
      </c>
      <c r="B316" s="4">
        <f>INDEX([1]!PREDICT[TRUE PTS],MATCH($A316,[1]!PREDICT[HARD CODE],0))</f>
        <v>3.8429722983473127</v>
      </c>
      <c r="C316" s="7" t="str">
        <f>INDEX([1]!MODEL[POS],MATCH($A316,[1]!MODEL[Code],0))</f>
        <v>MID</v>
      </c>
      <c r="D316" s="7" t="str">
        <f>INDEX([1]!MODEL[TEAM],MATCH($A316,[1]!MODEL[Code],0))</f>
        <v>NFO</v>
      </c>
      <c r="E316" s="7">
        <f>INDEX([1]PREDICT!$M$3:$M$1001,MATCH($A316,[1]PREDICT!$B$3:$B$1001,0))</f>
        <v>5.5</v>
      </c>
      <c r="F316" s="15" t="str">
        <f>INDEX([1]!MODEL[FPL_Name],MATCH($A316,[1]!MODEL[Code],0))</f>
        <v>James McAtee</v>
      </c>
      <c r="G316" s="10">
        <v>0</v>
      </c>
      <c r="H316" s="10">
        <v>0</v>
      </c>
      <c r="I316" s="10">
        <v>0</v>
      </c>
      <c r="J316" s="11">
        <f t="shared" si="21"/>
        <v>0</v>
      </c>
      <c r="K316" s="11">
        <f t="shared" si="22"/>
        <v>0</v>
      </c>
      <c r="L316" s="11">
        <f t="shared" si="23"/>
        <v>0</v>
      </c>
      <c r="M316" s="11">
        <v>0</v>
      </c>
      <c r="N316" s="11">
        <f t="shared" si="24"/>
        <v>0</v>
      </c>
      <c r="P316" s="13">
        <f t="shared" si="25"/>
        <v>0.13974444721262955</v>
      </c>
    </row>
    <row r="317" spans="1:16" x14ac:dyDescent="0.25">
      <c r="A317" s="16">
        <v>608181</v>
      </c>
      <c r="B317" s="4">
        <f>INDEX([1]!PREDICT[TRUE PTS],MATCH($A317,[1]!PREDICT[HARD CODE],0))</f>
        <v>4.8112074973947578</v>
      </c>
      <c r="C317" s="7" t="str">
        <f>INDEX([1]!MODEL[POS],MATCH($A317,[1]!MODEL[Code],0))</f>
        <v>FWD</v>
      </c>
      <c r="D317" s="7" t="str">
        <f>INDEX([1]!MODEL[TEAM],MATCH($A317,[1]!MODEL[Code],0))</f>
        <v>BHA</v>
      </c>
      <c r="E317" s="7">
        <f>INDEX([1]PREDICT!$M$3:$M$1001,MATCH($A317,[1]PREDICT!$B$3:$B$1001,0))</f>
        <v>5.5</v>
      </c>
      <c r="F317" s="15" t="str">
        <f>INDEX([1]!MODEL[FPL_Name],MATCH($A317,[1]!MODEL[Code],0))</f>
        <v>Stefanos Tzimas</v>
      </c>
      <c r="G317" s="10">
        <v>0</v>
      </c>
      <c r="H317" s="10">
        <v>0</v>
      </c>
      <c r="I317" s="10">
        <v>0</v>
      </c>
      <c r="J317" s="11">
        <f t="shared" si="21"/>
        <v>0</v>
      </c>
      <c r="K317" s="11">
        <f t="shared" si="22"/>
        <v>0</v>
      </c>
      <c r="L317" s="11">
        <f t="shared" si="23"/>
        <v>0</v>
      </c>
      <c r="M317" s="11">
        <v>0</v>
      </c>
      <c r="N317" s="11">
        <f t="shared" si="24"/>
        <v>0</v>
      </c>
      <c r="P317" s="13">
        <f t="shared" si="25"/>
        <v>0.17495299990526392</v>
      </c>
    </row>
    <row r="318" spans="1:16" x14ac:dyDescent="0.25">
      <c r="A318" s="16">
        <v>147675</v>
      </c>
      <c r="B318" s="4">
        <f>INDEX([1]!PREDICT[TRUE PTS],MATCH($A318,[1]!PREDICT[HARD CODE],0))</f>
        <v>5.6511417755021167</v>
      </c>
      <c r="C318" s="7" t="str">
        <f>INDEX([1]!MODEL[POS],MATCH($A318,[1]!MODEL[Code],0))</f>
        <v>FWD</v>
      </c>
      <c r="D318" s="7" t="str">
        <f>INDEX([1]!MODEL[TEAM],MATCH($A318,[1]!MODEL[Code],0))</f>
        <v>IPS</v>
      </c>
      <c r="E318" s="7">
        <f>INDEX([1]PREDICT!$M$3:$M$1001,MATCH($A318,[1]PREDICT!$B$3:$B$1001,0))</f>
        <v>5</v>
      </c>
      <c r="F318" s="15" t="str">
        <f>INDEX([1]!MODEL[FPL_Name],MATCH($A318,[1]!MODEL[Code],0))</f>
        <v>Chuba Akpom</v>
      </c>
      <c r="G318" s="10">
        <v>0</v>
      </c>
      <c r="H318" s="10">
        <v>0</v>
      </c>
      <c r="I318" s="10">
        <v>0</v>
      </c>
      <c r="J318" s="11">
        <f t="shared" si="21"/>
        <v>0</v>
      </c>
      <c r="K318" s="11">
        <f t="shared" si="22"/>
        <v>0</v>
      </c>
      <c r="L318" s="11">
        <f t="shared" si="23"/>
        <v>0</v>
      </c>
      <c r="M318" s="11">
        <v>0</v>
      </c>
      <c r="N318" s="11">
        <f t="shared" si="24"/>
        <v>0</v>
      </c>
      <c r="P318" s="13">
        <f t="shared" si="25"/>
        <v>0.22604567102008466</v>
      </c>
    </row>
    <row r="319" spans="1:16" x14ac:dyDescent="0.25">
      <c r="A319" s="16">
        <v>496208</v>
      </c>
      <c r="B319" s="4">
        <f>INDEX([1]!PREDICT[TRUE PTS],MATCH($A319,[1]!PREDICT[HARD CODE],0))</f>
        <v>3.7477579436319441</v>
      </c>
      <c r="C319" s="7" t="str">
        <f>INDEX([1]!MODEL[POS],MATCH($A319,[1]!MODEL[Code],0))</f>
        <v>MID</v>
      </c>
      <c r="D319" s="7" t="str">
        <f>INDEX([1]!MODEL[TEAM],MATCH($A319,[1]!MODEL[Code],0))</f>
        <v>BOU</v>
      </c>
      <c r="E319" s="7">
        <f>INDEX([1]PREDICT!$M$3:$M$1001,MATCH($A319,[1]PREDICT!$B$3:$B$1001,0))</f>
        <v>5</v>
      </c>
      <c r="F319" s="15" t="str">
        <f>INDEX([1]!MODEL[FPL_Name],MATCH($A319,[1]!MODEL[Code],0))</f>
        <v>Ben Gannon-Doak</v>
      </c>
      <c r="G319" s="10">
        <v>0</v>
      </c>
      <c r="H319" s="10">
        <v>0</v>
      </c>
      <c r="I319" s="10">
        <v>0</v>
      </c>
      <c r="J319" s="11">
        <f t="shared" si="21"/>
        <v>0</v>
      </c>
      <c r="K319" s="11">
        <f t="shared" si="22"/>
        <v>0</v>
      </c>
      <c r="L319" s="11">
        <f t="shared" si="23"/>
        <v>0</v>
      </c>
      <c r="M319" s="11">
        <v>0</v>
      </c>
      <c r="N319" s="11">
        <f t="shared" si="24"/>
        <v>0</v>
      </c>
      <c r="P319" s="13">
        <f t="shared" si="25"/>
        <v>0.14991031774527777</v>
      </c>
    </row>
    <row r="320" spans="1:16" x14ac:dyDescent="0.25">
      <c r="A320" s="16">
        <v>538638</v>
      </c>
      <c r="B320" s="4">
        <f>INDEX([1]!PREDICT[TRUE PTS],MATCH($A320,[1]!PREDICT[HARD CODE],0))</f>
        <v>-0.21044460106289264</v>
      </c>
      <c r="C320" s="7" t="str">
        <f>INDEX([1]!MODEL[POS],MATCH($A320,[1]!MODEL[Code],0))</f>
        <v>DEF</v>
      </c>
      <c r="D320" s="7" t="str">
        <f>INDEX([1]!MODEL[TEAM],MATCH($A320,[1]!MODEL[Code],0))</f>
        <v>NFO</v>
      </c>
      <c r="E320" s="7">
        <f>INDEX([1]PREDICT!$M$3:$M$1001,MATCH($A320,[1]PREDICT!$B$3:$B$1001,0))</f>
        <v>4</v>
      </c>
      <c r="F320" s="15" t="str">
        <f>INDEX([1]!MODEL[FPL_Name],MATCH($A320,[1]!MODEL[Code],0))</f>
        <v>Tyler Bindon</v>
      </c>
      <c r="G320" s="10">
        <v>0</v>
      </c>
      <c r="H320" s="10">
        <v>0</v>
      </c>
      <c r="I320" s="10">
        <v>0</v>
      </c>
      <c r="J320" s="11">
        <f t="shared" si="21"/>
        <v>0</v>
      </c>
      <c r="K320" s="11">
        <f t="shared" si="22"/>
        <v>0</v>
      </c>
      <c r="L320" s="11">
        <f t="shared" si="23"/>
        <v>0</v>
      </c>
      <c r="M320" s="11">
        <v>0</v>
      </c>
      <c r="N320" s="11">
        <f t="shared" si="24"/>
        <v>0</v>
      </c>
      <c r="P320" s="13">
        <f t="shared" si="25"/>
        <v>-1.0522230053144632E-2</v>
      </c>
    </row>
    <row r="321" spans="1:16" x14ac:dyDescent="0.25">
      <c r="A321" s="16">
        <v>554197</v>
      </c>
      <c r="B321" s="4">
        <f>INDEX([1]!PREDICT[TRUE PTS],MATCH($A321,[1]!PREDICT[HARD CODE],0))</f>
        <v>4.9266000336748021</v>
      </c>
      <c r="C321" s="7" t="str">
        <f>INDEX([1]!MODEL[POS],MATCH($A321,[1]!MODEL[Code],0))</f>
        <v>MID</v>
      </c>
      <c r="D321" s="7" t="str">
        <f>INDEX([1]!MODEL[TEAM],MATCH($A321,[1]!MODEL[Code],0))</f>
        <v>SUN</v>
      </c>
      <c r="E321" s="7">
        <f>INDEX([1]PREDICT!$M$3:$M$1001,MATCH($A321,[1]PREDICT!$B$3:$B$1001,0))</f>
        <v>5</v>
      </c>
      <c r="F321" s="15" t="str">
        <f>INDEX([1]!MODEL[FPL_Name],MATCH($A321,[1]!MODEL[Code],0))</f>
        <v>Chris Rigg</v>
      </c>
      <c r="G321" s="10">
        <v>0</v>
      </c>
      <c r="H321" s="10">
        <v>0</v>
      </c>
      <c r="I321" s="10">
        <v>0</v>
      </c>
      <c r="J321" s="11">
        <f t="shared" si="21"/>
        <v>0</v>
      </c>
      <c r="K321" s="11">
        <f t="shared" si="22"/>
        <v>0</v>
      </c>
      <c r="L321" s="11">
        <f t="shared" si="23"/>
        <v>0</v>
      </c>
      <c r="M321" s="11">
        <v>0</v>
      </c>
      <c r="N321" s="11">
        <f t="shared" si="24"/>
        <v>0</v>
      </c>
      <c r="P321" s="13">
        <f t="shared" si="25"/>
        <v>0.19706400134699209</v>
      </c>
    </row>
    <row r="322" spans="1:16" x14ac:dyDescent="0.25">
      <c r="A322" s="16">
        <v>499169</v>
      </c>
      <c r="B322" s="4">
        <f>INDEX([1]!PREDICT[TRUE PTS],MATCH($A322,[1]!PREDICT[HARD CODE],0))</f>
        <v>3.6947957226483736</v>
      </c>
      <c r="C322" s="7" t="str">
        <f>INDEX([1]!MODEL[POS],MATCH($A322,[1]!MODEL[Code],0))</f>
        <v>MID</v>
      </c>
      <c r="D322" s="7" t="str">
        <f>INDEX([1]!MODEL[TEAM],MATCH($A322,[1]!MODEL[Code],0))</f>
        <v>ARS</v>
      </c>
      <c r="E322" s="7">
        <f>INDEX([1]PREDICT!$M$3:$M$1001,MATCH($A322,[1]PREDICT!$B$3:$B$1001,0))</f>
        <v>5.5</v>
      </c>
      <c r="F322" s="15" t="str">
        <f>INDEX([1]!MODEL[FPL_Name],MATCH($A322,[1]!MODEL[Code],0))</f>
        <v>Myles Lewis-Skelly</v>
      </c>
      <c r="G322" s="10">
        <v>0</v>
      </c>
      <c r="H322" s="10">
        <v>0</v>
      </c>
      <c r="I322" s="10">
        <v>0</v>
      </c>
      <c r="J322" s="11">
        <f t="shared" ref="J322:J385" si="26">G322+H322</f>
        <v>0</v>
      </c>
      <c r="K322" s="11">
        <f t="shared" ref="K322:K385" si="27">G322*E322</f>
        <v>0</v>
      </c>
      <c r="L322" s="11">
        <f t="shared" ref="L322:L385" si="28">H322*E322</f>
        <v>0</v>
      </c>
      <c r="M322" s="11">
        <v>0</v>
      </c>
      <c r="N322" s="11">
        <f t="shared" ref="N322:N385" si="29">(G322*B322)+(H322*B322*$U$2)+(I322*B322)</f>
        <v>0</v>
      </c>
      <c r="P322" s="13">
        <f t="shared" ref="P322:P385" si="30">IFERROR((B322/E322)/$Q$2,0)</f>
        <v>0.1343562080963045</v>
      </c>
    </row>
    <row r="323" spans="1:16" x14ac:dyDescent="0.25">
      <c r="A323" s="16">
        <v>493362</v>
      </c>
      <c r="B323" s="4">
        <f>INDEX([1]!PREDICT[TRUE PTS],MATCH($A323,[1]!PREDICT[HARD CODE],0))</f>
        <v>3.6805092907728456</v>
      </c>
      <c r="C323" s="7" t="str">
        <f>INDEX([1]!MODEL[POS],MATCH($A323,[1]!MODEL[Code],0))</f>
        <v>MID</v>
      </c>
      <c r="D323" s="7" t="str">
        <f>INDEX([1]!MODEL[TEAM],MATCH($A323,[1]!MODEL[Code],0))</f>
        <v>TOT</v>
      </c>
      <c r="E323" s="7">
        <f>INDEX([1]PREDICT!$M$3:$M$1001,MATCH($A323,[1]PREDICT!$B$3:$B$1001,0))</f>
        <v>6</v>
      </c>
      <c r="F323" s="15" t="str">
        <f>INDEX([1]!MODEL[FPL_Name],MATCH($A323,[1]!MODEL[Code],0))</f>
        <v>Xavi Simons</v>
      </c>
      <c r="G323" s="10">
        <v>0</v>
      </c>
      <c r="H323" s="10">
        <v>0</v>
      </c>
      <c r="I323" s="10">
        <v>0</v>
      </c>
      <c r="J323" s="11">
        <f t="shared" si="26"/>
        <v>0</v>
      </c>
      <c r="K323" s="11">
        <f t="shared" si="27"/>
        <v>0</v>
      </c>
      <c r="L323" s="11">
        <f t="shared" si="28"/>
        <v>0</v>
      </c>
      <c r="M323" s="11">
        <v>0</v>
      </c>
      <c r="N323" s="11">
        <f t="shared" si="29"/>
        <v>0</v>
      </c>
      <c r="P323" s="13">
        <f t="shared" si="30"/>
        <v>0.12268364302576151</v>
      </c>
    </row>
    <row r="324" spans="1:16" x14ac:dyDescent="0.25">
      <c r="A324" s="16">
        <v>536916</v>
      </c>
      <c r="B324" s="4">
        <f>INDEX([1]!PREDICT[TRUE PTS],MATCH($A324,[1]!PREDICT[HARD CODE],0))</f>
        <v>3.6430873057978088</v>
      </c>
      <c r="C324" s="7" t="str">
        <f>INDEX([1]!MODEL[POS],MATCH($A324,[1]!MODEL[Code],0))</f>
        <v>MID</v>
      </c>
      <c r="D324" s="7" t="str">
        <f>INDEX([1]!MODEL[TEAM],MATCH($A324,[1]!MODEL[Code],0))</f>
        <v>BHA</v>
      </c>
      <c r="E324" s="7">
        <f>INDEX([1]PREDICT!$M$3:$M$1001,MATCH($A324,[1]PREDICT!$B$3:$B$1001,0))</f>
        <v>5</v>
      </c>
      <c r="F324" s="15" t="str">
        <f>INDEX([1]!MODEL[FPL_Name],MATCH($A324,[1]!MODEL[Code],0))</f>
        <v>Facundo Buonanotte</v>
      </c>
      <c r="G324" s="10">
        <v>0</v>
      </c>
      <c r="H324" s="10">
        <v>0</v>
      </c>
      <c r="I324" s="10">
        <v>0</v>
      </c>
      <c r="J324" s="11">
        <f t="shared" si="26"/>
        <v>0</v>
      </c>
      <c r="K324" s="11">
        <f t="shared" si="27"/>
        <v>0</v>
      </c>
      <c r="L324" s="11">
        <f t="shared" si="28"/>
        <v>0</v>
      </c>
      <c r="M324" s="11">
        <v>0</v>
      </c>
      <c r="N324" s="11">
        <f t="shared" si="29"/>
        <v>0</v>
      </c>
      <c r="P324" s="13">
        <f t="shared" si="30"/>
        <v>0.14572349223191233</v>
      </c>
    </row>
    <row r="325" spans="1:16" x14ac:dyDescent="0.25">
      <c r="A325" s="16">
        <v>235826</v>
      </c>
      <c r="B325" s="4">
        <f>INDEX([1]!PREDICT[TRUE PTS],MATCH($A325,[1]!PREDICT[HARD CODE],0))</f>
        <v>3.6221056879617866</v>
      </c>
      <c r="C325" s="7" t="str">
        <f>INDEX([1]!MODEL[POS],MATCH($A325,[1]!MODEL[Code],0))</f>
        <v>FWD</v>
      </c>
      <c r="D325" s="7" t="str">
        <f>INDEX([1]!MODEL[TEAM],MATCH($A325,[1]!MODEL[Code],0))</f>
        <v>LEE</v>
      </c>
      <c r="E325" s="7">
        <f>INDEX([1]PREDICT!$M$3:$M$1001,MATCH($A325,[1]PREDICT!$B$3:$B$1001,0))</f>
        <v>5</v>
      </c>
      <c r="F325" s="15" t="str">
        <f>INDEX([1]!MODEL[FPL_Name],MATCH($A325,[1]!MODEL[Code],0))</f>
        <v>Joël Piroe</v>
      </c>
      <c r="G325" s="10">
        <v>0</v>
      </c>
      <c r="H325" s="10">
        <v>0</v>
      </c>
      <c r="I325" s="10">
        <v>0</v>
      </c>
      <c r="J325" s="11">
        <f t="shared" si="26"/>
        <v>0</v>
      </c>
      <c r="K325" s="11">
        <f t="shared" si="27"/>
        <v>0</v>
      </c>
      <c r="L325" s="11">
        <f t="shared" si="28"/>
        <v>0</v>
      </c>
      <c r="M325" s="11">
        <v>0</v>
      </c>
      <c r="N325" s="11">
        <f t="shared" si="29"/>
        <v>0</v>
      </c>
      <c r="P325" s="13">
        <f t="shared" si="30"/>
        <v>0.14488422751847146</v>
      </c>
    </row>
    <row r="326" spans="1:16" x14ac:dyDescent="0.25">
      <c r="A326" s="16">
        <v>167512</v>
      </c>
      <c r="B326" s="4">
        <f>INDEX([1]!PREDICT[TRUE PTS],MATCH($A326,[1]!PREDICT[HARD CODE],0))</f>
        <v>3.5231231375074938</v>
      </c>
      <c r="C326" s="7" t="str">
        <f>INDEX([1]!MODEL[POS],MATCH($A326,[1]!MODEL[Code],0))</f>
        <v>DEF</v>
      </c>
      <c r="D326" s="7" t="str">
        <f>INDEX([1]!MODEL[TEAM],MATCH($A326,[1]!MODEL[Code],0))</f>
        <v>SUN</v>
      </c>
      <c r="E326" s="7">
        <f>INDEX([1]PREDICT!$M$3:$M$1001,MATCH($A326,[1]PREDICT!$B$3:$B$1001,0))</f>
        <v>4</v>
      </c>
      <c r="F326" s="15" t="str">
        <f>INDEX([1]!MODEL[FPL_Name],MATCH($A326,[1]!MODEL[Code],0))</f>
        <v>Luke O'Nien</v>
      </c>
      <c r="G326" s="10">
        <v>0</v>
      </c>
      <c r="H326" s="10">
        <v>0</v>
      </c>
      <c r="I326" s="10">
        <v>0</v>
      </c>
      <c r="J326" s="11">
        <f t="shared" si="26"/>
        <v>0</v>
      </c>
      <c r="K326" s="11">
        <f t="shared" si="27"/>
        <v>0</v>
      </c>
      <c r="L326" s="11">
        <f t="shared" si="28"/>
        <v>0</v>
      </c>
      <c r="M326" s="11">
        <v>0</v>
      </c>
      <c r="N326" s="11">
        <f t="shared" si="29"/>
        <v>0</v>
      </c>
      <c r="P326" s="13">
        <f t="shared" si="30"/>
        <v>0.1761561568753747</v>
      </c>
    </row>
    <row r="327" spans="1:16" x14ac:dyDescent="0.25">
      <c r="A327" s="16">
        <v>543158</v>
      </c>
      <c r="B327" s="4">
        <f>INDEX([1]!PREDICT[TRUE PTS],MATCH($A327,[1]!PREDICT[HARD CODE],0))</f>
        <v>0.52558455250677982</v>
      </c>
      <c r="C327" s="7" t="str">
        <f>INDEX([1]!MODEL[POS],MATCH($A327,[1]!MODEL[Code],0))</f>
        <v>MID</v>
      </c>
      <c r="D327" s="7" t="str">
        <f>INDEX([1]!MODEL[TEAM],MATCH($A327,[1]!MODEL[Code],0))</f>
        <v>CHE</v>
      </c>
      <c r="E327" s="7">
        <f>INDEX([1]PREDICT!$M$3:$M$1001,MATCH($A327,[1]PREDICT!$B$3:$B$1001,0))</f>
        <v>5.5</v>
      </c>
      <c r="F327" s="15" t="str">
        <f>INDEX([1]!MODEL[FPL_Name],MATCH($A327,[1]!MODEL[Code],0))</f>
        <v>Valentín Barco</v>
      </c>
      <c r="G327" s="10">
        <v>0</v>
      </c>
      <c r="H327" s="10">
        <v>0</v>
      </c>
      <c r="I327" s="10">
        <v>0</v>
      </c>
      <c r="J327" s="11">
        <f t="shared" si="26"/>
        <v>0</v>
      </c>
      <c r="K327" s="11">
        <f t="shared" si="27"/>
        <v>0</v>
      </c>
      <c r="L327" s="11">
        <f t="shared" si="28"/>
        <v>0</v>
      </c>
      <c r="M327" s="11">
        <v>0</v>
      </c>
      <c r="N327" s="11">
        <f t="shared" si="29"/>
        <v>0</v>
      </c>
      <c r="P327" s="13">
        <f t="shared" si="30"/>
        <v>1.9112165545701085E-2</v>
      </c>
    </row>
    <row r="328" spans="1:16" x14ac:dyDescent="0.25">
      <c r="A328" s="16">
        <v>499175</v>
      </c>
      <c r="B328" s="4">
        <f>INDEX([1]!PREDICT[TRUE PTS],MATCH($A328,[1]!PREDICT[HARD CODE],0))</f>
        <v>3.4719643214596227</v>
      </c>
      <c r="C328" s="7" t="str">
        <f>INDEX([1]!MODEL[POS],MATCH($A328,[1]!MODEL[Code],0))</f>
        <v>MID</v>
      </c>
      <c r="D328" s="7" t="str">
        <f>INDEX([1]!MODEL[TEAM],MATCH($A328,[1]!MODEL[Code],0))</f>
        <v>ARS</v>
      </c>
      <c r="E328" s="7">
        <f>INDEX([1]PREDICT!$M$3:$M$1001,MATCH($A328,[1]PREDICT!$B$3:$B$1001,0))</f>
        <v>5.5</v>
      </c>
      <c r="F328" s="15" t="str">
        <f>INDEX([1]!MODEL[FPL_Name],MATCH($A328,[1]!MODEL[Code],0))</f>
        <v>Ethan Nwaneri</v>
      </c>
      <c r="G328" s="10">
        <v>0</v>
      </c>
      <c r="H328" s="10">
        <v>0</v>
      </c>
      <c r="I328" s="10">
        <v>0</v>
      </c>
      <c r="J328" s="11">
        <f t="shared" si="26"/>
        <v>0</v>
      </c>
      <c r="K328" s="11">
        <f t="shared" si="27"/>
        <v>0</v>
      </c>
      <c r="L328" s="11">
        <f t="shared" si="28"/>
        <v>0</v>
      </c>
      <c r="M328" s="11">
        <v>0</v>
      </c>
      <c r="N328" s="11">
        <f t="shared" si="29"/>
        <v>0</v>
      </c>
      <c r="P328" s="13">
        <f t="shared" si="30"/>
        <v>0.12625324805307719</v>
      </c>
    </row>
    <row r="329" spans="1:16" x14ac:dyDescent="0.25">
      <c r="A329" s="16">
        <v>575458</v>
      </c>
      <c r="B329" s="4">
        <f>INDEX([1]!PREDICT[TRUE PTS],MATCH($A329,[1]!PREDICT[HARD CODE],0))</f>
        <v>5.8157651671868447</v>
      </c>
      <c r="C329" s="7" t="str">
        <f>INDEX([1]!MODEL[POS],MATCH($A329,[1]!MODEL[Code],0))</f>
        <v>DEF</v>
      </c>
      <c r="D329" s="7" t="str">
        <f>INDEX([1]!MODEL[TEAM],MATCH($A329,[1]!MODEL[Code],0))</f>
        <v>NFO</v>
      </c>
      <c r="E329" s="7">
        <f>INDEX([1]PREDICT!$M$3:$M$1001,MATCH($A329,[1]PREDICT!$B$3:$B$1001,0))</f>
        <v>4.5</v>
      </c>
      <c r="F329" s="15" t="str">
        <f>INDEX([1]!MODEL[FPL_Name],MATCH($A329,[1]!MODEL[Code],0))</f>
        <v>Jair Paula da Cunha Filho</v>
      </c>
      <c r="G329" s="10">
        <v>0</v>
      </c>
      <c r="H329" s="10">
        <v>0</v>
      </c>
      <c r="I329" s="10">
        <v>0</v>
      </c>
      <c r="J329" s="11">
        <f t="shared" si="26"/>
        <v>0</v>
      </c>
      <c r="K329" s="11">
        <f t="shared" si="27"/>
        <v>0</v>
      </c>
      <c r="L329" s="11">
        <f t="shared" si="28"/>
        <v>0</v>
      </c>
      <c r="M329" s="11">
        <v>0</v>
      </c>
      <c r="N329" s="11">
        <f t="shared" si="29"/>
        <v>0</v>
      </c>
      <c r="P329" s="13">
        <f t="shared" si="30"/>
        <v>0.25847845187497087</v>
      </c>
    </row>
    <row r="330" spans="1:16" x14ac:dyDescent="0.25">
      <c r="A330" s="16">
        <v>242880</v>
      </c>
      <c r="B330" s="4">
        <f>INDEX([1]!PREDICT[TRUE PTS],MATCH($A330,[1]!PREDICT[HARD CODE],0))</f>
        <v>4.2670571638173209</v>
      </c>
      <c r="C330" s="7" t="str">
        <f>INDEX([1]!MODEL[POS],MATCH($A330,[1]!MODEL[Code],0))</f>
        <v>DEF</v>
      </c>
      <c r="D330" s="7" t="str">
        <f>INDEX([1]!MODEL[TEAM],MATCH($A330,[1]!MODEL[Code],0))</f>
        <v>CHE</v>
      </c>
      <c r="E330" s="7">
        <f>INDEX([1]PREDICT!$M$3:$M$1001,MATCH($A330,[1]PREDICT!$B$3:$B$1001,0))</f>
        <v>4.5</v>
      </c>
      <c r="F330" s="15" t="str">
        <f>INDEX([1]!MODEL[FPL_Name],MATCH($A330,[1]!MODEL[Code],0))</f>
        <v>Benoît Badiashile Mukinayi</v>
      </c>
      <c r="G330" s="10">
        <v>0</v>
      </c>
      <c r="H330" s="10">
        <v>0</v>
      </c>
      <c r="I330" s="10">
        <v>0</v>
      </c>
      <c r="J330" s="11">
        <f t="shared" si="26"/>
        <v>0</v>
      </c>
      <c r="K330" s="11">
        <f t="shared" si="27"/>
        <v>0</v>
      </c>
      <c r="L330" s="11">
        <f t="shared" si="28"/>
        <v>0</v>
      </c>
      <c r="M330" s="11">
        <v>0</v>
      </c>
      <c r="N330" s="11">
        <f t="shared" si="29"/>
        <v>0</v>
      </c>
      <c r="P330" s="13">
        <f t="shared" si="30"/>
        <v>0.1896469850585476</v>
      </c>
    </row>
    <row r="331" spans="1:16" x14ac:dyDescent="0.25">
      <c r="A331" s="16">
        <v>428580</v>
      </c>
      <c r="B331" s="4">
        <f>INDEX([1]!PREDICT[TRUE PTS],MATCH($A331,[1]!PREDICT[HARD CODE],0))</f>
        <v>3.2867333681689379</v>
      </c>
      <c r="C331" s="7" t="str">
        <f>INDEX([1]!MODEL[POS],MATCH($A331,[1]!MODEL[Code],0))</f>
        <v>MID</v>
      </c>
      <c r="D331" s="7" t="str">
        <f>INDEX([1]!MODEL[TEAM],MATCH($A331,[1]!MODEL[Code],0))</f>
        <v>COV</v>
      </c>
      <c r="E331" s="7">
        <f>INDEX([1]PREDICT!$M$3:$M$1001,MATCH($A331,[1]PREDICT!$B$3:$B$1001,0))</f>
        <v>5</v>
      </c>
      <c r="F331" s="15" t="str">
        <f>INDEX([1]!MODEL[FPL_Name],MATCH($A331,[1]!MODEL[Code],0))</f>
        <v>Frank Onyeka</v>
      </c>
      <c r="G331" s="10">
        <v>0</v>
      </c>
      <c r="H331" s="10">
        <v>0</v>
      </c>
      <c r="I331" s="10">
        <v>0</v>
      </c>
      <c r="J331" s="11">
        <f t="shared" si="26"/>
        <v>0</v>
      </c>
      <c r="K331" s="11">
        <f t="shared" si="27"/>
        <v>0</v>
      </c>
      <c r="L331" s="11">
        <f t="shared" si="28"/>
        <v>0</v>
      </c>
      <c r="M331" s="11">
        <v>0</v>
      </c>
      <c r="N331" s="11">
        <f t="shared" si="29"/>
        <v>0</v>
      </c>
      <c r="P331" s="13">
        <f t="shared" si="30"/>
        <v>0.13146933472675754</v>
      </c>
    </row>
    <row r="332" spans="1:16" x14ac:dyDescent="0.25">
      <c r="A332" s="16">
        <v>539142</v>
      </c>
      <c r="B332" s="4">
        <f>INDEX([1]!PREDICT[TRUE PTS],MATCH($A332,[1]!PREDICT[HARD CODE],0))</f>
        <v>-0.21122331881786741</v>
      </c>
      <c r="C332" s="7" t="str">
        <f>INDEX([1]!MODEL[POS],MATCH($A332,[1]!MODEL[Code],0))</f>
        <v>DEF</v>
      </c>
      <c r="D332" s="7" t="str">
        <f>INDEX([1]!MODEL[TEAM],MATCH($A332,[1]!MODEL[Code],0))</f>
        <v>COV</v>
      </c>
      <c r="E332" s="7">
        <f>INDEX([1]PREDICT!$M$3:$M$1001,MATCH($A332,[1]PREDICT!$B$3:$B$1001,0))</f>
        <v>4</v>
      </c>
      <c r="F332" s="15" t="str">
        <f>INDEX([1]!MODEL[FPL_Name],MATCH($A332,[1]!MODEL[Code],0))</f>
        <v>Aurèle Amenda</v>
      </c>
      <c r="G332" s="10">
        <v>0</v>
      </c>
      <c r="H332" s="10">
        <v>0</v>
      </c>
      <c r="I332" s="10">
        <v>0</v>
      </c>
      <c r="J332" s="11">
        <f t="shared" si="26"/>
        <v>0</v>
      </c>
      <c r="K332" s="11">
        <f t="shared" si="27"/>
        <v>0</v>
      </c>
      <c r="L332" s="11">
        <f t="shared" si="28"/>
        <v>0</v>
      </c>
      <c r="M332" s="11">
        <v>0</v>
      </c>
      <c r="N332" s="11">
        <f t="shared" si="29"/>
        <v>0</v>
      </c>
      <c r="P332" s="13">
        <f t="shared" si="30"/>
        <v>-1.0561165940893371E-2</v>
      </c>
    </row>
    <row r="333" spans="1:16" x14ac:dyDescent="0.25">
      <c r="A333" s="16">
        <v>540324</v>
      </c>
      <c r="B333" s="4">
        <f>INDEX([1]!PREDICT[TRUE PTS],MATCH($A333,[1]!PREDICT[HARD CODE],0))</f>
        <v>0.4761711544001862</v>
      </c>
      <c r="C333" s="7" t="str">
        <f>INDEX([1]!MODEL[POS],MATCH($A333,[1]!MODEL[Code],0))</f>
        <v>MID</v>
      </c>
      <c r="D333" s="7" t="str">
        <f>INDEX([1]!MODEL[TEAM],MATCH($A333,[1]!MODEL[Code],0))</f>
        <v>HUL</v>
      </c>
      <c r="E333" s="7">
        <f>INDEX([1]PREDICT!$M$3:$M$1001,MATCH($A333,[1]PREDICT!$B$3:$B$1001,0))</f>
        <v>5</v>
      </c>
      <c r="F333" s="15" t="str">
        <f>INDEX([1]!MODEL[FPL_Name],MATCH($A333,[1]!MODEL[Code],0))</f>
        <v>Mohamed Belloumi</v>
      </c>
      <c r="G333" s="10">
        <v>0</v>
      </c>
      <c r="H333" s="10">
        <v>0</v>
      </c>
      <c r="I333" s="10">
        <v>0</v>
      </c>
      <c r="J333" s="11">
        <f t="shared" si="26"/>
        <v>0</v>
      </c>
      <c r="K333" s="11">
        <f t="shared" si="27"/>
        <v>0</v>
      </c>
      <c r="L333" s="11">
        <f t="shared" si="28"/>
        <v>0</v>
      </c>
      <c r="M333" s="11">
        <v>0</v>
      </c>
      <c r="N333" s="11">
        <f t="shared" si="29"/>
        <v>0</v>
      </c>
      <c r="P333" s="13">
        <f t="shared" si="30"/>
        <v>1.9046846176007447E-2</v>
      </c>
    </row>
    <row r="334" spans="1:16" x14ac:dyDescent="0.25">
      <c r="A334" s="16">
        <v>547037</v>
      </c>
      <c r="B334" s="4">
        <f>INDEX([1]!PREDICT[TRUE PTS],MATCH($A334,[1]!PREDICT[HARD CODE],0))</f>
        <v>3.1395164505413318</v>
      </c>
      <c r="C334" s="7" t="str">
        <f>INDEX([1]!MODEL[POS],MATCH($A334,[1]!MODEL[Code],0))</f>
        <v>MID</v>
      </c>
      <c r="D334" s="7" t="str">
        <f>INDEX([1]!MODEL[TEAM],MATCH($A334,[1]!MODEL[Code],0))</f>
        <v>MUN</v>
      </c>
      <c r="E334" s="7">
        <f>INDEX([1]PREDICT!$M$3:$M$1001,MATCH($A334,[1]PREDICT!$B$3:$B$1001,0))</f>
        <v>5</v>
      </c>
      <c r="F334" s="15" t="str">
        <f>INDEX([1]!MODEL[FPL_Name],MATCH($A334,[1]!MODEL[Code],0))</f>
        <v>Jack Fletcher</v>
      </c>
      <c r="G334" s="10">
        <v>0</v>
      </c>
      <c r="H334" s="10">
        <v>0</v>
      </c>
      <c r="I334" s="10">
        <v>0</v>
      </c>
      <c r="J334" s="11">
        <f t="shared" si="26"/>
        <v>0</v>
      </c>
      <c r="K334" s="11">
        <f t="shared" si="27"/>
        <v>0</v>
      </c>
      <c r="L334" s="11">
        <f t="shared" si="28"/>
        <v>0</v>
      </c>
      <c r="M334" s="11">
        <v>0</v>
      </c>
      <c r="N334" s="11">
        <f t="shared" si="29"/>
        <v>0</v>
      </c>
      <c r="P334" s="13">
        <f t="shared" si="30"/>
        <v>0.12558065802165327</v>
      </c>
    </row>
    <row r="335" spans="1:16" x14ac:dyDescent="0.25">
      <c r="A335" s="16">
        <v>597320</v>
      </c>
      <c r="B335" s="4">
        <f>INDEX([1]!PREDICT[TRUE PTS],MATCH($A335,[1]!PREDICT[HARD CODE],0))</f>
        <v>3.2527189869267579</v>
      </c>
      <c r="C335" s="7" t="str">
        <f>INDEX([1]!MODEL[POS],MATCH($A335,[1]!MODEL[Code],0))</f>
        <v>MID</v>
      </c>
      <c r="D335" s="7" t="str">
        <f>INDEX([1]!MODEL[TEAM],MATCH($A335,[1]!MODEL[Code],0))</f>
        <v>BHA</v>
      </c>
      <c r="E335" s="7">
        <f>INDEX([1]PREDICT!$M$3:$M$1001,MATCH($A335,[1]PREDICT!$B$3:$B$1001,0))</f>
        <v>4.5</v>
      </c>
      <c r="F335" s="15" t="str">
        <f>INDEX([1]!MODEL[FPL_Name],MATCH($A335,[1]!MODEL[Code],0))</f>
        <v>Harry Howell</v>
      </c>
      <c r="G335" s="10">
        <v>0</v>
      </c>
      <c r="H335" s="10">
        <v>0</v>
      </c>
      <c r="I335" s="10">
        <v>0</v>
      </c>
      <c r="J335" s="11">
        <f t="shared" si="26"/>
        <v>0</v>
      </c>
      <c r="K335" s="11">
        <f t="shared" si="27"/>
        <v>0</v>
      </c>
      <c r="L335" s="11">
        <f t="shared" si="28"/>
        <v>0</v>
      </c>
      <c r="M335" s="11">
        <v>0</v>
      </c>
      <c r="N335" s="11">
        <f t="shared" si="29"/>
        <v>0</v>
      </c>
      <c r="P335" s="13">
        <f t="shared" si="30"/>
        <v>0.14456528830785592</v>
      </c>
    </row>
    <row r="336" spans="1:16" x14ac:dyDescent="0.25">
      <c r="A336" s="16">
        <v>620487</v>
      </c>
      <c r="B336" s="4">
        <f>INDEX([1]!PREDICT[TRUE PTS],MATCH($A336,[1]!PREDICT[HARD CODE],0))</f>
        <v>4.3566870902392818</v>
      </c>
      <c r="C336" s="7" t="str">
        <f>INDEX([1]!MODEL[POS],MATCH($A336,[1]!MODEL[Code],0))</f>
        <v>DEF</v>
      </c>
      <c r="D336" s="7" t="str">
        <f>INDEX([1]!MODEL[TEAM],MATCH($A336,[1]!MODEL[Code],0))</f>
        <v>BOU</v>
      </c>
      <c r="E336" s="7">
        <f>INDEX([1]PREDICT!$M$3:$M$1001,MATCH($A336,[1]PREDICT!$B$3:$B$1001,0))</f>
        <v>5</v>
      </c>
      <c r="F336" s="15" t="str">
        <f>INDEX([1]!MODEL[FPL_Name],MATCH($A336,[1]!MODEL[Code],0))</f>
        <v>Veljko Milosavljevic</v>
      </c>
      <c r="G336" s="10">
        <v>0</v>
      </c>
      <c r="H336" s="10">
        <v>0</v>
      </c>
      <c r="I336" s="10">
        <v>0</v>
      </c>
      <c r="J336" s="11">
        <f t="shared" si="26"/>
        <v>0</v>
      </c>
      <c r="K336" s="11">
        <f t="shared" si="27"/>
        <v>0</v>
      </c>
      <c r="L336" s="11">
        <f t="shared" si="28"/>
        <v>0</v>
      </c>
      <c r="M336" s="11">
        <v>0</v>
      </c>
      <c r="N336" s="11">
        <f t="shared" si="29"/>
        <v>0</v>
      </c>
      <c r="P336" s="13">
        <f t="shared" si="30"/>
        <v>0.17426748360957128</v>
      </c>
    </row>
    <row r="337" spans="1:16" x14ac:dyDescent="0.25">
      <c r="A337" s="16">
        <v>614574</v>
      </c>
      <c r="B337" s="4">
        <f>INDEX([1]!PREDICT[TRUE PTS],MATCH($A337,[1]!PREDICT[HARD CODE],0))</f>
        <v>3.9073112511557087</v>
      </c>
      <c r="C337" s="7" t="str">
        <f>INDEX([1]!MODEL[POS],MATCH($A337,[1]!MODEL[Code],0))</f>
        <v>MID</v>
      </c>
      <c r="D337" s="7" t="str">
        <f>INDEX([1]!MODEL[TEAM],MATCH($A337,[1]!MODEL[Code],0))</f>
        <v>BOU</v>
      </c>
      <c r="E337" s="7">
        <f>INDEX([1]PREDICT!$M$3:$M$1001,MATCH($A337,[1]PREDICT!$B$3:$B$1001,0))</f>
        <v>5</v>
      </c>
      <c r="F337" s="15" t="str">
        <f>INDEX([1]!MODEL[FPL_Name],MATCH($A337,[1]!MODEL[Code],0))</f>
        <v>Alex Tóth</v>
      </c>
      <c r="G337" s="10">
        <v>0</v>
      </c>
      <c r="H337" s="10">
        <v>0</v>
      </c>
      <c r="I337" s="10">
        <v>0</v>
      </c>
      <c r="J337" s="11">
        <f t="shared" si="26"/>
        <v>0</v>
      </c>
      <c r="K337" s="11">
        <f t="shared" si="27"/>
        <v>0</v>
      </c>
      <c r="L337" s="11">
        <f t="shared" si="28"/>
        <v>0</v>
      </c>
      <c r="M337" s="11">
        <v>0</v>
      </c>
      <c r="N337" s="11">
        <f t="shared" si="29"/>
        <v>0</v>
      </c>
      <c r="P337" s="13">
        <f t="shared" si="30"/>
        <v>0.15629245004622833</v>
      </c>
    </row>
    <row r="338" spans="1:16" x14ac:dyDescent="0.25">
      <c r="A338" s="16">
        <v>244860</v>
      </c>
      <c r="B338" s="4">
        <f>INDEX([1]!PREDICT[TRUE PTS],MATCH($A338,[1]!PREDICT[HARD CODE],0))</f>
        <v>0.48502657728820886</v>
      </c>
      <c r="C338" s="7" t="str">
        <f>INDEX([1]!MODEL[POS],MATCH($A338,[1]!MODEL[Code],0))</f>
        <v>MID</v>
      </c>
      <c r="D338" s="7" t="str">
        <f>INDEX([1]!MODEL[TEAM],MATCH($A338,[1]!MODEL[Code],0))</f>
        <v>EVE</v>
      </c>
      <c r="E338" s="7">
        <f>INDEX([1]PREDICT!$M$3:$M$1001,MATCH($A338,[1]PREDICT!$B$3:$B$1001,0))</f>
        <v>5.5</v>
      </c>
      <c r="F338" s="15" t="str">
        <f>INDEX([1]!MODEL[FPL_Name],MATCH($A338,[1]!MODEL[Code],0))</f>
        <v>Hayden Hackney</v>
      </c>
      <c r="G338" s="10">
        <v>0</v>
      </c>
      <c r="H338" s="10">
        <v>0</v>
      </c>
      <c r="I338" s="10">
        <v>0</v>
      </c>
      <c r="J338" s="11">
        <f t="shared" si="26"/>
        <v>0</v>
      </c>
      <c r="K338" s="11">
        <f t="shared" si="27"/>
        <v>0</v>
      </c>
      <c r="L338" s="11">
        <f t="shared" si="28"/>
        <v>0</v>
      </c>
      <c r="M338" s="11">
        <v>0</v>
      </c>
      <c r="N338" s="11">
        <f t="shared" si="29"/>
        <v>0</v>
      </c>
      <c r="P338" s="13">
        <f t="shared" si="30"/>
        <v>1.7637330083207593E-2</v>
      </c>
    </row>
    <row r="339" spans="1:16" x14ac:dyDescent="0.25">
      <c r="A339" s="16">
        <v>173879</v>
      </c>
      <c r="B339" s="4">
        <f>INDEX([1]!PREDICT[TRUE PTS],MATCH($A339,[1]!PREDICT[HARD CODE],0))</f>
        <v>3.0076911915465159</v>
      </c>
      <c r="C339" s="7" t="str">
        <f>INDEX([1]!MODEL[POS],MATCH($A339,[1]!MODEL[Code],0))</f>
        <v>FWD</v>
      </c>
      <c r="D339" s="7" t="str">
        <f>INDEX([1]!MODEL[TEAM],MATCH($A339,[1]!MODEL[Code],0))</f>
        <v>AVL</v>
      </c>
      <c r="E339" s="7">
        <f>INDEX([1]PREDICT!$M$3:$M$1001,MATCH($A339,[1]PREDICT!$B$3:$B$1001,0))</f>
        <v>5.5</v>
      </c>
      <c r="F339" s="15" t="str">
        <f>INDEX([1]!MODEL[FPL_Name],MATCH($A339,[1]!MODEL[Code],0))</f>
        <v>Tammy Abraham</v>
      </c>
      <c r="G339" s="10">
        <v>0</v>
      </c>
      <c r="H339" s="10">
        <v>0</v>
      </c>
      <c r="I339" s="10">
        <v>0</v>
      </c>
      <c r="J339" s="11">
        <f t="shared" si="26"/>
        <v>0</v>
      </c>
      <c r="K339" s="11">
        <f t="shared" si="27"/>
        <v>0</v>
      </c>
      <c r="L339" s="11">
        <f t="shared" si="28"/>
        <v>0</v>
      </c>
      <c r="M339" s="11">
        <v>0</v>
      </c>
      <c r="N339" s="11">
        <f t="shared" si="29"/>
        <v>0</v>
      </c>
      <c r="P339" s="13">
        <f t="shared" si="30"/>
        <v>0.10937058878350966</v>
      </c>
    </row>
    <row r="340" spans="1:16" x14ac:dyDescent="0.25">
      <c r="A340" s="16">
        <v>484389</v>
      </c>
      <c r="B340" s="4">
        <f>INDEX([1]!PREDICT[TRUE PTS],MATCH($A340,[1]!PREDICT[HARD CODE],0))</f>
        <v>-0.12257739041979249</v>
      </c>
      <c r="C340" s="7" t="str">
        <f>INDEX([1]!MODEL[POS],MATCH($A340,[1]!MODEL[Code],0))</f>
        <v>GK</v>
      </c>
      <c r="D340" s="7" t="str">
        <f>INDEX([1]!MODEL[TEAM],MATCH($A340,[1]!MODEL[Code],0))</f>
        <v>COV</v>
      </c>
      <c r="E340" s="7">
        <f>INDEX([1]PREDICT!$M$3:$M$1001,MATCH($A340,[1]PREDICT!$B$3:$B$1001,0))</f>
        <v>4</v>
      </c>
      <c r="F340" s="15" t="str">
        <f>INDEX([1]!MODEL[FPL_Name],MATCH($A340,[1]!MODEL[Code],0))</f>
        <v>Oliver Dovin</v>
      </c>
      <c r="G340" s="10">
        <v>0</v>
      </c>
      <c r="H340" s="10">
        <v>0</v>
      </c>
      <c r="I340" s="10">
        <v>0</v>
      </c>
      <c r="J340" s="11">
        <f t="shared" si="26"/>
        <v>0</v>
      </c>
      <c r="K340" s="11">
        <f t="shared" si="27"/>
        <v>0</v>
      </c>
      <c r="L340" s="11">
        <f t="shared" si="28"/>
        <v>0</v>
      </c>
      <c r="M340" s="11">
        <v>0</v>
      </c>
      <c r="N340" s="11">
        <f t="shared" si="29"/>
        <v>0</v>
      </c>
      <c r="P340" s="13">
        <f t="shared" si="30"/>
        <v>-6.1288695209896242E-3</v>
      </c>
    </row>
    <row r="341" spans="1:16" x14ac:dyDescent="0.25">
      <c r="A341" s="16">
        <v>243571</v>
      </c>
      <c r="B341" s="4">
        <f>INDEX([1]!PREDICT[TRUE PTS],MATCH($A341,[1]!PREDICT[HARD CODE],0))</f>
        <v>2.8275330431980392</v>
      </c>
      <c r="C341" s="7" t="str">
        <f>INDEX([1]!MODEL[POS],MATCH($A341,[1]!MODEL[Code],0))</f>
        <v>DEF</v>
      </c>
      <c r="D341" s="7" t="str">
        <f>INDEX([1]!MODEL[TEAM],MATCH($A341,[1]!MODEL[Code],0))</f>
        <v>EVE</v>
      </c>
      <c r="E341" s="7">
        <f>INDEX([1]PREDICT!$M$3:$M$1001,MATCH($A341,[1]PREDICT!$B$3:$B$1001,0))</f>
        <v>4.5</v>
      </c>
      <c r="F341" s="15" t="str">
        <f>INDEX([1]!MODEL[FPL_Name],MATCH($A341,[1]!MODEL[Code],0))</f>
        <v>Nathan Patterson</v>
      </c>
      <c r="G341" s="10">
        <v>0</v>
      </c>
      <c r="H341" s="10">
        <v>0</v>
      </c>
      <c r="I341" s="10">
        <v>0</v>
      </c>
      <c r="J341" s="11">
        <f t="shared" si="26"/>
        <v>0</v>
      </c>
      <c r="K341" s="11">
        <f t="shared" si="27"/>
        <v>0</v>
      </c>
      <c r="L341" s="11">
        <f t="shared" si="28"/>
        <v>0</v>
      </c>
      <c r="M341" s="11">
        <v>0</v>
      </c>
      <c r="N341" s="11">
        <f t="shared" si="29"/>
        <v>0</v>
      </c>
      <c r="P341" s="13">
        <f t="shared" si="30"/>
        <v>0.12566813525324619</v>
      </c>
    </row>
    <row r="342" spans="1:16" x14ac:dyDescent="0.25">
      <c r="A342" s="16">
        <v>503037</v>
      </c>
      <c r="B342" s="4">
        <f>INDEX([1]!PREDICT[TRUE PTS],MATCH($A342,[1]!PREDICT[HARD CODE],0))</f>
        <v>0.51320955250677991</v>
      </c>
      <c r="C342" s="7" t="str">
        <f>INDEX([1]!MODEL[POS],MATCH($A342,[1]!MODEL[Code],0))</f>
        <v>FWD</v>
      </c>
      <c r="D342" s="7" t="str">
        <f>INDEX([1]!MODEL[TEAM],MATCH($A342,[1]!MODEL[Code],0))</f>
        <v>CHE</v>
      </c>
      <c r="E342" s="7">
        <f>INDEX([1]PREDICT!$M$3:$M$1001,MATCH($A342,[1]PREDICT!$B$3:$B$1001,0))</f>
        <v>5</v>
      </c>
      <c r="F342" s="15" t="str">
        <f>INDEX([1]!MODEL[FPL_Name],MATCH($A342,[1]!MODEL[Code],0))</f>
        <v>Emmanuel Emegha</v>
      </c>
      <c r="G342" s="10">
        <v>0</v>
      </c>
      <c r="H342" s="10">
        <v>0</v>
      </c>
      <c r="I342" s="10">
        <v>0</v>
      </c>
      <c r="J342" s="11">
        <f t="shared" si="26"/>
        <v>0</v>
      </c>
      <c r="K342" s="11">
        <f t="shared" si="27"/>
        <v>0</v>
      </c>
      <c r="L342" s="11">
        <f t="shared" si="28"/>
        <v>0</v>
      </c>
      <c r="M342" s="11">
        <v>0</v>
      </c>
      <c r="N342" s="11">
        <f t="shared" si="29"/>
        <v>0</v>
      </c>
      <c r="P342" s="13">
        <f t="shared" si="30"/>
        <v>2.0528382100271199E-2</v>
      </c>
    </row>
    <row r="343" spans="1:16" x14ac:dyDescent="0.25">
      <c r="A343" s="16">
        <v>222625</v>
      </c>
      <c r="B343" s="4">
        <f>INDEX([1]!PREDICT[TRUE PTS],MATCH($A343,[1]!PREDICT[HARD CODE],0))</f>
        <v>10.017645286646729</v>
      </c>
      <c r="C343" s="7" t="str">
        <f>INDEX([1]!MODEL[POS],MATCH($A343,[1]!MODEL[Code],0))</f>
        <v>FWD</v>
      </c>
      <c r="D343" s="7" t="str">
        <f>INDEX([1]!MODEL[TEAM],MATCH($A343,[1]!MODEL[Code],0))</f>
        <v>IPS</v>
      </c>
      <c r="E343" s="7">
        <f>INDEX([1]PREDICT!$M$3:$M$1001,MATCH($A343,[1]PREDICT!$B$3:$B$1001,0))</f>
        <v>5</v>
      </c>
      <c r="F343" s="15" t="str">
        <f>INDEX([1]!MODEL[FPL_Name],MATCH($A343,[1]!MODEL[Code],0))</f>
        <v>George Hirst</v>
      </c>
      <c r="G343" s="10">
        <v>0</v>
      </c>
      <c r="H343" s="10">
        <v>0</v>
      </c>
      <c r="I343" s="10">
        <v>0</v>
      </c>
      <c r="J343" s="11">
        <f t="shared" si="26"/>
        <v>0</v>
      </c>
      <c r="K343" s="11">
        <f t="shared" si="27"/>
        <v>0</v>
      </c>
      <c r="L343" s="11">
        <f t="shared" si="28"/>
        <v>0</v>
      </c>
      <c r="M343" s="11">
        <v>0</v>
      </c>
      <c r="N343" s="11">
        <f t="shared" si="29"/>
        <v>0</v>
      </c>
      <c r="P343" s="13">
        <f t="shared" si="30"/>
        <v>0.4007058114658692</v>
      </c>
    </row>
    <row r="344" spans="1:16" x14ac:dyDescent="0.25">
      <c r="A344" s="16">
        <v>232457</v>
      </c>
      <c r="B344" s="4">
        <f>INDEX([1]!PREDICT[TRUE PTS],MATCH($A344,[1]!PREDICT[HARD CODE],0))</f>
        <v>10.73311612841583</v>
      </c>
      <c r="C344" s="7" t="str">
        <f>INDEX([1]!MODEL[POS],MATCH($A344,[1]!MODEL[Code],0))</f>
        <v>MID</v>
      </c>
      <c r="D344" s="7" t="str">
        <f>INDEX([1]!MODEL[TEAM],MATCH($A344,[1]!MODEL[Code],0))</f>
        <v>IPS</v>
      </c>
      <c r="E344" s="7">
        <f>INDEX([1]PREDICT!$M$3:$M$1001,MATCH($A344,[1]PREDICT!$B$3:$B$1001,0))</f>
        <v>5</v>
      </c>
      <c r="F344" s="15" t="str">
        <f>INDEX([1]!MODEL[FPL_Name],MATCH($A344,[1]!MODEL[Code],0))</f>
        <v>Anis Mehmeti</v>
      </c>
      <c r="G344" s="10">
        <v>0</v>
      </c>
      <c r="H344" s="10">
        <v>0</v>
      </c>
      <c r="I344" s="10">
        <v>0</v>
      </c>
      <c r="J344" s="11">
        <f t="shared" si="26"/>
        <v>0</v>
      </c>
      <c r="K344" s="11">
        <f t="shared" si="27"/>
        <v>0</v>
      </c>
      <c r="L344" s="11">
        <f t="shared" si="28"/>
        <v>0</v>
      </c>
      <c r="M344" s="11">
        <v>0</v>
      </c>
      <c r="N344" s="11">
        <f t="shared" si="29"/>
        <v>0</v>
      </c>
      <c r="P344" s="13">
        <f t="shared" si="30"/>
        <v>0.42932464513663315</v>
      </c>
    </row>
    <row r="345" spans="1:16" x14ac:dyDescent="0.25">
      <c r="A345" s="16">
        <v>494950</v>
      </c>
      <c r="B345" s="4">
        <f>INDEX([1]!PREDICT[TRUE PTS],MATCH($A345,[1]!PREDICT[HARD CODE],0))</f>
        <v>-0.48669978526742153</v>
      </c>
      <c r="C345" s="7" t="str">
        <f>INDEX([1]!MODEL[POS],MATCH($A345,[1]!MODEL[Code],0))</f>
        <v>GK</v>
      </c>
      <c r="D345" s="7" t="str">
        <f>INDEX([1]!MODEL[TEAM],MATCH($A345,[1]!MODEL[Code],0))</f>
        <v>HUL</v>
      </c>
      <c r="E345" s="7">
        <f>INDEX([1]PREDICT!$M$3:$M$1001,MATCH($A345,[1]PREDICT!$B$3:$B$1001,0))</f>
        <v>4</v>
      </c>
      <c r="F345" s="15" t="str">
        <f>INDEX([1]!MODEL[FPL_Name],MATCH($A345,[1]!MODEL[Code],0))</f>
        <v>Harvey Cartwright</v>
      </c>
      <c r="G345" s="10">
        <v>0</v>
      </c>
      <c r="H345" s="10">
        <v>0</v>
      </c>
      <c r="I345" s="10">
        <v>0</v>
      </c>
      <c r="J345" s="11">
        <f t="shared" si="26"/>
        <v>0</v>
      </c>
      <c r="K345" s="11">
        <f t="shared" si="27"/>
        <v>0</v>
      </c>
      <c r="L345" s="11">
        <f t="shared" si="28"/>
        <v>0</v>
      </c>
      <c r="M345" s="11">
        <v>0</v>
      </c>
      <c r="N345" s="11">
        <f t="shared" si="29"/>
        <v>0</v>
      </c>
      <c r="P345" s="13">
        <f t="shared" si="30"/>
        <v>-2.4334989263371076E-2</v>
      </c>
    </row>
    <row r="346" spans="1:16" x14ac:dyDescent="0.25">
      <c r="A346" s="16">
        <v>451302</v>
      </c>
      <c r="B346" s="4">
        <f>INDEX([1]!PREDICT[TRUE PTS],MATCH($A346,[1]!PREDICT[HARD CODE],0))</f>
        <v>3.2508683782771026</v>
      </c>
      <c r="C346" s="7" t="str">
        <f>INDEX([1]!MODEL[POS],MATCH($A346,[1]!MODEL[Code],0))</f>
        <v>GK</v>
      </c>
      <c r="D346" s="7" t="str">
        <f>INDEX([1]!MODEL[TEAM],MATCH($A346,[1]!MODEL[Code],0))</f>
        <v>MUN</v>
      </c>
      <c r="E346" s="7">
        <f>INDEX([1]PREDICT!$M$3:$M$1001,MATCH($A346,[1]PREDICT!$B$3:$B$1001,0))</f>
        <v>4.5</v>
      </c>
      <c r="F346" s="15" t="str">
        <f>INDEX([1]!MODEL[FPL_Name],MATCH($A346,[1]!MODEL[Code],0))</f>
        <v>Altay Bayındır</v>
      </c>
      <c r="G346" s="10">
        <v>0</v>
      </c>
      <c r="H346" s="10">
        <v>0</v>
      </c>
      <c r="I346" s="10">
        <v>0</v>
      </c>
      <c r="J346" s="11">
        <f t="shared" si="26"/>
        <v>0</v>
      </c>
      <c r="K346" s="11">
        <f t="shared" si="27"/>
        <v>0</v>
      </c>
      <c r="L346" s="11">
        <f t="shared" si="28"/>
        <v>0</v>
      </c>
      <c r="M346" s="11">
        <v>0</v>
      </c>
      <c r="N346" s="11">
        <f t="shared" si="29"/>
        <v>0</v>
      </c>
      <c r="P346" s="13">
        <f t="shared" si="30"/>
        <v>0.14448303903453791</v>
      </c>
    </row>
    <row r="347" spans="1:16" x14ac:dyDescent="0.25">
      <c r="A347" s="16">
        <v>213292</v>
      </c>
      <c r="B347" s="4">
        <f>INDEX([1]!PREDICT[TRUE PTS],MATCH($A347,[1]!PREDICT[HARD CODE],0))</f>
        <v>0.4761711544001862</v>
      </c>
      <c r="C347" s="7" t="str">
        <f>INDEX([1]!MODEL[POS],MATCH($A347,[1]!MODEL[Code],0))</f>
        <v>MID</v>
      </c>
      <c r="D347" s="7" t="str">
        <f>INDEX([1]!MODEL[TEAM],MATCH($A347,[1]!MODEL[Code],0))</f>
        <v>HUL</v>
      </c>
      <c r="E347" s="7">
        <f>INDEX([1]PREDICT!$M$3:$M$1001,MATCH($A347,[1]PREDICT!$B$3:$B$1001,0))</f>
        <v>5</v>
      </c>
      <c r="F347" s="15" t="str">
        <f>INDEX([1]!MODEL[FPL_Name],MATCH($A347,[1]!MODEL[Code],0))</f>
        <v>David Akintola</v>
      </c>
      <c r="G347" s="10">
        <v>0</v>
      </c>
      <c r="H347" s="10">
        <v>0</v>
      </c>
      <c r="I347" s="10">
        <v>0</v>
      </c>
      <c r="J347" s="11">
        <f t="shared" si="26"/>
        <v>0</v>
      </c>
      <c r="K347" s="11">
        <f t="shared" si="27"/>
        <v>0</v>
      </c>
      <c r="L347" s="11">
        <f t="shared" si="28"/>
        <v>0</v>
      </c>
      <c r="M347" s="11">
        <v>0</v>
      </c>
      <c r="N347" s="11">
        <f t="shared" si="29"/>
        <v>0</v>
      </c>
      <c r="P347" s="13">
        <f t="shared" si="30"/>
        <v>1.9046846176007447E-2</v>
      </c>
    </row>
    <row r="348" spans="1:16" x14ac:dyDescent="0.25">
      <c r="A348" s="16">
        <v>616077</v>
      </c>
      <c r="B348" s="4">
        <f>INDEX([1]!PREDICT[TRUE PTS],MATCH($A348,[1]!PREDICT[HARD CODE],0))</f>
        <v>7.0773436847170252</v>
      </c>
      <c r="C348" s="7" t="str">
        <f>INDEX([1]!MODEL[POS],MATCH($A348,[1]!MODEL[Code],0))</f>
        <v>MID</v>
      </c>
      <c r="D348" s="7" t="str">
        <f>INDEX([1]!MODEL[TEAM],MATCH($A348,[1]!MODEL[Code],0))</f>
        <v>ARS</v>
      </c>
      <c r="E348" s="7">
        <f>INDEX([1]PREDICT!$M$3:$M$1001,MATCH($A348,[1]PREDICT!$B$3:$B$1001,0))</f>
        <v>5.5</v>
      </c>
      <c r="F348" s="15" t="str">
        <f>INDEX([1]!MODEL[FPL_Name],MATCH($A348,[1]!MODEL[Code],0))</f>
        <v>Max Dowman</v>
      </c>
      <c r="G348" s="10">
        <v>0</v>
      </c>
      <c r="H348" s="10">
        <v>0</v>
      </c>
      <c r="I348" s="10">
        <v>0</v>
      </c>
      <c r="J348" s="11">
        <f t="shared" si="26"/>
        <v>0</v>
      </c>
      <c r="K348" s="11">
        <f t="shared" si="27"/>
        <v>0</v>
      </c>
      <c r="L348" s="11">
        <f t="shared" si="28"/>
        <v>0</v>
      </c>
      <c r="M348" s="11">
        <v>0</v>
      </c>
      <c r="N348" s="11">
        <f t="shared" si="29"/>
        <v>0</v>
      </c>
      <c r="P348" s="13">
        <f t="shared" si="30"/>
        <v>0.25735795217152818</v>
      </c>
    </row>
    <row r="349" spans="1:16" x14ac:dyDescent="0.25">
      <c r="A349" s="16">
        <v>519634</v>
      </c>
      <c r="B349" s="4">
        <f>INDEX([1]!PREDICT[TRUE PTS],MATCH($A349,[1]!PREDICT[HARD CODE],0))</f>
        <v>2.6681670102147654</v>
      </c>
      <c r="C349" s="7" t="str">
        <f>INDEX([1]!MODEL[POS],MATCH($A349,[1]!MODEL[Code],0))</f>
        <v>DEF</v>
      </c>
      <c r="D349" s="7" t="str">
        <f>INDEX([1]!MODEL[TEAM],MATCH($A349,[1]!MODEL[Code],0))</f>
        <v>SUN</v>
      </c>
      <c r="E349" s="7">
        <f>INDEX([1]PREDICT!$M$3:$M$1001,MATCH($A349,[1]PREDICT!$B$3:$B$1001,0))</f>
        <v>4.5</v>
      </c>
      <c r="F349" s="15" t="str">
        <f>INDEX([1]!MODEL[FPL_Name],MATCH($A349,[1]!MODEL[Code],0))</f>
        <v>Jenson Seelt</v>
      </c>
      <c r="G349" s="10">
        <v>0</v>
      </c>
      <c r="H349" s="10">
        <v>0</v>
      </c>
      <c r="I349" s="10">
        <v>0</v>
      </c>
      <c r="J349" s="11">
        <f t="shared" si="26"/>
        <v>0</v>
      </c>
      <c r="K349" s="11">
        <f t="shared" si="27"/>
        <v>0</v>
      </c>
      <c r="L349" s="11">
        <f t="shared" si="28"/>
        <v>0</v>
      </c>
      <c r="M349" s="11">
        <v>0</v>
      </c>
      <c r="N349" s="11">
        <f t="shared" si="29"/>
        <v>0</v>
      </c>
      <c r="P349" s="13">
        <f t="shared" si="30"/>
        <v>0.11858520045398957</v>
      </c>
    </row>
    <row r="350" spans="1:16" x14ac:dyDescent="0.25">
      <c r="A350" s="16">
        <v>496661</v>
      </c>
      <c r="B350" s="4">
        <f>INDEX([1]!PREDICT[TRUE PTS],MATCH($A350,[1]!PREDICT[HARD CODE],0))</f>
        <v>2.6034698956133187</v>
      </c>
      <c r="C350" s="7" t="str">
        <f>INDEX([1]!MODEL[POS],MATCH($A350,[1]!MODEL[Code],0))</f>
        <v>MID</v>
      </c>
      <c r="D350" s="7" t="str">
        <f>INDEX([1]!MODEL[TEAM],MATCH($A350,[1]!MODEL[Code],0))</f>
        <v>EVE</v>
      </c>
      <c r="E350" s="7">
        <f>INDEX([1]PREDICT!$M$3:$M$1001,MATCH($A350,[1]PREDICT!$B$3:$B$1001,0))</f>
        <v>5.5</v>
      </c>
      <c r="F350" s="15" t="str">
        <f>INDEX([1]!MODEL[FPL_Name],MATCH($A350,[1]!MODEL[Code],0))</f>
        <v>Tyler Dibling</v>
      </c>
      <c r="G350" s="10">
        <v>0</v>
      </c>
      <c r="H350" s="10">
        <v>0</v>
      </c>
      <c r="I350" s="10">
        <v>0</v>
      </c>
      <c r="J350" s="11">
        <f t="shared" si="26"/>
        <v>0</v>
      </c>
      <c r="K350" s="11">
        <f t="shared" si="27"/>
        <v>0</v>
      </c>
      <c r="L350" s="11">
        <f t="shared" si="28"/>
        <v>0</v>
      </c>
      <c r="M350" s="11">
        <v>0</v>
      </c>
      <c r="N350" s="11">
        <f t="shared" si="29"/>
        <v>0</v>
      </c>
      <c r="P350" s="13">
        <f t="shared" si="30"/>
        <v>9.4671632567757041E-2</v>
      </c>
    </row>
    <row r="351" spans="1:16" x14ac:dyDescent="0.25">
      <c r="A351" s="16">
        <v>153366</v>
      </c>
      <c r="B351" s="4">
        <f>INDEX([1]!PREDICT[TRUE PTS],MATCH($A351,[1]!PREDICT[HARD CODE],0))</f>
        <v>2.5781287027605173</v>
      </c>
      <c r="C351" s="7" t="str">
        <f>INDEX([1]!MODEL[POS],MATCH($A351,[1]!MODEL[Code],0))</f>
        <v>MID</v>
      </c>
      <c r="D351" s="7" t="str">
        <f>INDEX([1]!MODEL[TEAM],MATCH($A351,[1]!MODEL[Code],0))</f>
        <v>FUL</v>
      </c>
      <c r="E351" s="7">
        <f>INDEX([1]PREDICT!$M$3:$M$1001,MATCH($A351,[1]PREDICT!$B$3:$B$1001,0))</f>
        <v>4.5</v>
      </c>
      <c r="F351" s="15" t="str">
        <f>INDEX([1]!MODEL[FPL_Name],MATCH($A351,[1]!MODEL[Code],0))</f>
        <v>Harrison Reed</v>
      </c>
      <c r="G351" s="10">
        <v>0</v>
      </c>
      <c r="H351" s="10">
        <v>0</v>
      </c>
      <c r="I351" s="10">
        <v>0</v>
      </c>
      <c r="J351" s="11">
        <f t="shared" si="26"/>
        <v>0</v>
      </c>
      <c r="K351" s="11">
        <f t="shared" si="27"/>
        <v>0</v>
      </c>
      <c r="L351" s="11">
        <f t="shared" si="28"/>
        <v>0</v>
      </c>
      <c r="M351" s="11">
        <v>0</v>
      </c>
      <c r="N351" s="11">
        <f t="shared" si="29"/>
        <v>0</v>
      </c>
      <c r="P351" s="13">
        <f t="shared" si="30"/>
        <v>0.11458349790046744</v>
      </c>
    </row>
    <row r="352" spans="1:16" x14ac:dyDescent="0.25">
      <c r="A352" s="16">
        <v>485055</v>
      </c>
      <c r="B352" s="4">
        <f>INDEX([1]!PREDICT[TRUE PTS],MATCH($A352,[1]!PREDICT[HARD CODE],0))</f>
        <v>3.0373246623718106</v>
      </c>
      <c r="C352" s="7" t="str">
        <f>INDEX([1]!MODEL[POS],MATCH($A352,[1]!MODEL[Code],0))</f>
        <v>GK</v>
      </c>
      <c r="D352" s="7" t="str">
        <f>INDEX([1]!MODEL[TEAM],MATCH($A352,[1]!MODEL[Code],0))</f>
        <v>TOT</v>
      </c>
      <c r="E352" s="7">
        <f>INDEX([1]PREDICT!$M$3:$M$1001,MATCH($A352,[1]PREDICT!$B$3:$B$1001,0))</f>
        <v>4.5</v>
      </c>
      <c r="F352" s="15" t="str">
        <f>INDEX([1]!MODEL[FPL_Name],MATCH($A352,[1]!MODEL[Code],0))</f>
        <v>Antonín Kinský</v>
      </c>
      <c r="G352" s="10">
        <v>0</v>
      </c>
      <c r="H352" s="10">
        <v>0</v>
      </c>
      <c r="I352" s="10">
        <v>0</v>
      </c>
      <c r="J352" s="11">
        <f t="shared" si="26"/>
        <v>0</v>
      </c>
      <c r="K352" s="11">
        <f t="shared" si="27"/>
        <v>0</v>
      </c>
      <c r="L352" s="11">
        <f t="shared" si="28"/>
        <v>0</v>
      </c>
      <c r="M352" s="11">
        <v>0</v>
      </c>
      <c r="N352" s="11">
        <f t="shared" si="29"/>
        <v>0</v>
      </c>
      <c r="P352" s="13">
        <f t="shared" si="30"/>
        <v>0.13499220721652491</v>
      </c>
    </row>
    <row r="353" spans="1:16" x14ac:dyDescent="0.25">
      <c r="A353" s="16">
        <v>146426</v>
      </c>
      <c r="B353" s="4">
        <f>INDEX([1]!PREDICT[TRUE PTS],MATCH($A353,[1]!PREDICT[HARD CODE],0))</f>
        <v>6.2103558442266058</v>
      </c>
      <c r="C353" s="7" t="str">
        <f>INDEX([1]!MODEL[POS],MATCH($A353,[1]!MODEL[Code],0))</f>
        <v>DEF</v>
      </c>
      <c r="D353" s="7" t="str">
        <f>INDEX([1]!MODEL[TEAM],MATCH($A353,[1]!MODEL[Code],0))</f>
        <v>HUL</v>
      </c>
      <c r="E353" s="7">
        <f>INDEX([1]PREDICT!$M$3:$M$1001,MATCH($A353,[1]PREDICT!$B$3:$B$1001,0))</f>
        <v>4</v>
      </c>
      <c r="F353" s="15" t="str">
        <f>INDEX([1]!MODEL[FPL_Name],MATCH($A353,[1]!MODEL[Code],0))</f>
        <v>Semi Ajayi</v>
      </c>
      <c r="G353" s="10">
        <v>0</v>
      </c>
      <c r="H353" s="10">
        <v>0</v>
      </c>
      <c r="I353" s="10">
        <v>0</v>
      </c>
      <c r="J353" s="11">
        <f t="shared" si="26"/>
        <v>0</v>
      </c>
      <c r="K353" s="11">
        <f t="shared" si="27"/>
        <v>0</v>
      </c>
      <c r="L353" s="11">
        <f t="shared" si="28"/>
        <v>0</v>
      </c>
      <c r="M353" s="11">
        <v>0</v>
      </c>
      <c r="N353" s="11">
        <f t="shared" si="29"/>
        <v>0</v>
      </c>
      <c r="P353" s="13">
        <f t="shared" si="30"/>
        <v>0.3105177922113303</v>
      </c>
    </row>
    <row r="354" spans="1:16" x14ac:dyDescent="0.25">
      <c r="A354" s="16">
        <v>534392</v>
      </c>
      <c r="B354" s="4">
        <f>INDEX([1]!PREDICT[TRUE PTS],MATCH($A354,[1]!PREDICT[HARD CODE],0))</f>
        <v>0.42667115440018627</v>
      </c>
      <c r="C354" s="7" t="str">
        <f>INDEX([1]!MODEL[POS],MATCH($A354,[1]!MODEL[Code],0))</f>
        <v>FWD</v>
      </c>
      <c r="D354" s="7" t="str">
        <f>INDEX([1]!MODEL[TEAM],MATCH($A354,[1]!MODEL[Code],0))</f>
        <v>HUL</v>
      </c>
      <c r="E354" s="7">
        <f>INDEX([1]PREDICT!$M$3:$M$1001,MATCH($A354,[1]PREDICT!$B$3:$B$1001,0))</f>
        <v>4.5</v>
      </c>
      <c r="F354" s="15" t="str">
        <f>INDEX([1]!MODEL[FPL_Name],MATCH($A354,[1]!MODEL[Code],0))</f>
        <v>Mason Burstow</v>
      </c>
      <c r="G354" s="10">
        <v>0</v>
      </c>
      <c r="H354" s="10">
        <v>0</v>
      </c>
      <c r="I354" s="10">
        <v>0</v>
      </c>
      <c r="J354" s="11">
        <f t="shared" si="26"/>
        <v>0</v>
      </c>
      <c r="K354" s="11">
        <f t="shared" si="27"/>
        <v>0</v>
      </c>
      <c r="L354" s="11">
        <f t="shared" si="28"/>
        <v>0</v>
      </c>
      <c r="M354" s="11">
        <v>0</v>
      </c>
      <c r="N354" s="11">
        <f t="shared" si="29"/>
        <v>0</v>
      </c>
      <c r="P354" s="13">
        <f t="shared" si="30"/>
        <v>1.8963162417786054E-2</v>
      </c>
    </row>
    <row r="355" spans="1:16" x14ac:dyDescent="0.25">
      <c r="A355" s="16">
        <v>243413</v>
      </c>
      <c r="B355" s="4">
        <f>INDEX([1]!PREDICT[TRUE PTS],MATCH($A355,[1]!PREDICT[HARD CODE],0))</f>
        <v>10.347437960171646</v>
      </c>
      <c r="C355" s="7" t="str">
        <f>INDEX([1]!MODEL[POS],MATCH($A355,[1]!MODEL[Code],0))</f>
        <v>MID</v>
      </c>
      <c r="D355" s="7" t="str">
        <f>INDEX([1]!MODEL[TEAM],MATCH($A355,[1]!MODEL[Code],0))</f>
        <v>HUL</v>
      </c>
      <c r="E355" s="7">
        <f>INDEX([1]PREDICT!$M$3:$M$1001,MATCH($A355,[1]PREDICT!$B$3:$B$1001,0))</f>
        <v>4.5</v>
      </c>
      <c r="F355" s="15" t="str">
        <f>INDEX([1]!MODEL[FPL_Name],MATCH($A355,[1]!MODEL[Code],0))</f>
        <v>Regan Slater</v>
      </c>
      <c r="G355" s="10">
        <v>0</v>
      </c>
      <c r="H355" s="10">
        <v>0</v>
      </c>
      <c r="I355" s="10">
        <v>0</v>
      </c>
      <c r="J355" s="11">
        <f t="shared" si="26"/>
        <v>0</v>
      </c>
      <c r="K355" s="11">
        <f t="shared" si="27"/>
        <v>0</v>
      </c>
      <c r="L355" s="11">
        <f t="shared" si="28"/>
        <v>0</v>
      </c>
      <c r="M355" s="11">
        <v>0</v>
      </c>
      <c r="N355" s="11">
        <f t="shared" si="29"/>
        <v>0</v>
      </c>
      <c r="P355" s="13">
        <f t="shared" si="30"/>
        <v>0.45988613156318425</v>
      </c>
    </row>
    <row r="356" spans="1:16" x14ac:dyDescent="0.25">
      <c r="A356" s="16">
        <v>432720</v>
      </c>
      <c r="B356" s="4">
        <f>INDEX([1]!PREDICT[TRUE PTS],MATCH($A356,[1]!PREDICT[HARD CODE],0))</f>
        <v>2.327604173977297</v>
      </c>
      <c r="C356" s="7" t="str">
        <f>INDEX([1]!MODEL[POS],MATCH($A356,[1]!MODEL[Code],0))</f>
        <v>GK</v>
      </c>
      <c r="D356" s="7" t="str">
        <f>INDEX([1]!MODEL[TEAM],MATCH($A356,[1]!MODEL[Code],0))</f>
        <v>MCI</v>
      </c>
      <c r="E356" s="7">
        <f>INDEX([1]PREDICT!$M$3:$M$1001,MATCH($A356,[1]PREDICT!$B$3:$B$1001,0))</f>
        <v>5</v>
      </c>
      <c r="F356" s="15" t="str">
        <f>INDEX([1]!MODEL[FPL_Name],MATCH($A356,[1]!MODEL[Code],0))</f>
        <v>James Trafford</v>
      </c>
      <c r="G356" s="10">
        <v>0</v>
      </c>
      <c r="H356" s="10">
        <v>0</v>
      </c>
      <c r="I356" s="10">
        <v>0</v>
      </c>
      <c r="J356" s="11">
        <f t="shared" si="26"/>
        <v>0</v>
      </c>
      <c r="K356" s="11">
        <f t="shared" si="27"/>
        <v>0</v>
      </c>
      <c r="L356" s="11">
        <f t="shared" si="28"/>
        <v>0</v>
      </c>
      <c r="M356" s="11">
        <v>0</v>
      </c>
      <c r="N356" s="11">
        <f t="shared" si="29"/>
        <v>0</v>
      </c>
      <c r="P356" s="13">
        <f t="shared" si="30"/>
        <v>9.3104166959091877E-2</v>
      </c>
    </row>
    <row r="357" spans="1:16" x14ac:dyDescent="0.25">
      <c r="A357" s="16">
        <v>232351</v>
      </c>
      <c r="B357" s="4">
        <f>INDEX([1]!PREDICT[TRUE PTS],MATCH($A357,[1]!PREDICT[HARD CODE],0))</f>
        <v>8.1164308896581048</v>
      </c>
      <c r="C357" s="7" t="str">
        <f>INDEX([1]!MODEL[POS],MATCH($A357,[1]!MODEL[Code],0))</f>
        <v>DEF</v>
      </c>
      <c r="D357" s="7" t="str">
        <f>INDEX([1]!MODEL[TEAM],MATCH($A357,[1]!MODEL[Code],0))</f>
        <v>HUL</v>
      </c>
      <c r="E357" s="7">
        <f>INDEX([1]PREDICT!$M$3:$M$1001,MATCH($A357,[1]PREDICT!$B$3:$B$1001,0))</f>
        <v>4</v>
      </c>
      <c r="F357" s="15" t="str">
        <f>INDEX([1]!MODEL[FPL_Name],MATCH($A357,[1]!MODEL[Code],0))</f>
        <v>Ryan Giles</v>
      </c>
      <c r="G357" s="10">
        <v>0</v>
      </c>
      <c r="H357" s="10">
        <v>0</v>
      </c>
      <c r="I357" s="10">
        <v>0</v>
      </c>
      <c r="J357" s="11">
        <f t="shared" si="26"/>
        <v>0</v>
      </c>
      <c r="K357" s="11">
        <f t="shared" si="27"/>
        <v>0</v>
      </c>
      <c r="L357" s="11">
        <f t="shared" si="28"/>
        <v>0</v>
      </c>
      <c r="M357" s="11">
        <v>0</v>
      </c>
      <c r="N357" s="11">
        <f t="shared" si="29"/>
        <v>0</v>
      </c>
      <c r="P357" s="13">
        <f t="shared" si="30"/>
        <v>0.40582154448290525</v>
      </c>
    </row>
    <row r="358" spans="1:16" x14ac:dyDescent="0.25">
      <c r="A358" s="16">
        <v>550615</v>
      </c>
      <c r="B358" s="4">
        <f>INDEX([1]!PREDICT[TRUE PTS],MATCH($A358,[1]!PREDICT[HARD CODE],0))</f>
        <v>7.4619748329468063</v>
      </c>
      <c r="C358" s="7" t="str">
        <f>INDEX([1]!MODEL[POS],MATCH($A358,[1]!MODEL[Code],0))</f>
        <v>MID</v>
      </c>
      <c r="D358" s="7" t="str">
        <f>INDEX([1]!MODEL[TEAM],MATCH($A358,[1]!MODEL[Code],0))</f>
        <v>EVE</v>
      </c>
      <c r="E358" s="7">
        <f>INDEX([1]PREDICT!$M$3:$M$1001,MATCH($A358,[1]PREDICT!$B$3:$B$1001,0))</f>
        <v>5.5</v>
      </c>
      <c r="F358" s="15" t="str">
        <f>INDEX([1]!MODEL[FPL_Name],MATCH($A358,[1]!MODEL[Code],0))</f>
        <v>Tyrique George</v>
      </c>
      <c r="G358" s="10">
        <v>0</v>
      </c>
      <c r="H358" s="10">
        <v>0</v>
      </c>
      <c r="I358" s="10">
        <v>0</v>
      </c>
      <c r="J358" s="11">
        <f t="shared" si="26"/>
        <v>0</v>
      </c>
      <c r="K358" s="11">
        <f t="shared" si="27"/>
        <v>0</v>
      </c>
      <c r="L358" s="11">
        <f t="shared" si="28"/>
        <v>0</v>
      </c>
      <c r="M358" s="11">
        <v>0</v>
      </c>
      <c r="N358" s="11">
        <f t="shared" si="29"/>
        <v>0</v>
      </c>
      <c r="P358" s="13">
        <f t="shared" si="30"/>
        <v>0.27134453937988384</v>
      </c>
    </row>
    <row r="359" spans="1:16" x14ac:dyDescent="0.25">
      <c r="A359" s="16">
        <v>155503</v>
      </c>
      <c r="B359" s="4">
        <f>INDEX([1]!PREDICT[TRUE PTS],MATCH($A359,[1]!PREDICT[HARD CODE],0))</f>
        <v>2.2945852874205039</v>
      </c>
      <c r="C359" s="7" t="str">
        <f>INDEX([1]!MODEL[POS],MATCH($A359,[1]!MODEL[Code],0))</f>
        <v>GK</v>
      </c>
      <c r="D359" s="7" t="str">
        <f>INDEX([1]!MODEL[TEAM],MATCH($A359,[1]!MODEL[Code],0))</f>
        <v>LIV</v>
      </c>
      <c r="E359" s="7">
        <f>INDEX([1]PREDICT!$M$3:$M$1001,MATCH($A359,[1]PREDICT!$B$3:$B$1001,0))</f>
        <v>4</v>
      </c>
      <c r="F359" s="15" t="str">
        <f>INDEX([1]!MODEL[FPL_Name],MATCH($A359,[1]!MODEL[Code],0))</f>
        <v>Freddie Woodman</v>
      </c>
      <c r="G359" s="10">
        <v>0</v>
      </c>
      <c r="H359" s="10">
        <v>0</v>
      </c>
      <c r="I359" s="10">
        <v>0</v>
      </c>
      <c r="J359" s="11">
        <f t="shared" si="26"/>
        <v>0</v>
      </c>
      <c r="K359" s="11">
        <f t="shared" si="27"/>
        <v>0</v>
      </c>
      <c r="L359" s="11">
        <f t="shared" si="28"/>
        <v>0</v>
      </c>
      <c r="M359" s="11">
        <v>0</v>
      </c>
      <c r="N359" s="11">
        <f t="shared" si="29"/>
        <v>0</v>
      </c>
      <c r="P359" s="13">
        <f t="shared" si="30"/>
        <v>0.11472926437102519</v>
      </c>
    </row>
    <row r="360" spans="1:16" x14ac:dyDescent="0.25">
      <c r="A360" s="16">
        <v>606798</v>
      </c>
      <c r="B360" s="4">
        <f>INDEX([1]!PREDICT[TRUE PTS],MATCH($A360,[1]!PREDICT[HARD CODE],0))</f>
        <v>2.2585414873426495</v>
      </c>
      <c r="C360" s="7" t="str">
        <f>INDEX([1]!MODEL[POS],MATCH($A360,[1]!MODEL[Code],0))</f>
        <v>DEF</v>
      </c>
      <c r="D360" s="7" t="str">
        <f>INDEX([1]!MODEL[TEAM],MATCH($A360,[1]!MODEL[Code],0))</f>
        <v>AVL</v>
      </c>
      <c r="E360" s="7">
        <f>INDEX([1]PREDICT!$M$3:$M$1001,MATCH($A360,[1]PREDICT!$B$3:$B$1001,0))</f>
        <v>4</v>
      </c>
      <c r="F360" s="15" t="str">
        <f>INDEX([1]!MODEL[FPL_Name],MATCH($A360,[1]!MODEL[Code],0))</f>
        <v>Andrés García</v>
      </c>
      <c r="G360" s="10">
        <v>0</v>
      </c>
      <c r="H360" s="10">
        <v>0</v>
      </c>
      <c r="I360" s="10">
        <v>0</v>
      </c>
      <c r="J360" s="11">
        <f t="shared" si="26"/>
        <v>0</v>
      </c>
      <c r="K360" s="11">
        <f t="shared" si="27"/>
        <v>0</v>
      </c>
      <c r="L360" s="11">
        <f t="shared" si="28"/>
        <v>0</v>
      </c>
      <c r="M360" s="11">
        <v>0</v>
      </c>
      <c r="N360" s="11">
        <f t="shared" si="29"/>
        <v>0</v>
      </c>
      <c r="P360" s="13">
        <f t="shared" si="30"/>
        <v>0.11292707436713248</v>
      </c>
    </row>
    <row r="361" spans="1:16" x14ac:dyDescent="0.25">
      <c r="A361" s="16">
        <v>436761</v>
      </c>
      <c r="B361" s="4">
        <f>INDEX([1]!PREDICT[TRUE PTS],MATCH($A361,[1]!PREDICT[HARD CODE],0))</f>
        <v>10.95207989919793</v>
      </c>
      <c r="C361" s="7" t="str">
        <f>INDEX([1]!MODEL[POS],MATCH($A361,[1]!MODEL[Code],0))</f>
        <v>DEF</v>
      </c>
      <c r="D361" s="7" t="str">
        <f>INDEX([1]!MODEL[TEAM],MATCH($A361,[1]!MODEL[Code],0))</f>
        <v>COV</v>
      </c>
      <c r="E361" s="7">
        <f>INDEX([1]PREDICT!$M$3:$M$1001,MATCH($A361,[1]PREDICT!$B$3:$B$1001,0))</f>
        <v>4</v>
      </c>
      <c r="F361" s="15" t="str">
        <f>INDEX([1]!MODEL[FPL_Name],MATCH($A361,[1]!MODEL[Code],0))</f>
        <v>Liam Kitching</v>
      </c>
      <c r="G361" s="10">
        <v>0</v>
      </c>
      <c r="H361" s="10">
        <v>0</v>
      </c>
      <c r="I361" s="10">
        <v>0</v>
      </c>
      <c r="J361" s="11">
        <f t="shared" si="26"/>
        <v>0</v>
      </c>
      <c r="K361" s="11">
        <f t="shared" si="27"/>
        <v>0</v>
      </c>
      <c r="L361" s="11">
        <f t="shared" si="28"/>
        <v>0</v>
      </c>
      <c r="M361" s="11">
        <v>0</v>
      </c>
      <c r="N361" s="11">
        <f t="shared" si="29"/>
        <v>0</v>
      </c>
      <c r="P361" s="13">
        <f t="shared" si="30"/>
        <v>0.54760399495989653</v>
      </c>
    </row>
    <row r="362" spans="1:16" x14ac:dyDescent="0.25">
      <c r="A362" s="16">
        <v>451340</v>
      </c>
      <c r="B362" s="4">
        <f>INDEX([1]!PREDICT[TRUE PTS],MATCH($A362,[1]!PREDICT[HARD CODE],0))</f>
        <v>2.1518814625706115</v>
      </c>
      <c r="C362" s="7" t="str">
        <f>INDEX([1]!MODEL[POS],MATCH($A362,[1]!MODEL[Code],0))</f>
        <v>MID</v>
      </c>
      <c r="D362" s="7" t="str">
        <f>INDEX([1]!MODEL[TEAM],MATCH($A362,[1]!MODEL[Code],0))</f>
        <v>BHA</v>
      </c>
      <c r="E362" s="7">
        <f>INDEX([1]PREDICT!$M$3:$M$1001,MATCH($A362,[1]PREDICT!$B$3:$B$1001,0))</f>
        <v>6</v>
      </c>
      <c r="F362" s="15" t="str">
        <f>INDEX([1]!MODEL[FPL_Name],MATCH($A362,[1]!MODEL[Code],0))</f>
        <v>Mitoma Kaoru</v>
      </c>
      <c r="G362" s="10">
        <v>0</v>
      </c>
      <c r="H362" s="10">
        <v>0</v>
      </c>
      <c r="I362" s="10">
        <v>0</v>
      </c>
      <c r="J362" s="11">
        <f t="shared" si="26"/>
        <v>0</v>
      </c>
      <c r="K362" s="11">
        <f t="shared" si="27"/>
        <v>0</v>
      </c>
      <c r="L362" s="11">
        <f t="shared" si="28"/>
        <v>0</v>
      </c>
      <c r="M362" s="11">
        <v>0</v>
      </c>
      <c r="N362" s="11">
        <f t="shared" si="29"/>
        <v>0</v>
      </c>
      <c r="P362" s="13">
        <f t="shared" si="30"/>
        <v>7.1729382085687049E-2</v>
      </c>
    </row>
    <row r="363" spans="1:16" x14ac:dyDescent="0.25">
      <c r="A363" s="16">
        <v>574458</v>
      </c>
      <c r="B363" s="4">
        <f>INDEX([1]!PREDICT[TRUE PTS],MATCH($A363,[1]!PREDICT[HARD CODE],0))</f>
        <v>3.6917865264636767</v>
      </c>
      <c r="C363" s="7" t="str">
        <f>INDEX([1]!MODEL[POS],MATCH($A363,[1]!MODEL[Code],0))</f>
        <v>DEF</v>
      </c>
      <c r="D363" s="7" t="str">
        <f>INDEX([1]!MODEL[TEAM],MATCH($A363,[1]!MODEL[Code],0))</f>
        <v>CHE</v>
      </c>
      <c r="E363" s="7">
        <f>INDEX([1]PREDICT!$M$3:$M$1001,MATCH($A363,[1]PREDICT!$B$3:$B$1001,0))</f>
        <v>4.5</v>
      </c>
      <c r="F363" s="15" t="str">
        <f>INDEX([1]!MODEL[FPL_Name],MATCH($A363,[1]!MODEL[Code],0))</f>
        <v>Mamadou Sarr</v>
      </c>
      <c r="G363" s="10">
        <v>0</v>
      </c>
      <c r="H363" s="10">
        <v>0</v>
      </c>
      <c r="I363" s="10">
        <v>0</v>
      </c>
      <c r="J363" s="11">
        <f t="shared" si="26"/>
        <v>0</v>
      </c>
      <c r="K363" s="11">
        <f t="shared" si="27"/>
        <v>0</v>
      </c>
      <c r="L363" s="11">
        <f t="shared" si="28"/>
        <v>0</v>
      </c>
      <c r="M363" s="11">
        <v>0</v>
      </c>
      <c r="N363" s="11">
        <f t="shared" si="29"/>
        <v>0</v>
      </c>
      <c r="P363" s="13">
        <f t="shared" si="30"/>
        <v>0.1640794011761634</v>
      </c>
    </row>
    <row r="364" spans="1:16" x14ac:dyDescent="0.25">
      <c r="A364" s="16">
        <v>455084</v>
      </c>
      <c r="B364" s="4">
        <f>INDEX([1]!PREDICT[TRUE PTS],MATCH($A364,[1]!PREDICT[HARD CODE],0))</f>
        <v>16.306357976243621</v>
      </c>
      <c r="C364" s="7" t="str">
        <f>INDEX([1]!MODEL[POS],MATCH($A364,[1]!MODEL[Code],0))</f>
        <v>DEF</v>
      </c>
      <c r="D364" s="7" t="str">
        <f>INDEX([1]!MODEL[TEAM],MATCH($A364,[1]!MODEL[Code],0))</f>
        <v>IPS</v>
      </c>
      <c r="E364" s="7">
        <f>INDEX([1]PREDICT!$M$3:$M$1001,MATCH($A364,[1]PREDICT!$B$3:$B$1001,0))</f>
        <v>4</v>
      </c>
      <c r="F364" s="15" t="str">
        <f>INDEX([1]!MODEL[FPL_Name],MATCH($A364,[1]!MODEL[Code],0))</f>
        <v>Leif Davis</v>
      </c>
      <c r="G364" s="10">
        <v>0</v>
      </c>
      <c r="H364" s="10">
        <v>0</v>
      </c>
      <c r="I364" s="10">
        <v>0</v>
      </c>
      <c r="J364" s="11">
        <f t="shared" si="26"/>
        <v>0</v>
      </c>
      <c r="K364" s="11">
        <f t="shared" si="27"/>
        <v>0</v>
      </c>
      <c r="L364" s="11">
        <f t="shared" si="28"/>
        <v>0</v>
      </c>
      <c r="M364" s="11">
        <v>0</v>
      </c>
      <c r="N364" s="11">
        <f t="shared" si="29"/>
        <v>0</v>
      </c>
      <c r="P364" s="13">
        <f t="shared" si="30"/>
        <v>0.81531789881218109</v>
      </c>
    </row>
    <row r="365" spans="1:16" x14ac:dyDescent="0.25">
      <c r="A365" s="16">
        <v>128295</v>
      </c>
      <c r="B365" s="4">
        <f>INDEX([1]!PREDICT[TRUE PTS],MATCH($A365,[1]!PREDICT[HARD CODE],0))</f>
        <v>2.0455027604112996</v>
      </c>
      <c r="C365" s="7" t="str">
        <f>INDEX([1]!MODEL[POS],MATCH($A365,[1]!MODEL[Code],0))</f>
        <v>MID</v>
      </c>
      <c r="D365" s="7" t="str">
        <f>INDEX([1]!MODEL[TEAM],MATCH($A365,[1]!MODEL[Code],0))</f>
        <v>ARS</v>
      </c>
      <c r="E365" s="7">
        <f>INDEX([1]PREDICT!$M$3:$M$1001,MATCH($A365,[1]PREDICT!$B$3:$B$1001,0))</f>
        <v>5</v>
      </c>
      <c r="F365" s="15" t="str">
        <f>INDEX([1]!MODEL[FPL_Name],MATCH($A365,[1]!MODEL[Code],0))</f>
        <v>Christian Nørgaard</v>
      </c>
      <c r="G365" s="10">
        <v>0</v>
      </c>
      <c r="H365" s="10">
        <v>0</v>
      </c>
      <c r="I365" s="10">
        <v>0</v>
      </c>
      <c r="J365" s="11">
        <f t="shared" si="26"/>
        <v>0</v>
      </c>
      <c r="K365" s="11">
        <f t="shared" si="27"/>
        <v>0</v>
      </c>
      <c r="L365" s="11">
        <f t="shared" si="28"/>
        <v>0</v>
      </c>
      <c r="M365" s="11">
        <v>0</v>
      </c>
      <c r="N365" s="11">
        <f t="shared" si="29"/>
        <v>0</v>
      </c>
      <c r="P365" s="13">
        <f t="shared" si="30"/>
        <v>8.1820110416451985E-2</v>
      </c>
    </row>
    <row r="366" spans="1:16" x14ac:dyDescent="0.25">
      <c r="A366" s="16">
        <v>204561</v>
      </c>
      <c r="B366" s="4">
        <f>INDEX([1]!PREDICT[TRUE PTS],MATCH($A366,[1]!PREDICT[HARD CODE],0))</f>
        <v>0.59910075096458104</v>
      </c>
      <c r="C366" s="7" t="str">
        <f>INDEX([1]!MODEL[POS],MATCH($A366,[1]!MODEL[Code],0))</f>
        <v>MID</v>
      </c>
      <c r="D366" s="7" t="str">
        <f>INDEX([1]!MODEL[TEAM],MATCH($A366,[1]!MODEL[Code],0))</f>
        <v>NFO</v>
      </c>
      <c r="E366" s="7">
        <f>INDEX([1]PREDICT!$M$3:$M$1001,MATCH($A366,[1]PREDICT!$B$3:$B$1001,0))</f>
        <v>5</v>
      </c>
      <c r="F366" s="15" t="str">
        <f>INDEX([1]!MODEL[FPL_Name],MATCH($A366,[1]!MODEL[Code],0))</f>
        <v>Xaver Schlager</v>
      </c>
      <c r="G366" s="10">
        <v>0</v>
      </c>
      <c r="H366" s="10">
        <v>0</v>
      </c>
      <c r="I366" s="10">
        <v>0</v>
      </c>
      <c r="J366" s="11">
        <f t="shared" si="26"/>
        <v>0</v>
      </c>
      <c r="K366" s="11">
        <f t="shared" si="27"/>
        <v>0</v>
      </c>
      <c r="L366" s="11">
        <f t="shared" si="28"/>
        <v>0</v>
      </c>
      <c r="M366" s="11">
        <v>0</v>
      </c>
      <c r="N366" s="11">
        <f t="shared" si="29"/>
        <v>0</v>
      </c>
      <c r="P366" s="13">
        <f t="shared" si="30"/>
        <v>2.3964030038583242E-2</v>
      </c>
    </row>
    <row r="367" spans="1:16" x14ac:dyDescent="0.25">
      <c r="A367" s="16">
        <v>461587</v>
      </c>
      <c r="B367" s="4">
        <f>INDEX([1]!PREDICT[TRUE PTS],MATCH($A367,[1]!PREDICT[HARD CODE],0))</f>
        <v>6.7856678907425723</v>
      </c>
      <c r="C367" s="7" t="str">
        <f>INDEX([1]!MODEL[POS],MATCH($A367,[1]!MODEL[Code],0))</f>
        <v>MID</v>
      </c>
      <c r="D367" s="7" t="str">
        <f>INDEX([1]!MODEL[TEAM],MATCH($A367,[1]!MODEL[Code],0))</f>
        <v>IPS</v>
      </c>
      <c r="E367" s="7">
        <f>INDEX([1]PREDICT!$M$3:$M$1001,MATCH($A367,[1]PREDICT!$B$3:$B$1001,0))</f>
        <v>4.5</v>
      </c>
      <c r="F367" s="15" t="str">
        <f>INDEX([1]!MODEL[FPL_Name],MATCH($A367,[1]!MODEL[Code],0))</f>
        <v>Kasey McAteer</v>
      </c>
      <c r="G367" s="10">
        <v>0</v>
      </c>
      <c r="H367" s="10">
        <v>0</v>
      </c>
      <c r="I367" s="10">
        <v>0</v>
      </c>
      <c r="J367" s="11">
        <f t="shared" si="26"/>
        <v>0</v>
      </c>
      <c r="K367" s="11">
        <f t="shared" si="27"/>
        <v>0</v>
      </c>
      <c r="L367" s="11">
        <f t="shared" si="28"/>
        <v>0</v>
      </c>
      <c r="M367" s="11">
        <v>0</v>
      </c>
      <c r="N367" s="11">
        <f t="shared" si="29"/>
        <v>0</v>
      </c>
      <c r="P367" s="13">
        <f t="shared" si="30"/>
        <v>0.30158523958855876</v>
      </c>
    </row>
    <row r="368" spans="1:16" x14ac:dyDescent="0.25">
      <c r="A368" s="16">
        <v>543295</v>
      </c>
      <c r="B368" s="4">
        <f>INDEX([1]!PREDICT[TRUE PTS],MATCH($A368,[1]!PREDICT[HARD CODE],0))</f>
        <v>1.9317400921369257</v>
      </c>
      <c r="C368" s="7" t="str">
        <f>INDEX([1]!MODEL[POS],MATCH($A368,[1]!MODEL[Code],0))</f>
        <v>MID</v>
      </c>
      <c r="D368" s="7" t="str">
        <f>INDEX([1]!MODEL[TEAM],MATCH($A368,[1]!MODEL[Code],0))</f>
        <v>BRE</v>
      </c>
      <c r="E368" s="7">
        <f>INDEX([1]PREDICT!$M$3:$M$1001,MATCH($A368,[1]PREDICT!$B$3:$B$1001,0))</f>
        <v>5</v>
      </c>
      <c r="F368" s="15" t="str">
        <f>INDEX([1]!MODEL[FPL_Name],MATCH($A368,[1]!MODEL[Code],0))</f>
        <v>Antoni Milambo</v>
      </c>
      <c r="G368" s="10">
        <v>0</v>
      </c>
      <c r="H368" s="10">
        <v>0</v>
      </c>
      <c r="I368" s="10">
        <v>0</v>
      </c>
      <c r="J368" s="11">
        <f t="shared" si="26"/>
        <v>0</v>
      </c>
      <c r="K368" s="11">
        <f t="shared" si="27"/>
        <v>0</v>
      </c>
      <c r="L368" s="11">
        <f t="shared" si="28"/>
        <v>0</v>
      </c>
      <c r="M368" s="11">
        <v>0</v>
      </c>
      <c r="N368" s="11">
        <f t="shared" si="29"/>
        <v>0</v>
      </c>
      <c r="P368" s="13">
        <f t="shared" si="30"/>
        <v>7.7269603685477029E-2</v>
      </c>
    </row>
    <row r="369" spans="1:16" x14ac:dyDescent="0.25">
      <c r="A369" s="16">
        <v>158983</v>
      </c>
      <c r="B369" s="4">
        <f>INDEX([1]!PREDICT[TRUE PTS],MATCH($A369,[1]!PREDICT[HARD CODE],0))</f>
        <v>1.9056595045668692</v>
      </c>
      <c r="C369" s="7" t="str">
        <f>INDEX([1]!MODEL[POS],MATCH($A369,[1]!MODEL[Code],0))</f>
        <v>MID</v>
      </c>
      <c r="D369" s="7" t="str">
        <f>INDEX([1]!MODEL[TEAM],MATCH($A369,[1]!MODEL[Code],0))</f>
        <v>LIV</v>
      </c>
      <c r="E369" s="7">
        <f>INDEX([1]PREDICT!$M$3:$M$1001,MATCH($A369,[1]PREDICT!$B$3:$B$1001,0))</f>
        <v>5</v>
      </c>
      <c r="F369" s="15" t="str">
        <f>INDEX([1]!MODEL[FPL_Name],MATCH($A369,[1]!MODEL[Code],0))</f>
        <v>Endo Wataru</v>
      </c>
      <c r="G369" s="10">
        <v>0</v>
      </c>
      <c r="H369" s="10">
        <v>0</v>
      </c>
      <c r="I369" s="10">
        <v>0</v>
      </c>
      <c r="J369" s="11">
        <f t="shared" si="26"/>
        <v>0</v>
      </c>
      <c r="K369" s="11">
        <f t="shared" si="27"/>
        <v>0</v>
      </c>
      <c r="L369" s="11">
        <f t="shared" si="28"/>
        <v>0</v>
      </c>
      <c r="M369" s="11">
        <v>0</v>
      </c>
      <c r="N369" s="11">
        <f t="shared" si="29"/>
        <v>0</v>
      </c>
      <c r="P369" s="13">
        <f t="shared" si="30"/>
        <v>7.6226380182674774E-2</v>
      </c>
    </row>
    <row r="370" spans="1:16" x14ac:dyDescent="0.25">
      <c r="A370" s="16">
        <v>208481</v>
      </c>
      <c r="B370" s="4">
        <f>INDEX([1]!PREDICT[TRUE PTS],MATCH($A370,[1]!PREDICT[HARD CODE],0))</f>
        <v>0.4761711544001862</v>
      </c>
      <c r="C370" s="7" t="str">
        <f>INDEX([1]!MODEL[POS],MATCH($A370,[1]!MODEL[Code],0))</f>
        <v>MID</v>
      </c>
      <c r="D370" s="7" t="str">
        <f>INDEX([1]!MODEL[TEAM],MATCH($A370,[1]!MODEL[Code],0))</f>
        <v>HUL</v>
      </c>
      <c r="E370" s="7">
        <f>INDEX([1]PREDICT!$M$3:$M$1001,MATCH($A370,[1]PREDICT!$B$3:$B$1001,0))</f>
        <v>5</v>
      </c>
      <c r="F370" s="15" t="str">
        <f>INDEX([1]!MODEL[FPL_Name],MATCH($A370,[1]!MODEL[Code],0))</f>
        <v>Abdülkadir Ömür</v>
      </c>
      <c r="G370" s="10">
        <v>0</v>
      </c>
      <c r="H370" s="10">
        <v>0</v>
      </c>
      <c r="I370" s="10">
        <v>0</v>
      </c>
      <c r="J370" s="11">
        <f t="shared" si="26"/>
        <v>0</v>
      </c>
      <c r="K370" s="11">
        <f t="shared" si="27"/>
        <v>0</v>
      </c>
      <c r="L370" s="11">
        <f t="shared" si="28"/>
        <v>0</v>
      </c>
      <c r="M370" s="11">
        <v>0</v>
      </c>
      <c r="N370" s="11">
        <f t="shared" si="29"/>
        <v>0</v>
      </c>
      <c r="P370" s="13">
        <f t="shared" si="30"/>
        <v>1.9046846176007447E-2</v>
      </c>
    </row>
    <row r="371" spans="1:16" x14ac:dyDescent="0.25">
      <c r="A371" s="16">
        <v>445122</v>
      </c>
      <c r="B371" s="4">
        <f>INDEX([1]!PREDICT[TRUE PTS],MATCH($A371,[1]!PREDICT[HARD CODE],0))</f>
        <v>1.840278353767844</v>
      </c>
      <c r="C371" s="7" t="str">
        <f>INDEX([1]!MODEL[POS],MATCH($A371,[1]!MODEL[Code],0))</f>
        <v>DEF</v>
      </c>
      <c r="D371" s="7" t="str">
        <f>INDEX([1]!MODEL[TEAM],MATCH($A371,[1]!MODEL[Code],0))</f>
        <v>ARS</v>
      </c>
      <c r="E371" s="7">
        <f>INDEX([1]PREDICT!$M$3:$M$1001,MATCH($A371,[1]PREDICT!$B$3:$B$1001,0))</f>
        <v>6.5</v>
      </c>
      <c r="F371" s="15" t="str">
        <f>INDEX([1]!MODEL[FPL_Name],MATCH($A371,[1]!MODEL[Code],0))</f>
        <v>Jurriën Timber</v>
      </c>
      <c r="G371" s="10">
        <v>0</v>
      </c>
      <c r="H371" s="10">
        <v>0</v>
      </c>
      <c r="I371" s="10">
        <v>0</v>
      </c>
      <c r="J371" s="11">
        <f t="shared" si="26"/>
        <v>0</v>
      </c>
      <c r="K371" s="11">
        <f t="shared" si="27"/>
        <v>0</v>
      </c>
      <c r="L371" s="11">
        <f t="shared" si="28"/>
        <v>0</v>
      </c>
      <c r="M371" s="11">
        <v>0</v>
      </c>
      <c r="N371" s="11">
        <f t="shared" si="29"/>
        <v>0</v>
      </c>
      <c r="P371" s="13">
        <f t="shared" si="30"/>
        <v>5.6623949346702895E-2</v>
      </c>
    </row>
    <row r="372" spans="1:16" x14ac:dyDescent="0.25">
      <c r="A372" s="16">
        <v>462387</v>
      </c>
      <c r="B372" s="4">
        <f>INDEX([1]!PREDICT[TRUE PTS],MATCH($A372,[1]!PREDICT[HARD CODE],0))</f>
        <v>6.1951336969894726</v>
      </c>
      <c r="C372" s="7" t="str">
        <f>INDEX([1]!MODEL[POS],MATCH($A372,[1]!MODEL[Code],0))</f>
        <v>FWD</v>
      </c>
      <c r="D372" s="7" t="str">
        <f>INDEX([1]!MODEL[TEAM],MATCH($A372,[1]!MODEL[Code],0))</f>
        <v>IPS</v>
      </c>
      <c r="E372" s="7">
        <f>INDEX([1]PREDICT!$M$3:$M$1001,MATCH($A372,[1]PREDICT!$B$3:$B$1001,0))</f>
        <v>5</v>
      </c>
      <c r="F372" s="15" t="str">
        <f>INDEX([1]!MODEL[FPL_Name],MATCH($A372,[1]!MODEL[Code],0))</f>
        <v>Ali Al-Hamadi</v>
      </c>
      <c r="G372" s="10">
        <v>0</v>
      </c>
      <c r="H372" s="10">
        <v>0</v>
      </c>
      <c r="I372" s="10">
        <v>0</v>
      </c>
      <c r="J372" s="11">
        <f t="shared" si="26"/>
        <v>0</v>
      </c>
      <c r="K372" s="11">
        <f t="shared" si="27"/>
        <v>0</v>
      </c>
      <c r="L372" s="11">
        <f t="shared" si="28"/>
        <v>0</v>
      </c>
      <c r="M372" s="11">
        <v>0</v>
      </c>
      <c r="N372" s="11">
        <f t="shared" si="29"/>
        <v>0</v>
      </c>
      <c r="P372" s="13">
        <f t="shared" si="30"/>
        <v>0.24780534787957889</v>
      </c>
    </row>
    <row r="373" spans="1:16" x14ac:dyDescent="0.25">
      <c r="A373" s="16">
        <v>672492</v>
      </c>
      <c r="B373" s="4">
        <f>INDEX([1]!PREDICT[TRUE PTS],MATCH($A373,[1]!PREDICT[HARD CODE],0))</f>
        <v>1.7517692585504636</v>
      </c>
      <c r="C373" s="7" t="str">
        <f>INDEX([1]!MODEL[POS],MATCH($A373,[1]!MODEL[Code],0))</f>
        <v>MID</v>
      </c>
      <c r="D373" s="7" t="str">
        <f>INDEX([1]!MODEL[TEAM],MATCH($A373,[1]!MODEL[Code],0))</f>
        <v>CRY</v>
      </c>
      <c r="E373" s="7">
        <f>INDEX([1]PREDICT!$M$3:$M$1001,MATCH($A373,[1]PREDICT!$B$3:$B$1001,0))</f>
        <v>4.5</v>
      </c>
      <c r="F373" s="15" t="str">
        <f>INDEX([1]!MODEL[FPL_Name],MATCH($A373,[1]!MODEL[Code],0))</f>
        <v>Joél Drakes-Thomas</v>
      </c>
      <c r="G373" s="10">
        <v>0</v>
      </c>
      <c r="H373" s="10">
        <v>0</v>
      </c>
      <c r="I373" s="10">
        <v>0</v>
      </c>
      <c r="J373" s="11">
        <f t="shared" si="26"/>
        <v>0</v>
      </c>
      <c r="K373" s="11">
        <f t="shared" si="27"/>
        <v>0</v>
      </c>
      <c r="L373" s="11">
        <f t="shared" si="28"/>
        <v>0</v>
      </c>
      <c r="M373" s="11">
        <v>0</v>
      </c>
      <c r="N373" s="11">
        <f t="shared" si="29"/>
        <v>0</v>
      </c>
      <c r="P373" s="13">
        <f t="shared" si="30"/>
        <v>7.7856411491131719E-2</v>
      </c>
    </row>
    <row r="374" spans="1:16" x14ac:dyDescent="0.25">
      <c r="A374" s="16">
        <v>508479</v>
      </c>
      <c r="B374" s="4">
        <f>INDEX([1]!PREDICT[TRUE PTS],MATCH($A374,[1]!PREDICT[HARD CODE],0))</f>
        <v>1.6747798656513455</v>
      </c>
      <c r="C374" s="7" t="str">
        <f>INDEX([1]!MODEL[POS],MATCH($A374,[1]!MODEL[Code],0))</f>
        <v>GK</v>
      </c>
      <c r="D374" s="7" t="str">
        <f>INDEX([1]!MODEL[TEAM],MATCH($A374,[1]!MODEL[Code],0))</f>
        <v>CHE</v>
      </c>
      <c r="E374" s="7">
        <f>INDEX([1]PREDICT!$M$3:$M$1001,MATCH($A374,[1]PREDICT!$B$3:$B$1001,0))</f>
        <v>5</v>
      </c>
      <c r="F374" s="15" t="str">
        <f>INDEX([1]!MODEL[FPL_Name],MATCH($A374,[1]!MODEL[Code],0))</f>
        <v>Filip Jörgensen</v>
      </c>
      <c r="G374" s="10">
        <v>0</v>
      </c>
      <c r="H374" s="10">
        <v>0</v>
      </c>
      <c r="I374" s="10">
        <v>0</v>
      </c>
      <c r="J374" s="11">
        <f t="shared" si="26"/>
        <v>0</v>
      </c>
      <c r="K374" s="11">
        <f t="shared" si="27"/>
        <v>0</v>
      </c>
      <c r="L374" s="11">
        <f t="shared" si="28"/>
        <v>0</v>
      </c>
      <c r="M374" s="11">
        <v>0</v>
      </c>
      <c r="N374" s="11">
        <f t="shared" si="29"/>
        <v>0</v>
      </c>
      <c r="P374" s="13">
        <f t="shared" si="30"/>
        <v>6.6991194626053824E-2</v>
      </c>
    </row>
    <row r="375" spans="1:16" ht="30" x14ac:dyDescent="0.25">
      <c r="A375" s="16">
        <v>483067</v>
      </c>
      <c r="B375" s="4">
        <f>INDEX([1]!PREDICT[TRUE PTS],MATCH($A375,[1]!PREDICT[HARD CODE],0))</f>
        <v>-0.23668553897756756</v>
      </c>
      <c r="C375" s="7" t="str">
        <f>INDEX([1]!MODEL[POS],MATCH($A375,[1]!MODEL[Code],0))</f>
        <v>DEF</v>
      </c>
      <c r="D375" s="7" t="str">
        <f>INDEX([1]!MODEL[TEAM],MATCH($A375,[1]!MODEL[Code],0))</f>
        <v>BOU</v>
      </c>
      <c r="E375" s="7">
        <f>INDEX([1]PREDICT!$M$3:$M$1001,MATCH($A375,[1]PREDICT!$B$3:$B$1001,0))</f>
        <v>5</v>
      </c>
      <c r="F375" s="15" t="str">
        <f>INDEX([1]!MODEL[FPL_Name],MATCH($A375,[1]!MODEL[Code],0))</f>
        <v>António João Pereira de Albuquerque Tavares da Silva</v>
      </c>
      <c r="G375" s="10">
        <v>0</v>
      </c>
      <c r="H375" s="10">
        <v>0</v>
      </c>
      <c r="I375" s="10">
        <v>0</v>
      </c>
      <c r="J375" s="11">
        <f t="shared" si="26"/>
        <v>0</v>
      </c>
      <c r="K375" s="11">
        <f t="shared" si="27"/>
        <v>0</v>
      </c>
      <c r="L375" s="11">
        <f t="shared" si="28"/>
        <v>0</v>
      </c>
      <c r="M375" s="11">
        <v>0</v>
      </c>
      <c r="N375" s="11">
        <f t="shared" si="29"/>
        <v>0</v>
      </c>
      <c r="P375" s="13">
        <f t="shared" si="30"/>
        <v>-9.4674215591027018E-3</v>
      </c>
    </row>
    <row r="376" spans="1:16" x14ac:dyDescent="0.25">
      <c r="A376" s="16">
        <v>576620</v>
      </c>
      <c r="B376" s="4">
        <f>INDEX([1]!PREDICT[TRUE PTS],MATCH($A376,[1]!PREDICT[HARD CODE],0))</f>
        <v>1.8460432954844086</v>
      </c>
      <c r="C376" s="7" t="str">
        <f>INDEX([1]!MODEL[POS],MATCH($A376,[1]!MODEL[Code],0))</f>
        <v>MID</v>
      </c>
      <c r="D376" s="7" t="str">
        <f>INDEX([1]!MODEL[TEAM],MATCH($A376,[1]!MODEL[Code],0))</f>
        <v>MUN</v>
      </c>
      <c r="E376" s="7">
        <f>INDEX([1]PREDICT!$M$3:$M$1001,MATCH($A376,[1]PREDICT!$B$3:$B$1001,0))</f>
        <v>4.5</v>
      </c>
      <c r="F376" s="15" t="str">
        <f>INDEX([1]!MODEL[FPL_Name],MATCH($A376,[1]!MODEL[Code],0))</f>
        <v>Bendito Mantato</v>
      </c>
      <c r="G376" s="10">
        <v>0</v>
      </c>
      <c r="H376" s="10">
        <v>0</v>
      </c>
      <c r="I376" s="10">
        <v>0</v>
      </c>
      <c r="J376" s="11">
        <f t="shared" si="26"/>
        <v>0</v>
      </c>
      <c r="K376" s="11">
        <f t="shared" si="27"/>
        <v>0</v>
      </c>
      <c r="L376" s="11">
        <f t="shared" si="28"/>
        <v>0</v>
      </c>
      <c r="M376" s="11">
        <v>0</v>
      </c>
      <c r="N376" s="11">
        <f t="shared" si="29"/>
        <v>0</v>
      </c>
      <c r="P376" s="13">
        <f t="shared" si="30"/>
        <v>8.2046368688195939E-2</v>
      </c>
    </row>
    <row r="377" spans="1:16" x14ac:dyDescent="0.25">
      <c r="A377" s="16">
        <v>645618</v>
      </c>
      <c r="B377" s="4">
        <f>INDEX([1]!PREDICT[TRUE PTS],MATCH($A377,[1]!PREDICT[HARD CODE],0))</f>
        <v>1.6501840912938248</v>
      </c>
      <c r="C377" s="7" t="str">
        <f>INDEX([1]!MODEL[POS],MATCH($A377,[1]!MODEL[Code],0))</f>
        <v>MID</v>
      </c>
      <c r="D377" s="7" t="str">
        <f>INDEX([1]!MODEL[TEAM],MATCH($A377,[1]!MODEL[Code],0))</f>
        <v>AVL</v>
      </c>
      <c r="E377" s="7">
        <f>INDEX([1]PREDICT!$M$3:$M$1001,MATCH($A377,[1]PREDICT!$B$3:$B$1001,0))</f>
        <v>4.5</v>
      </c>
      <c r="F377" s="15" t="str">
        <f>INDEX([1]!MODEL[FPL_Name],MATCH($A377,[1]!MODEL[Code],0))</f>
        <v>Bradley Burrowes</v>
      </c>
      <c r="G377" s="10">
        <v>0</v>
      </c>
      <c r="H377" s="10">
        <v>0</v>
      </c>
      <c r="I377" s="10">
        <v>0</v>
      </c>
      <c r="J377" s="11">
        <f t="shared" si="26"/>
        <v>0</v>
      </c>
      <c r="K377" s="11">
        <f t="shared" si="27"/>
        <v>0</v>
      </c>
      <c r="L377" s="11">
        <f t="shared" si="28"/>
        <v>0</v>
      </c>
      <c r="M377" s="11">
        <v>0</v>
      </c>
      <c r="N377" s="11">
        <f t="shared" si="29"/>
        <v>0</v>
      </c>
      <c r="P377" s="13">
        <f t="shared" si="30"/>
        <v>7.3341515168614438E-2</v>
      </c>
    </row>
    <row r="378" spans="1:16" x14ac:dyDescent="0.25">
      <c r="A378" s="16">
        <v>443261</v>
      </c>
      <c r="B378" s="4">
        <f>INDEX([1]!PREDICT[TRUE PTS],MATCH($A378,[1]!PREDICT[HARD CODE],0))</f>
        <v>10.486677496321391</v>
      </c>
      <c r="C378" s="7" t="str">
        <f>INDEX([1]!MODEL[POS],MATCH($A378,[1]!MODEL[Code],0))</f>
        <v>MID</v>
      </c>
      <c r="D378" s="7" t="str">
        <f>INDEX([1]!MODEL[TEAM],MATCH($A378,[1]!MODEL[Code],0))</f>
        <v>IPS</v>
      </c>
      <c r="E378" s="7">
        <f>INDEX([1]PREDICT!$M$3:$M$1001,MATCH($A378,[1]PREDICT!$B$3:$B$1001,0))</f>
        <v>5.5</v>
      </c>
      <c r="F378" s="15" t="str">
        <f>INDEX([1]!MODEL[FPL_Name],MATCH($A378,[1]!MODEL[Code],0))</f>
        <v>Jack Clarke</v>
      </c>
      <c r="G378" s="10">
        <v>0</v>
      </c>
      <c r="H378" s="10">
        <v>0</v>
      </c>
      <c r="I378" s="10">
        <v>0</v>
      </c>
      <c r="J378" s="11">
        <f t="shared" si="26"/>
        <v>0</v>
      </c>
      <c r="K378" s="11">
        <f t="shared" si="27"/>
        <v>0</v>
      </c>
      <c r="L378" s="11">
        <f t="shared" si="28"/>
        <v>0</v>
      </c>
      <c r="M378" s="11">
        <v>0</v>
      </c>
      <c r="N378" s="11">
        <f t="shared" si="29"/>
        <v>0</v>
      </c>
      <c r="P378" s="13">
        <f t="shared" si="30"/>
        <v>0.38133372713895969</v>
      </c>
    </row>
    <row r="379" spans="1:16" x14ac:dyDescent="0.25">
      <c r="A379" s="16">
        <v>442967</v>
      </c>
      <c r="B379" s="4">
        <f>INDEX([1]!PREDICT[TRUE PTS],MATCH($A379,[1]!PREDICT[HARD CODE],0))</f>
        <v>0.59020054548420919</v>
      </c>
      <c r="C379" s="7" t="str">
        <f>INDEX([1]!MODEL[POS],MATCH($A379,[1]!MODEL[Code],0))</f>
        <v>MID</v>
      </c>
      <c r="D379" s="7" t="str">
        <f>INDEX([1]!MODEL[TEAM],MATCH($A379,[1]!MODEL[Code],0))</f>
        <v>IPS</v>
      </c>
      <c r="E379" s="7">
        <f>INDEX([1]PREDICT!$M$3:$M$1001,MATCH($A379,[1]PREDICT!$B$3:$B$1001,0))</f>
        <v>5.5</v>
      </c>
      <c r="F379" s="15" t="str">
        <f>INDEX([1]!MODEL[FPL_Name],MATCH($A379,[1]!MODEL[Code],0))</f>
        <v>Daizen Maeda</v>
      </c>
      <c r="G379" s="10">
        <v>0</v>
      </c>
      <c r="H379" s="10">
        <v>0</v>
      </c>
      <c r="I379" s="10">
        <v>0</v>
      </c>
      <c r="J379" s="11">
        <f t="shared" si="26"/>
        <v>0</v>
      </c>
      <c r="K379" s="11">
        <f t="shared" si="27"/>
        <v>0</v>
      </c>
      <c r="L379" s="11">
        <f t="shared" si="28"/>
        <v>0</v>
      </c>
      <c r="M379" s="11">
        <v>0</v>
      </c>
      <c r="N379" s="11">
        <f t="shared" si="29"/>
        <v>0</v>
      </c>
      <c r="P379" s="13">
        <f t="shared" si="30"/>
        <v>2.1461838017607607E-2</v>
      </c>
    </row>
    <row r="380" spans="1:16" x14ac:dyDescent="0.25">
      <c r="A380" s="16">
        <v>231065</v>
      </c>
      <c r="B380" s="4">
        <f>INDEX([1]!PREDICT[TRUE PTS],MATCH($A380,[1]!PREDICT[HARD CODE],0))</f>
        <v>1.6128050428521212</v>
      </c>
      <c r="C380" s="7" t="str">
        <f>INDEX([1]!MODEL[POS],MATCH($A380,[1]!MODEL[Code],0))</f>
        <v>DEF</v>
      </c>
      <c r="D380" s="7" t="str">
        <f>INDEX([1]!MODEL[TEAM],MATCH($A380,[1]!MODEL[Code],0))</f>
        <v>BRE</v>
      </c>
      <c r="E380" s="7">
        <f>INDEX([1]PREDICT!$M$3:$M$1001,MATCH($A380,[1]PREDICT!$B$3:$B$1001,0))</f>
        <v>4.5</v>
      </c>
      <c r="F380" s="15" t="str">
        <f>INDEX([1]!MODEL[FPL_Name],MATCH($A380,[1]!MODEL[Code],0))</f>
        <v>Ethan Pinnock</v>
      </c>
      <c r="G380" s="10">
        <v>0</v>
      </c>
      <c r="H380" s="10">
        <v>0</v>
      </c>
      <c r="I380" s="10">
        <v>0</v>
      </c>
      <c r="J380" s="11">
        <f t="shared" si="26"/>
        <v>0</v>
      </c>
      <c r="K380" s="11">
        <f t="shared" si="27"/>
        <v>0</v>
      </c>
      <c r="L380" s="11">
        <f t="shared" si="28"/>
        <v>0</v>
      </c>
      <c r="M380" s="11">
        <v>0</v>
      </c>
      <c r="N380" s="11">
        <f t="shared" si="29"/>
        <v>0</v>
      </c>
      <c r="P380" s="13">
        <f t="shared" si="30"/>
        <v>7.1680224126760936E-2</v>
      </c>
    </row>
    <row r="381" spans="1:16" ht="30" x14ac:dyDescent="0.25">
      <c r="A381" s="16">
        <v>220566</v>
      </c>
      <c r="B381" s="4">
        <f>INDEX([1]!PREDICT[TRUE PTS],MATCH($A381,[1]!PREDICT[HARD CODE],0))</f>
        <v>1.6049490222048013</v>
      </c>
      <c r="C381" s="7" t="str">
        <f>INDEX([1]!MODEL[POS],MATCH($A381,[1]!MODEL[Code],0))</f>
        <v>MID</v>
      </c>
      <c r="D381" s="7" t="str">
        <f>INDEX([1]!MODEL[TEAM],MATCH($A381,[1]!MODEL[Code],0))</f>
        <v>MCI</v>
      </c>
      <c r="E381" s="7">
        <f>INDEX([1]PREDICT!$M$3:$M$1001,MATCH($A381,[1]PREDICT!$B$3:$B$1001,0))</f>
        <v>6.5</v>
      </c>
      <c r="F381" s="15" t="str">
        <f>INDEX([1]!MODEL[FPL_Name],MATCH($A381,[1]!MODEL[Code],0))</f>
        <v>Rodrigo 'Rodri' Hernandez Cascante</v>
      </c>
      <c r="G381" s="10">
        <v>0</v>
      </c>
      <c r="H381" s="10">
        <v>0</v>
      </c>
      <c r="I381" s="10">
        <v>0</v>
      </c>
      <c r="J381" s="11">
        <f t="shared" si="26"/>
        <v>0</v>
      </c>
      <c r="K381" s="11">
        <f t="shared" si="27"/>
        <v>0</v>
      </c>
      <c r="L381" s="11">
        <f t="shared" si="28"/>
        <v>0</v>
      </c>
      <c r="M381" s="11">
        <v>0</v>
      </c>
      <c r="N381" s="11">
        <f t="shared" si="29"/>
        <v>0</v>
      </c>
      <c r="P381" s="13">
        <f t="shared" si="30"/>
        <v>4.9383046837070808E-2</v>
      </c>
    </row>
    <row r="382" spans="1:16" x14ac:dyDescent="0.25">
      <c r="A382" s="16">
        <v>445028</v>
      </c>
      <c r="B382" s="4">
        <f>INDEX([1]!PREDICT[TRUE PTS],MATCH($A382,[1]!PREDICT[HARD CODE],0))</f>
        <v>0.4761711544001862</v>
      </c>
      <c r="C382" s="7" t="str">
        <f>INDEX([1]!MODEL[POS],MATCH($A382,[1]!MODEL[Code],0))</f>
        <v>MID</v>
      </c>
      <c r="D382" s="7" t="str">
        <f>INDEX([1]!MODEL[TEAM],MATCH($A382,[1]!MODEL[Code],0))</f>
        <v>HUL</v>
      </c>
      <c r="E382" s="7">
        <f>INDEX([1]PREDICT!$M$3:$M$1001,MATCH($A382,[1]PREDICT!$B$3:$B$1001,0))</f>
        <v>5</v>
      </c>
      <c r="F382" s="15" t="str">
        <f>INDEX([1]!MODEL[FPL_Name],MATCH($A382,[1]!MODEL[Code],0))</f>
        <v>Hidemasa Morita</v>
      </c>
      <c r="G382" s="10">
        <v>0</v>
      </c>
      <c r="H382" s="10">
        <v>0</v>
      </c>
      <c r="I382" s="10">
        <v>0</v>
      </c>
      <c r="J382" s="11">
        <f t="shared" si="26"/>
        <v>0</v>
      </c>
      <c r="K382" s="11">
        <f t="shared" si="27"/>
        <v>0</v>
      </c>
      <c r="L382" s="11">
        <f t="shared" si="28"/>
        <v>0</v>
      </c>
      <c r="M382" s="11">
        <v>0</v>
      </c>
      <c r="N382" s="11">
        <f t="shared" si="29"/>
        <v>0</v>
      </c>
      <c r="P382" s="13">
        <f t="shared" si="30"/>
        <v>1.9046846176007447E-2</v>
      </c>
    </row>
    <row r="383" spans="1:16" x14ac:dyDescent="0.25">
      <c r="A383" s="16">
        <v>606921</v>
      </c>
      <c r="B383" s="4">
        <f>INDEX([1]!PREDICT[TRUE PTS],MATCH($A383,[1]!PREDICT[HARD CODE],0))</f>
        <v>1.7434357453982521</v>
      </c>
      <c r="C383" s="7" t="str">
        <f>INDEX([1]!MODEL[POS],MATCH($A383,[1]!MODEL[Code],0))</f>
        <v>MID</v>
      </c>
      <c r="D383" s="7" t="str">
        <f>INDEX([1]!MODEL[TEAM],MATCH($A383,[1]!MODEL[Code],0))</f>
        <v>CRY</v>
      </c>
      <c r="E383" s="7">
        <f>INDEX([1]PREDICT!$M$3:$M$1001,MATCH($A383,[1]PREDICT!$B$3:$B$1001,0))</f>
        <v>5</v>
      </c>
      <c r="F383" s="15" t="str">
        <f>INDEX([1]!MODEL[FPL_Name],MATCH($A383,[1]!MODEL[Code],0))</f>
        <v>Romain Esse</v>
      </c>
      <c r="G383" s="10">
        <v>0</v>
      </c>
      <c r="H383" s="10">
        <v>0</v>
      </c>
      <c r="I383" s="10">
        <v>0</v>
      </c>
      <c r="J383" s="11">
        <f t="shared" si="26"/>
        <v>0</v>
      </c>
      <c r="K383" s="11">
        <f t="shared" si="27"/>
        <v>0</v>
      </c>
      <c r="L383" s="11">
        <f t="shared" si="28"/>
        <v>0</v>
      </c>
      <c r="M383" s="11">
        <v>0</v>
      </c>
      <c r="N383" s="11">
        <f t="shared" si="29"/>
        <v>0</v>
      </c>
      <c r="P383" s="13">
        <f t="shared" si="30"/>
        <v>6.9737429815930091E-2</v>
      </c>
    </row>
    <row r="384" spans="1:16" x14ac:dyDescent="0.25">
      <c r="A384" s="16">
        <v>547719</v>
      </c>
      <c r="B384" s="4">
        <f>INDEX([1]!PREDICT[TRUE PTS],MATCH($A384,[1]!PREDICT[HARD CODE],0))</f>
        <v>1.5481721643854693</v>
      </c>
      <c r="C384" s="7" t="str">
        <f>INDEX([1]!MODEL[POS],MATCH($A384,[1]!MODEL[Code],0))</f>
        <v>MID</v>
      </c>
      <c r="D384" s="7" t="str">
        <f>INDEX([1]!MODEL[TEAM],MATCH($A384,[1]!MODEL[Code],0))</f>
        <v>NEW</v>
      </c>
      <c r="E384" s="7">
        <f>INDEX([1]PREDICT!$M$3:$M$1001,MATCH($A384,[1]PREDICT!$B$3:$B$1001,0))</f>
        <v>5.5</v>
      </c>
      <c r="F384" s="15" t="str">
        <f>INDEX([1]!MODEL[FPL_Name],MATCH($A384,[1]!MODEL[Code],0))</f>
        <v>Lewis Miley</v>
      </c>
      <c r="G384" s="10">
        <v>0</v>
      </c>
      <c r="H384" s="10">
        <v>0</v>
      </c>
      <c r="I384" s="10">
        <v>0</v>
      </c>
      <c r="J384" s="11">
        <f t="shared" si="26"/>
        <v>0</v>
      </c>
      <c r="K384" s="11">
        <f t="shared" si="27"/>
        <v>0</v>
      </c>
      <c r="L384" s="11">
        <f t="shared" si="28"/>
        <v>0</v>
      </c>
      <c r="M384" s="11">
        <v>0</v>
      </c>
      <c r="N384" s="11">
        <f t="shared" si="29"/>
        <v>0</v>
      </c>
      <c r="P384" s="13">
        <f t="shared" si="30"/>
        <v>5.629716961401706E-2</v>
      </c>
    </row>
    <row r="385" spans="1:16" x14ac:dyDescent="0.25">
      <c r="A385" s="16">
        <v>451490</v>
      </c>
      <c r="B385" s="4">
        <f>INDEX([1]!PREDICT[TRUE PTS],MATCH($A385,[1]!PREDICT[HARD CODE],0))</f>
        <v>-0.20157626121924355</v>
      </c>
      <c r="C385" s="7" t="str">
        <f>INDEX([1]!MODEL[POS],MATCH($A385,[1]!MODEL[Code],0))</f>
        <v>DEF</v>
      </c>
      <c r="D385" s="7" t="str">
        <f>INDEX([1]!MODEL[TEAM],MATCH($A385,[1]!MODEL[Code],0))</f>
        <v>BHA</v>
      </c>
      <c r="E385" s="7">
        <f>INDEX([1]PREDICT!$M$3:$M$1001,MATCH($A385,[1]PREDICT!$B$3:$B$1001,0))</f>
        <v>4.5</v>
      </c>
      <c r="F385" s="15" t="str">
        <f>INDEX([1]!MODEL[FPL_Name],MATCH($A385,[1]!MODEL[Code],0))</f>
        <v>João Pedro Loureiro da Costa</v>
      </c>
      <c r="G385" s="10">
        <v>0</v>
      </c>
      <c r="H385" s="10">
        <v>0</v>
      </c>
      <c r="I385" s="10">
        <v>0</v>
      </c>
      <c r="J385" s="11">
        <f t="shared" si="26"/>
        <v>0</v>
      </c>
      <c r="K385" s="11">
        <f t="shared" si="27"/>
        <v>0</v>
      </c>
      <c r="L385" s="11">
        <f t="shared" si="28"/>
        <v>0</v>
      </c>
      <c r="M385" s="11">
        <v>0</v>
      </c>
      <c r="N385" s="11">
        <f t="shared" si="29"/>
        <v>0</v>
      </c>
      <c r="P385" s="13">
        <f t="shared" si="30"/>
        <v>-8.958944943077491E-3</v>
      </c>
    </row>
    <row r="386" spans="1:16" x14ac:dyDescent="0.25">
      <c r="A386" s="16">
        <v>454490</v>
      </c>
      <c r="B386" s="4">
        <f>INDEX([1]!PREDICT[TRUE PTS],MATCH($A386,[1]!PREDICT[HARD CODE],0))</f>
        <v>-0.20157626121924355</v>
      </c>
      <c r="C386" s="7" t="str">
        <f>INDEX([1]!MODEL[POS],MATCH($A386,[1]!MODEL[Code],0))</f>
        <v>DEF</v>
      </c>
      <c r="D386" s="7" t="str">
        <f>INDEX([1]!MODEL[TEAM],MATCH($A386,[1]!MODEL[Code],0))</f>
        <v>BHA</v>
      </c>
      <c r="E386" s="7">
        <f>INDEX([1]PREDICT!$M$3:$M$1001,MATCH($A386,[1]PREDICT!$B$3:$B$1001,0))</f>
        <v>5</v>
      </c>
      <c r="F386" s="15" t="str">
        <f>INDEX([1]!MODEL[FPL_Name],MATCH($A386,[1]!MODEL[Code],0))</f>
        <v>Michael Svoboda</v>
      </c>
      <c r="G386" s="10">
        <v>0</v>
      </c>
      <c r="H386" s="10">
        <v>0</v>
      </c>
      <c r="I386" s="10">
        <v>0</v>
      </c>
      <c r="J386" s="11">
        <f t="shared" ref="J386:J449" si="31">G386+H386</f>
        <v>0</v>
      </c>
      <c r="K386" s="11">
        <f t="shared" ref="K386:K449" si="32">G386*E386</f>
        <v>0</v>
      </c>
      <c r="L386" s="11">
        <f t="shared" ref="L386:L449" si="33">H386*E386</f>
        <v>0</v>
      </c>
      <c r="M386" s="11">
        <v>0</v>
      </c>
      <c r="N386" s="11">
        <f t="shared" ref="N386:N449" si="34">(G386*B386)+(H386*B386*$U$2)+(I386*B386)</f>
        <v>0</v>
      </c>
      <c r="P386" s="13">
        <f t="shared" ref="P386:P449" si="35">IFERROR((B386/E386)/$Q$2,0)</f>
        <v>-8.0630504487697423E-3</v>
      </c>
    </row>
    <row r="387" spans="1:16" x14ac:dyDescent="0.25">
      <c r="A387" s="16">
        <v>158499</v>
      </c>
      <c r="B387" s="4">
        <f>INDEX([1]!PREDICT[TRUE PTS],MATCH($A387,[1]!PREDICT[HARD CODE],0))</f>
        <v>1.5010300333634714</v>
      </c>
      <c r="C387" s="7" t="str">
        <f>INDEX([1]!MODEL[POS],MATCH($A387,[1]!MODEL[Code],0))</f>
        <v>MID</v>
      </c>
      <c r="D387" s="7" t="str">
        <f>INDEX([1]!MODEL[TEAM],MATCH($A387,[1]!MODEL[Code],0))</f>
        <v>BOU</v>
      </c>
      <c r="E387" s="7">
        <f>INDEX([1]PREDICT!$M$3:$M$1001,MATCH($A387,[1]PREDICT!$B$3:$B$1001,0))</f>
        <v>5</v>
      </c>
      <c r="F387" s="15" t="str">
        <f>INDEX([1]!MODEL[FPL_Name],MATCH($A387,[1]!MODEL[Code],0))</f>
        <v>Ryan Christie</v>
      </c>
      <c r="G387" s="10">
        <v>0</v>
      </c>
      <c r="H387" s="10">
        <v>0</v>
      </c>
      <c r="I387" s="10">
        <v>0</v>
      </c>
      <c r="J387" s="11">
        <f t="shared" si="31"/>
        <v>0</v>
      </c>
      <c r="K387" s="11">
        <f t="shared" si="32"/>
        <v>0</v>
      </c>
      <c r="L387" s="11">
        <f t="shared" si="33"/>
        <v>0</v>
      </c>
      <c r="M387" s="11">
        <v>0</v>
      </c>
      <c r="N387" s="11">
        <f t="shared" si="34"/>
        <v>0</v>
      </c>
      <c r="P387" s="13">
        <f t="shared" si="35"/>
        <v>6.004120133453885E-2</v>
      </c>
    </row>
    <row r="388" spans="1:16" x14ac:dyDescent="0.25">
      <c r="A388" s="16">
        <v>444307</v>
      </c>
      <c r="B388" s="4">
        <f>INDEX([1]!PREDICT[TRUE PTS],MATCH($A388,[1]!PREDICT[HARD CODE],0))</f>
        <v>-0.43719978526742148</v>
      </c>
      <c r="C388" s="7" t="str">
        <f>INDEX([1]!MODEL[POS],MATCH($A388,[1]!MODEL[Code],0))</f>
        <v>GK</v>
      </c>
      <c r="D388" s="7" t="str">
        <f>INDEX([1]!MODEL[TEAM],MATCH($A388,[1]!MODEL[Code],0))</f>
        <v>HUL</v>
      </c>
      <c r="E388" s="7">
        <f>INDEX([1]PREDICT!$M$3:$M$1001,MATCH($A388,[1]PREDICT!$B$3:$B$1001,0))</f>
        <v>4</v>
      </c>
      <c r="F388" s="15" t="str">
        <f>INDEX([1]!MODEL[FPL_Name],MATCH($A388,[1]!MODEL[Code],0))</f>
        <v>Thimothée Lo-Tutala</v>
      </c>
      <c r="G388" s="10">
        <v>0</v>
      </c>
      <c r="H388" s="10">
        <v>0</v>
      </c>
      <c r="I388" s="10">
        <v>0</v>
      </c>
      <c r="J388" s="11">
        <f t="shared" si="31"/>
        <v>0</v>
      </c>
      <c r="K388" s="11">
        <f t="shared" si="32"/>
        <v>0</v>
      </c>
      <c r="L388" s="11">
        <f t="shared" si="33"/>
        <v>0</v>
      </c>
      <c r="M388" s="11">
        <v>0</v>
      </c>
      <c r="N388" s="11">
        <f t="shared" si="34"/>
        <v>0</v>
      </c>
      <c r="P388" s="13">
        <f t="shared" si="35"/>
        <v>-2.1859989263371075E-2</v>
      </c>
    </row>
    <row r="389" spans="1:16" x14ac:dyDescent="0.25">
      <c r="A389" s="16">
        <v>576628</v>
      </c>
      <c r="B389" s="4">
        <f>INDEX([1]!PREDICT[TRUE PTS],MATCH($A389,[1]!PREDICT[HARD CODE],0))</f>
        <v>2.3463839096953296</v>
      </c>
      <c r="C389" s="7" t="str">
        <f>INDEX([1]!MODEL[POS],MATCH($A389,[1]!MODEL[Code],0))</f>
        <v>MID</v>
      </c>
      <c r="D389" s="7" t="str">
        <f>INDEX([1]!MODEL[TEAM],MATCH($A389,[1]!MODEL[Code],0))</f>
        <v>MUN</v>
      </c>
      <c r="E389" s="7">
        <f>INDEX([1]PREDICT!$M$3:$M$1001,MATCH($A389,[1]PREDICT!$B$3:$B$1001,0))</f>
        <v>5</v>
      </c>
      <c r="F389" s="15" t="str">
        <f>INDEX([1]!MODEL[FPL_Name],MATCH($A389,[1]!MODEL[Code],0))</f>
        <v>Shea Lacey</v>
      </c>
      <c r="G389" s="10">
        <v>0</v>
      </c>
      <c r="H389" s="10">
        <v>0</v>
      </c>
      <c r="I389" s="10">
        <v>0</v>
      </c>
      <c r="J389" s="11">
        <f t="shared" si="31"/>
        <v>0</v>
      </c>
      <c r="K389" s="11">
        <f t="shared" si="32"/>
        <v>0</v>
      </c>
      <c r="L389" s="11">
        <f t="shared" si="33"/>
        <v>0</v>
      </c>
      <c r="M389" s="11">
        <v>0</v>
      </c>
      <c r="N389" s="11">
        <f t="shared" si="34"/>
        <v>0</v>
      </c>
      <c r="P389" s="13">
        <f t="shared" si="35"/>
        <v>9.3855356387813185E-2</v>
      </c>
    </row>
    <row r="390" spans="1:16" x14ac:dyDescent="0.25">
      <c r="A390" s="16">
        <v>105717</v>
      </c>
      <c r="B390" s="4">
        <f>INDEX([1]!PREDICT[TRUE PTS],MATCH($A390,[1]!PREDICT[HARD CODE],0))</f>
        <v>1.4021310036897119</v>
      </c>
      <c r="C390" s="7" t="str">
        <f>INDEX([1]!MODEL[POS],MATCH($A390,[1]!MODEL[Code],0))</f>
        <v>DEF</v>
      </c>
      <c r="D390" s="7" t="str">
        <f>INDEX([1]!MODEL[TEAM],MATCH($A390,[1]!MODEL[Code],0))</f>
        <v>SUN</v>
      </c>
      <c r="E390" s="7">
        <f>INDEX([1]PREDICT!$M$3:$M$1001,MATCH($A390,[1]PREDICT!$B$3:$B$1001,0))</f>
        <v>4</v>
      </c>
      <c r="F390" s="15" t="str">
        <f>INDEX([1]!MODEL[FPL_Name],MATCH($A390,[1]!MODEL[Code],0))</f>
        <v>Arthur Masuaku</v>
      </c>
      <c r="G390" s="10">
        <v>0</v>
      </c>
      <c r="H390" s="10">
        <v>0</v>
      </c>
      <c r="I390" s="10">
        <v>0</v>
      </c>
      <c r="J390" s="11">
        <f t="shared" si="31"/>
        <v>0</v>
      </c>
      <c r="K390" s="11">
        <f t="shared" si="32"/>
        <v>0</v>
      </c>
      <c r="L390" s="11">
        <f t="shared" si="33"/>
        <v>0</v>
      </c>
      <c r="M390" s="11">
        <v>0</v>
      </c>
      <c r="N390" s="11">
        <f t="shared" si="34"/>
        <v>0</v>
      </c>
      <c r="P390" s="13">
        <f t="shared" si="35"/>
        <v>7.0106550184485597E-2</v>
      </c>
    </row>
    <row r="391" spans="1:16" x14ac:dyDescent="0.25">
      <c r="A391" s="16">
        <v>72147</v>
      </c>
      <c r="B391" s="4">
        <f>INDEX([1]!PREDICT[TRUE PTS],MATCH($A391,[1]!PREDICT[HARD CODE],0))</f>
        <v>2.2600911851040602</v>
      </c>
      <c r="C391" s="7" t="str">
        <f>INDEX([1]!MODEL[POS],MATCH($A391,[1]!MODEL[Code],0))</f>
        <v>GK</v>
      </c>
      <c r="D391" s="7" t="str">
        <f>INDEX([1]!MODEL[TEAM],MATCH($A391,[1]!MODEL[Code],0))</f>
        <v>AVL</v>
      </c>
      <c r="E391" s="7">
        <f>INDEX([1]PREDICT!$M$3:$M$1001,MATCH($A391,[1]PREDICT!$B$3:$B$1001,0))</f>
        <v>4.5</v>
      </c>
      <c r="F391" s="15" t="str">
        <f>INDEX([1]!MODEL[FPL_Name],MATCH($A391,[1]!MODEL[Code],0))</f>
        <v>Marco Bizot</v>
      </c>
      <c r="G391" s="10">
        <v>0</v>
      </c>
      <c r="H391" s="10">
        <v>0</v>
      </c>
      <c r="I391" s="10">
        <v>0</v>
      </c>
      <c r="J391" s="11">
        <f t="shared" si="31"/>
        <v>0</v>
      </c>
      <c r="K391" s="11">
        <f t="shared" si="32"/>
        <v>0</v>
      </c>
      <c r="L391" s="11">
        <f t="shared" si="33"/>
        <v>0</v>
      </c>
      <c r="M391" s="11">
        <v>0</v>
      </c>
      <c r="N391" s="11">
        <f t="shared" si="34"/>
        <v>0</v>
      </c>
      <c r="P391" s="13">
        <f t="shared" si="35"/>
        <v>0.100448497115736</v>
      </c>
    </row>
    <row r="392" spans="1:16" x14ac:dyDescent="0.25">
      <c r="A392" s="16">
        <v>93605</v>
      </c>
      <c r="B392" s="4">
        <f>INDEX([1]!PREDICT[TRUE PTS],MATCH($A392,[1]!PREDICT[HARD CODE],0))</f>
        <v>-0.29259532658277293</v>
      </c>
      <c r="C392" s="7" t="str">
        <f>INDEX([1]!MODEL[POS],MATCH($A392,[1]!MODEL[Code],0))</f>
        <v>DEF</v>
      </c>
      <c r="D392" s="7" t="str">
        <f>INDEX([1]!MODEL[TEAM],MATCH($A392,[1]!MODEL[Code],0))</f>
        <v>SUN</v>
      </c>
      <c r="E392" s="7">
        <f>INDEX([1]PREDICT!$M$3:$M$1001,MATCH($A392,[1]PREDICT!$B$3:$B$1001,0))</f>
        <v>4.5</v>
      </c>
      <c r="F392" s="15" t="str">
        <f>INDEX([1]!MODEL[FPL_Name],MATCH($A392,[1]!MODEL[Code],0))</f>
        <v>Thomas Meunier</v>
      </c>
      <c r="G392" s="10">
        <v>0</v>
      </c>
      <c r="H392" s="10">
        <v>0</v>
      </c>
      <c r="I392" s="10">
        <v>0</v>
      </c>
      <c r="J392" s="11">
        <f t="shared" si="31"/>
        <v>0</v>
      </c>
      <c r="K392" s="11">
        <f t="shared" si="32"/>
        <v>0</v>
      </c>
      <c r="L392" s="11">
        <f t="shared" si="33"/>
        <v>0</v>
      </c>
      <c r="M392" s="11">
        <v>0</v>
      </c>
      <c r="N392" s="11">
        <f t="shared" si="34"/>
        <v>0</v>
      </c>
      <c r="P392" s="13">
        <f t="shared" si="35"/>
        <v>-1.3004236737012131E-2</v>
      </c>
    </row>
    <row r="393" spans="1:16" x14ac:dyDescent="0.25">
      <c r="A393" s="16">
        <v>462424</v>
      </c>
      <c r="B393" s="4">
        <f>INDEX([1]!PREDICT[TRUE PTS],MATCH($A393,[1]!PREDICT[HARD CODE],0))</f>
        <v>1.3232163393275569</v>
      </c>
      <c r="C393" s="7" t="str">
        <f>INDEX([1]!MODEL[POS],MATCH($A393,[1]!MODEL[Code],0))</f>
        <v>DEF</v>
      </c>
      <c r="D393" s="7" t="str">
        <f>INDEX([1]!MODEL[TEAM],MATCH($A393,[1]!MODEL[Code],0))</f>
        <v>ARS</v>
      </c>
      <c r="E393" s="7">
        <f>INDEX([1]PREDICT!$M$3:$M$1001,MATCH($A393,[1]PREDICT!$B$3:$B$1001,0))</f>
        <v>6</v>
      </c>
      <c r="F393" s="15" t="str">
        <f>INDEX([1]!MODEL[FPL_Name],MATCH($A393,[1]!MODEL[Code],0))</f>
        <v>William Saliba</v>
      </c>
      <c r="G393" s="10">
        <v>0</v>
      </c>
      <c r="H393" s="10">
        <v>0</v>
      </c>
      <c r="I393" s="10">
        <v>0</v>
      </c>
      <c r="J393" s="11">
        <f t="shared" si="31"/>
        <v>0</v>
      </c>
      <c r="K393" s="11">
        <f t="shared" si="32"/>
        <v>0</v>
      </c>
      <c r="L393" s="11">
        <f t="shared" si="33"/>
        <v>0</v>
      </c>
      <c r="M393" s="11">
        <v>0</v>
      </c>
      <c r="N393" s="11">
        <f t="shared" si="34"/>
        <v>0</v>
      </c>
      <c r="P393" s="13">
        <f t="shared" si="35"/>
        <v>4.4107211310918562E-2</v>
      </c>
    </row>
    <row r="394" spans="1:16" x14ac:dyDescent="0.25">
      <c r="A394" s="16">
        <v>631786</v>
      </c>
      <c r="B394" s="4">
        <f>INDEX([1]!PREDICT[TRUE PTS],MATCH($A394,[1]!PREDICT[HARD CODE],0))</f>
        <v>1.5076486105573002</v>
      </c>
      <c r="C394" s="7" t="str">
        <f>INDEX([1]!MODEL[POS],MATCH($A394,[1]!MODEL[Code],0))</f>
        <v>FWD</v>
      </c>
      <c r="D394" s="7" t="str">
        <f>INDEX([1]!MODEL[TEAM],MATCH($A394,[1]!MODEL[Code],0))</f>
        <v>FUL</v>
      </c>
      <c r="E394" s="7">
        <f>INDEX([1]PREDICT!$M$3:$M$1001,MATCH($A394,[1]PREDICT!$B$3:$B$1001,0))</f>
        <v>4.5</v>
      </c>
      <c r="F394" s="15" t="str">
        <f>INDEX([1]!MODEL[FPL_Name],MATCH($A394,[1]!MODEL[Code],0))</f>
        <v>Jonah Kusi-Asare</v>
      </c>
      <c r="G394" s="10">
        <v>0</v>
      </c>
      <c r="H394" s="10">
        <v>0</v>
      </c>
      <c r="I394" s="10">
        <v>0</v>
      </c>
      <c r="J394" s="11">
        <f t="shared" si="31"/>
        <v>0</v>
      </c>
      <c r="K394" s="11">
        <f t="shared" si="32"/>
        <v>0</v>
      </c>
      <c r="L394" s="11">
        <f t="shared" si="33"/>
        <v>0</v>
      </c>
      <c r="M394" s="11">
        <v>0</v>
      </c>
      <c r="N394" s="11">
        <f t="shared" si="34"/>
        <v>0</v>
      </c>
      <c r="P394" s="13">
        <f t="shared" si="35"/>
        <v>6.7006604913657786E-2</v>
      </c>
    </row>
    <row r="395" spans="1:16" x14ac:dyDescent="0.25">
      <c r="A395" s="16">
        <v>501390</v>
      </c>
      <c r="B395" s="4">
        <f>INDEX([1]!PREDICT[TRUE PTS],MATCH($A395,[1]!PREDICT[HARD CODE],0))</f>
        <v>11.777366602398718</v>
      </c>
      <c r="C395" s="7" t="str">
        <f>INDEX([1]!MODEL[POS],MATCH($A395,[1]!MODEL[Code],0))</f>
        <v>MID</v>
      </c>
      <c r="D395" s="7" t="str">
        <f>INDEX([1]!MODEL[TEAM],MATCH($A395,[1]!MODEL[Code],0))</f>
        <v>IPS</v>
      </c>
      <c r="E395" s="7">
        <f>INDEX([1]PREDICT!$M$3:$M$1001,MATCH($A395,[1]PREDICT!$B$3:$B$1001,0))</f>
        <v>5</v>
      </c>
      <c r="F395" s="15" t="str">
        <f>INDEX([1]!MODEL[FPL_Name],MATCH($A395,[1]!MODEL[Code],0))</f>
        <v>Marcelino Núñez</v>
      </c>
      <c r="G395" s="10">
        <v>0</v>
      </c>
      <c r="H395" s="10">
        <v>0</v>
      </c>
      <c r="I395" s="10">
        <v>0</v>
      </c>
      <c r="J395" s="11">
        <f t="shared" si="31"/>
        <v>0</v>
      </c>
      <c r="K395" s="11">
        <f t="shared" si="32"/>
        <v>0</v>
      </c>
      <c r="L395" s="11">
        <f t="shared" si="33"/>
        <v>0</v>
      </c>
      <c r="M395" s="11">
        <v>0</v>
      </c>
      <c r="N395" s="11">
        <f t="shared" si="34"/>
        <v>0</v>
      </c>
      <c r="P395" s="13">
        <f t="shared" si="35"/>
        <v>0.47109466409594869</v>
      </c>
    </row>
    <row r="396" spans="1:16" x14ac:dyDescent="0.25">
      <c r="A396" s="16">
        <v>101282</v>
      </c>
      <c r="B396" s="4">
        <f>INDEX([1]!PREDICT[TRUE PTS],MATCH($A396,[1]!PREDICT[HARD CODE],0))</f>
        <v>10.190161939149334</v>
      </c>
      <c r="C396" s="7" t="str">
        <f>INDEX([1]!MODEL[POS],MATCH($A396,[1]!MODEL[Code],0))</f>
        <v>MID</v>
      </c>
      <c r="D396" s="7" t="str">
        <f>INDEX([1]!MODEL[TEAM],MATCH($A396,[1]!MODEL[Code],0))</f>
        <v>HUL</v>
      </c>
      <c r="E396" s="7">
        <f>INDEX([1]PREDICT!$M$3:$M$1001,MATCH($A396,[1]PREDICT!$B$3:$B$1001,0))</f>
        <v>4.5</v>
      </c>
      <c r="F396" s="15" t="str">
        <f>INDEX([1]!MODEL[FPL_Name],MATCH($A396,[1]!MODEL[Code],0))</f>
        <v>Matt Crooks</v>
      </c>
      <c r="G396" s="10">
        <v>0</v>
      </c>
      <c r="H396" s="10">
        <v>0</v>
      </c>
      <c r="I396" s="10">
        <v>0</v>
      </c>
      <c r="J396" s="11">
        <f t="shared" si="31"/>
        <v>0</v>
      </c>
      <c r="K396" s="11">
        <f t="shared" si="32"/>
        <v>0</v>
      </c>
      <c r="L396" s="11">
        <f t="shared" si="33"/>
        <v>0</v>
      </c>
      <c r="M396" s="11">
        <v>0</v>
      </c>
      <c r="N396" s="11">
        <f t="shared" si="34"/>
        <v>0</v>
      </c>
      <c r="P396" s="13">
        <f t="shared" si="35"/>
        <v>0.45289608618441485</v>
      </c>
    </row>
    <row r="397" spans="1:16" x14ac:dyDescent="0.25">
      <c r="A397" s="16">
        <v>590039</v>
      </c>
      <c r="B397" s="4">
        <f>INDEX([1]!PREDICT[TRUE PTS],MATCH($A397,[1]!PREDICT[HARD CODE],0))</f>
        <v>3.2859974732065815</v>
      </c>
      <c r="C397" s="7" t="str">
        <f>INDEX([1]!MODEL[POS],MATCH($A397,[1]!MODEL[Code],0))</f>
        <v>MID</v>
      </c>
      <c r="D397" s="7" t="str">
        <f>INDEX([1]!MODEL[TEAM],MATCH($A397,[1]!MODEL[Code],0))</f>
        <v>MCI</v>
      </c>
      <c r="E397" s="7">
        <f>INDEX([1]PREDICT!$M$3:$M$1001,MATCH($A397,[1]PREDICT!$B$3:$B$1001,0))</f>
        <v>4.5</v>
      </c>
      <c r="F397" s="15" t="str">
        <f>INDEX([1]!MODEL[FPL_Name],MATCH($A397,[1]!MODEL[Code],0))</f>
        <v>Divine Mukasa</v>
      </c>
      <c r="G397" s="10">
        <v>0</v>
      </c>
      <c r="H397" s="10">
        <v>0</v>
      </c>
      <c r="I397" s="10">
        <v>0</v>
      </c>
      <c r="J397" s="11">
        <f t="shared" si="31"/>
        <v>0</v>
      </c>
      <c r="K397" s="11">
        <f t="shared" si="32"/>
        <v>0</v>
      </c>
      <c r="L397" s="11">
        <f t="shared" si="33"/>
        <v>0</v>
      </c>
      <c r="M397" s="11">
        <v>0</v>
      </c>
      <c r="N397" s="11">
        <f t="shared" si="34"/>
        <v>0</v>
      </c>
      <c r="P397" s="13">
        <f t="shared" si="35"/>
        <v>0.14604433214251472</v>
      </c>
    </row>
    <row r="398" spans="1:16" x14ac:dyDescent="0.25">
      <c r="A398" s="16">
        <v>514514</v>
      </c>
      <c r="B398" s="4">
        <f>INDEX([1]!PREDICT[TRUE PTS],MATCH($A398,[1]!PREDICT[HARD CODE],0))</f>
        <v>6.9702717189151198</v>
      </c>
      <c r="C398" s="7" t="str">
        <f>INDEX([1]!MODEL[POS],MATCH($A398,[1]!MODEL[Code],0))</f>
        <v>MID</v>
      </c>
      <c r="D398" s="7" t="str">
        <f>INDEX([1]!MODEL[TEAM],MATCH($A398,[1]!MODEL[Code],0))</f>
        <v>LIV</v>
      </c>
      <c r="E398" s="7">
        <f>INDEX([1]PREDICT!$M$3:$M$1001,MATCH($A398,[1]PREDICT!$B$3:$B$1001,0))</f>
        <v>5</v>
      </c>
      <c r="F398" s="15" t="str">
        <f>INDEX([1]!MODEL[FPL_Name],MATCH($A398,[1]!MODEL[Code],0))</f>
        <v>Lewis Koumas</v>
      </c>
      <c r="G398" s="10">
        <v>0</v>
      </c>
      <c r="H398" s="10">
        <v>0</v>
      </c>
      <c r="I398" s="10">
        <v>0</v>
      </c>
      <c r="J398" s="11">
        <f t="shared" si="31"/>
        <v>0</v>
      </c>
      <c r="K398" s="11">
        <f t="shared" si="32"/>
        <v>0</v>
      </c>
      <c r="L398" s="11">
        <f t="shared" si="33"/>
        <v>0</v>
      </c>
      <c r="M398" s="11">
        <v>0</v>
      </c>
      <c r="N398" s="11">
        <f t="shared" si="34"/>
        <v>0</v>
      </c>
      <c r="P398" s="13">
        <f t="shared" si="35"/>
        <v>0.27881086875660477</v>
      </c>
    </row>
    <row r="399" spans="1:16" x14ac:dyDescent="0.25">
      <c r="A399" s="16">
        <v>149929</v>
      </c>
      <c r="B399" s="4">
        <f>INDEX([1]!PREDICT[TRUE PTS],MATCH($A399,[1]!PREDICT[HARD CODE],0))</f>
        <v>9.8072105037312127</v>
      </c>
      <c r="C399" s="7" t="str">
        <f>INDEX([1]!MODEL[POS],MATCH($A399,[1]!MODEL[Code],0))</f>
        <v>MID</v>
      </c>
      <c r="D399" s="7" t="str">
        <f>INDEX([1]!MODEL[TEAM],MATCH($A399,[1]!MODEL[Code],0))</f>
        <v>IPS</v>
      </c>
      <c r="E399" s="7">
        <f>INDEX([1]PREDICT!$M$3:$M$1001,MATCH($A399,[1]PREDICT!$B$3:$B$1001,0))</f>
        <v>5</v>
      </c>
      <c r="F399" s="15" t="str">
        <f>INDEX([1]!MODEL[FPL_Name],MATCH($A399,[1]!MODEL[Code],0))</f>
        <v>Wes Burns</v>
      </c>
      <c r="G399" s="10">
        <v>0</v>
      </c>
      <c r="H399" s="10">
        <v>0</v>
      </c>
      <c r="I399" s="10">
        <v>0</v>
      </c>
      <c r="J399" s="11">
        <f t="shared" si="31"/>
        <v>0</v>
      </c>
      <c r="K399" s="11">
        <f t="shared" si="32"/>
        <v>0</v>
      </c>
      <c r="L399" s="11">
        <f t="shared" si="33"/>
        <v>0</v>
      </c>
      <c r="M399" s="11">
        <v>0</v>
      </c>
      <c r="N399" s="11">
        <f t="shared" si="34"/>
        <v>0</v>
      </c>
      <c r="P399" s="13">
        <f t="shared" si="35"/>
        <v>0.39228842014924853</v>
      </c>
    </row>
    <row r="400" spans="1:16" x14ac:dyDescent="0.25">
      <c r="A400" s="16">
        <v>499726</v>
      </c>
      <c r="B400" s="4">
        <f>INDEX([1]!PREDICT[TRUE PTS],MATCH($A400,[1]!PREDICT[HARD CODE],0))</f>
        <v>1.2137875332816339</v>
      </c>
      <c r="C400" s="7" t="str">
        <f>INDEX([1]!MODEL[POS],MATCH($A400,[1]!MODEL[Code],0))</f>
        <v>MID</v>
      </c>
      <c r="D400" s="7" t="str">
        <f>INDEX([1]!MODEL[TEAM],MATCH($A400,[1]!MODEL[Code],0))</f>
        <v>TOT</v>
      </c>
      <c r="E400" s="7">
        <f>INDEX([1]PREDICT!$M$3:$M$1001,MATCH($A400,[1]PREDICT!$B$3:$B$1001,0))</f>
        <v>4.5</v>
      </c>
      <c r="F400" s="15" t="str">
        <f>INDEX([1]!MODEL[FPL_Name],MATCH($A400,[1]!MODEL[Code],0))</f>
        <v>Callum Olusesi</v>
      </c>
      <c r="G400" s="10">
        <v>0</v>
      </c>
      <c r="H400" s="10">
        <v>0</v>
      </c>
      <c r="I400" s="10">
        <v>0</v>
      </c>
      <c r="J400" s="11">
        <f t="shared" si="31"/>
        <v>0</v>
      </c>
      <c r="K400" s="11">
        <f t="shared" si="32"/>
        <v>0</v>
      </c>
      <c r="L400" s="11">
        <f t="shared" si="33"/>
        <v>0</v>
      </c>
      <c r="M400" s="11">
        <v>0</v>
      </c>
      <c r="N400" s="11">
        <f t="shared" si="34"/>
        <v>0</v>
      </c>
      <c r="P400" s="13">
        <f t="shared" si="35"/>
        <v>5.3946112590294838E-2</v>
      </c>
    </row>
    <row r="401" spans="1:16" x14ac:dyDescent="0.25">
      <c r="A401" s="16">
        <v>221399</v>
      </c>
      <c r="B401" s="4">
        <f>INDEX([1]!PREDICT[TRUE PTS],MATCH($A401,[1]!PREDICT[HARD CODE],0))</f>
        <v>1.1871533174263205</v>
      </c>
      <c r="C401" s="7" t="str">
        <f>INDEX([1]!MODEL[POS],MATCH($A401,[1]!MODEL[Code],0))</f>
        <v>MID</v>
      </c>
      <c r="D401" s="7" t="str">
        <f>INDEX([1]!MODEL[TEAM],MATCH($A401,[1]!MODEL[Code],0))</f>
        <v>LEE</v>
      </c>
      <c r="E401" s="7">
        <f>INDEX([1]PREDICT!$M$3:$M$1001,MATCH($A401,[1]PREDICT!$B$3:$B$1001,0))</f>
        <v>5</v>
      </c>
      <c r="F401" s="15" t="str">
        <f>INDEX([1]!MODEL[FPL_Name],MATCH($A401,[1]!MODEL[Code],0))</f>
        <v>Jack Harrison</v>
      </c>
      <c r="G401" s="10">
        <v>0</v>
      </c>
      <c r="H401" s="10">
        <v>0</v>
      </c>
      <c r="I401" s="10">
        <v>0</v>
      </c>
      <c r="J401" s="11">
        <f t="shared" si="31"/>
        <v>0</v>
      </c>
      <c r="K401" s="11">
        <f t="shared" si="32"/>
        <v>0</v>
      </c>
      <c r="L401" s="11">
        <f t="shared" si="33"/>
        <v>0</v>
      </c>
      <c r="M401" s="11">
        <v>0</v>
      </c>
      <c r="N401" s="11">
        <f t="shared" si="34"/>
        <v>0</v>
      </c>
      <c r="P401" s="13">
        <f t="shared" si="35"/>
        <v>4.7486132697052819E-2</v>
      </c>
    </row>
    <row r="402" spans="1:16" x14ac:dyDescent="0.25">
      <c r="A402" s="16">
        <v>550090</v>
      </c>
      <c r="B402" s="4">
        <f>INDEX([1]!PREDICT[TRUE PTS],MATCH($A402,[1]!PREDICT[HARD CODE],0))</f>
        <v>1.4763453493175014</v>
      </c>
      <c r="C402" s="7" t="str">
        <f>INDEX([1]!MODEL[POS],MATCH($A402,[1]!MODEL[Code],0))</f>
        <v>DEF</v>
      </c>
      <c r="D402" s="7" t="str">
        <f>INDEX([1]!MODEL[TEAM],MATCH($A402,[1]!MODEL[Code],0))</f>
        <v>BHA</v>
      </c>
      <c r="E402" s="7">
        <f>INDEX([1]PREDICT!$M$3:$M$1001,MATCH($A402,[1]PREDICT!$B$3:$B$1001,0))</f>
        <v>4.5</v>
      </c>
      <c r="F402" s="15" t="str">
        <f>INDEX([1]!MODEL[FPL_Name],MATCH($A402,[1]!MODEL[Code],0))</f>
        <v>Diego Coppola</v>
      </c>
      <c r="G402" s="10">
        <v>0</v>
      </c>
      <c r="H402" s="10">
        <v>0</v>
      </c>
      <c r="I402" s="10">
        <v>0</v>
      </c>
      <c r="J402" s="11">
        <f t="shared" si="31"/>
        <v>0</v>
      </c>
      <c r="K402" s="11">
        <f t="shared" si="32"/>
        <v>0</v>
      </c>
      <c r="L402" s="11">
        <f t="shared" si="33"/>
        <v>0</v>
      </c>
      <c r="M402" s="11">
        <v>0</v>
      </c>
      <c r="N402" s="11">
        <f t="shared" si="34"/>
        <v>0</v>
      </c>
      <c r="P402" s="13">
        <f t="shared" si="35"/>
        <v>6.5615348858555619E-2</v>
      </c>
    </row>
    <row r="403" spans="1:16" x14ac:dyDescent="0.25">
      <c r="A403" s="16">
        <v>490145</v>
      </c>
      <c r="B403" s="4">
        <f>INDEX([1]!PREDICT[TRUE PTS],MATCH($A403,[1]!PREDICT[HARD CODE],0))</f>
        <v>1.169333803223312</v>
      </c>
      <c r="C403" s="7" t="str">
        <f>INDEX([1]!MODEL[POS],MATCH($A403,[1]!MODEL[Code],0))</f>
        <v>FWD</v>
      </c>
      <c r="D403" s="7" t="str">
        <f>INDEX([1]!MODEL[TEAM],MATCH($A403,[1]!MODEL[Code],0))</f>
        <v>TOT</v>
      </c>
      <c r="E403" s="7">
        <f>INDEX([1]PREDICT!$M$3:$M$1001,MATCH($A403,[1]PREDICT!$B$3:$B$1001,0))</f>
        <v>4.5</v>
      </c>
      <c r="F403" s="15" t="str">
        <f>INDEX([1]!MODEL[FPL_Name],MATCH($A403,[1]!MODEL[Code],0))</f>
        <v>Dane Scarlett</v>
      </c>
      <c r="G403" s="10">
        <v>0</v>
      </c>
      <c r="H403" s="10">
        <v>0</v>
      </c>
      <c r="I403" s="10">
        <v>0</v>
      </c>
      <c r="J403" s="11">
        <f t="shared" si="31"/>
        <v>0</v>
      </c>
      <c r="K403" s="11">
        <f t="shared" si="32"/>
        <v>0</v>
      </c>
      <c r="L403" s="11">
        <f t="shared" si="33"/>
        <v>0</v>
      </c>
      <c r="M403" s="11">
        <v>0</v>
      </c>
      <c r="N403" s="11">
        <f t="shared" si="34"/>
        <v>0</v>
      </c>
      <c r="P403" s="13">
        <f t="shared" si="35"/>
        <v>5.1970391254369419E-2</v>
      </c>
    </row>
    <row r="404" spans="1:16" x14ac:dyDescent="0.25">
      <c r="A404" s="16">
        <v>577285</v>
      </c>
      <c r="B404" s="4">
        <f>INDEX([1]!PREDICT[TRUE PTS],MATCH($A404,[1]!PREDICT[HARD CODE],0))</f>
        <v>1.71389687602913</v>
      </c>
      <c r="C404" s="7" t="str">
        <f>INDEX([1]!MODEL[POS],MATCH($A404,[1]!MODEL[Code],0))</f>
        <v>MID</v>
      </c>
      <c r="D404" s="7" t="str">
        <f>INDEX([1]!MODEL[TEAM],MATCH($A404,[1]!MODEL[Code],0))</f>
        <v>AVL</v>
      </c>
      <c r="E404" s="7">
        <f>INDEX([1]PREDICT!$M$3:$M$1001,MATCH($A404,[1]PREDICT!$B$3:$B$1001,0))</f>
        <v>4.5</v>
      </c>
      <c r="F404" s="15" t="str">
        <f>INDEX([1]!MODEL[FPL_Name],MATCH($A404,[1]!MODEL[Code],0))</f>
        <v>George Hemmings</v>
      </c>
      <c r="G404" s="10">
        <v>0</v>
      </c>
      <c r="H404" s="10">
        <v>0</v>
      </c>
      <c r="I404" s="10">
        <v>0</v>
      </c>
      <c r="J404" s="11">
        <f t="shared" si="31"/>
        <v>0</v>
      </c>
      <c r="K404" s="11">
        <f t="shared" si="32"/>
        <v>0</v>
      </c>
      <c r="L404" s="11">
        <f t="shared" si="33"/>
        <v>0</v>
      </c>
      <c r="M404" s="11">
        <v>0</v>
      </c>
      <c r="N404" s="11">
        <f t="shared" si="34"/>
        <v>0</v>
      </c>
      <c r="P404" s="13">
        <f t="shared" si="35"/>
        <v>7.617319449018356E-2</v>
      </c>
    </row>
    <row r="405" spans="1:16" x14ac:dyDescent="0.25">
      <c r="A405" s="16">
        <v>501459</v>
      </c>
      <c r="B405" s="4">
        <f>INDEX([1]!PREDICT[TRUE PTS],MATCH($A405,[1]!PREDICT[HARD CODE],0))</f>
        <v>10.693348347122381</v>
      </c>
      <c r="C405" s="7" t="str">
        <f>INDEX([1]!MODEL[POS],MATCH($A405,[1]!MODEL[Code],0))</f>
        <v>MID</v>
      </c>
      <c r="D405" s="7" t="str">
        <f>INDEX([1]!MODEL[TEAM],MATCH($A405,[1]!MODEL[Code],0))</f>
        <v>COV</v>
      </c>
      <c r="E405" s="7">
        <f>INDEX([1]PREDICT!$M$3:$M$1001,MATCH($A405,[1]PREDICT!$B$3:$B$1001,0))</f>
        <v>5</v>
      </c>
      <c r="F405" s="15" t="str">
        <f>INDEX([1]!MODEL[FPL_Name],MATCH($A405,[1]!MODEL[Code],0))</f>
        <v>Tatsuhiro Sakamoto</v>
      </c>
      <c r="G405" s="10">
        <v>0</v>
      </c>
      <c r="H405" s="10">
        <v>0</v>
      </c>
      <c r="I405" s="10">
        <v>0</v>
      </c>
      <c r="J405" s="11">
        <f t="shared" si="31"/>
        <v>0</v>
      </c>
      <c r="K405" s="11">
        <f t="shared" si="32"/>
        <v>0</v>
      </c>
      <c r="L405" s="11">
        <f t="shared" si="33"/>
        <v>0</v>
      </c>
      <c r="M405" s="11">
        <v>0</v>
      </c>
      <c r="N405" s="11">
        <f t="shared" si="34"/>
        <v>0</v>
      </c>
      <c r="P405" s="13">
        <f t="shared" si="35"/>
        <v>0.42773393388489522</v>
      </c>
    </row>
    <row r="406" spans="1:16" x14ac:dyDescent="0.25">
      <c r="A406" s="16">
        <v>591386</v>
      </c>
      <c r="B406" s="4">
        <f>INDEX([1]!PREDICT[TRUE PTS],MATCH($A406,[1]!PREDICT[HARD CODE],0))</f>
        <v>2.6265584119857031</v>
      </c>
      <c r="C406" s="7" t="str">
        <f>INDEX([1]!MODEL[POS],MATCH($A406,[1]!MODEL[Code],0))</f>
        <v>MID</v>
      </c>
      <c r="D406" s="7" t="str">
        <f>INDEX([1]!MODEL[TEAM],MATCH($A406,[1]!MODEL[Code],0))</f>
        <v>LIV</v>
      </c>
      <c r="E406" s="7">
        <f>INDEX([1]PREDICT!$M$3:$M$1001,MATCH($A406,[1]PREDICT!$B$3:$B$1001,0))</f>
        <v>5</v>
      </c>
      <c r="F406" s="15" t="str">
        <f>INDEX([1]!MODEL[FPL_Name],MATCH($A406,[1]!MODEL[Code],0))</f>
        <v>Trey Nyoni</v>
      </c>
      <c r="G406" s="10">
        <v>0</v>
      </c>
      <c r="H406" s="10">
        <v>0</v>
      </c>
      <c r="I406" s="10">
        <v>0</v>
      </c>
      <c r="J406" s="11">
        <f t="shared" si="31"/>
        <v>0</v>
      </c>
      <c r="K406" s="11">
        <f t="shared" si="32"/>
        <v>0</v>
      </c>
      <c r="L406" s="11">
        <f t="shared" si="33"/>
        <v>0</v>
      </c>
      <c r="M406" s="11">
        <v>0</v>
      </c>
      <c r="N406" s="11">
        <f t="shared" si="34"/>
        <v>0</v>
      </c>
      <c r="P406" s="13">
        <f t="shared" si="35"/>
        <v>0.10506233647942813</v>
      </c>
    </row>
    <row r="407" spans="1:16" x14ac:dyDescent="0.25">
      <c r="A407" s="16">
        <v>108813</v>
      </c>
      <c r="B407" s="4">
        <f>INDEX([1]!PREDICT[TRUE PTS],MATCH($A407,[1]!PREDICT[HARD CODE],0))</f>
        <v>13.313319185558692</v>
      </c>
      <c r="C407" s="7" t="str">
        <f>INDEX([1]!MODEL[POS],MATCH($A407,[1]!MODEL[Code],0))</f>
        <v>GK</v>
      </c>
      <c r="D407" s="7" t="str">
        <f>INDEX([1]!MODEL[TEAM],MATCH($A407,[1]!MODEL[Code],0))</f>
        <v>IPS</v>
      </c>
      <c r="E407" s="7">
        <f>INDEX([1]PREDICT!$M$3:$M$1001,MATCH($A407,[1]PREDICT!$B$3:$B$1001,0))</f>
        <v>4.5</v>
      </c>
      <c r="F407" s="15" t="str">
        <f>INDEX([1]!MODEL[FPL_Name],MATCH($A407,[1]!MODEL[Code],0))</f>
        <v>Christian Walton</v>
      </c>
      <c r="G407" s="10">
        <v>0</v>
      </c>
      <c r="H407" s="10">
        <v>0</v>
      </c>
      <c r="I407" s="10">
        <v>0</v>
      </c>
      <c r="J407" s="11">
        <f t="shared" si="31"/>
        <v>0</v>
      </c>
      <c r="K407" s="11">
        <f t="shared" si="32"/>
        <v>0</v>
      </c>
      <c r="L407" s="11">
        <f t="shared" si="33"/>
        <v>0</v>
      </c>
      <c r="M407" s="11">
        <v>0</v>
      </c>
      <c r="N407" s="11">
        <f t="shared" si="34"/>
        <v>0</v>
      </c>
      <c r="P407" s="13">
        <f t="shared" si="35"/>
        <v>0.59170307491371965</v>
      </c>
    </row>
    <row r="408" spans="1:16" x14ac:dyDescent="0.25">
      <c r="A408" s="16">
        <v>513545</v>
      </c>
      <c r="B408" s="4">
        <f>INDEX([1]!PREDICT[TRUE PTS],MATCH($A408,[1]!PREDICT[HARD CODE],0))</f>
        <v>0.49835106318011635</v>
      </c>
      <c r="C408" s="7" t="str">
        <f>INDEX([1]!MODEL[POS],MATCH($A408,[1]!MODEL[Code],0))</f>
        <v>MID</v>
      </c>
      <c r="D408" s="7" t="str">
        <f>INDEX([1]!MODEL[TEAM],MATCH($A408,[1]!MODEL[Code],0))</f>
        <v>BRE</v>
      </c>
      <c r="E408" s="7">
        <f>INDEX([1]PREDICT!$M$3:$M$1001,MATCH($A408,[1]PREDICT!$B$3:$B$1001,0))</f>
        <v>5.5</v>
      </c>
      <c r="F408" s="15" t="str">
        <f>INDEX([1]!MODEL[FPL_Name],MATCH($A408,[1]!MODEL[Code],0))</f>
        <v>Mamadou Sangaré</v>
      </c>
      <c r="G408" s="10">
        <v>0</v>
      </c>
      <c r="H408" s="10">
        <v>0</v>
      </c>
      <c r="I408" s="10">
        <v>0</v>
      </c>
      <c r="J408" s="11">
        <f t="shared" si="31"/>
        <v>0</v>
      </c>
      <c r="K408" s="11">
        <f t="shared" si="32"/>
        <v>0</v>
      </c>
      <c r="L408" s="11">
        <f t="shared" si="33"/>
        <v>0</v>
      </c>
      <c r="M408" s="11">
        <v>0</v>
      </c>
      <c r="N408" s="11">
        <f t="shared" si="34"/>
        <v>0</v>
      </c>
      <c r="P408" s="13">
        <f t="shared" si="35"/>
        <v>1.8121856842913321E-2</v>
      </c>
    </row>
    <row r="409" spans="1:16" x14ac:dyDescent="0.25">
      <c r="A409" s="16">
        <v>519913</v>
      </c>
      <c r="B409" s="4">
        <f>INDEX([1]!PREDICT[TRUE PTS],MATCH($A409,[1]!PREDICT[HARD CODE],0))</f>
        <v>1.036545166067341</v>
      </c>
      <c r="C409" s="7" t="str">
        <f>INDEX([1]!MODEL[POS],MATCH($A409,[1]!MODEL[Code],0))</f>
        <v>MID</v>
      </c>
      <c r="D409" s="7" t="str">
        <f>INDEX([1]!MODEL[TEAM],MATCH($A409,[1]!MODEL[Code],0))</f>
        <v>MUN</v>
      </c>
      <c r="E409" s="7">
        <f>INDEX([1]PREDICT!$M$3:$M$1001,MATCH($A409,[1]PREDICT!$B$3:$B$1001,0))</f>
        <v>4.5</v>
      </c>
      <c r="F409" s="15" t="str">
        <f>INDEX([1]!MODEL[FPL_Name],MATCH($A409,[1]!MODEL[Code],0))</f>
        <v>Tyler Fletcher</v>
      </c>
      <c r="G409" s="10">
        <v>0</v>
      </c>
      <c r="H409" s="10">
        <v>0</v>
      </c>
      <c r="I409" s="10">
        <v>0</v>
      </c>
      <c r="J409" s="11">
        <f t="shared" si="31"/>
        <v>0</v>
      </c>
      <c r="K409" s="11">
        <f t="shared" si="32"/>
        <v>0</v>
      </c>
      <c r="L409" s="11">
        <f t="shared" si="33"/>
        <v>0</v>
      </c>
      <c r="M409" s="11">
        <v>0</v>
      </c>
      <c r="N409" s="11">
        <f t="shared" si="34"/>
        <v>0</v>
      </c>
      <c r="P409" s="13">
        <f t="shared" si="35"/>
        <v>4.6068674047437377E-2</v>
      </c>
    </row>
    <row r="410" spans="1:16" x14ac:dyDescent="0.25">
      <c r="A410" s="16">
        <v>183015</v>
      </c>
      <c r="B410" s="4">
        <f>INDEX([1]!PREDICT[TRUE PTS],MATCH($A410,[1]!PREDICT[HARD CODE],0))</f>
        <v>11.556627114453445</v>
      </c>
      <c r="C410" s="7" t="str">
        <f>INDEX([1]!MODEL[POS],MATCH($A410,[1]!MODEL[Code],0))</f>
        <v>DEF</v>
      </c>
      <c r="D410" s="7" t="str">
        <f>INDEX([1]!MODEL[TEAM],MATCH($A410,[1]!MODEL[Code],0))</f>
        <v>IPS</v>
      </c>
      <c r="E410" s="7">
        <f>INDEX([1]PREDICT!$M$3:$M$1001,MATCH($A410,[1]PREDICT!$B$3:$B$1001,0))</f>
        <v>4</v>
      </c>
      <c r="F410" s="15" t="str">
        <f>INDEX([1]!MODEL[FPL_Name],MATCH($A410,[1]!MODEL[Code],0))</f>
        <v>Cédric Kipré</v>
      </c>
      <c r="G410" s="10">
        <v>0</v>
      </c>
      <c r="H410" s="10">
        <v>0</v>
      </c>
      <c r="I410" s="10">
        <v>0</v>
      </c>
      <c r="J410" s="11">
        <f t="shared" si="31"/>
        <v>0</v>
      </c>
      <c r="K410" s="11">
        <f t="shared" si="32"/>
        <v>0</v>
      </c>
      <c r="L410" s="11">
        <f t="shared" si="33"/>
        <v>0</v>
      </c>
      <c r="M410" s="11">
        <v>0</v>
      </c>
      <c r="N410" s="11">
        <f t="shared" si="34"/>
        <v>0</v>
      </c>
      <c r="P410" s="13">
        <f t="shared" si="35"/>
        <v>0.57783135572267219</v>
      </c>
    </row>
    <row r="411" spans="1:16" x14ac:dyDescent="0.25">
      <c r="A411" s="16">
        <v>550839</v>
      </c>
      <c r="B411" s="4">
        <f>INDEX([1]!PREDICT[TRUE PTS],MATCH($A411,[1]!PREDICT[HARD CODE],0))</f>
        <v>2.455078428239962</v>
      </c>
      <c r="C411" s="7" t="str">
        <f>INDEX([1]!MODEL[POS],MATCH($A411,[1]!MODEL[Code],0))</f>
        <v>MID</v>
      </c>
      <c r="D411" s="7" t="str">
        <f>INDEX([1]!MODEL[TEAM],MATCH($A411,[1]!MODEL[Code],0))</f>
        <v>TOT</v>
      </c>
      <c r="E411" s="7">
        <f>INDEX([1]PREDICT!$M$3:$M$1001,MATCH($A411,[1]PREDICT!$B$3:$B$1001,0))</f>
        <v>5.5</v>
      </c>
      <c r="F411" s="15" t="str">
        <f>INDEX([1]!MODEL[FPL_Name],MATCH($A411,[1]!MODEL[Code],0))</f>
        <v>Wilson Odobert</v>
      </c>
      <c r="G411" s="10">
        <v>0</v>
      </c>
      <c r="H411" s="10">
        <v>0</v>
      </c>
      <c r="I411" s="10">
        <v>0</v>
      </c>
      <c r="J411" s="11">
        <f t="shared" si="31"/>
        <v>0</v>
      </c>
      <c r="K411" s="11">
        <f t="shared" si="32"/>
        <v>0</v>
      </c>
      <c r="L411" s="11">
        <f t="shared" si="33"/>
        <v>0</v>
      </c>
      <c r="M411" s="11">
        <v>0</v>
      </c>
      <c r="N411" s="11">
        <f t="shared" si="34"/>
        <v>0</v>
      </c>
      <c r="P411" s="13">
        <f t="shared" si="35"/>
        <v>8.9275579208725891E-2</v>
      </c>
    </row>
    <row r="412" spans="1:16" x14ac:dyDescent="0.25">
      <c r="A412" s="16">
        <v>590014</v>
      </c>
      <c r="B412" s="4">
        <f>INDEX([1]!PREDICT[TRUE PTS],MATCH($A412,[1]!PREDICT[HARD CODE],0))</f>
        <v>2.1471836755280238</v>
      </c>
      <c r="C412" s="7" t="str">
        <f>INDEX([1]!MODEL[POS],MATCH($A412,[1]!MODEL[Code],0))</f>
        <v>DEF</v>
      </c>
      <c r="D412" s="7" t="str">
        <f>INDEX([1]!MODEL[TEAM],MATCH($A412,[1]!MODEL[Code],0))</f>
        <v>CRY</v>
      </c>
      <c r="E412" s="7">
        <f>INDEX([1]PREDICT!$M$3:$M$1001,MATCH($A412,[1]PREDICT!$B$3:$B$1001,0))</f>
        <v>4.5</v>
      </c>
      <c r="F412" s="15" t="str">
        <f>INDEX([1]!MODEL[FPL_Name],MATCH($A412,[1]!MODEL[Code],0))</f>
        <v>Rio Cardines</v>
      </c>
      <c r="G412" s="10">
        <v>0</v>
      </c>
      <c r="H412" s="10">
        <v>0</v>
      </c>
      <c r="I412" s="10">
        <v>0</v>
      </c>
      <c r="J412" s="11">
        <f t="shared" si="31"/>
        <v>0</v>
      </c>
      <c r="K412" s="11">
        <f t="shared" si="32"/>
        <v>0</v>
      </c>
      <c r="L412" s="11">
        <f t="shared" si="33"/>
        <v>0</v>
      </c>
      <c r="M412" s="11">
        <v>0</v>
      </c>
      <c r="N412" s="11">
        <f t="shared" si="34"/>
        <v>0</v>
      </c>
      <c r="P412" s="13">
        <f t="shared" si="35"/>
        <v>9.543038557902328E-2</v>
      </c>
    </row>
    <row r="413" spans="1:16" x14ac:dyDescent="0.25">
      <c r="A413" s="16">
        <v>220583</v>
      </c>
      <c r="B413" s="4">
        <f>INDEX([1]!PREDICT[TRUE PTS],MATCH($A413,[1]!PREDICT[HARD CODE],0))</f>
        <v>4.3216741886449617</v>
      </c>
      <c r="C413" s="7" t="str">
        <f>INDEX([1]!MODEL[POS],MATCH($A413,[1]!MODEL[Code],0))</f>
        <v>DEF</v>
      </c>
      <c r="D413" s="7" t="str">
        <f>INDEX([1]!MODEL[TEAM],MATCH($A413,[1]!MODEL[Code],0))</f>
        <v>COV</v>
      </c>
      <c r="E413" s="7">
        <f>INDEX([1]PREDICT!$M$3:$M$1001,MATCH($A413,[1]PREDICT!$B$3:$B$1001,0))</f>
        <v>4</v>
      </c>
      <c r="F413" s="15" t="str">
        <f>INDEX([1]!MODEL[FPL_Name],MATCH($A413,[1]!MODEL[Code],0))</f>
        <v>Luke Woolfenden</v>
      </c>
      <c r="G413" s="10">
        <v>0</v>
      </c>
      <c r="H413" s="10">
        <v>0</v>
      </c>
      <c r="I413" s="10">
        <v>0</v>
      </c>
      <c r="J413" s="11">
        <f t="shared" si="31"/>
        <v>0</v>
      </c>
      <c r="K413" s="11">
        <f t="shared" si="32"/>
        <v>0</v>
      </c>
      <c r="L413" s="11">
        <f t="shared" si="33"/>
        <v>0</v>
      </c>
      <c r="M413" s="11">
        <v>0</v>
      </c>
      <c r="N413" s="11">
        <f t="shared" si="34"/>
        <v>0</v>
      </c>
      <c r="P413" s="13">
        <f t="shared" si="35"/>
        <v>0.21608370943224808</v>
      </c>
    </row>
    <row r="414" spans="1:16" x14ac:dyDescent="0.25">
      <c r="A414" s="16">
        <v>500957</v>
      </c>
      <c r="B414" s="4">
        <f>INDEX([1]!PREDICT[TRUE PTS],MATCH($A414,[1]!PREDICT[HARD CODE],0))</f>
        <v>5.997645359293255</v>
      </c>
      <c r="C414" s="7" t="str">
        <f>INDEX([1]!MODEL[POS],MATCH($A414,[1]!MODEL[Code],0))</f>
        <v>FWD</v>
      </c>
      <c r="D414" s="7" t="str">
        <f>INDEX([1]!MODEL[TEAM],MATCH($A414,[1]!MODEL[Code],0))</f>
        <v>HUL</v>
      </c>
      <c r="E414" s="7">
        <f>INDEX([1]PREDICT!$M$3:$M$1001,MATCH($A414,[1]PREDICT!$B$3:$B$1001,0))</f>
        <v>4.5</v>
      </c>
      <c r="F414" s="15" t="str">
        <f>INDEX([1]!MODEL[FPL_Name],MATCH($A414,[1]!MODEL[Code],0))</f>
        <v>Enis Destan</v>
      </c>
      <c r="G414" s="10">
        <v>0</v>
      </c>
      <c r="H414" s="10">
        <v>0</v>
      </c>
      <c r="I414" s="10">
        <v>0</v>
      </c>
      <c r="J414" s="11">
        <f t="shared" si="31"/>
        <v>0</v>
      </c>
      <c r="K414" s="11">
        <f t="shared" si="32"/>
        <v>0</v>
      </c>
      <c r="L414" s="11">
        <f t="shared" si="33"/>
        <v>0</v>
      </c>
      <c r="M414" s="11">
        <v>0</v>
      </c>
      <c r="N414" s="11">
        <f t="shared" si="34"/>
        <v>0</v>
      </c>
      <c r="P414" s="13">
        <f t="shared" si="35"/>
        <v>0.26656201596858914</v>
      </c>
    </row>
    <row r="415" spans="1:16" x14ac:dyDescent="0.25">
      <c r="A415" s="16">
        <v>616221</v>
      </c>
      <c r="B415" s="4">
        <f>INDEX([1]!PREDICT[TRUE PTS],MATCH($A415,[1]!PREDICT[HARD CODE],0))</f>
        <v>2.0219933973000548</v>
      </c>
      <c r="C415" s="7" t="str">
        <f>INDEX([1]!MODEL[POS],MATCH($A415,[1]!MODEL[Code],0))</f>
        <v>DEF</v>
      </c>
      <c r="D415" s="7" t="str">
        <f>INDEX([1]!MODEL[TEAM],MATCH($A415,[1]!MODEL[Code],0))</f>
        <v>TOT</v>
      </c>
      <c r="E415" s="7">
        <f>INDEX([1]PREDICT!$M$3:$M$1001,MATCH($A415,[1]PREDICT!$B$3:$B$1001,0))</f>
        <v>4</v>
      </c>
      <c r="F415" s="15" t="str">
        <f>INDEX([1]!MODEL[FPL_Name],MATCH($A415,[1]!MODEL[Code],0))</f>
        <v>João Victor de Souza Menezes</v>
      </c>
      <c r="G415" s="10">
        <v>0</v>
      </c>
      <c r="H415" s="10">
        <v>0</v>
      </c>
      <c r="I415" s="10">
        <v>0</v>
      </c>
      <c r="J415" s="11">
        <f t="shared" si="31"/>
        <v>0</v>
      </c>
      <c r="K415" s="11">
        <f t="shared" si="32"/>
        <v>0</v>
      </c>
      <c r="L415" s="11">
        <f t="shared" si="33"/>
        <v>0</v>
      </c>
      <c r="M415" s="11">
        <v>0</v>
      </c>
      <c r="N415" s="11">
        <f t="shared" si="34"/>
        <v>0</v>
      </c>
      <c r="P415" s="13">
        <f t="shared" si="35"/>
        <v>0.10109966986500274</v>
      </c>
    </row>
    <row r="416" spans="1:16" x14ac:dyDescent="0.25">
      <c r="A416" s="16">
        <v>232928</v>
      </c>
      <c r="B416" s="4">
        <f>INDEX([1]!PREDICT[TRUE PTS],MATCH($A416,[1]!PREDICT[HARD CODE],0))</f>
        <v>0.93991332148150797</v>
      </c>
      <c r="C416" s="7" t="str">
        <f>INDEX([1]!MODEL[POS],MATCH($A416,[1]!MODEL[Code],0))</f>
        <v>MID</v>
      </c>
      <c r="D416" s="7" t="str">
        <f>INDEX([1]!MODEL[TEAM],MATCH($A416,[1]!MODEL[Code],0))</f>
        <v>EVE</v>
      </c>
      <c r="E416" s="7">
        <f>INDEX([1]PREDICT!$M$3:$M$1001,MATCH($A416,[1]PREDICT!$B$3:$B$1001,0))</f>
        <v>6</v>
      </c>
      <c r="F416" s="15" t="str">
        <f>INDEX([1]!MODEL[FPL_Name],MATCH($A416,[1]!MODEL[Code],0))</f>
        <v>James Garner</v>
      </c>
      <c r="G416" s="10">
        <v>0</v>
      </c>
      <c r="H416" s="10">
        <v>0</v>
      </c>
      <c r="I416" s="10">
        <v>0</v>
      </c>
      <c r="J416" s="11">
        <f t="shared" si="31"/>
        <v>0</v>
      </c>
      <c r="K416" s="11">
        <f t="shared" si="32"/>
        <v>0</v>
      </c>
      <c r="L416" s="11">
        <f t="shared" si="33"/>
        <v>0</v>
      </c>
      <c r="M416" s="11">
        <v>0</v>
      </c>
      <c r="N416" s="11">
        <f t="shared" si="34"/>
        <v>0</v>
      </c>
      <c r="P416" s="13">
        <f t="shared" si="35"/>
        <v>3.13304440493836E-2</v>
      </c>
    </row>
    <row r="417" spans="1:16" x14ac:dyDescent="0.25">
      <c r="A417" s="16">
        <v>218997</v>
      </c>
      <c r="B417" s="4">
        <f>INDEX([1]!PREDICT[TRUE PTS],MATCH($A417,[1]!PREDICT[HARD CODE],0))</f>
        <v>6.7813346760082052</v>
      </c>
      <c r="C417" s="7" t="str">
        <f>INDEX([1]!MODEL[POS],MATCH($A417,[1]!MODEL[Code],0))</f>
        <v>FWD</v>
      </c>
      <c r="D417" s="7" t="str">
        <f>INDEX([1]!MODEL[TEAM],MATCH($A417,[1]!MODEL[Code],0))</f>
        <v>COV</v>
      </c>
      <c r="E417" s="7">
        <f>INDEX([1]PREDICT!$M$3:$M$1001,MATCH($A417,[1]PREDICT!$B$3:$B$1001,0))</f>
        <v>5</v>
      </c>
      <c r="F417" s="15" t="str">
        <f>INDEX([1]!MODEL[FPL_Name],MATCH($A417,[1]!MODEL[Code],0))</f>
        <v>Ellis Simms</v>
      </c>
      <c r="G417" s="10">
        <v>0</v>
      </c>
      <c r="H417" s="10">
        <v>0</v>
      </c>
      <c r="I417" s="10">
        <v>0</v>
      </c>
      <c r="J417" s="11">
        <f t="shared" si="31"/>
        <v>0</v>
      </c>
      <c r="K417" s="11">
        <f t="shared" si="32"/>
        <v>0</v>
      </c>
      <c r="L417" s="11">
        <f t="shared" si="33"/>
        <v>0</v>
      </c>
      <c r="M417" s="11">
        <v>0</v>
      </c>
      <c r="N417" s="11">
        <f t="shared" si="34"/>
        <v>0</v>
      </c>
      <c r="P417" s="13">
        <f t="shared" si="35"/>
        <v>0.2712533870403282</v>
      </c>
    </row>
    <row r="418" spans="1:16" x14ac:dyDescent="0.25">
      <c r="A418" s="16">
        <v>209365</v>
      </c>
      <c r="B418" s="4">
        <f>INDEX([1]!PREDICT[TRUE PTS],MATCH($A418,[1]!PREDICT[HARD CODE],0))</f>
        <v>0.90564713293005106</v>
      </c>
      <c r="C418" s="7" t="str">
        <f>INDEX([1]!MODEL[POS],MATCH($A418,[1]!MODEL[Code],0))</f>
        <v>DEF</v>
      </c>
      <c r="D418" s="7" t="str">
        <f>INDEX([1]!MODEL[TEAM],MATCH($A418,[1]!MODEL[Code],0))</f>
        <v>MUN</v>
      </c>
      <c r="E418" s="7">
        <f>INDEX([1]PREDICT!$M$3:$M$1001,MATCH($A418,[1]PREDICT!$B$3:$B$1001,0))</f>
        <v>5</v>
      </c>
      <c r="F418" s="15" t="str">
        <f>INDEX([1]!MODEL[FPL_Name],MATCH($A418,[1]!MODEL[Code],0))</f>
        <v>Matthijs de Ligt</v>
      </c>
      <c r="G418" s="10">
        <v>0</v>
      </c>
      <c r="H418" s="10">
        <v>0</v>
      </c>
      <c r="I418" s="10">
        <v>0</v>
      </c>
      <c r="J418" s="11">
        <f t="shared" si="31"/>
        <v>0</v>
      </c>
      <c r="K418" s="11">
        <f t="shared" si="32"/>
        <v>0</v>
      </c>
      <c r="L418" s="11">
        <f t="shared" si="33"/>
        <v>0</v>
      </c>
      <c r="M418" s="11">
        <v>0</v>
      </c>
      <c r="N418" s="11">
        <f t="shared" si="34"/>
        <v>0</v>
      </c>
      <c r="P418" s="13">
        <f t="shared" si="35"/>
        <v>3.6225885317202042E-2</v>
      </c>
    </row>
    <row r="419" spans="1:16" x14ac:dyDescent="0.25">
      <c r="A419" s="16">
        <v>433590</v>
      </c>
      <c r="B419" s="4">
        <f>INDEX([1]!PREDICT[TRUE PTS],MATCH($A419,[1]!PREDICT[HARD CODE],0))</f>
        <v>4.9949417819368254</v>
      </c>
      <c r="C419" s="7" t="str">
        <f>INDEX([1]!MODEL[POS],MATCH($A419,[1]!MODEL[Code],0))</f>
        <v>DEF</v>
      </c>
      <c r="D419" s="7" t="str">
        <f>INDEX([1]!MODEL[TEAM],MATCH($A419,[1]!MODEL[Code],0))</f>
        <v>HUL</v>
      </c>
      <c r="E419" s="7">
        <f>INDEX([1]PREDICT!$M$3:$M$1001,MATCH($A419,[1]PREDICT!$B$3:$B$1001,0))</f>
        <v>4</v>
      </c>
      <c r="F419" s="15" t="str">
        <f>INDEX([1]!MODEL[FPL_Name],MATCH($A419,[1]!MODEL[Code],0))</f>
        <v>Cody Drameh</v>
      </c>
      <c r="G419" s="10">
        <v>0</v>
      </c>
      <c r="H419" s="10">
        <v>0</v>
      </c>
      <c r="I419" s="10">
        <v>0</v>
      </c>
      <c r="J419" s="11">
        <f t="shared" si="31"/>
        <v>0</v>
      </c>
      <c r="K419" s="11">
        <f t="shared" si="32"/>
        <v>0</v>
      </c>
      <c r="L419" s="11">
        <f t="shared" si="33"/>
        <v>0</v>
      </c>
      <c r="M419" s="11">
        <v>0</v>
      </c>
      <c r="N419" s="11">
        <f t="shared" si="34"/>
        <v>0</v>
      </c>
      <c r="P419" s="13">
        <f t="shared" si="35"/>
        <v>0.24974708909684126</v>
      </c>
    </row>
    <row r="420" spans="1:16" x14ac:dyDescent="0.25">
      <c r="A420" s="16">
        <v>490161</v>
      </c>
      <c r="B420" s="4">
        <f>INDEX([1]!PREDICT[TRUE PTS],MATCH($A420,[1]!PREDICT[HARD CODE],0))</f>
        <v>8.2578142191143247</v>
      </c>
      <c r="C420" s="7" t="str">
        <f>INDEX([1]!MODEL[POS],MATCH($A420,[1]!MODEL[Code],0))</f>
        <v>MID</v>
      </c>
      <c r="D420" s="7" t="str">
        <f>INDEX([1]!MODEL[TEAM],MATCH($A420,[1]!MODEL[Code],0))</f>
        <v>HUL</v>
      </c>
      <c r="E420" s="7">
        <f>INDEX([1]PREDICT!$M$3:$M$1001,MATCH($A420,[1]PREDICT!$B$3:$B$1001,0))</f>
        <v>5</v>
      </c>
      <c r="F420" s="15" t="str">
        <f>INDEX([1]!MODEL[FPL_Name],MATCH($A420,[1]!MODEL[Code],0))</f>
        <v>Abu Kamara</v>
      </c>
      <c r="G420" s="10">
        <v>0</v>
      </c>
      <c r="H420" s="10">
        <v>0</v>
      </c>
      <c r="I420" s="10">
        <v>0</v>
      </c>
      <c r="J420" s="11">
        <f t="shared" si="31"/>
        <v>0</v>
      </c>
      <c r="K420" s="11">
        <f t="shared" si="32"/>
        <v>0</v>
      </c>
      <c r="L420" s="11">
        <f t="shared" si="33"/>
        <v>0</v>
      </c>
      <c r="M420" s="11">
        <v>0</v>
      </c>
      <c r="N420" s="11">
        <f t="shared" si="34"/>
        <v>0</v>
      </c>
      <c r="P420" s="13">
        <f t="shared" si="35"/>
        <v>0.33031256876457299</v>
      </c>
    </row>
    <row r="421" spans="1:16" x14ac:dyDescent="0.25">
      <c r="A421" s="16">
        <v>481624</v>
      </c>
      <c r="B421" s="4">
        <f>INDEX([1]!PREDICT[TRUE PTS],MATCH($A421,[1]!PREDICT[HARD CODE],0))</f>
        <v>0.59020054548420919</v>
      </c>
      <c r="C421" s="7" t="str">
        <f>INDEX([1]!MODEL[POS],MATCH($A421,[1]!MODEL[Code],0))</f>
        <v>MID</v>
      </c>
      <c r="D421" s="7" t="str">
        <f>INDEX([1]!MODEL[TEAM],MATCH($A421,[1]!MODEL[Code],0))</f>
        <v>IPS</v>
      </c>
      <c r="E421" s="7">
        <f>INDEX([1]PREDICT!$M$3:$M$1001,MATCH($A421,[1]PREDICT!$B$3:$B$1001,0))</f>
        <v>5.5</v>
      </c>
      <c r="F421" s="15" t="str">
        <f>INDEX([1]!MODEL[FPL_Name],MATCH($A421,[1]!MODEL[Code],0))</f>
        <v>Jaden Philogene</v>
      </c>
      <c r="G421" s="10">
        <v>0</v>
      </c>
      <c r="H421" s="10">
        <v>0</v>
      </c>
      <c r="I421" s="10">
        <v>0</v>
      </c>
      <c r="J421" s="11">
        <f t="shared" si="31"/>
        <v>0</v>
      </c>
      <c r="K421" s="11">
        <f t="shared" si="32"/>
        <v>0</v>
      </c>
      <c r="L421" s="11">
        <f t="shared" si="33"/>
        <v>0</v>
      </c>
      <c r="M421" s="11">
        <v>0</v>
      </c>
      <c r="N421" s="11">
        <f t="shared" si="34"/>
        <v>0</v>
      </c>
      <c r="P421" s="13">
        <f t="shared" si="35"/>
        <v>2.1461838017607607E-2</v>
      </c>
    </row>
    <row r="422" spans="1:16" x14ac:dyDescent="0.25">
      <c r="A422" s="16">
        <v>432987</v>
      </c>
      <c r="B422" s="4">
        <f>INDEX([1]!PREDICT[TRUE PTS],MATCH($A422,[1]!PREDICT[HARD CODE],0))</f>
        <v>-6.9449337323768096E-2</v>
      </c>
      <c r="C422" s="7" t="str">
        <f>INDEX([1]!MODEL[POS],MATCH($A422,[1]!MODEL[Code],0))</f>
        <v>GK</v>
      </c>
      <c r="D422" s="7" t="str">
        <f>INDEX([1]!MODEL[TEAM],MATCH($A422,[1]!MODEL[Code],0))</f>
        <v>LIV</v>
      </c>
      <c r="E422" s="7">
        <f>INDEX([1]PREDICT!$M$3:$M$1001,MATCH($A422,[1]PREDICT!$B$3:$B$1001,0))</f>
        <v>4</v>
      </c>
      <c r="F422" s="15" t="str">
        <f>INDEX([1]!MODEL[FPL_Name],MATCH($A422,[1]!MODEL[Code],0))</f>
        <v>Vitezslav Jaros</v>
      </c>
      <c r="G422" s="10">
        <v>0</v>
      </c>
      <c r="H422" s="10">
        <v>0</v>
      </c>
      <c r="I422" s="10">
        <v>0</v>
      </c>
      <c r="J422" s="11">
        <f t="shared" si="31"/>
        <v>0</v>
      </c>
      <c r="K422" s="11">
        <f t="shared" si="32"/>
        <v>0</v>
      </c>
      <c r="L422" s="11">
        <f t="shared" si="33"/>
        <v>0</v>
      </c>
      <c r="M422" s="11">
        <v>0</v>
      </c>
      <c r="N422" s="11">
        <f t="shared" si="34"/>
        <v>0</v>
      </c>
      <c r="P422" s="13">
        <f t="shared" si="35"/>
        <v>-3.4724668661884049E-3</v>
      </c>
    </row>
    <row r="423" spans="1:16" x14ac:dyDescent="0.25">
      <c r="A423" s="16">
        <v>461102</v>
      </c>
      <c r="B423" s="4">
        <f>INDEX([1]!PREDICT[TRUE PTS],MATCH($A423,[1]!PREDICT[HARD CODE],0))</f>
        <v>12.162317014150307</v>
      </c>
      <c r="C423" s="7" t="str">
        <f>INDEX([1]!MODEL[POS],MATCH($A423,[1]!MODEL[Code],0))</f>
        <v>DEF</v>
      </c>
      <c r="D423" s="7" t="str">
        <f>INDEX([1]!MODEL[TEAM],MATCH($A423,[1]!MODEL[Code],0))</f>
        <v>COV</v>
      </c>
      <c r="E423" s="7">
        <f>INDEX([1]PREDICT!$M$3:$M$1001,MATCH($A423,[1]PREDICT!$B$3:$B$1001,0))</f>
        <v>4</v>
      </c>
      <c r="F423" s="15" t="str">
        <f>INDEX([1]!MODEL[FPL_Name],MATCH($A423,[1]!MODEL[Code],0))</f>
        <v>Bobby Thomas</v>
      </c>
      <c r="G423" s="10">
        <v>0</v>
      </c>
      <c r="H423" s="10">
        <v>0</v>
      </c>
      <c r="I423" s="10">
        <v>0</v>
      </c>
      <c r="J423" s="11">
        <f t="shared" si="31"/>
        <v>0</v>
      </c>
      <c r="K423" s="11">
        <f t="shared" si="32"/>
        <v>0</v>
      </c>
      <c r="L423" s="11">
        <f t="shared" si="33"/>
        <v>0</v>
      </c>
      <c r="M423" s="11">
        <v>0</v>
      </c>
      <c r="N423" s="11">
        <f t="shared" si="34"/>
        <v>0</v>
      </c>
      <c r="P423" s="13">
        <f t="shared" si="35"/>
        <v>0.60811585070751539</v>
      </c>
    </row>
    <row r="424" spans="1:16" x14ac:dyDescent="0.25">
      <c r="A424" s="16">
        <v>226965</v>
      </c>
      <c r="B424" s="4">
        <f>INDEX([1]!PREDICT[TRUE PTS],MATCH($A424,[1]!PREDICT[HARD CODE],0))</f>
        <v>9.0316955436641209</v>
      </c>
      <c r="C424" s="7" t="str">
        <f>INDEX([1]!MODEL[POS],MATCH($A424,[1]!MODEL[Code],0))</f>
        <v>MID</v>
      </c>
      <c r="D424" s="7" t="str">
        <f>INDEX([1]!MODEL[TEAM],MATCH($A424,[1]!MODEL[Code],0))</f>
        <v>COV</v>
      </c>
      <c r="E424" s="7">
        <f>INDEX([1]PREDICT!$M$3:$M$1001,MATCH($A424,[1]PREDICT!$B$3:$B$1001,0))</f>
        <v>5.5</v>
      </c>
      <c r="F424" s="15" t="str">
        <f>INDEX([1]!MODEL[FPL_Name],MATCH($A424,[1]!MODEL[Code],0))</f>
        <v>Victor Torp</v>
      </c>
      <c r="G424" s="10">
        <v>0</v>
      </c>
      <c r="H424" s="10">
        <v>0</v>
      </c>
      <c r="I424" s="10">
        <v>0</v>
      </c>
      <c r="J424" s="11">
        <f t="shared" si="31"/>
        <v>0</v>
      </c>
      <c r="K424" s="11">
        <f t="shared" si="32"/>
        <v>0</v>
      </c>
      <c r="L424" s="11">
        <f t="shared" si="33"/>
        <v>0</v>
      </c>
      <c r="M424" s="11">
        <v>0</v>
      </c>
      <c r="N424" s="11">
        <f t="shared" si="34"/>
        <v>0</v>
      </c>
      <c r="P424" s="13">
        <f t="shared" si="35"/>
        <v>0.32842529249687713</v>
      </c>
    </row>
    <row r="425" spans="1:16" x14ac:dyDescent="0.25">
      <c r="A425" s="16">
        <v>172453</v>
      </c>
      <c r="B425" s="4">
        <f>INDEX([1]!PREDICT[TRUE PTS],MATCH($A425,[1]!PREDICT[HARD CODE],0))</f>
        <v>0.59020054548420919</v>
      </c>
      <c r="C425" s="7" t="str">
        <f>INDEX([1]!MODEL[POS],MATCH($A425,[1]!MODEL[Code],0))</f>
        <v>MID</v>
      </c>
      <c r="D425" s="7" t="str">
        <f>INDEX([1]!MODEL[TEAM],MATCH($A425,[1]!MODEL[Code],0))</f>
        <v>IPS</v>
      </c>
      <c r="E425" s="7">
        <f>INDEX([1]PREDICT!$M$3:$M$1001,MATCH($A425,[1]PREDICT!$B$3:$B$1001,0))</f>
        <v>5</v>
      </c>
      <c r="F425" s="15" t="str">
        <f>INDEX([1]!MODEL[FPL_Name],MATCH($A425,[1]!MODEL[Code],0))</f>
        <v>Sam Szmodics</v>
      </c>
      <c r="G425" s="10">
        <v>0</v>
      </c>
      <c r="H425" s="10">
        <v>0</v>
      </c>
      <c r="I425" s="10">
        <v>0</v>
      </c>
      <c r="J425" s="11">
        <f t="shared" si="31"/>
        <v>0</v>
      </c>
      <c r="K425" s="11">
        <f t="shared" si="32"/>
        <v>0</v>
      </c>
      <c r="L425" s="11">
        <f t="shared" si="33"/>
        <v>0</v>
      </c>
      <c r="M425" s="11">
        <v>0</v>
      </c>
      <c r="N425" s="11">
        <f t="shared" si="34"/>
        <v>0</v>
      </c>
      <c r="P425" s="13">
        <f t="shared" si="35"/>
        <v>2.3608021819368368E-2</v>
      </c>
    </row>
    <row r="426" spans="1:16" x14ac:dyDescent="0.25">
      <c r="A426" s="16">
        <v>640419</v>
      </c>
      <c r="B426" s="4">
        <f>INDEX([1]!PREDICT[TRUE PTS],MATCH($A426,[1]!PREDICT[HARD CODE],0))</f>
        <v>0.82753560581741248</v>
      </c>
      <c r="C426" s="7" t="str">
        <f>INDEX([1]!MODEL[POS],MATCH($A426,[1]!MODEL[Code],0))</f>
        <v>DEF</v>
      </c>
      <c r="D426" s="7" t="str">
        <f>INDEX([1]!MODEL[TEAM],MATCH($A426,[1]!MODEL[Code],0))</f>
        <v>TOT</v>
      </c>
      <c r="E426" s="7">
        <f>INDEX([1]PREDICT!$M$3:$M$1001,MATCH($A426,[1]PREDICT!$B$3:$B$1001,0))</f>
        <v>4</v>
      </c>
      <c r="F426" s="15" t="str">
        <f>INDEX([1]!MODEL[FPL_Name],MATCH($A426,[1]!MODEL[Code],0))</f>
        <v>Jun'ai Byfield</v>
      </c>
      <c r="G426" s="10">
        <v>0</v>
      </c>
      <c r="H426" s="10">
        <v>0</v>
      </c>
      <c r="I426" s="10">
        <v>0</v>
      </c>
      <c r="J426" s="11">
        <f t="shared" si="31"/>
        <v>0</v>
      </c>
      <c r="K426" s="11">
        <f t="shared" si="32"/>
        <v>0</v>
      </c>
      <c r="L426" s="11">
        <f t="shared" si="33"/>
        <v>0</v>
      </c>
      <c r="M426" s="11">
        <v>0</v>
      </c>
      <c r="N426" s="11">
        <f t="shared" si="34"/>
        <v>0</v>
      </c>
      <c r="P426" s="13">
        <f t="shared" si="35"/>
        <v>4.1376780290870621E-2</v>
      </c>
    </row>
    <row r="427" spans="1:16" x14ac:dyDescent="0.25">
      <c r="A427" s="16">
        <v>229164</v>
      </c>
      <c r="B427" s="4">
        <f>INDEX([1]!PREDICT[TRUE PTS],MATCH($A427,[1]!PREDICT[HARD CODE],0))</f>
        <v>6.7610482552323994</v>
      </c>
      <c r="C427" s="7" t="str">
        <f>INDEX([1]!MODEL[POS],MATCH($A427,[1]!MODEL[Code],0))</f>
        <v>MID</v>
      </c>
      <c r="D427" s="7" t="str">
        <f>INDEX([1]!MODEL[TEAM],MATCH($A427,[1]!MODEL[Code],0))</f>
        <v>IPS</v>
      </c>
      <c r="E427" s="7">
        <f>INDEX([1]PREDICT!$M$3:$M$1001,MATCH($A427,[1]PREDICT!$B$3:$B$1001,0))</f>
        <v>5</v>
      </c>
      <c r="F427" s="15" t="str">
        <f>INDEX([1]!MODEL[FPL_Name],MATCH($A427,[1]!MODEL[Code],0))</f>
        <v>Chiedozie Ogbene</v>
      </c>
      <c r="G427" s="10">
        <v>0</v>
      </c>
      <c r="H427" s="10">
        <v>0</v>
      </c>
      <c r="I427" s="10">
        <v>0</v>
      </c>
      <c r="J427" s="11">
        <f t="shared" si="31"/>
        <v>0</v>
      </c>
      <c r="K427" s="11">
        <f t="shared" si="32"/>
        <v>0</v>
      </c>
      <c r="L427" s="11">
        <f t="shared" si="33"/>
        <v>0</v>
      </c>
      <c r="M427" s="11">
        <v>0</v>
      </c>
      <c r="N427" s="11">
        <f t="shared" si="34"/>
        <v>0</v>
      </c>
      <c r="P427" s="13">
        <f t="shared" si="35"/>
        <v>0.27044193020929597</v>
      </c>
    </row>
    <row r="428" spans="1:16" x14ac:dyDescent="0.25">
      <c r="A428" s="16">
        <v>531442</v>
      </c>
      <c r="B428" s="4">
        <f>INDEX([1]!PREDICT[TRUE PTS],MATCH($A428,[1]!PREDICT[HARD CODE],0))</f>
        <v>0.59020054548420919</v>
      </c>
      <c r="C428" s="7" t="str">
        <f>INDEX([1]!MODEL[POS],MATCH($A428,[1]!MODEL[Code],0))</f>
        <v>MID</v>
      </c>
      <c r="D428" s="7" t="str">
        <f>INDEX([1]!MODEL[TEAM],MATCH($A428,[1]!MODEL[Code],0))</f>
        <v>IPS</v>
      </c>
      <c r="E428" s="7">
        <f>INDEX([1]PREDICT!$M$3:$M$1001,MATCH($A428,[1]PREDICT!$B$3:$B$1001,0))</f>
        <v>5.5</v>
      </c>
      <c r="F428" s="15" t="str">
        <f>INDEX([1]!MODEL[FPL_Name],MATCH($A428,[1]!MODEL[Code],0))</f>
        <v>Abdul Fatawu</v>
      </c>
      <c r="G428" s="10">
        <v>0</v>
      </c>
      <c r="H428" s="10">
        <v>0</v>
      </c>
      <c r="I428" s="10">
        <v>0</v>
      </c>
      <c r="J428" s="11">
        <f t="shared" si="31"/>
        <v>0</v>
      </c>
      <c r="K428" s="11">
        <f t="shared" si="32"/>
        <v>0</v>
      </c>
      <c r="L428" s="11">
        <f t="shared" si="33"/>
        <v>0</v>
      </c>
      <c r="M428" s="11">
        <v>0</v>
      </c>
      <c r="N428" s="11">
        <f t="shared" si="34"/>
        <v>0</v>
      </c>
      <c r="P428" s="13">
        <f t="shared" si="35"/>
        <v>2.1461838017607607E-2</v>
      </c>
    </row>
    <row r="429" spans="1:16" x14ac:dyDescent="0.25">
      <c r="A429" s="16">
        <v>232905</v>
      </c>
      <c r="B429" s="4">
        <f>INDEX([1]!PREDICT[TRUE PTS],MATCH($A429,[1]!PREDICT[HARD CODE],0))</f>
        <v>8.7360935381552931</v>
      </c>
      <c r="C429" s="7" t="str">
        <f>INDEX([1]!MODEL[POS],MATCH($A429,[1]!MODEL[Code],0))</f>
        <v>MID</v>
      </c>
      <c r="D429" s="7" t="str">
        <f>INDEX([1]!MODEL[TEAM],MATCH($A429,[1]!MODEL[Code],0))</f>
        <v>HUL</v>
      </c>
      <c r="E429" s="7">
        <f>INDEX([1]PREDICT!$M$3:$M$1001,MATCH($A429,[1]PREDICT!$B$3:$B$1001,0))</f>
        <v>5</v>
      </c>
      <c r="F429" s="15" t="str">
        <f>INDEX([1]!MODEL[FPL_Name],MATCH($A429,[1]!MODEL[Code],0))</f>
        <v>Liam Millar</v>
      </c>
      <c r="G429" s="10">
        <v>0</v>
      </c>
      <c r="H429" s="10">
        <v>0</v>
      </c>
      <c r="I429" s="10">
        <v>0</v>
      </c>
      <c r="J429" s="11">
        <f t="shared" si="31"/>
        <v>0</v>
      </c>
      <c r="K429" s="11">
        <f t="shared" si="32"/>
        <v>0</v>
      </c>
      <c r="L429" s="11">
        <f t="shared" si="33"/>
        <v>0</v>
      </c>
      <c r="M429" s="11">
        <v>0</v>
      </c>
      <c r="N429" s="11">
        <f t="shared" si="34"/>
        <v>0</v>
      </c>
      <c r="P429" s="13">
        <f t="shared" si="35"/>
        <v>0.34944374152621172</v>
      </c>
    </row>
    <row r="430" spans="1:16" x14ac:dyDescent="0.25">
      <c r="A430" s="16">
        <v>216616</v>
      </c>
      <c r="B430" s="4">
        <f>INDEX([1]!PREDICT[TRUE PTS],MATCH($A430,[1]!PREDICT[HARD CODE],0))</f>
        <v>16.977475028506142</v>
      </c>
      <c r="C430" s="7" t="str">
        <f>INDEX([1]!MODEL[POS],MATCH($A430,[1]!MODEL[Code],0))</f>
        <v>DEF</v>
      </c>
      <c r="D430" s="7" t="str">
        <f>INDEX([1]!MODEL[TEAM],MATCH($A430,[1]!MODEL[Code],0))</f>
        <v>IPS</v>
      </c>
      <c r="E430" s="7">
        <f>INDEX([1]PREDICT!$M$3:$M$1001,MATCH($A430,[1]PREDICT!$B$3:$B$1001,0))</f>
        <v>4</v>
      </c>
      <c r="F430" s="15" t="str">
        <f>INDEX([1]!MODEL[FPL_Name],MATCH($A430,[1]!MODEL[Code],0))</f>
        <v>Dara O'Shea</v>
      </c>
      <c r="G430" s="10">
        <v>0</v>
      </c>
      <c r="H430" s="10">
        <v>0</v>
      </c>
      <c r="I430" s="10">
        <v>0</v>
      </c>
      <c r="J430" s="11">
        <f t="shared" si="31"/>
        <v>0</v>
      </c>
      <c r="K430" s="11">
        <f t="shared" si="32"/>
        <v>0</v>
      </c>
      <c r="L430" s="11">
        <f t="shared" si="33"/>
        <v>0</v>
      </c>
      <c r="M430" s="11">
        <v>0</v>
      </c>
      <c r="N430" s="11">
        <f t="shared" si="34"/>
        <v>0</v>
      </c>
      <c r="P430" s="13">
        <f t="shared" si="35"/>
        <v>0.84887375142530708</v>
      </c>
    </row>
    <row r="431" spans="1:16" x14ac:dyDescent="0.25">
      <c r="A431" s="16">
        <v>480457</v>
      </c>
      <c r="B431" s="4">
        <f>INDEX([1]!PREDICT[TRUE PTS],MATCH($A431,[1]!PREDICT[HARD CODE],0))</f>
        <v>8.2096464516025396</v>
      </c>
      <c r="C431" s="7" t="str">
        <f>INDEX([1]!MODEL[POS],MATCH($A431,[1]!MODEL[Code],0))</f>
        <v>MID</v>
      </c>
      <c r="D431" s="7" t="str">
        <f>INDEX([1]!MODEL[TEAM],MATCH($A431,[1]!MODEL[Code],0))</f>
        <v>COV</v>
      </c>
      <c r="E431" s="7">
        <f>INDEX([1]PREDICT!$M$3:$M$1001,MATCH($A431,[1]PREDICT!$B$3:$B$1001,0))</f>
        <v>5</v>
      </c>
      <c r="F431" s="15" t="str">
        <f>INDEX([1]!MODEL[FPL_Name],MATCH($A431,[1]!MODEL[Code],0))</f>
        <v>Jack Rudoni</v>
      </c>
      <c r="G431" s="10">
        <v>0</v>
      </c>
      <c r="H431" s="10">
        <v>0</v>
      </c>
      <c r="I431" s="10">
        <v>0</v>
      </c>
      <c r="J431" s="11">
        <f t="shared" si="31"/>
        <v>0</v>
      </c>
      <c r="K431" s="11">
        <f t="shared" si="32"/>
        <v>0</v>
      </c>
      <c r="L431" s="11">
        <f t="shared" si="33"/>
        <v>0</v>
      </c>
      <c r="M431" s="11">
        <v>0</v>
      </c>
      <c r="N431" s="11">
        <f t="shared" si="34"/>
        <v>0</v>
      </c>
      <c r="P431" s="13">
        <f t="shared" si="35"/>
        <v>0.32838585806410159</v>
      </c>
    </row>
    <row r="432" spans="1:16" x14ac:dyDescent="0.25">
      <c r="A432" s="16">
        <v>599303</v>
      </c>
      <c r="B432" s="4">
        <f>INDEX([1]!PREDICT[TRUE PTS],MATCH($A432,[1]!PREDICT[HARD CODE],0))</f>
        <v>1.4807685483502446</v>
      </c>
      <c r="C432" s="7" t="str">
        <f>INDEX([1]!MODEL[POS],MATCH($A432,[1]!MODEL[Code],0))</f>
        <v>FWD</v>
      </c>
      <c r="D432" s="7" t="str">
        <f>INDEX([1]!MODEL[TEAM],MATCH($A432,[1]!MODEL[Code],0))</f>
        <v>NEW</v>
      </c>
      <c r="E432" s="7">
        <f>INDEX([1]PREDICT!$M$3:$M$1001,MATCH($A432,[1]PREDICT!$B$3:$B$1001,0))</f>
        <v>4.5</v>
      </c>
      <c r="F432" s="15" t="str">
        <f>INDEX([1]!MODEL[FPL_Name],MATCH($A432,[1]!MODEL[Code],0))</f>
        <v>Sean Neave</v>
      </c>
      <c r="G432" s="10">
        <v>0</v>
      </c>
      <c r="H432" s="10">
        <v>0</v>
      </c>
      <c r="I432" s="10">
        <v>0</v>
      </c>
      <c r="J432" s="11">
        <f t="shared" si="31"/>
        <v>0</v>
      </c>
      <c r="K432" s="11">
        <f t="shared" si="32"/>
        <v>0</v>
      </c>
      <c r="L432" s="11">
        <f t="shared" si="33"/>
        <v>0</v>
      </c>
      <c r="M432" s="11">
        <v>0</v>
      </c>
      <c r="N432" s="11">
        <f t="shared" si="34"/>
        <v>0</v>
      </c>
      <c r="P432" s="13">
        <f t="shared" si="35"/>
        <v>6.5811935482233103E-2</v>
      </c>
    </row>
    <row r="433" spans="1:16" x14ac:dyDescent="0.25">
      <c r="A433" s="16">
        <v>556637</v>
      </c>
      <c r="B433" s="4">
        <f>INDEX([1]!PREDICT[TRUE PTS],MATCH($A433,[1]!PREDICT[HARD CODE],0))</f>
        <v>0.73739143291138154</v>
      </c>
      <c r="C433" s="7" t="str">
        <f>INDEX([1]!MODEL[POS],MATCH($A433,[1]!MODEL[Code],0))</f>
        <v>MID</v>
      </c>
      <c r="D433" s="7" t="str">
        <f>INDEX([1]!MODEL[TEAM],MATCH($A433,[1]!MODEL[Code],0))</f>
        <v>BHA</v>
      </c>
      <c r="E433" s="7">
        <f>INDEX([1]PREDICT!$M$3:$M$1001,MATCH($A433,[1]PREDICT!$B$3:$B$1001,0))</f>
        <v>4.5</v>
      </c>
      <c r="F433" s="15" t="str">
        <f>INDEX([1]!MODEL[FPL_Name],MATCH($A433,[1]!MODEL[Code],0))</f>
        <v>Nehemiah Oriola</v>
      </c>
      <c r="G433" s="10">
        <v>0</v>
      </c>
      <c r="H433" s="10">
        <v>0</v>
      </c>
      <c r="I433" s="10">
        <v>0</v>
      </c>
      <c r="J433" s="11">
        <f t="shared" si="31"/>
        <v>0</v>
      </c>
      <c r="K433" s="11">
        <f t="shared" si="32"/>
        <v>0</v>
      </c>
      <c r="L433" s="11">
        <f t="shared" si="33"/>
        <v>0</v>
      </c>
      <c r="M433" s="11">
        <v>0</v>
      </c>
      <c r="N433" s="11">
        <f t="shared" si="34"/>
        <v>0</v>
      </c>
      <c r="P433" s="13">
        <f t="shared" si="35"/>
        <v>3.2772952573839179E-2</v>
      </c>
    </row>
    <row r="434" spans="1:16" x14ac:dyDescent="0.25">
      <c r="A434" s="16">
        <v>168144</v>
      </c>
      <c r="B434" s="4">
        <f>INDEX([1]!PREDICT[TRUE PTS],MATCH($A434,[1]!PREDICT[HARD CODE],0))</f>
        <v>12.383677753467214</v>
      </c>
      <c r="C434" s="7" t="str">
        <f>INDEX([1]!MODEL[POS],MATCH($A434,[1]!MODEL[Code],0))</f>
        <v>MID</v>
      </c>
      <c r="D434" s="7" t="str">
        <f>INDEX([1]!MODEL[TEAM],MATCH($A434,[1]!MODEL[Code],0))</f>
        <v>COV</v>
      </c>
      <c r="E434" s="7">
        <f>INDEX([1]PREDICT!$M$3:$M$1001,MATCH($A434,[1]PREDICT!$B$3:$B$1001,0))</f>
        <v>5</v>
      </c>
      <c r="F434" s="15" t="str">
        <f>INDEX([1]!MODEL[FPL_Name],MATCH($A434,[1]!MODEL[Code],0))</f>
        <v>Matt Grimes</v>
      </c>
      <c r="G434" s="10">
        <v>0</v>
      </c>
      <c r="H434" s="10">
        <v>0</v>
      </c>
      <c r="I434" s="10">
        <v>0</v>
      </c>
      <c r="J434" s="11">
        <f t="shared" si="31"/>
        <v>0</v>
      </c>
      <c r="K434" s="11">
        <f t="shared" si="32"/>
        <v>0</v>
      </c>
      <c r="L434" s="11">
        <f t="shared" si="33"/>
        <v>0</v>
      </c>
      <c r="M434" s="11">
        <v>0</v>
      </c>
      <c r="N434" s="11">
        <f t="shared" si="34"/>
        <v>0</v>
      </c>
      <c r="P434" s="13">
        <f t="shared" si="35"/>
        <v>0.4953471101386886</v>
      </c>
    </row>
    <row r="435" spans="1:16" x14ac:dyDescent="0.25">
      <c r="A435" s="16">
        <v>449871</v>
      </c>
      <c r="B435" s="4">
        <f>INDEX([1]!PREDICT[TRUE PTS],MATCH($A435,[1]!PREDICT[HARD CODE],0))</f>
        <v>0.73200980046993669</v>
      </c>
      <c r="C435" s="7" t="str">
        <f>INDEX([1]!MODEL[POS],MATCH($A435,[1]!MODEL[Code],0))</f>
        <v>MID</v>
      </c>
      <c r="D435" s="7" t="str">
        <f>INDEX([1]!MODEL[TEAM],MATCH($A435,[1]!MODEL[Code],0))</f>
        <v>AVL</v>
      </c>
      <c r="E435" s="7">
        <f>INDEX([1]PREDICT!$M$3:$M$1001,MATCH($A435,[1]PREDICT!$B$3:$B$1001,0))</f>
        <v>5</v>
      </c>
      <c r="F435" s="15" t="str">
        <f>INDEX([1]!MODEL[FPL_Name],MATCH($A435,[1]!MODEL[Code],0))</f>
        <v>Amadou Onana</v>
      </c>
      <c r="G435" s="10">
        <v>0</v>
      </c>
      <c r="H435" s="10">
        <v>0</v>
      </c>
      <c r="I435" s="10">
        <v>0</v>
      </c>
      <c r="J435" s="11">
        <f t="shared" si="31"/>
        <v>0</v>
      </c>
      <c r="K435" s="11">
        <f t="shared" si="32"/>
        <v>0</v>
      </c>
      <c r="L435" s="11">
        <f t="shared" si="33"/>
        <v>0</v>
      </c>
      <c r="M435" s="11">
        <v>0</v>
      </c>
      <c r="N435" s="11">
        <f t="shared" si="34"/>
        <v>0</v>
      </c>
      <c r="P435" s="13">
        <f t="shared" si="35"/>
        <v>2.9280392018797469E-2</v>
      </c>
    </row>
    <row r="436" spans="1:16" x14ac:dyDescent="0.25">
      <c r="A436" s="16">
        <v>465525</v>
      </c>
      <c r="B436" s="4">
        <f>INDEX([1]!PREDICT[TRUE PTS],MATCH($A436,[1]!PREDICT[HARD CODE],0))</f>
        <v>2.5344266571371064</v>
      </c>
      <c r="C436" s="7" t="str">
        <f>INDEX([1]!MODEL[POS],MATCH($A436,[1]!MODEL[Code],0))</f>
        <v>MID</v>
      </c>
      <c r="D436" s="7" t="str">
        <f>INDEX([1]!MODEL[TEAM],MATCH($A436,[1]!MODEL[Code],0))</f>
        <v>HUL</v>
      </c>
      <c r="E436" s="7">
        <f>INDEX([1]PREDICT!$M$3:$M$1001,MATCH($A436,[1]PREDICT!$B$3:$B$1001,0))</f>
        <v>4.5</v>
      </c>
      <c r="F436" s="15" t="str">
        <f>INDEX([1]!MODEL[FPL_Name],MATCH($A436,[1]!MODEL[Code],0))</f>
        <v>Eliot Matazo</v>
      </c>
      <c r="G436" s="10">
        <v>0</v>
      </c>
      <c r="H436" s="10">
        <v>0</v>
      </c>
      <c r="I436" s="10">
        <v>0</v>
      </c>
      <c r="J436" s="11">
        <f t="shared" si="31"/>
        <v>0</v>
      </c>
      <c r="K436" s="11">
        <f t="shared" si="32"/>
        <v>0</v>
      </c>
      <c r="L436" s="11">
        <f t="shared" si="33"/>
        <v>0</v>
      </c>
      <c r="M436" s="11">
        <v>0</v>
      </c>
      <c r="N436" s="11">
        <f t="shared" si="34"/>
        <v>0</v>
      </c>
      <c r="P436" s="13">
        <f t="shared" si="35"/>
        <v>0.11264118476164917</v>
      </c>
    </row>
    <row r="437" spans="1:16" x14ac:dyDescent="0.25">
      <c r="A437" s="16">
        <v>499716</v>
      </c>
      <c r="B437" s="4">
        <f>INDEX([1]!PREDICT[TRUE PTS],MATCH($A437,[1]!PREDICT[HARD CODE],0))</f>
        <v>0.7084998915316989</v>
      </c>
      <c r="C437" s="7" t="str">
        <f>INDEX([1]!MODEL[POS],MATCH($A437,[1]!MODEL[Code],0))</f>
        <v>DEF</v>
      </c>
      <c r="D437" s="7" t="str">
        <f>INDEX([1]!MODEL[TEAM],MATCH($A437,[1]!MODEL[Code],0))</f>
        <v>TOT</v>
      </c>
      <c r="E437" s="7">
        <f>INDEX([1]PREDICT!$M$3:$M$1001,MATCH($A437,[1]PREDICT!$B$3:$B$1001,0))</f>
        <v>4</v>
      </c>
      <c r="F437" s="15" t="str">
        <f>INDEX([1]!MODEL[FPL_Name],MATCH($A437,[1]!MODEL[Code],0))</f>
        <v>James Rowswell</v>
      </c>
      <c r="G437" s="10">
        <v>0</v>
      </c>
      <c r="H437" s="10">
        <v>0</v>
      </c>
      <c r="I437" s="10">
        <v>0</v>
      </c>
      <c r="J437" s="11">
        <f t="shared" si="31"/>
        <v>0</v>
      </c>
      <c r="K437" s="11">
        <f t="shared" si="32"/>
        <v>0</v>
      </c>
      <c r="L437" s="11">
        <f t="shared" si="33"/>
        <v>0</v>
      </c>
      <c r="M437" s="11">
        <v>0</v>
      </c>
      <c r="N437" s="11">
        <f t="shared" si="34"/>
        <v>0</v>
      </c>
      <c r="P437" s="13">
        <f t="shared" si="35"/>
        <v>3.5424994576584948E-2</v>
      </c>
    </row>
    <row r="438" spans="1:16" x14ac:dyDescent="0.25">
      <c r="A438" s="16">
        <v>204813</v>
      </c>
      <c r="B438" s="4">
        <f>INDEX([1]!PREDICT[TRUE PTS],MATCH($A438,[1]!PREDICT[HARD CODE],0))</f>
        <v>5.8937099350390856</v>
      </c>
      <c r="C438" s="7" t="str">
        <f>INDEX([1]!MODEL[POS],MATCH($A438,[1]!MODEL[Code],0))</f>
        <v>DEF</v>
      </c>
      <c r="D438" s="7" t="str">
        <f>INDEX([1]!MODEL[TEAM],MATCH($A438,[1]!MODEL[Code],0))</f>
        <v>COV</v>
      </c>
      <c r="E438" s="7">
        <f>INDEX([1]PREDICT!$M$3:$M$1001,MATCH($A438,[1]PREDICT!$B$3:$B$1001,0))</f>
        <v>4</v>
      </c>
      <c r="F438" s="15" t="str">
        <f>INDEX([1]!MODEL[FPL_Name],MATCH($A438,[1]!MODEL[Code],0))</f>
        <v>Joel Latibeaudiere</v>
      </c>
      <c r="G438" s="10">
        <v>0</v>
      </c>
      <c r="H438" s="10">
        <v>0</v>
      </c>
      <c r="I438" s="10">
        <v>0</v>
      </c>
      <c r="J438" s="11">
        <f t="shared" si="31"/>
        <v>0</v>
      </c>
      <c r="K438" s="11">
        <f t="shared" si="32"/>
        <v>0</v>
      </c>
      <c r="L438" s="11">
        <f t="shared" si="33"/>
        <v>0</v>
      </c>
      <c r="M438" s="11">
        <v>0</v>
      </c>
      <c r="N438" s="11">
        <f t="shared" si="34"/>
        <v>0</v>
      </c>
      <c r="P438" s="13">
        <f t="shared" si="35"/>
        <v>0.29468549675195427</v>
      </c>
    </row>
    <row r="439" spans="1:16" x14ac:dyDescent="0.25">
      <c r="A439" s="16">
        <v>230730</v>
      </c>
      <c r="B439" s="4">
        <f>INDEX([1]!PREDICT[TRUE PTS],MATCH($A439,[1]!PREDICT[HARD CODE],0))</f>
        <v>9.0096753000344982</v>
      </c>
      <c r="C439" s="7" t="str">
        <f>INDEX([1]!MODEL[POS],MATCH($A439,[1]!MODEL[Code],0))</f>
        <v>FWD</v>
      </c>
      <c r="D439" s="7" t="str">
        <f>INDEX([1]!MODEL[TEAM],MATCH($A439,[1]!MODEL[Code],0))</f>
        <v>COV</v>
      </c>
      <c r="E439" s="7">
        <f>INDEX([1]PREDICT!$M$3:$M$1001,MATCH($A439,[1]PREDICT!$B$3:$B$1001,0))</f>
        <v>5</v>
      </c>
      <c r="F439" s="15" t="str">
        <f>INDEX([1]!MODEL[FPL_Name],MATCH($A439,[1]!MODEL[Code],0))</f>
        <v>Brandon Thomas-Asante</v>
      </c>
      <c r="G439" s="10">
        <v>0</v>
      </c>
      <c r="H439" s="10">
        <v>0</v>
      </c>
      <c r="I439" s="10">
        <v>0</v>
      </c>
      <c r="J439" s="11">
        <f t="shared" si="31"/>
        <v>0</v>
      </c>
      <c r="K439" s="11">
        <f t="shared" si="32"/>
        <v>0</v>
      </c>
      <c r="L439" s="11">
        <f t="shared" si="33"/>
        <v>0</v>
      </c>
      <c r="M439" s="11">
        <v>0</v>
      </c>
      <c r="N439" s="11">
        <f t="shared" si="34"/>
        <v>0</v>
      </c>
      <c r="P439" s="13">
        <f t="shared" si="35"/>
        <v>0.36038701200137996</v>
      </c>
    </row>
    <row r="440" spans="1:16" x14ac:dyDescent="0.25">
      <c r="A440" s="16">
        <v>543968</v>
      </c>
      <c r="B440" s="4">
        <f>INDEX([1]!PREDICT[TRUE PTS],MATCH($A440,[1]!PREDICT[HARD CODE],0))</f>
        <v>0.59020054548420919</v>
      </c>
      <c r="C440" s="7" t="str">
        <f>INDEX([1]!MODEL[POS],MATCH($A440,[1]!MODEL[Code],0))</f>
        <v>FWD</v>
      </c>
      <c r="D440" s="7" t="str">
        <f>INDEX([1]!MODEL[TEAM],MATCH($A440,[1]!MODEL[Code],0))</f>
        <v>IPS</v>
      </c>
      <c r="E440" s="7">
        <f>INDEX([1]PREDICT!$M$3:$M$1001,MATCH($A440,[1]PREDICT!$B$3:$B$1001,0))</f>
        <v>5.5</v>
      </c>
      <c r="F440" s="15" t="str">
        <f>INDEX([1]!MODEL[FPL_Name],MATCH($A440,[1]!MODEL[Code],0))</f>
        <v>Emersonn Correia da Silva</v>
      </c>
      <c r="G440" s="10">
        <v>0</v>
      </c>
      <c r="H440" s="10">
        <v>0</v>
      </c>
      <c r="I440" s="10">
        <v>0</v>
      </c>
      <c r="J440" s="11">
        <f t="shared" si="31"/>
        <v>0</v>
      </c>
      <c r="K440" s="11">
        <f t="shared" si="32"/>
        <v>0</v>
      </c>
      <c r="L440" s="11">
        <f t="shared" si="33"/>
        <v>0</v>
      </c>
      <c r="M440" s="11">
        <v>0</v>
      </c>
      <c r="N440" s="11">
        <f t="shared" si="34"/>
        <v>0</v>
      </c>
      <c r="P440" s="13">
        <f t="shared" si="35"/>
        <v>2.1461838017607607E-2</v>
      </c>
    </row>
    <row r="441" spans="1:16" x14ac:dyDescent="0.25">
      <c r="A441" s="16">
        <v>121709</v>
      </c>
      <c r="B441" s="4">
        <f>INDEX([1]!PREDICT[TRUE PTS],MATCH($A441,[1]!PREDICT[HARD CODE],0))</f>
        <v>0.65314385240977768</v>
      </c>
      <c r="C441" s="7" t="str">
        <f>INDEX([1]!MODEL[POS],MATCH($A441,[1]!MODEL[Code],0))</f>
        <v>GK</v>
      </c>
      <c r="D441" s="7" t="str">
        <f>INDEX([1]!MODEL[TEAM],MATCH($A441,[1]!MODEL[Code],0))</f>
        <v>CRY</v>
      </c>
      <c r="E441" s="7">
        <f>INDEX([1]PREDICT!$M$3:$M$1001,MATCH($A441,[1]PREDICT!$B$3:$B$1001,0))</f>
        <v>4.5</v>
      </c>
      <c r="F441" s="15" t="str">
        <f>INDEX([1]!MODEL[FPL_Name],MATCH($A441,[1]!MODEL[Code],0))</f>
        <v>Walter Benítez</v>
      </c>
      <c r="G441" s="10">
        <v>0</v>
      </c>
      <c r="H441" s="10">
        <v>0</v>
      </c>
      <c r="I441" s="10">
        <v>0</v>
      </c>
      <c r="J441" s="11">
        <f t="shared" si="31"/>
        <v>0</v>
      </c>
      <c r="K441" s="11">
        <f t="shared" si="32"/>
        <v>0</v>
      </c>
      <c r="L441" s="11">
        <f t="shared" si="33"/>
        <v>0</v>
      </c>
      <c r="M441" s="11">
        <v>0</v>
      </c>
      <c r="N441" s="11">
        <f t="shared" si="34"/>
        <v>0</v>
      </c>
      <c r="P441" s="13">
        <f t="shared" si="35"/>
        <v>2.9028615662656788E-2</v>
      </c>
    </row>
    <row r="442" spans="1:16" x14ac:dyDescent="0.25">
      <c r="A442" s="16">
        <v>448089</v>
      </c>
      <c r="B442" s="4">
        <f>INDEX([1]!PREDICT[TRUE PTS],MATCH($A442,[1]!PREDICT[HARD CODE],0))</f>
        <v>0.63589112194840403</v>
      </c>
      <c r="C442" s="7" t="str">
        <f>INDEX([1]!MODEL[POS],MATCH($A442,[1]!MODEL[Code],0))</f>
        <v>MID</v>
      </c>
      <c r="D442" s="7" t="str">
        <f>INDEX([1]!MODEL[TEAM],MATCH($A442,[1]!MODEL[Code],0))</f>
        <v>AVL</v>
      </c>
      <c r="E442" s="7">
        <f>INDEX([1]PREDICT!$M$3:$M$1001,MATCH($A442,[1]PREDICT!$B$3:$B$1001,0))</f>
        <v>5.5</v>
      </c>
      <c r="F442" s="15" t="str">
        <f>INDEX([1]!MODEL[FPL_Name],MATCH($A442,[1]!MODEL[Code],0))</f>
        <v>Joao Gomes</v>
      </c>
      <c r="G442" s="10">
        <v>0</v>
      </c>
      <c r="H442" s="10">
        <v>0</v>
      </c>
      <c r="I442" s="10">
        <v>0</v>
      </c>
      <c r="J442" s="11">
        <f t="shared" si="31"/>
        <v>0</v>
      </c>
      <c r="K442" s="11">
        <f t="shared" si="32"/>
        <v>0</v>
      </c>
      <c r="L442" s="11">
        <f t="shared" si="33"/>
        <v>0</v>
      </c>
      <c r="M442" s="11">
        <v>0</v>
      </c>
      <c r="N442" s="11">
        <f t="shared" si="34"/>
        <v>0</v>
      </c>
      <c r="P442" s="13">
        <f t="shared" si="35"/>
        <v>2.3123313525396511E-2</v>
      </c>
    </row>
    <row r="443" spans="1:16" x14ac:dyDescent="0.25">
      <c r="A443" s="16">
        <v>218364</v>
      </c>
      <c r="B443" s="4">
        <f>INDEX([1]!PREDICT[TRUE PTS],MATCH($A443,[1]!PREDICT[HARD CODE],0))</f>
        <v>0.62750005513526297</v>
      </c>
      <c r="C443" s="7" t="str">
        <f>INDEX([1]!MODEL[POS],MATCH($A443,[1]!MODEL[Code],0))</f>
        <v>DEF</v>
      </c>
      <c r="D443" s="7" t="str">
        <f>INDEX([1]!MODEL[TEAM],MATCH($A443,[1]!MODEL[Code],0))</f>
        <v>CRY</v>
      </c>
      <c r="E443" s="7">
        <f>INDEX([1]PREDICT!$M$3:$M$1001,MATCH($A443,[1]PREDICT!$B$3:$B$1001,0))</f>
        <v>4.5</v>
      </c>
      <c r="F443" s="15" t="str">
        <f>INDEX([1]!MODEL[FPL_Name],MATCH($A443,[1]!MODEL[Code],0))</f>
        <v>Borna Sosa</v>
      </c>
      <c r="G443" s="10">
        <v>0</v>
      </c>
      <c r="H443" s="10">
        <v>0</v>
      </c>
      <c r="I443" s="10">
        <v>0</v>
      </c>
      <c r="J443" s="11">
        <f t="shared" si="31"/>
        <v>0</v>
      </c>
      <c r="K443" s="11">
        <f t="shared" si="32"/>
        <v>0</v>
      </c>
      <c r="L443" s="11">
        <f t="shared" si="33"/>
        <v>0</v>
      </c>
      <c r="M443" s="11">
        <v>0</v>
      </c>
      <c r="N443" s="11">
        <f t="shared" si="34"/>
        <v>0</v>
      </c>
      <c r="P443" s="13">
        <f t="shared" si="35"/>
        <v>2.7888891339345023E-2</v>
      </c>
    </row>
    <row r="444" spans="1:16" x14ac:dyDescent="0.25">
      <c r="A444" s="16">
        <v>109745</v>
      </c>
      <c r="B444" s="4">
        <f>INDEX([1]!PREDICT[TRUE PTS],MATCH($A444,[1]!PREDICT[HARD CODE],0))</f>
        <v>0.61409908082698372</v>
      </c>
      <c r="C444" s="7" t="str">
        <f>INDEX([1]!MODEL[POS],MATCH($A444,[1]!MODEL[Code],0))</f>
        <v>GK</v>
      </c>
      <c r="D444" s="7" t="str">
        <f>INDEX([1]!MODEL[TEAM],MATCH($A444,[1]!MODEL[Code],0))</f>
        <v>ARS</v>
      </c>
      <c r="E444" s="7">
        <f>INDEX([1]PREDICT!$M$3:$M$1001,MATCH($A444,[1]PREDICT!$B$3:$B$1001,0))</f>
        <v>5</v>
      </c>
      <c r="F444" s="15" t="str">
        <f>INDEX([1]!MODEL[FPL_Name],MATCH($A444,[1]!MODEL[Code],0))</f>
        <v>Kepa Arrizabalaga Revuelta</v>
      </c>
      <c r="G444" s="10">
        <v>0</v>
      </c>
      <c r="H444" s="10">
        <v>0</v>
      </c>
      <c r="I444" s="10">
        <v>0</v>
      </c>
      <c r="J444" s="11">
        <f t="shared" si="31"/>
        <v>0</v>
      </c>
      <c r="K444" s="11">
        <f t="shared" si="32"/>
        <v>0</v>
      </c>
      <c r="L444" s="11">
        <f t="shared" si="33"/>
        <v>0</v>
      </c>
      <c r="M444" s="11">
        <v>0</v>
      </c>
      <c r="N444" s="11">
        <f t="shared" si="34"/>
        <v>0</v>
      </c>
      <c r="P444" s="13">
        <f t="shared" si="35"/>
        <v>2.4563963233079349E-2</v>
      </c>
    </row>
    <row r="445" spans="1:16" x14ac:dyDescent="0.25">
      <c r="A445" s="16">
        <v>557012</v>
      </c>
      <c r="B445" s="4">
        <f>INDEX([1]!PREDICT[TRUE PTS],MATCH($A445,[1]!PREDICT[HARD CODE],0))</f>
        <v>0.59020054548420919</v>
      </c>
      <c r="C445" s="7" t="str">
        <f>INDEX([1]!MODEL[POS],MATCH($A445,[1]!MODEL[Code],0))</f>
        <v>FWD</v>
      </c>
      <c r="D445" s="7" t="str">
        <f>INDEX([1]!MODEL[TEAM],MATCH($A445,[1]!MODEL[Code],0))</f>
        <v>IPS</v>
      </c>
      <c r="E445" s="7">
        <f>INDEX([1]PREDICT!$M$3:$M$1001,MATCH($A445,[1]PREDICT!$B$3:$B$1001,0))</f>
        <v>4.5</v>
      </c>
      <c r="F445" s="15" t="str">
        <f>INDEX([1]!MODEL[FPL_Name],MATCH($A445,[1]!MODEL[Code],0))</f>
        <v>Sindre Walle Egeli</v>
      </c>
      <c r="G445" s="10">
        <v>0</v>
      </c>
      <c r="H445" s="10">
        <v>0</v>
      </c>
      <c r="I445" s="10">
        <v>0</v>
      </c>
      <c r="J445" s="11">
        <f t="shared" si="31"/>
        <v>0</v>
      </c>
      <c r="K445" s="11">
        <f t="shared" si="32"/>
        <v>0</v>
      </c>
      <c r="L445" s="11">
        <f t="shared" si="33"/>
        <v>0</v>
      </c>
      <c r="M445" s="11">
        <v>0</v>
      </c>
      <c r="N445" s="11">
        <f t="shared" si="34"/>
        <v>0</v>
      </c>
      <c r="P445" s="13">
        <f t="shared" si="35"/>
        <v>2.6231135354853739E-2</v>
      </c>
    </row>
    <row r="446" spans="1:16" x14ac:dyDescent="0.25">
      <c r="A446" s="16">
        <v>611665</v>
      </c>
      <c r="B446" s="4">
        <f>INDEX([1]!PREDICT[TRUE PTS],MATCH($A446,[1]!PREDICT[HARD CODE],0))</f>
        <v>0.55511577127842449</v>
      </c>
      <c r="C446" s="7" t="str">
        <f>INDEX([1]!MODEL[POS],MATCH($A446,[1]!MODEL[Code],0))</f>
        <v>MID</v>
      </c>
      <c r="D446" s="7" t="str">
        <f>INDEX([1]!MODEL[TEAM],MATCH($A446,[1]!MODEL[Code],0))</f>
        <v>NEW</v>
      </c>
      <c r="E446" s="7">
        <f>INDEX([1]PREDICT!$M$3:$M$1001,MATCH($A446,[1]PREDICT!$B$3:$B$1001,0))</f>
        <v>6</v>
      </c>
      <c r="F446" s="15" t="str">
        <f>INDEX([1]!MODEL[FPL_Name],MATCH($A446,[1]!MODEL[Code],0))</f>
        <v>Bazoumana Touré</v>
      </c>
      <c r="G446" s="10">
        <v>0</v>
      </c>
      <c r="H446" s="10">
        <v>0</v>
      </c>
      <c r="I446" s="10">
        <v>0</v>
      </c>
      <c r="J446" s="11">
        <f t="shared" si="31"/>
        <v>0</v>
      </c>
      <c r="K446" s="11">
        <f t="shared" si="32"/>
        <v>0</v>
      </c>
      <c r="L446" s="11">
        <f t="shared" si="33"/>
        <v>0</v>
      </c>
      <c r="M446" s="11">
        <v>0</v>
      </c>
      <c r="N446" s="11">
        <f t="shared" si="34"/>
        <v>0</v>
      </c>
      <c r="P446" s="13">
        <f t="shared" si="35"/>
        <v>1.8503859042614149E-2</v>
      </c>
    </row>
    <row r="447" spans="1:16" x14ac:dyDescent="0.25">
      <c r="A447" s="16">
        <v>636852</v>
      </c>
      <c r="B447" s="4">
        <f>INDEX([1]!PREDICT[TRUE PTS],MATCH($A447,[1]!PREDICT[HARD CODE],0))</f>
        <v>0.55511577127842449</v>
      </c>
      <c r="C447" s="7" t="str">
        <f>INDEX([1]!MODEL[POS],MATCH($A447,[1]!MODEL[Code],0))</f>
        <v>MID</v>
      </c>
      <c r="D447" s="7" t="str">
        <f>INDEX([1]!MODEL[TEAM],MATCH($A447,[1]!MODEL[Code],0))</f>
        <v>NEW</v>
      </c>
      <c r="E447" s="7">
        <f>INDEX([1]PREDICT!$M$3:$M$1001,MATCH($A447,[1]PREDICT!$B$3:$B$1001,0))</f>
        <v>5</v>
      </c>
      <c r="F447" s="15" t="str">
        <f>INDEX([1]!MODEL[FPL_Name],MATCH($A447,[1]!MODEL[Code],0))</f>
        <v>Sean Steur</v>
      </c>
      <c r="G447" s="10">
        <v>0</v>
      </c>
      <c r="H447" s="10">
        <v>0</v>
      </c>
      <c r="I447" s="10">
        <v>0</v>
      </c>
      <c r="J447" s="11">
        <f t="shared" si="31"/>
        <v>0</v>
      </c>
      <c r="K447" s="11">
        <f t="shared" si="32"/>
        <v>0</v>
      </c>
      <c r="L447" s="11">
        <f t="shared" si="33"/>
        <v>0</v>
      </c>
      <c r="M447" s="11">
        <v>0</v>
      </c>
      <c r="N447" s="11">
        <f t="shared" si="34"/>
        <v>0</v>
      </c>
      <c r="P447" s="13">
        <f t="shared" si="35"/>
        <v>2.220463085113698E-2</v>
      </c>
    </row>
    <row r="448" spans="1:16" x14ac:dyDescent="0.25">
      <c r="A448" s="16">
        <v>632794</v>
      </c>
      <c r="B448" s="4">
        <f>INDEX([1]!PREDICT[TRUE PTS],MATCH($A448,[1]!PREDICT[HARD CODE],0))</f>
        <v>0.55511577127842449</v>
      </c>
      <c r="C448" s="7" t="str">
        <f>INDEX([1]!MODEL[POS],MATCH($A448,[1]!MODEL[Code],0))</f>
        <v>MID</v>
      </c>
      <c r="D448" s="7" t="str">
        <f>INDEX([1]!MODEL[TEAM],MATCH($A448,[1]!MODEL[Code],0))</f>
        <v>NEW</v>
      </c>
      <c r="E448" s="7">
        <f>INDEX([1]PREDICT!$M$3:$M$1001,MATCH($A448,[1]PREDICT!$B$3:$B$1001,0))</f>
        <v>5</v>
      </c>
      <c r="F448" s="15" t="str">
        <f>INDEX([1]!MODEL[FPL_Name],MATCH($A448,[1]!MODEL[Code],0))</f>
        <v>Aladji Bamba</v>
      </c>
      <c r="G448" s="10">
        <v>0</v>
      </c>
      <c r="H448" s="10">
        <v>0</v>
      </c>
      <c r="I448" s="10">
        <v>0</v>
      </c>
      <c r="J448" s="11">
        <f t="shared" si="31"/>
        <v>0</v>
      </c>
      <c r="K448" s="11">
        <f t="shared" si="32"/>
        <v>0</v>
      </c>
      <c r="L448" s="11">
        <f t="shared" si="33"/>
        <v>0</v>
      </c>
      <c r="M448" s="11">
        <v>0</v>
      </c>
      <c r="N448" s="11">
        <f t="shared" si="34"/>
        <v>0</v>
      </c>
      <c r="P448" s="13">
        <f t="shared" si="35"/>
        <v>2.220463085113698E-2</v>
      </c>
    </row>
    <row r="449" spans="1:16" x14ac:dyDescent="0.25">
      <c r="A449" s="16">
        <v>464353</v>
      </c>
      <c r="B449" s="4">
        <f>INDEX([1]!PREDICT[TRUE PTS],MATCH($A449,[1]!PREDICT[HARD CODE],0))</f>
        <v>-1.9949337323768093E-2</v>
      </c>
      <c r="C449" s="7" t="str">
        <f>INDEX([1]!MODEL[POS],MATCH($A449,[1]!MODEL[Code],0))</f>
        <v>GK</v>
      </c>
      <c r="D449" s="7" t="str">
        <f>INDEX([1]!MODEL[TEAM],MATCH($A449,[1]!MODEL[Code],0))</f>
        <v>LIV</v>
      </c>
      <c r="E449" s="7">
        <f>INDEX([1]PREDICT!$M$3:$M$1001,MATCH($A449,[1]PREDICT!$B$3:$B$1001,0))</f>
        <v>4</v>
      </c>
      <c r="F449" s="15" t="str">
        <f>INDEX([1]!MODEL[FPL_Name],MATCH($A449,[1]!MODEL[Code],0))</f>
        <v>Harvey Davies</v>
      </c>
      <c r="G449" s="10">
        <v>0</v>
      </c>
      <c r="H449" s="10">
        <v>0</v>
      </c>
      <c r="I449" s="10">
        <v>0</v>
      </c>
      <c r="J449" s="11">
        <f t="shared" si="31"/>
        <v>0</v>
      </c>
      <c r="K449" s="11">
        <f t="shared" si="32"/>
        <v>0</v>
      </c>
      <c r="L449" s="11">
        <f t="shared" si="33"/>
        <v>0</v>
      </c>
      <c r="M449" s="11">
        <v>0</v>
      </c>
      <c r="N449" s="11">
        <f t="shared" si="34"/>
        <v>0</v>
      </c>
      <c r="P449" s="13">
        <f t="shared" si="35"/>
        <v>-9.9746686618840466E-4</v>
      </c>
    </row>
    <row r="450" spans="1:16" x14ac:dyDescent="0.25">
      <c r="A450" s="16">
        <v>105666</v>
      </c>
      <c r="B450" s="4">
        <f>INDEX([1]!PREDICT[TRUE PTS],MATCH($A450,[1]!PREDICT[HARD CODE],0))</f>
        <v>-0.43719978526742148</v>
      </c>
      <c r="C450" s="7" t="str">
        <f>INDEX([1]!MODEL[POS],MATCH($A450,[1]!MODEL[Code],0))</f>
        <v>GK</v>
      </c>
      <c r="D450" s="7" t="str">
        <f>INDEX([1]!MODEL[TEAM],MATCH($A450,[1]!MODEL[Code],0))</f>
        <v>HUL</v>
      </c>
      <c r="E450" s="7">
        <f>INDEX([1]PREDICT!$M$3:$M$1001,MATCH($A450,[1]PREDICT!$B$3:$B$1001,0))</f>
        <v>4.5</v>
      </c>
      <c r="F450" s="15" t="str">
        <f>INDEX([1]!MODEL[FPL_Name],MATCH($A450,[1]!MODEL[Code],0))</f>
        <v>Jack Butland</v>
      </c>
      <c r="G450" s="10">
        <v>0</v>
      </c>
      <c r="H450" s="10">
        <v>0</v>
      </c>
      <c r="I450" s="10">
        <v>0</v>
      </c>
      <c r="J450" s="11">
        <f t="shared" ref="J450:J513" si="36">G450+H450</f>
        <v>0</v>
      </c>
      <c r="K450" s="11">
        <f t="shared" ref="K450:K513" si="37">G450*E450</f>
        <v>0</v>
      </c>
      <c r="L450" s="11">
        <f t="shared" ref="L450:L513" si="38">H450*E450</f>
        <v>0</v>
      </c>
      <c r="M450" s="11">
        <v>0</v>
      </c>
      <c r="N450" s="11">
        <f t="shared" ref="N450:N513" si="39">(G450*B450)+(H450*B450*$U$2)+(I450*B450)</f>
        <v>0</v>
      </c>
      <c r="P450" s="13">
        <f t="shared" ref="P450:P513" si="40">IFERROR((B450/E450)/$Q$2,0)</f>
        <v>-1.9431101567440955E-2</v>
      </c>
    </row>
    <row r="451" spans="1:16" x14ac:dyDescent="0.25">
      <c r="A451" s="16">
        <v>241117</v>
      </c>
      <c r="B451" s="4">
        <f>INDEX([1]!PREDICT[TRUE PTS],MATCH($A451,[1]!PREDICT[HARD CODE],0))</f>
        <v>0.37121544002072976</v>
      </c>
      <c r="C451" s="7" t="str">
        <f>INDEX([1]!MODEL[POS],MATCH($A451,[1]!MODEL[Code],0))</f>
        <v>MID</v>
      </c>
      <c r="D451" s="7" t="str">
        <f>INDEX([1]!MODEL[TEAM],MATCH($A451,[1]!MODEL[Code],0))</f>
        <v>IPS</v>
      </c>
      <c r="E451" s="7">
        <f>INDEX([1]PREDICT!$M$3:$M$1001,MATCH($A451,[1]PREDICT!$B$3:$B$1001,0))</f>
        <v>5</v>
      </c>
      <c r="F451" s="15" t="str">
        <f>INDEX([1]!MODEL[FPL_Name],MATCH($A451,[1]!MODEL[Code],0))</f>
        <v>Azor Matusiwa</v>
      </c>
      <c r="G451" s="10">
        <v>0</v>
      </c>
      <c r="H451" s="10">
        <v>0</v>
      </c>
      <c r="I451" s="10">
        <v>0</v>
      </c>
      <c r="J451" s="11">
        <f t="shared" si="36"/>
        <v>0</v>
      </c>
      <c r="K451" s="11">
        <f t="shared" si="37"/>
        <v>0</v>
      </c>
      <c r="L451" s="11">
        <f t="shared" si="38"/>
        <v>0</v>
      </c>
      <c r="M451" s="11">
        <v>0</v>
      </c>
      <c r="N451" s="11">
        <f t="shared" si="39"/>
        <v>0</v>
      </c>
      <c r="P451" s="13">
        <f t="shared" si="40"/>
        <v>1.484861760082919E-2</v>
      </c>
    </row>
    <row r="452" spans="1:16" x14ac:dyDescent="0.25">
      <c r="A452" s="16">
        <v>176297</v>
      </c>
      <c r="B452" s="4">
        <f>INDEX([1]!PREDICT[TRUE PTS],MATCH($A452,[1]!PREDICT[HARD CODE],0))</f>
        <v>0.53055541928080696</v>
      </c>
      <c r="C452" s="7" t="str">
        <f>INDEX([1]!MODEL[POS],MATCH($A452,[1]!MODEL[Code],0))</f>
        <v>MID</v>
      </c>
      <c r="D452" s="7" t="str">
        <f>INDEX([1]!MODEL[TEAM],MATCH($A452,[1]!MODEL[Code],0))</f>
        <v>MUN</v>
      </c>
      <c r="E452" s="7">
        <f>INDEX([1]PREDICT!$M$3:$M$1001,MATCH($A452,[1]PREDICT!$B$3:$B$1001,0))</f>
        <v>7</v>
      </c>
      <c r="F452" s="15" t="str">
        <f>INDEX([1]!MODEL[FPL_Name],MATCH($A452,[1]!MODEL[Code],0))</f>
        <v>Marcus Rashford</v>
      </c>
      <c r="G452" s="10">
        <v>0</v>
      </c>
      <c r="H452" s="10">
        <v>0</v>
      </c>
      <c r="I452" s="10">
        <v>0</v>
      </c>
      <c r="J452" s="11">
        <f t="shared" si="36"/>
        <v>0</v>
      </c>
      <c r="K452" s="11">
        <f t="shared" si="37"/>
        <v>0</v>
      </c>
      <c r="L452" s="11">
        <f t="shared" si="38"/>
        <v>0</v>
      </c>
      <c r="M452" s="11">
        <v>0</v>
      </c>
      <c r="N452" s="11">
        <f t="shared" si="39"/>
        <v>0</v>
      </c>
      <c r="P452" s="13">
        <f t="shared" si="40"/>
        <v>1.5158726265165914E-2</v>
      </c>
    </row>
    <row r="453" spans="1:16" x14ac:dyDescent="0.25">
      <c r="A453" s="16">
        <v>490881</v>
      </c>
      <c r="B453" s="4">
        <f>INDEX([1]!PREDICT[TRUE PTS],MATCH($A453,[1]!PREDICT[HARD CODE],0))</f>
        <v>4.7392491000793466</v>
      </c>
      <c r="C453" s="7" t="str">
        <f>INDEX([1]!MODEL[POS],MATCH($A453,[1]!MODEL[Code],0))</f>
        <v>MID</v>
      </c>
      <c r="D453" s="7" t="str">
        <f>INDEX([1]!MODEL[TEAM],MATCH($A453,[1]!MODEL[Code],0))</f>
        <v>MUN</v>
      </c>
      <c r="E453" s="7">
        <f>INDEX([1]PREDICT!$M$3:$M$1001,MATCH($A453,[1]PREDICT!$B$3:$B$1001,0))</f>
        <v>5</v>
      </c>
      <c r="F453" s="15" t="str">
        <f>INDEX([1]!MODEL[FPL_Name],MATCH($A453,[1]!MODEL[Code],0))</f>
        <v>Toby Collyer</v>
      </c>
      <c r="G453" s="10">
        <v>0</v>
      </c>
      <c r="H453" s="10">
        <v>0</v>
      </c>
      <c r="I453" s="10">
        <v>0</v>
      </c>
      <c r="J453" s="11">
        <f t="shared" si="36"/>
        <v>0</v>
      </c>
      <c r="K453" s="11">
        <f t="shared" si="37"/>
        <v>0</v>
      </c>
      <c r="L453" s="11">
        <f t="shared" si="38"/>
        <v>0</v>
      </c>
      <c r="M453" s="11">
        <v>0</v>
      </c>
      <c r="N453" s="11">
        <f t="shared" si="39"/>
        <v>0</v>
      </c>
      <c r="P453" s="13">
        <f t="shared" si="40"/>
        <v>0.18956996400317389</v>
      </c>
    </row>
    <row r="454" spans="1:16" x14ac:dyDescent="0.25">
      <c r="A454" s="16">
        <v>596047</v>
      </c>
      <c r="B454" s="4">
        <f>INDEX([1]!PREDICT[TRUE PTS],MATCH($A454,[1]!PREDICT[HARD CODE],0))</f>
        <v>0.53055541928080696</v>
      </c>
      <c r="C454" s="7" t="str">
        <f>INDEX([1]!MODEL[POS],MATCH($A454,[1]!MODEL[Code],0))</f>
        <v>FWD</v>
      </c>
      <c r="D454" s="7" t="str">
        <f>INDEX([1]!MODEL[TEAM],MATCH($A454,[1]!MODEL[Code],0))</f>
        <v>MUN</v>
      </c>
      <c r="E454" s="7">
        <f>INDEX([1]PREDICT!$M$3:$M$1001,MATCH($A454,[1]PREDICT!$B$3:$B$1001,0))</f>
        <v>4.5</v>
      </c>
      <c r="F454" s="15" t="str">
        <f>INDEX([1]!MODEL[FPL_Name],MATCH($A454,[1]!MODEL[Code],0))</f>
        <v>Chido Obi</v>
      </c>
      <c r="G454" s="10">
        <v>0</v>
      </c>
      <c r="H454" s="10">
        <v>0</v>
      </c>
      <c r="I454" s="10">
        <v>0</v>
      </c>
      <c r="J454" s="11">
        <f t="shared" si="36"/>
        <v>0</v>
      </c>
      <c r="K454" s="11">
        <f t="shared" si="37"/>
        <v>0</v>
      </c>
      <c r="L454" s="11">
        <f t="shared" si="38"/>
        <v>0</v>
      </c>
      <c r="M454" s="11">
        <v>0</v>
      </c>
      <c r="N454" s="11">
        <f t="shared" si="39"/>
        <v>0</v>
      </c>
      <c r="P454" s="13">
        <f t="shared" si="40"/>
        <v>2.3580240856924752E-2</v>
      </c>
    </row>
    <row r="455" spans="1:16" x14ac:dyDescent="0.25">
      <c r="A455" s="16">
        <v>462635</v>
      </c>
      <c r="B455" s="4">
        <f>INDEX([1]!PREDICT[TRUE PTS],MATCH($A455,[1]!PREDICT[HARD CODE],0))</f>
        <v>11.565951097641619</v>
      </c>
      <c r="C455" s="7" t="str">
        <f>INDEX([1]!MODEL[POS],MATCH($A455,[1]!MODEL[Code],0))</f>
        <v>MID</v>
      </c>
      <c r="D455" s="7" t="str">
        <f>INDEX([1]!MODEL[TEAM],MATCH($A455,[1]!MODEL[Code],0))</f>
        <v>LEE</v>
      </c>
      <c r="E455" s="7">
        <f>INDEX([1]PREDICT!$M$3:$M$1001,MATCH($A455,[1]PREDICT!$B$3:$B$1001,0))</f>
        <v>5</v>
      </c>
      <c r="F455" s="15" t="str">
        <f>INDEX([1]!MODEL[FPL_Name],MATCH($A455,[1]!MODEL[Code],0))</f>
        <v>Joe Gelhardt</v>
      </c>
      <c r="G455" s="10">
        <v>0</v>
      </c>
      <c r="H455" s="10">
        <v>0</v>
      </c>
      <c r="I455" s="10">
        <v>0</v>
      </c>
      <c r="J455" s="11">
        <f t="shared" si="36"/>
        <v>0</v>
      </c>
      <c r="K455" s="11">
        <f t="shared" si="37"/>
        <v>0</v>
      </c>
      <c r="L455" s="11">
        <f t="shared" si="38"/>
        <v>0</v>
      </c>
      <c r="M455" s="11">
        <v>0</v>
      </c>
      <c r="N455" s="11">
        <f t="shared" si="39"/>
        <v>0</v>
      </c>
      <c r="P455" s="13">
        <f t="shared" si="40"/>
        <v>0.46263804390566482</v>
      </c>
    </row>
    <row r="456" spans="1:16" x14ac:dyDescent="0.25">
      <c r="A456" s="16">
        <v>499721</v>
      </c>
      <c r="B456" s="4">
        <f>INDEX([1]!PREDICT[TRUE PTS],MATCH($A456,[1]!PREDICT[HARD CODE],0))</f>
        <v>0.52653838827199662</v>
      </c>
      <c r="C456" s="7" t="str">
        <f>INDEX([1]!MODEL[POS],MATCH($A456,[1]!MODEL[Code],0))</f>
        <v>MID</v>
      </c>
      <c r="D456" s="7" t="str">
        <f>INDEX([1]!MODEL[TEAM],MATCH($A456,[1]!MODEL[Code],0))</f>
        <v>TOT</v>
      </c>
      <c r="E456" s="7">
        <f>INDEX([1]PREDICT!$M$3:$M$1001,MATCH($A456,[1]PREDICT!$B$3:$B$1001,0))</f>
        <v>5</v>
      </c>
      <c r="F456" s="15" t="str">
        <f>INDEX([1]!MODEL[FPL_Name],MATCH($A456,[1]!MODEL[Code],0))</f>
        <v>Mikey Moore</v>
      </c>
      <c r="G456" s="10">
        <v>0</v>
      </c>
      <c r="H456" s="10">
        <v>0</v>
      </c>
      <c r="I456" s="10">
        <v>0</v>
      </c>
      <c r="J456" s="11">
        <f t="shared" si="36"/>
        <v>0</v>
      </c>
      <c r="K456" s="11">
        <f t="shared" si="37"/>
        <v>0</v>
      </c>
      <c r="L456" s="11">
        <f t="shared" si="38"/>
        <v>0</v>
      </c>
      <c r="M456" s="11">
        <v>0</v>
      </c>
      <c r="N456" s="11">
        <f t="shared" si="39"/>
        <v>0</v>
      </c>
      <c r="P456" s="13">
        <f t="shared" si="40"/>
        <v>2.1061535530879867E-2</v>
      </c>
    </row>
    <row r="457" spans="1:16" x14ac:dyDescent="0.25">
      <c r="A457" s="16">
        <v>517052</v>
      </c>
      <c r="B457" s="4">
        <f>INDEX([1]!PREDICT[TRUE PTS],MATCH($A457,[1]!PREDICT[HARD CODE],0))</f>
        <v>0.52558455250677982</v>
      </c>
      <c r="C457" s="7" t="str">
        <f>INDEX([1]!MODEL[POS],MATCH($A457,[1]!MODEL[Code],0))</f>
        <v>FWD</v>
      </c>
      <c r="D457" s="7" t="str">
        <f>INDEX([1]!MODEL[TEAM],MATCH($A457,[1]!MODEL[Code],0))</f>
        <v>CHE</v>
      </c>
      <c r="E457" s="7">
        <f>INDEX([1]PREDICT!$M$3:$M$1001,MATCH($A457,[1]PREDICT!$B$3:$B$1001,0))</f>
        <v>6.5</v>
      </c>
      <c r="F457" s="15" t="str">
        <f>INDEX([1]!MODEL[FPL_Name],MATCH($A457,[1]!MODEL[Code],0))</f>
        <v>Nicolas Jackson</v>
      </c>
      <c r="G457" s="10">
        <v>0</v>
      </c>
      <c r="H457" s="10">
        <v>0</v>
      </c>
      <c r="I457" s="10">
        <v>0</v>
      </c>
      <c r="J457" s="11">
        <f t="shared" si="36"/>
        <v>0</v>
      </c>
      <c r="K457" s="11">
        <f t="shared" si="37"/>
        <v>0</v>
      </c>
      <c r="L457" s="11">
        <f t="shared" si="38"/>
        <v>0</v>
      </c>
      <c r="M457" s="11">
        <v>0</v>
      </c>
      <c r="N457" s="11">
        <f t="shared" si="39"/>
        <v>0</v>
      </c>
      <c r="P457" s="13">
        <f t="shared" si="40"/>
        <v>1.6171832384823996E-2</v>
      </c>
    </row>
    <row r="458" spans="1:16" x14ac:dyDescent="0.25">
      <c r="A458" s="16">
        <v>593117</v>
      </c>
      <c r="B458" s="4">
        <f>INDEX([1]!PREDICT[TRUE PTS],MATCH($A458,[1]!PREDICT[HARD CODE],0))</f>
        <v>0.51320955250677991</v>
      </c>
      <c r="C458" s="7" t="str">
        <f>INDEX([1]!MODEL[POS],MATCH($A458,[1]!MODEL[Code],0))</f>
        <v>MID</v>
      </c>
      <c r="D458" s="7" t="str">
        <f>INDEX([1]!MODEL[TEAM],MATCH($A458,[1]!MODEL[Code],0))</f>
        <v>CHE</v>
      </c>
      <c r="E458" s="7">
        <f>INDEX([1]PREDICT!$M$3:$M$1001,MATCH($A458,[1]PREDICT!$B$3:$B$1001,0))</f>
        <v>5.5</v>
      </c>
      <c r="F458" s="15" t="str">
        <f>INDEX([1]!MODEL[FPL_Name],MATCH($A458,[1]!MODEL[Code],0))</f>
        <v>Geovany Quenda</v>
      </c>
      <c r="G458" s="10">
        <v>0</v>
      </c>
      <c r="H458" s="10">
        <v>0</v>
      </c>
      <c r="I458" s="10">
        <v>0</v>
      </c>
      <c r="J458" s="11">
        <f t="shared" si="36"/>
        <v>0</v>
      </c>
      <c r="K458" s="11">
        <f t="shared" si="37"/>
        <v>0</v>
      </c>
      <c r="L458" s="11">
        <f t="shared" si="38"/>
        <v>0</v>
      </c>
      <c r="M458" s="11">
        <v>0</v>
      </c>
      <c r="N458" s="11">
        <f t="shared" si="39"/>
        <v>0</v>
      </c>
      <c r="P458" s="13">
        <f t="shared" si="40"/>
        <v>1.8662165545701086E-2</v>
      </c>
    </row>
    <row r="459" spans="1:16" x14ac:dyDescent="0.25">
      <c r="A459" s="16">
        <v>241293</v>
      </c>
      <c r="B459" s="4">
        <f>INDEX([1]!PREDICT[TRUE PTS],MATCH($A459,[1]!PREDICT[HARD CODE],0))</f>
        <v>10.822846018938312</v>
      </c>
      <c r="C459" s="7" t="str">
        <f>INDEX([1]!MODEL[POS],MATCH($A459,[1]!MODEL[Code],0))</f>
        <v>MID</v>
      </c>
      <c r="D459" s="7" t="str">
        <f>INDEX([1]!MODEL[TEAM],MATCH($A459,[1]!MODEL[Code],0))</f>
        <v>COV</v>
      </c>
      <c r="E459" s="7">
        <f>INDEX([1]PREDICT!$M$3:$M$1001,MATCH($A459,[1]PREDICT!$B$3:$B$1001,0))</f>
        <v>5.5</v>
      </c>
      <c r="F459" s="15" t="str">
        <f>INDEX([1]!MODEL[FPL_Name],MATCH($A459,[1]!MODEL[Code],0))</f>
        <v>Ephron Mason-Clark</v>
      </c>
      <c r="G459" s="10">
        <v>0</v>
      </c>
      <c r="H459" s="10">
        <v>0</v>
      </c>
      <c r="I459" s="10">
        <v>0</v>
      </c>
      <c r="J459" s="11">
        <f t="shared" si="36"/>
        <v>0</v>
      </c>
      <c r="K459" s="11">
        <f t="shared" si="37"/>
        <v>0</v>
      </c>
      <c r="L459" s="11">
        <f t="shared" si="38"/>
        <v>0</v>
      </c>
      <c r="M459" s="11">
        <v>0</v>
      </c>
      <c r="N459" s="11">
        <f t="shared" si="39"/>
        <v>0</v>
      </c>
      <c r="P459" s="13">
        <f t="shared" si="40"/>
        <v>0.3935580370523023</v>
      </c>
    </row>
    <row r="460" spans="1:16" x14ac:dyDescent="0.25">
      <c r="A460" s="16">
        <v>439668</v>
      </c>
      <c r="B460" s="4">
        <f>INDEX([1]!PREDICT[TRUE PTS],MATCH($A460,[1]!PREDICT[HARD CODE],0))</f>
        <v>7.2436713794023149</v>
      </c>
      <c r="C460" s="7" t="str">
        <f>INDEX([1]!MODEL[POS],MATCH($A460,[1]!MODEL[Code],0))</f>
        <v>MID</v>
      </c>
      <c r="D460" s="7" t="str">
        <f>INDEX([1]!MODEL[TEAM],MATCH($A460,[1]!MODEL[Code],0))</f>
        <v>COV</v>
      </c>
      <c r="E460" s="7">
        <f>INDEX([1]PREDICT!$M$3:$M$1001,MATCH($A460,[1]PREDICT!$B$3:$B$1001,0))</f>
        <v>5</v>
      </c>
      <c r="F460" s="15" t="str">
        <f>INDEX([1]!MODEL[FPL_Name],MATCH($A460,[1]!MODEL[Code],0))</f>
        <v>Josh Eccles</v>
      </c>
      <c r="G460" s="10">
        <v>0</v>
      </c>
      <c r="H460" s="10">
        <v>0</v>
      </c>
      <c r="I460" s="10">
        <v>0</v>
      </c>
      <c r="J460" s="11">
        <f t="shared" si="36"/>
        <v>0</v>
      </c>
      <c r="K460" s="11">
        <f t="shared" si="37"/>
        <v>0</v>
      </c>
      <c r="L460" s="11">
        <f t="shared" si="38"/>
        <v>0</v>
      </c>
      <c r="M460" s="11">
        <v>0</v>
      </c>
      <c r="N460" s="11">
        <f t="shared" si="39"/>
        <v>0</v>
      </c>
      <c r="P460" s="13">
        <f t="shared" si="40"/>
        <v>0.28974685517609255</v>
      </c>
    </row>
    <row r="461" spans="1:16" x14ac:dyDescent="0.25">
      <c r="A461" s="16">
        <v>684268</v>
      </c>
      <c r="B461" s="4">
        <f>INDEX([1]!PREDICT[TRUE PTS],MATCH($A461,[1]!PREDICT[HARD CODE],0))</f>
        <v>0.51022705099246912</v>
      </c>
      <c r="C461" s="7" t="str">
        <f>INDEX([1]!MODEL[POS],MATCH($A461,[1]!MODEL[Code],0))</f>
        <v>MID</v>
      </c>
      <c r="D461" s="7" t="str">
        <f>INDEX([1]!MODEL[TEAM],MATCH($A461,[1]!MODEL[Code],0))</f>
        <v>COV</v>
      </c>
      <c r="E461" s="7">
        <f>INDEX([1]PREDICT!$M$3:$M$1001,MATCH($A461,[1]PREDICT!$B$3:$B$1001,0))</f>
        <v>4.5</v>
      </c>
      <c r="F461" s="15" t="str">
        <f>INDEX([1]!MODEL[FPL_Name],MATCH($A461,[1]!MODEL[Code],0))</f>
        <v>George Shepherd</v>
      </c>
      <c r="G461" s="10">
        <v>0</v>
      </c>
      <c r="H461" s="10">
        <v>0</v>
      </c>
      <c r="I461" s="10">
        <v>0</v>
      </c>
      <c r="J461" s="11">
        <f t="shared" si="36"/>
        <v>0</v>
      </c>
      <c r="K461" s="11">
        <f t="shared" si="37"/>
        <v>0</v>
      </c>
      <c r="L461" s="11">
        <f t="shared" si="38"/>
        <v>0</v>
      </c>
      <c r="M461" s="11">
        <v>0</v>
      </c>
      <c r="N461" s="11">
        <f t="shared" si="39"/>
        <v>0</v>
      </c>
      <c r="P461" s="13">
        <f t="shared" si="40"/>
        <v>2.2676757821887515E-2</v>
      </c>
    </row>
    <row r="462" spans="1:16" x14ac:dyDescent="0.25">
      <c r="A462" s="16">
        <v>492498</v>
      </c>
      <c r="B462" s="4">
        <f>INDEX([1]!PREDICT[TRUE PTS],MATCH($A462,[1]!PREDICT[HARD CODE],0))</f>
        <v>2.9109770509924688</v>
      </c>
      <c r="C462" s="7" t="str">
        <f>INDEX([1]!MODEL[POS],MATCH($A462,[1]!MODEL[Code],0))</f>
        <v>MID</v>
      </c>
      <c r="D462" s="7" t="str">
        <f>INDEX([1]!MODEL[TEAM],MATCH($A462,[1]!MODEL[Code],0))</f>
        <v>COV</v>
      </c>
      <c r="E462" s="7">
        <f>INDEX([1]PREDICT!$M$3:$M$1001,MATCH($A462,[1]PREDICT!$B$3:$B$1001,0))</f>
        <v>4.5</v>
      </c>
      <c r="F462" s="15" t="str">
        <f>INDEX([1]!MODEL[FPL_Name],MATCH($A462,[1]!MODEL[Code],0))</f>
        <v>Raphael Borges Rodrigues</v>
      </c>
      <c r="G462" s="10">
        <v>0</v>
      </c>
      <c r="H462" s="10">
        <v>0</v>
      </c>
      <c r="I462" s="10">
        <v>0</v>
      </c>
      <c r="J462" s="11">
        <f t="shared" si="36"/>
        <v>0</v>
      </c>
      <c r="K462" s="11">
        <f t="shared" si="37"/>
        <v>0</v>
      </c>
      <c r="L462" s="11">
        <f t="shared" si="38"/>
        <v>0</v>
      </c>
      <c r="M462" s="11">
        <v>0</v>
      </c>
      <c r="N462" s="11">
        <f t="shared" si="39"/>
        <v>0</v>
      </c>
      <c r="P462" s="13">
        <f t="shared" si="40"/>
        <v>0.12937675782188751</v>
      </c>
    </row>
    <row r="463" spans="1:16" x14ac:dyDescent="0.25">
      <c r="A463" s="16">
        <v>629397</v>
      </c>
      <c r="B463" s="4">
        <f>INDEX([1]!PREDICT[TRUE PTS],MATCH($A463,[1]!PREDICT[HARD CODE],0))</f>
        <v>0.51022705099246912</v>
      </c>
      <c r="C463" s="7" t="str">
        <f>INDEX([1]!MODEL[POS],MATCH($A463,[1]!MODEL[Code],0))</f>
        <v>MID</v>
      </c>
      <c r="D463" s="7" t="str">
        <f>INDEX([1]!MODEL[TEAM],MATCH($A463,[1]!MODEL[Code],0))</f>
        <v>COV</v>
      </c>
      <c r="E463" s="7">
        <f>INDEX([1]PREDICT!$M$3:$M$1001,MATCH($A463,[1]PREDICT!$B$3:$B$1001,0))</f>
        <v>4.5</v>
      </c>
      <c r="F463" s="15" t="str">
        <f>INDEX([1]!MODEL[FPL_Name],MATCH($A463,[1]!MODEL[Code],0))</f>
        <v>Kaine Andrews</v>
      </c>
      <c r="G463" s="10">
        <v>0</v>
      </c>
      <c r="H463" s="10">
        <v>0</v>
      </c>
      <c r="I463" s="10">
        <v>0</v>
      </c>
      <c r="J463" s="11">
        <f t="shared" si="36"/>
        <v>0</v>
      </c>
      <c r="K463" s="11">
        <f t="shared" si="37"/>
        <v>0</v>
      </c>
      <c r="L463" s="11">
        <f t="shared" si="38"/>
        <v>0</v>
      </c>
      <c r="M463" s="11">
        <v>0</v>
      </c>
      <c r="N463" s="11">
        <f t="shared" si="39"/>
        <v>0</v>
      </c>
      <c r="P463" s="13">
        <f t="shared" si="40"/>
        <v>2.2676757821887515E-2</v>
      </c>
    </row>
    <row r="464" spans="1:16" x14ac:dyDescent="0.25">
      <c r="A464" s="16">
        <v>176412</v>
      </c>
      <c r="B464" s="4">
        <f>INDEX([1]!PREDICT[TRUE PTS],MATCH($A464,[1]!PREDICT[HARD CODE],0))</f>
        <v>9.1881261494120903</v>
      </c>
      <c r="C464" s="7" t="str">
        <f>INDEX([1]!MODEL[POS],MATCH($A464,[1]!MODEL[Code],0))</f>
        <v>FWD</v>
      </c>
      <c r="D464" s="7" t="str">
        <f>INDEX([1]!MODEL[TEAM],MATCH($A464,[1]!MODEL[Code],0))</f>
        <v>COV</v>
      </c>
      <c r="E464" s="7">
        <f>INDEX([1]PREDICT!$M$3:$M$1001,MATCH($A464,[1]PREDICT!$B$3:$B$1001,0))</f>
        <v>5.5</v>
      </c>
      <c r="F464" s="15" t="str">
        <f>INDEX([1]!MODEL[FPL_Name],MATCH($A464,[1]!MODEL[Code],0))</f>
        <v>Haji Wright</v>
      </c>
      <c r="G464" s="10">
        <v>0</v>
      </c>
      <c r="H464" s="10">
        <v>0</v>
      </c>
      <c r="I464" s="10">
        <v>0</v>
      </c>
      <c r="J464" s="11">
        <f t="shared" si="36"/>
        <v>0</v>
      </c>
      <c r="K464" s="11">
        <f t="shared" si="37"/>
        <v>0</v>
      </c>
      <c r="L464" s="11">
        <f t="shared" si="38"/>
        <v>0</v>
      </c>
      <c r="M464" s="11">
        <v>0</v>
      </c>
      <c r="N464" s="11">
        <f t="shared" si="39"/>
        <v>0</v>
      </c>
      <c r="P464" s="13">
        <f t="shared" si="40"/>
        <v>0.33411367816043963</v>
      </c>
    </row>
    <row r="465" spans="1:16" x14ac:dyDescent="0.25">
      <c r="A465" s="16">
        <v>551262</v>
      </c>
      <c r="B465" s="4">
        <f>INDEX([1]!PREDICT[TRUE PTS],MATCH($A465,[1]!PREDICT[HARD CODE],0))</f>
        <v>3.2931760254962343</v>
      </c>
      <c r="C465" s="7" t="str">
        <f>INDEX([1]!MODEL[POS],MATCH($A465,[1]!MODEL[Code],0))</f>
        <v>FWD</v>
      </c>
      <c r="D465" s="7" t="str">
        <f>INDEX([1]!MODEL[TEAM],MATCH($A465,[1]!MODEL[Code],0))</f>
        <v>COV</v>
      </c>
      <c r="E465" s="7">
        <f>INDEX([1]PREDICT!$M$3:$M$1001,MATCH($A465,[1]PREDICT!$B$3:$B$1001,0))</f>
        <v>5</v>
      </c>
      <c r="F465" s="15" t="str">
        <f>INDEX([1]!MODEL[FPL_Name],MATCH($A465,[1]!MODEL[Code],0))</f>
        <v>Jahnoah Markelo</v>
      </c>
      <c r="G465" s="10">
        <v>0</v>
      </c>
      <c r="H465" s="10">
        <v>0</v>
      </c>
      <c r="I465" s="10">
        <v>0</v>
      </c>
      <c r="J465" s="11">
        <f t="shared" si="36"/>
        <v>0</v>
      </c>
      <c r="K465" s="11">
        <f t="shared" si="37"/>
        <v>0</v>
      </c>
      <c r="L465" s="11">
        <f t="shared" si="38"/>
        <v>0</v>
      </c>
      <c r="M465" s="11">
        <v>0</v>
      </c>
      <c r="N465" s="11">
        <f t="shared" si="39"/>
        <v>0</v>
      </c>
      <c r="P465" s="13">
        <f t="shared" si="40"/>
        <v>0.13172704101984939</v>
      </c>
    </row>
    <row r="466" spans="1:16" x14ac:dyDescent="0.25">
      <c r="A466" s="16">
        <v>575204</v>
      </c>
      <c r="B466" s="4">
        <f>INDEX([1]!PREDICT[TRUE PTS],MATCH($A466,[1]!PREDICT[HARD CODE],0))</f>
        <v>0.506894746981841</v>
      </c>
      <c r="C466" s="7" t="str">
        <f>INDEX([1]!MODEL[POS],MATCH($A466,[1]!MODEL[Code],0))</f>
        <v>MID</v>
      </c>
      <c r="D466" s="7" t="str">
        <f>INDEX([1]!MODEL[TEAM],MATCH($A466,[1]!MODEL[Code],0))</f>
        <v>MCI</v>
      </c>
      <c r="E466" s="7">
        <f>INDEX([1]PREDICT!$M$3:$M$1001,MATCH($A466,[1]PREDICT!$B$3:$B$1001,0))</f>
        <v>5</v>
      </c>
      <c r="F466" s="15" t="str">
        <f>INDEX([1]!MODEL[FPL_Name],MATCH($A466,[1]!MODEL[Code],0))</f>
        <v>Claudio Echeverri</v>
      </c>
      <c r="G466" s="10">
        <v>0</v>
      </c>
      <c r="H466" s="10">
        <v>0</v>
      </c>
      <c r="I466" s="10">
        <v>0</v>
      </c>
      <c r="J466" s="11">
        <f t="shared" si="36"/>
        <v>0</v>
      </c>
      <c r="K466" s="11">
        <f t="shared" si="37"/>
        <v>0</v>
      </c>
      <c r="L466" s="11">
        <f t="shared" si="38"/>
        <v>0</v>
      </c>
      <c r="M466" s="11">
        <v>0</v>
      </c>
      <c r="N466" s="11">
        <f t="shared" si="39"/>
        <v>0</v>
      </c>
      <c r="P466" s="13">
        <f t="shared" si="40"/>
        <v>2.0275789879273639E-2</v>
      </c>
    </row>
    <row r="467" spans="1:16" x14ac:dyDescent="0.25">
      <c r="A467" s="16">
        <v>155405</v>
      </c>
      <c r="B467" s="4">
        <f>INDEX([1]!PREDICT[TRUE PTS],MATCH($A467,[1]!PREDICT[HARD CODE],0))</f>
        <v>0.506894746981841</v>
      </c>
      <c r="C467" s="7" t="str">
        <f>INDEX([1]!MODEL[POS],MATCH($A467,[1]!MODEL[Code],0))</f>
        <v>MID</v>
      </c>
      <c r="D467" s="7" t="str">
        <f>INDEX([1]!MODEL[TEAM],MATCH($A467,[1]!MODEL[Code],0))</f>
        <v>MCI</v>
      </c>
      <c r="E467" s="7">
        <f>INDEX([1]PREDICT!$M$3:$M$1001,MATCH($A467,[1]PREDICT!$B$3:$B$1001,0))</f>
        <v>5</v>
      </c>
      <c r="F467" s="15" t="str">
        <f>INDEX([1]!MODEL[FPL_Name],MATCH($A467,[1]!MODEL[Code],0))</f>
        <v>Kalvin Phillips</v>
      </c>
      <c r="G467" s="10">
        <v>0</v>
      </c>
      <c r="H467" s="10">
        <v>0</v>
      </c>
      <c r="I467" s="10">
        <v>0</v>
      </c>
      <c r="J467" s="11">
        <f t="shared" si="36"/>
        <v>0</v>
      </c>
      <c r="K467" s="11">
        <f t="shared" si="37"/>
        <v>0</v>
      </c>
      <c r="L467" s="11">
        <f t="shared" si="38"/>
        <v>0</v>
      </c>
      <c r="M467" s="11">
        <v>0</v>
      </c>
      <c r="N467" s="11">
        <f t="shared" si="39"/>
        <v>0</v>
      </c>
      <c r="P467" s="13">
        <f t="shared" si="40"/>
        <v>2.0275789879273639E-2</v>
      </c>
    </row>
    <row r="468" spans="1:16" x14ac:dyDescent="0.25">
      <c r="A468" s="16">
        <v>649208</v>
      </c>
      <c r="B468" s="4">
        <f>INDEX([1]!PREDICT[TRUE PTS],MATCH($A468,[1]!PREDICT[HARD CODE],0))</f>
        <v>0.506894746981841</v>
      </c>
      <c r="C468" s="7" t="str">
        <f>INDEX([1]!MODEL[POS],MATCH($A468,[1]!MODEL[Code],0))</f>
        <v>MID</v>
      </c>
      <c r="D468" s="7" t="str">
        <f>INDEX([1]!MODEL[TEAM],MATCH($A468,[1]!MODEL[Code],0))</f>
        <v>MCI</v>
      </c>
      <c r="E468" s="7">
        <f>INDEX([1]PREDICT!$M$3:$M$1001,MATCH($A468,[1]PREDICT!$B$3:$B$1001,0))</f>
        <v>5</v>
      </c>
      <c r="F468" s="15" t="str">
        <f>INDEX([1]!MODEL[FPL_Name],MATCH($A468,[1]!MODEL[Code],0))</f>
        <v>Jeremy Monga</v>
      </c>
      <c r="G468" s="10">
        <v>0</v>
      </c>
      <c r="H468" s="10">
        <v>0</v>
      </c>
      <c r="I468" s="10">
        <v>0</v>
      </c>
      <c r="J468" s="11">
        <f t="shared" si="36"/>
        <v>0</v>
      </c>
      <c r="K468" s="11">
        <f t="shared" si="37"/>
        <v>0</v>
      </c>
      <c r="L468" s="11">
        <f t="shared" si="38"/>
        <v>0</v>
      </c>
      <c r="M468" s="11">
        <v>0</v>
      </c>
      <c r="N468" s="11">
        <f t="shared" si="39"/>
        <v>0</v>
      </c>
      <c r="P468" s="13">
        <f t="shared" si="40"/>
        <v>2.0275789879273639E-2</v>
      </c>
    </row>
    <row r="469" spans="1:16" x14ac:dyDescent="0.25">
      <c r="A469" s="16">
        <v>561245</v>
      </c>
      <c r="B469" s="4">
        <f>INDEX([1]!PREDICT[TRUE PTS],MATCH($A469,[1]!PREDICT[HARD CODE],0))</f>
        <v>0.50542853151593714</v>
      </c>
      <c r="C469" s="7" t="str">
        <f>INDEX([1]!MODEL[POS],MATCH($A469,[1]!MODEL[Code],0))</f>
        <v>FWD</v>
      </c>
      <c r="D469" s="7" t="str">
        <f>INDEX([1]!MODEL[TEAM],MATCH($A469,[1]!MODEL[Code],0))</f>
        <v>BOU</v>
      </c>
      <c r="E469" s="7">
        <f>INDEX([1]PREDICT!$M$3:$M$1001,MATCH($A469,[1]PREDICT!$B$3:$B$1001,0))</f>
        <v>6</v>
      </c>
      <c r="F469" s="15" t="str">
        <f>INDEX([1]!MODEL[FPL_Name],MATCH($A469,[1]!MODEL[Code],0))</f>
        <v>Álvaro Rodríguez</v>
      </c>
      <c r="G469" s="10">
        <v>0</v>
      </c>
      <c r="H469" s="10">
        <v>0</v>
      </c>
      <c r="I469" s="10">
        <v>0</v>
      </c>
      <c r="J469" s="11">
        <f t="shared" si="36"/>
        <v>0</v>
      </c>
      <c r="K469" s="11">
        <f t="shared" si="37"/>
        <v>0</v>
      </c>
      <c r="L469" s="11">
        <f t="shared" si="38"/>
        <v>0</v>
      </c>
      <c r="M469" s="11">
        <v>0</v>
      </c>
      <c r="N469" s="11">
        <f t="shared" si="39"/>
        <v>0</v>
      </c>
      <c r="P469" s="13">
        <f t="shared" si="40"/>
        <v>1.6847617717197904E-2</v>
      </c>
    </row>
    <row r="470" spans="1:16" x14ac:dyDescent="0.25">
      <c r="A470" s="16">
        <v>56979</v>
      </c>
      <c r="B470" s="4">
        <f>INDEX([1]!PREDICT[TRUE PTS],MATCH($A470,[1]!PREDICT[HARD CODE],0))</f>
        <v>0.50534162494002288</v>
      </c>
      <c r="C470" s="7" t="str">
        <f>INDEX([1]!MODEL[POS],MATCH($A470,[1]!MODEL[Code],0))</f>
        <v>MID</v>
      </c>
      <c r="D470" s="7" t="str">
        <f>INDEX([1]!MODEL[TEAM],MATCH($A470,[1]!MODEL[Code],0))</f>
        <v>CHE</v>
      </c>
      <c r="E470" s="7">
        <f>INDEX([1]PREDICT!$M$3:$M$1001,MATCH($A470,[1]PREDICT!$B$3:$B$1001,0))</f>
        <v>5</v>
      </c>
      <c r="F470" s="15" t="str">
        <f>INDEX([1]!MODEL[FPL_Name],MATCH($A470,[1]!MODEL[Code],0))</f>
        <v>Jordan Henderson</v>
      </c>
      <c r="G470" s="10">
        <v>0</v>
      </c>
      <c r="H470" s="10">
        <v>0</v>
      </c>
      <c r="I470" s="10">
        <v>0</v>
      </c>
      <c r="J470" s="11">
        <f t="shared" si="36"/>
        <v>0</v>
      </c>
      <c r="K470" s="11">
        <f t="shared" si="37"/>
        <v>0</v>
      </c>
      <c r="L470" s="11">
        <f t="shared" si="38"/>
        <v>0</v>
      </c>
      <c r="M470" s="11">
        <v>0</v>
      </c>
      <c r="N470" s="11">
        <f t="shared" si="39"/>
        <v>0</v>
      </c>
      <c r="P470" s="13">
        <f t="shared" si="40"/>
        <v>2.0213664997600918E-2</v>
      </c>
    </row>
    <row r="471" spans="1:16" x14ac:dyDescent="0.25">
      <c r="A471" s="16">
        <v>551499</v>
      </c>
      <c r="B471" s="4">
        <f>INDEX([1]!PREDICT[TRUE PTS],MATCH($A471,[1]!PREDICT[HARD CODE],0))</f>
        <v>0.4999147847852039</v>
      </c>
      <c r="C471" s="7" t="str">
        <f>INDEX([1]!MODEL[POS],MATCH($A471,[1]!MODEL[Code],0))</f>
        <v>MID</v>
      </c>
      <c r="D471" s="7" t="str">
        <f>INDEX([1]!MODEL[TEAM],MATCH($A471,[1]!MODEL[Code],0))</f>
        <v>LIV</v>
      </c>
      <c r="E471" s="7">
        <f>INDEX([1]PREDICT!$M$3:$M$1001,MATCH($A471,[1]PREDICT!$B$3:$B$1001,0))</f>
        <v>6.5</v>
      </c>
      <c r="F471" s="15" t="str">
        <f>INDEX([1]!MODEL[FPL_Name],MATCH($A471,[1]!MODEL[Code],0))</f>
        <v>Victor Munoz</v>
      </c>
      <c r="G471" s="10">
        <v>0</v>
      </c>
      <c r="H471" s="10">
        <v>0</v>
      </c>
      <c r="I471" s="10">
        <v>0</v>
      </c>
      <c r="J471" s="11">
        <f t="shared" si="36"/>
        <v>0</v>
      </c>
      <c r="K471" s="11">
        <f t="shared" si="37"/>
        <v>0</v>
      </c>
      <c r="L471" s="11">
        <f t="shared" si="38"/>
        <v>0</v>
      </c>
      <c r="M471" s="11">
        <v>0</v>
      </c>
      <c r="N471" s="11">
        <f t="shared" si="39"/>
        <v>0</v>
      </c>
      <c r="P471" s="13">
        <f t="shared" si="40"/>
        <v>1.5381993378006272E-2</v>
      </c>
    </row>
    <row r="472" spans="1:16" x14ac:dyDescent="0.25">
      <c r="A472" s="16">
        <v>491501</v>
      </c>
      <c r="B472" s="4">
        <f>INDEX([1]!PREDICT[TRUE PTS],MATCH($A472,[1]!PREDICT[HARD CODE],0))</f>
        <v>0.4999147847852039</v>
      </c>
      <c r="C472" s="7" t="str">
        <f>INDEX([1]!MODEL[POS],MATCH($A472,[1]!MODEL[Code],0))</f>
        <v>MID</v>
      </c>
      <c r="D472" s="7" t="str">
        <f>INDEX([1]!MODEL[TEAM],MATCH($A472,[1]!MODEL[Code],0))</f>
        <v>LIV</v>
      </c>
      <c r="E472" s="7">
        <f>INDEX([1]PREDICT!$M$3:$M$1001,MATCH($A472,[1]PREDICT!$B$3:$B$1001,0))</f>
        <v>4.5</v>
      </c>
      <c r="F472" s="15" t="str">
        <f>INDEX([1]!MODEL[FPL_Name],MATCH($A472,[1]!MODEL[Code],0))</f>
        <v>James McConnell</v>
      </c>
      <c r="G472" s="10">
        <v>0</v>
      </c>
      <c r="H472" s="10">
        <v>0</v>
      </c>
      <c r="I472" s="10">
        <v>0</v>
      </c>
      <c r="J472" s="11">
        <f t="shared" si="36"/>
        <v>0</v>
      </c>
      <c r="K472" s="11">
        <f t="shared" si="37"/>
        <v>0</v>
      </c>
      <c r="L472" s="11">
        <f t="shared" si="38"/>
        <v>0</v>
      </c>
      <c r="M472" s="11">
        <v>0</v>
      </c>
      <c r="N472" s="11">
        <f t="shared" si="39"/>
        <v>0</v>
      </c>
      <c r="P472" s="13">
        <f t="shared" si="40"/>
        <v>2.2218434879342396E-2</v>
      </c>
    </row>
    <row r="473" spans="1:16" x14ac:dyDescent="0.25">
      <c r="A473" s="16">
        <v>469247</v>
      </c>
      <c r="B473" s="4">
        <f>INDEX([1]!PREDICT[TRUE PTS],MATCH($A473,[1]!PREDICT[HARD CODE],0))</f>
        <v>0.49956256725228509</v>
      </c>
      <c r="C473" s="7" t="str">
        <f>INDEX([1]!MODEL[POS],MATCH($A473,[1]!MODEL[Code],0))</f>
        <v>MID</v>
      </c>
      <c r="D473" s="7" t="str">
        <f>INDEX([1]!MODEL[TEAM],MATCH($A473,[1]!MODEL[Code],0))</f>
        <v>AVL</v>
      </c>
      <c r="E473" s="7">
        <f>INDEX([1]PREDICT!$M$3:$M$1001,MATCH($A473,[1]PREDICT!$B$3:$B$1001,0))</f>
        <v>5</v>
      </c>
      <c r="F473" s="15" t="str">
        <f>INDEX([1]!MODEL[FPL_Name],MATCH($A473,[1]!MODEL[Code],0))</f>
        <v>Samuel Iling-Junior</v>
      </c>
      <c r="G473" s="10">
        <v>0</v>
      </c>
      <c r="H473" s="10">
        <v>0</v>
      </c>
      <c r="I473" s="10">
        <v>0</v>
      </c>
      <c r="J473" s="11">
        <f t="shared" si="36"/>
        <v>0</v>
      </c>
      <c r="K473" s="11">
        <f t="shared" si="37"/>
        <v>0</v>
      </c>
      <c r="L473" s="11">
        <f t="shared" si="38"/>
        <v>0</v>
      </c>
      <c r="M473" s="11">
        <v>0</v>
      </c>
      <c r="N473" s="11">
        <f t="shared" si="39"/>
        <v>0</v>
      </c>
      <c r="P473" s="13">
        <f t="shared" si="40"/>
        <v>1.9982502690091403E-2</v>
      </c>
    </row>
    <row r="474" spans="1:16" ht="30" x14ac:dyDescent="0.25">
      <c r="A474" s="16">
        <v>653481</v>
      </c>
      <c r="B474" s="4">
        <f>INDEX([1]!PREDICT[TRUE PTS],MATCH($A474,[1]!PREDICT[HARD CODE],0))</f>
        <v>1.2107668804127014</v>
      </c>
      <c r="C474" s="7" t="str">
        <f>INDEX([1]!MODEL[POS],MATCH($A474,[1]!MODEL[Code],0))</f>
        <v>MID</v>
      </c>
      <c r="D474" s="7" t="str">
        <f>INDEX([1]!MODEL[TEAM],MATCH($A474,[1]!MODEL[Code],0))</f>
        <v>AVL</v>
      </c>
      <c r="E474" s="7">
        <f>INDEX([1]PREDICT!$M$3:$M$1001,MATCH($A474,[1]PREDICT!$B$3:$B$1001,0))</f>
        <v>5</v>
      </c>
      <c r="F474" s="15" t="str">
        <f>INDEX([1]!MODEL[FPL_Name],MATCH($A474,[1]!MODEL[Code],0))</f>
        <v>Alysson Edward Franco da Rocha dos Santos</v>
      </c>
      <c r="G474" s="10">
        <v>0</v>
      </c>
      <c r="H474" s="10">
        <v>0</v>
      </c>
      <c r="I474" s="10">
        <v>0</v>
      </c>
      <c r="J474" s="11">
        <f t="shared" si="36"/>
        <v>0</v>
      </c>
      <c r="K474" s="11">
        <f t="shared" si="37"/>
        <v>0</v>
      </c>
      <c r="L474" s="11">
        <f t="shared" si="38"/>
        <v>0</v>
      </c>
      <c r="M474" s="11">
        <v>0</v>
      </c>
      <c r="N474" s="11">
        <f t="shared" si="39"/>
        <v>0</v>
      </c>
      <c r="P474" s="13">
        <f t="shared" si="40"/>
        <v>4.8430675216508054E-2</v>
      </c>
    </row>
    <row r="475" spans="1:16" x14ac:dyDescent="0.25">
      <c r="A475" s="16">
        <v>614071</v>
      </c>
      <c r="B475" s="4">
        <f>INDEX([1]!PREDICT[TRUE PTS],MATCH($A475,[1]!PREDICT[HARD CODE],0))</f>
        <v>0.49956256725228509</v>
      </c>
      <c r="C475" s="7" t="str">
        <f>INDEX([1]!MODEL[POS],MATCH($A475,[1]!MODEL[Code],0))</f>
        <v>MID</v>
      </c>
      <c r="D475" s="7" t="str">
        <f>INDEX([1]!MODEL[TEAM],MATCH($A475,[1]!MODEL[Code],0))</f>
        <v>AVL</v>
      </c>
      <c r="E475" s="7">
        <f>INDEX([1]PREDICT!$M$3:$M$1001,MATCH($A475,[1]PREDICT!$B$3:$B$1001,0))</f>
        <v>6</v>
      </c>
      <c r="F475" s="15" t="str">
        <f>INDEX([1]!MODEL[FPL_Name],MATCH($A475,[1]!MODEL[Code],0))</f>
        <v>Johan Manzambi</v>
      </c>
      <c r="G475" s="10">
        <v>0</v>
      </c>
      <c r="H475" s="10">
        <v>0</v>
      </c>
      <c r="I475" s="10">
        <v>0</v>
      </c>
      <c r="J475" s="11">
        <f t="shared" si="36"/>
        <v>0</v>
      </c>
      <c r="K475" s="11">
        <f t="shared" si="37"/>
        <v>0</v>
      </c>
      <c r="L475" s="11">
        <f t="shared" si="38"/>
        <v>0</v>
      </c>
      <c r="M475" s="11">
        <v>0</v>
      </c>
      <c r="N475" s="11">
        <f t="shared" si="39"/>
        <v>0</v>
      </c>
      <c r="P475" s="13">
        <f t="shared" si="40"/>
        <v>1.6652085575076171E-2</v>
      </c>
    </row>
    <row r="476" spans="1:16" x14ac:dyDescent="0.25">
      <c r="A476" s="16">
        <v>438098</v>
      </c>
      <c r="B476" s="4">
        <f>INDEX([1]!PREDICT[TRUE PTS],MATCH($A476,[1]!PREDICT[HARD CODE],0))</f>
        <v>0.49017955880232794</v>
      </c>
      <c r="C476" s="7" t="str">
        <f>INDEX([1]!MODEL[POS],MATCH($A476,[1]!MODEL[Code],0))</f>
        <v>MID</v>
      </c>
      <c r="D476" s="7" t="str">
        <f>INDEX([1]!MODEL[TEAM],MATCH($A476,[1]!MODEL[Code],0))</f>
        <v>ARS</v>
      </c>
      <c r="E476" s="7">
        <f>INDEX([1]PREDICT!$M$3:$M$1001,MATCH($A476,[1]PREDICT!$B$3:$B$1001,0))</f>
        <v>5.5</v>
      </c>
      <c r="F476" s="15" t="str">
        <f>INDEX([1]!MODEL[FPL_Name],MATCH($A476,[1]!MODEL[Code],0))</f>
        <v>Fábio Ferreira Vieira</v>
      </c>
      <c r="G476" s="10">
        <v>0</v>
      </c>
      <c r="H476" s="10">
        <v>0</v>
      </c>
      <c r="I476" s="10">
        <v>0</v>
      </c>
      <c r="J476" s="11">
        <f t="shared" si="36"/>
        <v>0</v>
      </c>
      <c r="K476" s="11">
        <f t="shared" si="37"/>
        <v>0</v>
      </c>
      <c r="L476" s="11">
        <f t="shared" si="38"/>
        <v>0</v>
      </c>
      <c r="M476" s="11">
        <v>0</v>
      </c>
      <c r="N476" s="11">
        <f t="shared" si="39"/>
        <v>0</v>
      </c>
      <c r="P476" s="13">
        <f t="shared" si="40"/>
        <v>1.7824711229175561E-2</v>
      </c>
    </row>
    <row r="477" spans="1:16" x14ac:dyDescent="0.25">
      <c r="A477" s="16">
        <v>439509</v>
      </c>
      <c r="B477" s="4">
        <f>INDEX([1]!PREDICT[TRUE PTS],MATCH($A477,[1]!PREDICT[HARD CODE],0))</f>
        <v>0.49017955880232794</v>
      </c>
      <c r="C477" s="7" t="str">
        <f>INDEX([1]!MODEL[POS],MATCH($A477,[1]!MODEL[Code],0))</f>
        <v>MID</v>
      </c>
      <c r="D477" s="7" t="str">
        <f>INDEX([1]!MODEL[TEAM],MATCH($A477,[1]!MODEL[Code],0))</f>
        <v>ARS</v>
      </c>
      <c r="E477" s="7">
        <f>INDEX([1]PREDICT!$M$3:$M$1001,MATCH($A477,[1]PREDICT!$B$3:$B$1001,0))</f>
        <v>6.5</v>
      </c>
      <c r="F477" s="15" t="str">
        <f>INDEX([1]!MODEL[FPL_Name],MATCH($A477,[1]!MODEL[Code],0))</f>
        <v>Christos Tzolis</v>
      </c>
      <c r="G477" s="10">
        <v>0</v>
      </c>
      <c r="H477" s="10">
        <v>0</v>
      </c>
      <c r="I477" s="10">
        <v>0</v>
      </c>
      <c r="J477" s="11">
        <f t="shared" si="36"/>
        <v>0</v>
      </c>
      <c r="K477" s="11">
        <f t="shared" si="37"/>
        <v>0</v>
      </c>
      <c r="L477" s="11">
        <f t="shared" si="38"/>
        <v>0</v>
      </c>
      <c r="M477" s="11">
        <v>0</v>
      </c>
      <c r="N477" s="11">
        <f t="shared" si="39"/>
        <v>0</v>
      </c>
      <c r="P477" s="13">
        <f t="shared" si="40"/>
        <v>1.5082447963148551E-2</v>
      </c>
    </row>
    <row r="478" spans="1:16" x14ac:dyDescent="0.25">
      <c r="A478" s="16">
        <v>565297</v>
      </c>
      <c r="B478" s="4">
        <f>INDEX([1]!PREDICT[TRUE PTS],MATCH($A478,[1]!PREDICT[HARD CODE],0))</f>
        <v>0.47782615918687676</v>
      </c>
      <c r="C478" s="7" t="str">
        <f>INDEX([1]!MODEL[POS],MATCH($A478,[1]!MODEL[Code],0))</f>
        <v>FWD</v>
      </c>
      <c r="D478" s="7" t="str">
        <f>INDEX([1]!MODEL[TEAM],MATCH($A478,[1]!MODEL[Code],0))</f>
        <v>LEE</v>
      </c>
      <c r="E478" s="7">
        <f>INDEX([1]PREDICT!$M$3:$M$1001,MATCH($A478,[1]PREDICT!$B$3:$B$1001,0))</f>
        <v>4.5</v>
      </c>
      <c r="F478" s="15" t="str">
        <f>INDEX([1]!MODEL[FPL_Name],MATCH($A478,[1]!MODEL[Code],0))</f>
        <v>Mateo Joseph Fernández-Regatillo</v>
      </c>
      <c r="G478" s="10">
        <v>0</v>
      </c>
      <c r="H478" s="10">
        <v>0</v>
      </c>
      <c r="I478" s="10">
        <v>0</v>
      </c>
      <c r="J478" s="11">
        <f t="shared" si="36"/>
        <v>0</v>
      </c>
      <c r="K478" s="11">
        <f t="shared" si="37"/>
        <v>0</v>
      </c>
      <c r="L478" s="11">
        <f t="shared" si="38"/>
        <v>0</v>
      </c>
      <c r="M478" s="11">
        <v>0</v>
      </c>
      <c r="N478" s="11">
        <f t="shared" si="39"/>
        <v>0</v>
      </c>
      <c r="P478" s="13">
        <f t="shared" si="40"/>
        <v>2.1236718186083411E-2</v>
      </c>
    </row>
    <row r="479" spans="1:16" x14ac:dyDescent="0.25">
      <c r="A479" s="16">
        <v>171270</v>
      </c>
      <c r="B479" s="4">
        <f>INDEX([1]!PREDICT[TRUE PTS],MATCH($A479,[1]!PREDICT[HARD CODE],0))</f>
        <v>4.1442952834934275</v>
      </c>
      <c r="C479" s="7" t="str">
        <f>INDEX([1]!MODEL[POS],MATCH($A479,[1]!MODEL[Code],0))</f>
        <v>MID</v>
      </c>
      <c r="D479" s="7" t="str">
        <f>INDEX([1]!MODEL[TEAM],MATCH($A479,[1]!MODEL[Code],0))</f>
        <v>HUL</v>
      </c>
      <c r="E479" s="7">
        <f>INDEX([1]PREDICT!$M$3:$M$1001,MATCH($A479,[1]PREDICT!$B$3:$B$1001,0))</f>
        <v>4.5</v>
      </c>
      <c r="F479" s="15" t="str">
        <f>INDEX([1]!MODEL[FPL_Name],MATCH($A479,[1]!MODEL[Code],0))</f>
        <v>Kieran Dowell</v>
      </c>
      <c r="G479" s="10">
        <v>0</v>
      </c>
      <c r="H479" s="10">
        <v>0</v>
      </c>
      <c r="I479" s="10">
        <v>0</v>
      </c>
      <c r="J479" s="11">
        <f t="shared" si="36"/>
        <v>0</v>
      </c>
      <c r="K479" s="11">
        <f t="shared" si="37"/>
        <v>0</v>
      </c>
      <c r="L479" s="11">
        <f t="shared" si="38"/>
        <v>0</v>
      </c>
      <c r="M479" s="11">
        <v>0</v>
      </c>
      <c r="N479" s="11">
        <f t="shared" si="39"/>
        <v>0</v>
      </c>
      <c r="P479" s="13">
        <f t="shared" si="40"/>
        <v>0.18419090148859679</v>
      </c>
    </row>
    <row r="480" spans="1:16" x14ac:dyDescent="0.25">
      <c r="A480" s="16">
        <v>169432</v>
      </c>
      <c r="B480" s="4">
        <f>INDEX([1]!PREDICT[TRUE PTS],MATCH($A480,[1]!PREDICT[HARD CODE],0))</f>
        <v>10.061303663442235</v>
      </c>
      <c r="C480" s="7" t="str">
        <f>INDEX([1]!MODEL[POS],MATCH($A480,[1]!MODEL[Code],0))</f>
        <v>FWD</v>
      </c>
      <c r="D480" s="7" t="str">
        <f>INDEX([1]!MODEL[TEAM],MATCH($A480,[1]!MODEL[Code],0))</f>
        <v>HUL</v>
      </c>
      <c r="E480" s="7">
        <f>INDEX([1]PREDICT!$M$3:$M$1001,MATCH($A480,[1]PREDICT!$B$3:$B$1001,0))</f>
        <v>5.5</v>
      </c>
      <c r="F480" s="15" t="str">
        <f>INDEX([1]!MODEL[FPL_Name],MATCH($A480,[1]!MODEL[Code],0))</f>
        <v>Oli McBurnie</v>
      </c>
      <c r="G480" s="10">
        <v>0</v>
      </c>
      <c r="H480" s="10">
        <v>0</v>
      </c>
      <c r="I480" s="10">
        <v>0</v>
      </c>
      <c r="J480" s="11">
        <f t="shared" si="36"/>
        <v>0</v>
      </c>
      <c r="K480" s="11">
        <f t="shared" si="37"/>
        <v>0</v>
      </c>
      <c r="L480" s="11">
        <f t="shared" si="38"/>
        <v>0</v>
      </c>
      <c r="M480" s="11">
        <v>0</v>
      </c>
      <c r="N480" s="11">
        <f t="shared" si="39"/>
        <v>0</v>
      </c>
      <c r="P480" s="13">
        <f t="shared" si="40"/>
        <v>0.36586558776153583</v>
      </c>
    </row>
    <row r="481" spans="1:16" x14ac:dyDescent="0.25">
      <c r="A481" s="16">
        <v>445044</v>
      </c>
      <c r="B481" s="4">
        <f>INDEX([1]!PREDICT[TRUE PTS],MATCH($A481,[1]!PREDICT[HARD CODE],0))</f>
        <v>0.47603838827199663</v>
      </c>
      <c r="C481" s="7" t="str">
        <f>INDEX([1]!MODEL[POS],MATCH($A481,[1]!MODEL[Code],0))</f>
        <v>MID</v>
      </c>
      <c r="D481" s="7" t="str">
        <f>INDEX([1]!MODEL[TEAM],MATCH($A481,[1]!MODEL[Code],0))</f>
        <v>TOT</v>
      </c>
      <c r="E481" s="7">
        <f>INDEX([1]PREDICT!$M$3:$M$1001,MATCH($A481,[1]PREDICT!$B$3:$B$1001,0))</f>
        <v>6.5</v>
      </c>
      <c r="F481" s="15" t="str">
        <f>INDEX([1]!MODEL[FPL_Name],MATCH($A481,[1]!MODEL[Code],0))</f>
        <v>Dejan Kulusevski</v>
      </c>
      <c r="G481" s="10">
        <v>0</v>
      </c>
      <c r="H481" s="10">
        <v>0</v>
      </c>
      <c r="I481" s="10">
        <v>0</v>
      </c>
      <c r="J481" s="11">
        <f t="shared" si="36"/>
        <v>0</v>
      </c>
      <c r="K481" s="11">
        <f t="shared" si="37"/>
        <v>0</v>
      </c>
      <c r="L481" s="11">
        <f t="shared" si="38"/>
        <v>0</v>
      </c>
      <c r="M481" s="11">
        <v>0</v>
      </c>
      <c r="N481" s="11">
        <f t="shared" si="39"/>
        <v>0</v>
      </c>
      <c r="P481" s="13">
        <f t="shared" si="40"/>
        <v>1.4647335023753743E-2</v>
      </c>
    </row>
    <row r="482" spans="1:16" x14ac:dyDescent="0.25">
      <c r="A482" s="16">
        <v>536694</v>
      </c>
      <c r="B482" s="4">
        <f>INDEX([1]!PREDICT[TRUE PTS],MATCH($A482,[1]!PREDICT[HARD CODE],0))</f>
        <v>0.47526933078166939</v>
      </c>
      <c r="C482" s="7" t="str">
        <f>INDEX([1]!MODEL[POS],MATCH($A482,[1]!MODEL[Code],0))</f>
        <v>MID</v>
      </c>
      <c r="D482" s="7" t="str">
        <f>INDEX([1]!MODEL[TEAM],MATCH($A482,[1]!MODEL[Code],0))</f>
        <v>CRY</v>
      </c>
      <c r="E482" s="7">
        <f>INDEX([1]PREDICT!$M$3:$M$1001,MATCH($A482,[1]PREDICT!$B$3:$B$1001,0))</f>
        <v>5</v>
      </c>
      <c r="F482" s="15" t="str">
        <f>INDEX([1]!MODEL[FPL_Name],MATCH($A482,[1]!MODEL[Code],0))</f>
        <v>Matheus França de Oliveira</v>
      </c>
      <c r="G482" s="10">
        <v>0</v>
      </c>
      <c r="H482" s="10">
        <v>0</v>
      </c>
      <c r="I482" s="10">
        <v>0</v>
      </c>
      <c r="J482" s="11">
        <f t="shared" si="36"/>
        <v>0</v>
      </c>
      <c r="K482" s="11">
        <f t="shared" si="37"/>
        <v>0</v>
      </c>
      <c r="L482" s="11">
        <f t="shared" si="38"/>
        <v>0</v>
      </c>
      <c r="M482" s="11">
        <v>0</v>
      </c>
      <c r="N482" s="11">
        <f t="shared" si="39"/>
        <v>0</v>
      </c>
      <c r="P482" s="13">
        <f t="shared" si="40"/>
        <v>1.9010773231266775E-2</v>
      </c>
    </row>
    <row r="483" spans="1:16" x14ac:dyDescent="0.25">
      <c r="A483" s="16">
        <v>438464</v>
      </c>
      <c r="B483" s="4">
        <f>INDEX([1]!PREDICT[TRUE PTS],MATCH($A483,[1]!PREDICT[HARD CODE],0))</f>
        <v>0.47526933078166939</v>
      </c>
      <c r="C483" s="7" t="str">
        <f>INDEX([1]!MODEL[POS],MATCH($A483,[1]!MODEL[Code],0))</f>
        <v>MID</v>
      </c>
      <c r="D483" s="7" t="str">
        <f>INDEX([1]!MODEL[TEAM],MATCH($A483,[1]!MODEL[Code],0))</f>
        <v>CRY</v>
      </c>
      <c r="E483" s="7">
        <f>INDEX([1]PREDICT!$M$3:$M$1001,MATCH($A483,[1]PREDICT!$B$3:$B$1001,0))</f>
        <v>5</v>
      </c>
      <c r="F483" s="15" t="str">
        <f>INDEX([1]!MODEL[FPL_Name],MATCH($A483,[1]!MODEL[Code],0))</f>
        <v>Cheick Doucouré</v>
      </c>
      <c r="G483" s="10">
        <v>0</v>
      </c>
      <c r="H483" s="10">
        <v>0</v>
      </c>
      <c r="I483" s="10">
        <v>0</v>
      </c>
      <c r="J483" s="11">
        <f t="shared" si="36"/>
        <v>0</v>
      </c>
      <c r="K483" s="11">
        <f t="shared" si="37"/>
        <v>0</v>
      </c>
      <c r="L483" s="11">
        <f t="shared" si="38"/>
        <v>0</v>
      </c>
      <c r="M483" s="11">
        <v>0</v>
      </c>
      <c r="N483" s="11">
        <f t="shared" si="39"/>
        <v>0</v>
      </c>
      <c r="P483" s="13">
        <f t="shared" si="40"/>
        <v>1.9010773231266775E-2</v>
      </c>
    </row>
    <row r="484" spans="1:16" x14ac:dyDescent="0.25">
      <c r="A484" s="16">
        <v>450542</v>
      </c>
      <c r="B484" s="4">
        <f>INDEX([1]!PREDICT[TRUE PTS],MATCH($A484,[1]!PREDICT[HARD CODE],0))</f>
        <v>0.47526933078166939</v>
      </c>
      <c r="C484" s="7" t="str">
        <f>INDEX([1]!MODEL[POS],MATCH($A484,[1]!MODEL[Code],0))</f>
        <v>MID</v>
      </c>
      <c r="D484" s="7" t="str">
        <f>INDEX([1]!MODEL[TEAM],MATCH($A484,[1]!MODEL[Code],0))</f>
        <v>CRY</v>
      </c>
      <c r="E484" s="7">
        <f>INDEX([1]PREDICT!$M$3:$M$1001,MATCH($A484,[1]PREDICT!$B$3:$B$1001,0))</f>
        <v>5</v>
      </c>
      <c r="F484" s="15" t="str">
        <f>INDEX([1]!MODEL[FPL_Name],MATCH($A484,[1]!MODEL[Code],0))</f>
        <v>Jesurun Rak-Sakyi</v>
      </c>
      <c r="G484" s="10">
        <v>0</v>
      </c>
      <c r="H484" s="10">
        <v>0</v>
      </c>
      <c r="I484" s="10">
        <v>0</v>
      </c>
      <c r="J484" s="11">
        <f t="shared" si="36"/>
        <v>0</v>
      </c>
      <c r="K484" s="11">
        <f t="shared" si="37"/>
        <v>0</v>
      </c>
      <c r="L484" s="11">
        <f t="shared" si="38"/>
        <v>0</v>
      </c>
      <c r="M484" s="11">
        <v>0</v>
      </c>
      <c r="N484" s="11">
        <f t="shared" si="39"/>
        <v>0</v>
      </c>
      <c r="P484" s="13">
        <f t="shared" si="40"/>
        <v>1.9010773231266775E-2</v>
      </c>
    </row>
    <row r="485" spans="1:16" x14ac:dyDescent="0.25">
      <c r="A485" s="16">
        <v>700308</v>
      </c>
      <c r="B485" s="4">
        <f>INDEX([1]!PREDICT[TRUE PTS],MATCH($A485,[1]!PREDICT[HARD CODE],0))</f>
        <v>0.46768864954771905</v>
      </c>
      <c r="C485" s="7" t="str">
        <f>INDEX([1]!MODEL[POS],MATCH($A485,[1]!MODEL[Code],0))</f>
        <v>MID</v>
      </c>
      <c r="D485" s="7" t="str">
        <f>INDEX([1]!MODEL[TEAM],MATCH($A485,[1]!MODEL[Code],0))</f>
        <v>BHA</v>
      </c>
      <c r="E485" s="7">
        <f>INDEX([1]PREDICT!$M$3:$M$1001,MATCH($A485,[1]PREDICT!$B$3:$B$1001,0))</f>
        <v>5</v>
      </c>
      <c r="F485" s="15" t="str">
        <f>INDEX([1]!MODEL[FPL_Name],MATCH($A485,[1]!MODEL[Code],0))</f>
        <v>Zadok Yohanna</v>
      </c>
      <c r="G485" s="10">
        <v>0</v>
      </c>
      <c r="H485" s="10">
        <v>0</v>
      </c>
      <c r="I485" s="10">
        <v>0</v>
      </c>
      <c r="J485" s="11">
        <f t="shared" si="36"/>
        <v>0</v>
      </c>
      <c r="K485" s="11">
        <f t="shared" si="37"/>
        <v>0</v>
      </c>
      <c r="L485" s="11">
        <f t="shared" si="38"/>
        <v>0</v>
      </c>
      <c r="M485" s="11">
        <v>0</v>
      </c>
      <c r="N485" s="11">
        <f t="shared" si="39"/>
        <v>0</v>
      </c>
      <c r="P485" s="13">
        <f t="shared" si="40"/>
        <v>1.8707545981908762E-2</v>
      </c>
    </row>
    <row r="486" spans="1:16" x14ac:dyDescent="0.25">
      <c r="A486" s="16">
        <v>560262</v>
      </c>
      <c r="B486" s="4">
        <f>INDEX([1]!PREDICT[TRUE PTS],MATCH($A486,[1]!PREDICT[HARD CODE],0))</f>
        <v>2.7694845181890329</v>
      </c>
      <c r="C486" s="7" t="str">
        <f>INDEX([1]!MODEL[POS],MATCH($A486,[1]!MODEL[Code],0))</f>
        <v>MID</v>
      </c>
      <c r="D486" s="7" t="str">
        <f>INDEX([1]!MODEL[TEAM],MATCH($A486,[1]!MODEL[Code],0))</f>
        <v>BOU</v>
      </c>
      <c r="E486" s="7">
        <f>INDEX([1]PREDICT!$M$3:$M$1001,MATCH($A486,[1]PREDICT!$B$3:$B$1001,0))</f>
        <v>7.5</v>
      </c>
      <c r="F486" s="15" t="str">
        <f>INDEX([1]!MODEL[FPL_Name],MATCH($A486,[1]!MODEL[Code],0))</f>
        <v>Junior Kroupi</v>
      </c>
      <c r="G486" s="10">
        <v>0</v>
      </c>
      <c r="H486" s="10">
        <v>0</v>
      </c>
      <c r="I486" s="10">
        <v>0</v>
      </c>
      <c r="J486" s="11">
        <f t="shared" si="36"/>
        <v>0</v>
      </c>
      <c r="K486" s="11">
        <f t="shared" si="37"/>
        <v>0</v>
      </c>
      <c r="L486" s="11">
        <f t="shared" si="38"/>
        <v>0</v>
      </c>
      <c r="M486" s="11">
        <v>0</v>
      </c>
      <c r="N486" s="11">
        <f t="shared" si="39"/>
        <v>0</v>
      </c>
      <c r="P486" s="13">
        <f t="shared" si="40"/>
        <v>7.3852920485040871E-2</v>
      </c>
    </row>
    <row r="487" spans="1:16" x14ac:dyDescent="0.25">
      <c r="A487" s="16">
        <v>549653</v>
      </c>
      <c r="B487" s="4">
        <f>INDEX([1]!PREDICT[TRUE PTS],MATCH($A487,[1]!PREDICT[HARD CODE],0))</f>
        <v>0.46072705099246908</v>
      </c>
      <c r="C487" s="7" t="str">
        <f>INDEX([1]!MODEL[POS],MATCH($A487,[1]!MODEL[Code],0))</f>
        <v>FWD</v>
      </c>
      <c r="D487" s="7" t="str">
        <f>INDEX([1]!MODEL[TEAM],MATCH($A487,[1]!MODEL[Code],0))</f>
        <v>COV</v>
      </c>
      <c r="E487" s="7">
        <f>INDEX([1]PREDICT!$M$3:$M$1001,MATCH($A487,[1]PREDICT!$B$3:$B$1001,0))</f>
        <v>4.5</v>
      </c>
      <c r="F487" s="15" t="str">
        <f>INDEX([1]!MODEL[FPL_Name],MATCH($A487,[1]!MODEL[Code],0))</f>
        <v>Norman Bassette</v>
      </c>
      <c r="G487" s="10">
        <v>0</v>
      </c>
      <c r="H487" s="10">
        <v>0</v>
      </c>
      <c r="I487" s="10">
        <v>0</v>
      </c>
      <c r="J487" s="11">
        <f t="shared" si="36"/>
        <v>0</v>
      </c>
      <c r="K487" s="11">
        <f t="shared" si="37"/>
        <v>0</v>
      </c>
      <c r="L487" s="11">
        <f t="shared" si="38"/>
        <v>0</v>
      </c>
      <c r="M487" s="11">
        <v>0</v>
      </c>
      <c r="N487" s="11">
        <f t="shared" si="39"/>
        <v>0</v>
      </c>
      <c r="P487" s="13">
        <f t="shared" si="40"/>
        <v>2.0476757821887515E-2</v>
      </c>
    </row>
    <row r="488" spans="1:16" x14ac:dyDescent="0.25">
      <c r="A488" s="16">
        <v>547676</v>
      </c>
      <c r="B488" s="4">
        <f>INDEX([1]!PREDICT[TRUE PTS],MATCH($A488,[1]!PREDICT[HARD CODE],0))</f>
        <v>0.452262301356813</v>
      </c>
      <c r="C488" s="7" t="str">
        <f>INDEX([1]!MODEL[POS],MATCH($A488,[1]!MODEL[Code],0))</f>
        <v>DEF</v>
      </c>
      <c r="D488" s="7" t="str">
        <f>INDEX([1]!MODEL[TEAM],MATCH($A488,[1]!MODEL[Code],0))</f>
        <v>MUN</v>
      </c>
      <c r="E488" s="7">
        <f>INDEX([1]PREDICT!$M$3:$M$1001,MATCH($A488,[1]PREDICT!$B$3:$B$1001,0))</f>
        <v>4</v>
      </c>
      <c r="F488" s="15" t="str">
        <f>INDEX([1]!MODEL[FPL_Name],MATCH($A488,[1]!MODEL[Code],0))</f>
        <v>Tyler Fredricson</v>
      </c>
      <c r="G488" s="10">
        <v>0</v>
      </c>
      <c r="H488" s="10">
        <v>0</v>
      </c>
      <c r="I488" s="10">
        <v>0</v>
      </c>
      <c r="J488" s="11">
        <f t="shared" si="36"/>
        <v>0</v>
      </c>
      <c r="K488" s="11">
        <f t="shared" si="37"/>
        <v>0</v>
      </c>
      <c r="L488" s="11">
        <f t="shared" si="38"/>
        <v>0</v>
      </c>
      <c r="M488" s="11">
        <v>0</v>
      </c>
      <c r="N488" s="11">
        <f t="shared" si="39"/>
        <v>0</v>
      </c>
      <c r="P488" s="13">
        <f t="shared" si="40"/>
        <v>2.2613115067840649E-2</v>
      </c>
    </row>
    <row r="489" spans="1:16" x14ac:dyDescent="0.25">
      <c r="A489" s="16">
        <v>535928</v>
      </c>
      <c r="B489" s="4">
        <f>INDEX([1]!PREDICT[TRUE PTS],MATCH($A489,[1]!PREDICT[HARD CODE],0))</f>
        <v>0.45041478478520397</v>
      </c>
      <c r="C489" s="7" t="str">
        <f>INDEX([1]!MODEL[POS],MATCH($A489,[1]!MODEL[Code],0))</f>
        <v>MID</v>
      </c>
      <c r="D489" s="7" t="str">
        <f>INDEX([1]!MODEL[TEAM],MATCH($A489,[1]!MODEL[Code],0))</f>
        <v>LIV</v>
      </c>
      <c r="E489" s="7">
        <f>INDEX([1]PREDICT!$M$3:$M$1001,MATCH($A489,[1]PREDICT!$B$3:$B$1001,0))</f>
        <v>5</v>
      </c>
      <c r="F489" s="15" t="str">
        <f>INDEX([1]!MODEL[FPL_Name],MATCH($A489,[1]!MODEL[Code],0))</f>
        <v>Stefan Bajčetić Maquieira</v>
      </c>
      <c r="G489" s="10">
        <v>0</v>
      </c>
      <c r="H489" s="10">
        <v>0</v>
      </c>
      <c r="I489" s="10">
        <v>0</v>
      </c>
      <c r="J489" s="11">
        <f t="shared" si="36"/>
        <v>0</v>
      </c>
      <c r="K489" s="11">
        <f t="shared" si="37"/>
        <v>0</v>
      </c>
      <c r="L489" s="11">
        <f t="shared" si="38"/>
        <v>0</v>
      </c>
      <c r="M489" s="11">
        <v>0</v>
      </c>
      <c r="N489" s="11">
        <f t="shared" si="39"/>
        <v>0</v>
      </c>
      <c r="P489" s="13">
        <f t="shared" si="40"/>
        <v>1.8016591391408161E-2</v>
      </c>
    </row>
    <row r="490" spans="1:16" x14ac:dyDescent="0.25">
      <c r="A490" s="16">
        <v>500058</v>
      </c>
      <c r="B490" s="4">
        <f>INDEX([1]!PREDICT[TRUE PTS],MATCH($A490,[1]!PREDICT[HARD CODE],0))</f>
        <v>0.45041478478520397</v>
      </c>
      <c r="C490" s="7" t="str">
        <f>INDEX([1]!MODEL[POS],MATCH($A490,[1]!MODEL[Code],0))</f>
        <v>FWD</v>
      </c>
      <c r="D490" s="7" t="str">
        <f>INDEX([1]!MODEL[TEAM],MATCH($A490,[1]!MODEL[Code],0))</f>
        <v>LIV</v>
      </c>
      <c r="E490" s="7">
        <f>INDEX([1]PREDICT!$M$3:$M$1001,MATCH($A490,[1]PREDICT!$B$3:$B$1001,0))</f>
        <v>4.5</v>
      </c>
      <c r="F490" s="15" t="str">
        <f>INDEX([1]!MODEL[FPL_Name],MATCH($A490,[1]!MODEL[Code],0))</f>
        <v>Jayden Danns</v>
      </c>
      <c r="G490" s="10">
        <v>0</v>
      </c>
      <c r="H490" s="10">
        <v>0</v>
      </c>
      <c r="I490" s="10">
        <v>0</v>
      </c>
      <c r="J490" s="11">
        <f t="shared" si="36"/>
        <v>0</v>
      </c>
      <c r="K490" s="11">
        <f t="shared" si="37"/>
        <v>0</v>
      </c>
      <c r="L490" s="11">
        <f t="shared" si="38"/>
        <v>0</v>
      </c>
      <c r="M490" s="11">
        <v>0</v>
      </c>
      <c r="N490" s="11">
        <f t="shared" si="39"/>
        <v>0</v>
      </c>
      <c r="P490" s="13">
        <f t="shared" si="40"/>
        <v>2.0018434879342399E-2</v>
      </c>
    </row>
    <row r="491" spans="1:16" x14ac:dyDescent="0.25">
      <c r="A491" s="16">
        <v>699989</v>
      </c>
      <c r="B491" s="4">
        <f>INDEX([1]!PREDICT[TRUE PTS],MATCH($A491,[1]!PREDICT[HARD CODE],0))</f>
        <v>0.72711985928737244</v>
      </c>
      <c r="C491" s="7" t="str">
        <f>INDEX([1]!MODEL[POS],MATCH($A491,[1]!MODEL[Code],0))</f>
        <v>MID</v>
      </c>
      <c r="D491" s="7" t="str">
        <f>INDEX([1]!MODEL[TEAM],MATCH($A491,[1]!MODEL[Code],0))</f>
        <v>SUN</v>
      </c>
      <c r="E491" s="7">
        <f>INDEX([1]PREDICT!$M$3:$M$1001,MATCH($A491,[1]PREDICT!$B$3:$B$1001,0))</f>
        <v>5</v>
      </c>
      <c r="F491" s="15" t="str">
        <f>INDEX([1]!MODEL[FPL_Name],MATCH($A491,[1]!MODEL[Code],0))</f>
        <v>Djiamgone Jocelin Ta Bi</v>
      </c>
      <c r="G491" s="10">
        <v>0</v>
      </c>
      <c r="H491" s="10">
        <v>0</v>
      </c>
      <c r="I491" s="10">
        <v>0</v>
      </c>
      <c r="J491" s="11">
        <f t="shared" si="36"/>
        <v>0</v>
      </c>
      <c r="K491" s="11">
        <f t="shared" si="37"/>
        <v>0</v>
      </c>
      <c r="L491" s="11">
        <f t="shared" si="38"/>
        <v>0</v>
      </c>
      <c r="M491" s="11">
        <v>0</v>
      </c>
      <c r="N491" s="11">
        <f t="shared" si="39"/>
        <v>0</v>
      </c>
      <c r="P491" s="13">
        <f t="shared" si="40"/>
        <v>2.9084794371494898E-2</v>
      </c>
    </row>
    <row r="492" spans="1:16" x14ac:dyDescent="0.25">
      <c r="A492" s="16">
        <v>553783</v>
      </c>
      <c r="B492" s="4">
        <f>INDEX([1]!PREDICT[TRUE PTS],MATCH($A492,[1]!PREDICT[HARD CODE],0))</f>
        <v>0.42667115440018627</v>
      </c>
      <c r="C492" s="7" t="str">
        <f>INDEX([1]!MODEL[POS],MATCH($A492,[1]!MODEL[Code],0))</f>
        <v>MID</v>
      </c>
      <c r="D492" s="7" t="str">
        <f>INDEX([1]!MODEL[TEAM],MATCH($A492,[1]!MODEL[Code],0))</f>
        <v>HUL</v>
      </c>
      <c r="E492" s="7">
        <f>INDEX([1]PREDICT!$M$3:$M$1001,MATCH($A492,[1]PREDICT!$B$3:$B$1001,0))</f>
        <v>4.5</v>
      </c>
      <c r="F492" s="15" t="str">
        <f>INDEX([1]!MODEL[FPL_Name],MATCH($A492,[1]!MODEL[Code],0))</f>
        <v>Óscar Zambrano</v>
      </c>
      <c r="G492" s="10">
        <v>0</v>
      </c>
      <c r="H492" s="10">
        <v>0</v>
      </c>
      <c r="I492" s="10">
        <v>0</v>
      </c>
      <c r="J492" s="11">
        <f t="shared" si="36"/>
        <v>0</v>
      </c>
      <c r="K492" s="11">
        <f t="shared" si="37"/>
        <v>0</v>
      </c>
      <c r="L492" s="11">
        <f t="shared" si="38"/>
        <v>0</v>
      </c>
      <c r="M492" s="11">
        <v>0</v>
      </c>
      <c r="N492" s="11">
        <f t="shared" si="39"/>
        <v>0</v>
      </c>
      <c r="P492" s="13">
        <f t="shared" si="40"/>
        <v>1.8963162417786054E-2</v>
      </c>
    </row>
    <row r="493" spans="1:16" x14ac:dyDescent="0.25">
      <c r="A493" s="16">
        <v>470294</v>
      </c>
      <c r="B493" s="4">
        <f>INDEX([1]!PREDICT[TRUE PTS],MATCH($A493,[1]!PREDICT[HARD CODE],0))</f>
        <v>0.36646960795742012</v>
      </c>
      <c r="C493" s="7" t="str">
        <f>INDEX([1]!MODEL[POS],MATCH($A493,[1]!MODEL[Code],0))</f>
        <v>MID</v>
      </c>
      <c r="D493" s="7" t="str">
        <f>INDEX([1]!MODEL[TEAM],MATCH($A493,[1]!MODEL[Code],0))</f>
        <v>HUL</v>
      </c>
      <c r="E493" s="7">
        <f>INDEX([1]PREDICT!$M$3:$M$1001,MATCH($A493,[1]PREDICT!$B$3:$B$1001,0))</f>
        <v>4.5</v>
      </c>
      <c r="F493" s="15" t="str">
        <f>INDEX([1]!MODEL[FPL_Name],MATCH($A493,[1]!MODEL[Code],0))</f>
        <v>Darko Gyabi</v>
      </c>
      <c r="G493" s="10">
        <v>0</v>
      </c>
      <c r="H493" s="10">
        <v>0</v>
      </c>
      <c r="I493" s="10">
        <v>0</v>
      </c>
      <c r="J493" s="11">
        <f t="shared" si="36"/>
        <v>0</v>
      </c>
      <c r="K493" s="11">
        <f t="shared" si="37"/>
        <v>0</v>
      </c>
      <c r="L493" s="11">
        <f t="shared" si="38"/>
        <v>0</v>
      </c>
      <c r="M493" s="11">
        <v>0</v>
      </c>
      <c r="N493" s="11">
        <f t="shared" si="39"/>
        <v>0</v>
      </c>
      <c r="P493" s="13">
        <f t="shared" si="40"/>
        <v>1.6287538131440894E-2</v>
      </c>
    </row>
    <row r="494" spans="1:16" x14ac:dyDescent="0.25">
      <c r="A494" s="16">
        <v>487117</v>
      </c>
      <c r="B494" s="4">
        <f>INDEX([1]!PREDICT[TRUE PTS],MATCH($A494,[1]!PREDICT[HARD CODE],0))</f>
        <v>0.41718864954771906</v>
      </c>
      <c r="C494" s="7" t="str">
        <f>INDEX([1]!MODEL[POS],MATCH($A494,[1]!MODEL[Code],0))</f>
        <v>FWD</v>
      </c>
      <c r="D494" s="7" t="str">
        <f>INDEX([1]!MODEL[TEAM],MATCH($A494,[1]!MODEL[Code],0))</f>
        <v>BHA</v>
      </c>
      <c r="E494" s="7">
        <f>INDEX([1]PREDICT!$M$3:$M$1001,MATCH($A494,[1]PREDICT!$B$3:$B$1001,0))</f>
        <v>5</v>
      </c>
      <c r="F494" s="15" t="str">
        <f>INDEX([1]!MODEL[FPL_Name],MATCH($A494,[1]!MODEL[Code],0))</f>
        <v>Evan Ferguson</v>
      </c>
      <c r="G494" s="10">
        <v>0</v>
      </c>
      <c r="H494" s="10">
        <v>0</v>
      </c>
      <c r="I494" s="10">
        <v>0</v>
      </c>
      <c r="J494" s="11">
        <f t="shared" si="36"/>
        <v>0</v>
      </c>
      <c r="K494" s="11">
        <f t="shared" si="37"/>
        <v>0</v>
      </c>
      <c r="L494" s="11">
        <f t="shared" si="38"/>
        <v>0</v>
      </c>
      <c r="M494" s="11">
        <v>0</v>
      </c>
      <c r="N494" s="11">
        <f t="shared" si="39"/>
        <v>0</v>
      </c>
      <c r="P494" s="13">
        <f t="shared" si="40"/>
        <v>1.6687545981908764E-2</v>
      </c>
    </row>
    <row r="495" spans="1:16" x14ac:dyDescent="0.25">
      <c r="A495" s="16">
        <v>593174</v>
      </c>
      <c r="B495" s="4">
        <f>INDEX([1]!PREDICT[TRUE PTS],MATCH($A495,[1]!PREDICT[HARD CODE],0))</f>
        <v>0.40945753769804039</v>
      </c>
      <c r="C495" s="7" t="str">
        <f>INDEX([1]!MODEL[POS],MATCH($A495,[1]!MODEL[Code],0))</f>
        <v>FWD</v>
      </c>
      <c r="D495" s="7" t="str">
        <f>INDEX([1]!MODEL[TEAM],MATCH($A495,[1]!MODEL[Code],0))</f>
        <v>BRE</v>
      </c>
      <c r="E495" s="7">
        <f>INDEX([1]PREDICT!$M$3:$M$1001,MATCH($A495,[1]PREDICT!$B$3:$B$1001,0))</f>
        <v>4.5</v>
      </c>
      <c r="F495" s="15" t="str">
        <f>INDEX([1]!MODEL[FPL_Name],MATCH($A495,[1]!MODEL[Code],0))</f>
        <v>Kaye Furo</v>
      </c>
      <c r="G495" s="10">
        <v>0</v>
      </c>
      <c r="H495" s="10">
        <v>0</v>
      </c>
      <c r="I495" s="10">
        <v>0</v>
      </c>
      <c r="J495" s="11">
        <f t="shared" si="36"/>
        <v>0</v>
      </c>
      <c r="K495" s="11">
        <f t="shared" si="37"/>
        <v>0</v>
      </c>
      <c r="L495" s="11">
        <f t="shared" si="38"/>
        <v>0</v>
      </c>
      <c r="M495" s="11">
        <v>0</v>
      </c>
      <c r="N495" s="11">
        <f t="shared" si="39"/>
        <v>0</v>
      </c>
      <c r="P495" s="13">
        <f t="shared" si="40"/>
        <v>1.8198112786579575E-2</v>
      </c>
    </row>
    <row r="496" spans="1:16" x14ac:dyDescent="0.25">
      <c r="A496" s="16">
        <v>244858</v>
      </c>
      <c r="B496" s="4">
        <f>INDEX([1]!PREDICT[TRUE PTS],MATCH($A496,[1]!PREDICT[HARD CODE],0))</f>
        <v>0.3748563564248924</v>
      </c>
      <c r="C496" s="7" t="str">
        <f>INDEX([1]!MODEL[POS],MATCH($A496,[1]!MODEL[Code],0))</f>
        <v>MID</v>
      </c>
      <c r="D496" s="7" t="str">
        <f>INDEX([1]!MODEL[TEAM],MATCH($A496,[1]!MODEL[Code],0))</f>
        <v>BRE</v>
      </c>
      <c r="E496" s="7">
        <f>INDEX([1]PREDICT!$M$3:$M$1001,MATCH($A496,[1]PREDICT!$B$3:$B$1001,0))</f>
        <v>5</v>
      </c>
      <c r="F496" s="15" t="str">
        <f>INDEX([1]!MODEL[FPL_Name],MATCH($A496,[1]!MODEL[Code],0))</f>
        <v>Fábio Freitas Gouveia Carvalho</v>
      </c>
      <c r="G496" s="10">
        <v>0</v>
      </c>
      <c r="H496" s="10">
        <v>0</v>
      </c>
      <c r="I496" s="10">
        <v>0</v>
      </c>
      <c r="J496" s="11">
        <f t="shared" si="36"/>
        <v>0</v>
      </c>
      <c r="K496" s="11">
        <f t="shared" si="37"/>
        <v>0</v>
      </c>
      <c r="L496" s="11">
        <f t="shared" si="38"/>
        <v>0</v>
      </c>
      <c r="M496" s="11">
        <v>0</v>
      </c>
      <c r="N496" s="11">
        <f t="shared" si="39"/>
        <v>0</v>
      </c>
      <c r="P496" s="13">
        <f t="shared" si="40"/>
        <v>1.4994254256995696E-2</v>
      </c>
    </row>
    <row r="497" spans="1:16" x14ac:dyDescent="0.25">
      <c r="A497" s="16">
        <v>470551</v>
      </c>
      <c r="B497" s="4">
        <f>INDEX([1]!PREDICT[TRUE PTS],MATCH($A497,[1]!PREDICT[HARD CODE],0))</f>
        <v>-5.0192287457911426E-2</v>
      </c>
      <c r="C497" s="7" t="str">
        <f>INDEX([1]!MODEL[POS],MATCH($A497,[1]!MODEL[Code],0))</f>
        <v>GK</v>
      </c>
      <c r="D497" s="7" t="str">
        <f>INDEX([1]!MODEL[TEAM],MATCH($A497,[1]!MODEL[Code],0))</f>
        <v>NEW</v>
      </c>
      <c r="E497" s="7">
        <f>INDEX([1]PREDICT!$M$3:$M$1001,MATCH($A497,[1]PREDICT!$B$3:$B$1001,0))</f>
        <v>5</v>
      </c>
      <c r="F497" s="15" t="str">
        <f>INDEX([1]!MODEL[FPL_Name],MATCH($A497,[1]!MODEL[Code],0))</f>
        <v>Lukás Hornícek</v>
      </c>
      <c r="G497" s="10">
        <v>0</v>
      </c>
      <c r="H497" s="10">
        <v>0</v>
      </c>
      <c r="I497" s="10">
        <v>0</v>
      </c>
      <c r="J497" s="11">
        <f t="shared" si="36"/>
        <v>0</v>
      </c>
      <c r="K497" s="11">
        <f t="shared" si="37"/>
        <v>0</v>
      </c>
      <c r="L497" s="11">
        <f t="shared" si="38"/>
        <v>0</v>
      </c>
      <c r="M497" s="11">
        <v>0</v>
      </c>
      <c r="N497" s="11">
        <f t="shared" si="39"/>
        <v>0</v>
      </c>
      <c r="P497" s="13">
        <f t="shared" si="40"/>
        <v>-2.0076914983164574E-3</v>
      </c>
    </row>
    <row r="498" spans="1:16" x14ac:dyDescent="0.25">
      <c r="A498" s="16">
        <v>545477</v>
      </c>
      <c r="B498" s="4">
        <f>INDEX([1]!PREDICT[TRUE PTS],MATCH($A498,[1]!PREDICT[HARD CODE],0))</f>
        <v>0.35758109113724246</v>
      </c>
      <c r="C498" s="7" t="str">
        <f>INDEX([1]!MODEL[POS],MATCH($A498,[1]!MODEL[Code],0))</f>
        <v>DEF</v>
      </c>
      <c r="D498" s="7" t="str">
        <f>INDEX([1]!MODEL[TEAM],MATCH($A498,[1]!MODEL[Code],0))</f>
        <v>NEW</v>
      </c>
      <c r="E498" s="7">
        <f>INDEX([1]PREDICT!$M$3:$M$1001,MATCH($A498,[1]PREDICT!$B$3:$B$1001,0))</f>
        <v>4</v>
      </c>
      <c r="F498" s="15" t="str">
        <f>INDEX([1]!MODEL[FPL_Name],MATCH($A498,[1]!MODEL[Code],0))</f>
        <v>Alex Murphy</v>
      </c>
      <c r="G498" s="10">
        <v>0</v>
      </c>
      <c r="H498" s="10">
        <v>0</v>
      </c>
      <c r="I498" s="10">
        <v>0</v>
      </c>
      <c r="J498" s="11">
        <f t="shared" si="36"/>
        <v>0</v>
      </c>
      <c r="K498" s="11">
        <f t="shared" si="37"/>
        <v>0</v>
      </c>
      <c r="L498" s="11">
        <f t="shared" si="38"/>
        <v>0</v>
      </c>
      <c r="M498" s="11">
        <v>0</v>
      </c>
      <c r="N498" s="11">
        <f t="shared" si="39"/>
        <v>0</v>
      </c>
      <c r="P498" s="13">
        <f t="shared" si="40"/>
        <v>1.7879054556862124E-2</v>
      </c>
    </row>
    <row r="499" spans="1:16" x14ac:dyDescent="0.25">
      <c r="A499" s="16">
        <v>513086</v>
      </c>
      <c r="B499" s="4">
        <f>INDEX([1]!PREDICT[TRUE PTS],MATCH($A499,[1]!PREDICT[HARD CODE],0))</f>
        <v>-0.21220424082192405</v>
      </c>
      <c r="C499" s="7" t="str">
        <f>INDEX([1]!MODEL[POS],MATCH($A499,[1]!MODEL[Code],0))</f>
        <v>DEF</v>
      </c>
      <c r="D499" s="7" t="str">
        <f>INDEX([1]!MODEL[TEAM],MATCH($A499,[1]!MODEL[Code],0))</f>
        <v>BRE</v>
      </c>
      <c r="E499" s="7">
        <f>INDEX([1]PREDICT!$M$3:$M$1001,MATCH($A499,[1]PREDICT!$B$3:$B$1001,0))</f>
        <v>4.5</v>
      </c>
      <c r="F499" s="15" t="str">
        <f>INDEX([1]!MODEL[FPL_Name],MATCH($A499,[1]!MODEL[Code],0))</f>
        <v>Jannik Schuster</v>
      </c>
      <c r="G499" s="10">
        <v>0</v>
      </c>
      <c r="H499" s="10">
        <v>0</v>
      </c>
      <c r="I499" s="10">
        <v>0</v>
      </c>
      <c r="J499" s="11">
        <f t="shared" si="36"/>
        <v>0</v>
      </c>
      <c r="K499" s="11">
        <f t="shared" si="37"/>
        <v>0</v>
      </c>
      <c r="L499" s="11">
        <f t="shared" si="38"/>
        <v>0</v>
      </c>
      <c r="M499" s="11">
        <v>0</v>
      </c>
      <c r="N499" s="11">
        <f t="shared" si="39"/>
        <v>0</v>
      </c>
      <c r="P499" s="13">
        <f t="shared" si="40"/>
        <v>-9.4312995920855132E-3</v>
      </c>
    </row>
    <row r="500" spans="1:16" x14ac:dyDescent="0.25">
      <c r="A500" s="16">
        <v>660392</v>
      </c>
      <c r="B500" s="4">
        <f>INDEX([1]!PREDICT[TRUE PTS],MATCH($A500,[1]!PREDICT[HARD CODE],0))</f>
        <v>0.86089374143532904</v>
      </c>
      <c r="C500" s="7" t="str">
        <f>INDEX([1]!MODEL[POS],MATCH($A500,[1]!MODEL[Code],0))</f>
        <v>FWD</v>
      </c>
      <c r="D500" s="7" t="str">
        <f>INDEX([1]!MODEL[TEAM],MATCH($A500,[1]!MODEL[Code],0))</f>
        <v>CRY</v>
      </c>
      <c r="E500" s="7">
        <f>INDEX([1]PREDICT!$M$3:$M$1001,MATCH($A500,[1]PREDICT!$B$3:$B$1001,0))</f>
        <v>5</v>
      </c>
      <c r="F500" s="15" t="str">
        <f>INDEX([1]!MODEL[FPL_Name],MATCH($A500,[1]!MODEL[Code],0))</f>
        <v>Christantus Uche</v>
      </c>
      <c r="G500" s="10">
        <v>0</v>
      </c>
      <c r="H500" s="10">
        <v>0</v>
      </c>
      <c r="I500" s="10">
        <v>0</v>
      </c>
      <c r="J500" s="11">
        <f t="shared" si="36"/>
        <v>0</v>
      </c>
      <c r="K500" s="11">
        <f t="shared" si="37"/>
        <v>0</v>
      </c>
      <c r="L500" s="11">
        <f t="shared" si="38"/>
        <v>0</v>
      </c>
      <c r="M500" s="11">
        <v>0</v>
      </c>
      <c r="N500" s="11">
        <f t="shared" si="39"/>
        <v>0</v>
      </c>
      <c r="P500" s="13">
        <f t="shared" si="40"/>
        <v>3.443574965741316E-2</v>
      </c>
    </row>
    <row r="501" spans="1:16" x14ac:dyDescent="0.25">
      <c r="A501" s="16">
        <v>80178</v>
      </c>
      <c r="B501" s="4">
        <f>INDEX([1]!PREDICT[TRUE PTS],MATCH($A501,[1]!PREDICT[HARD CODE],0))</f>
        <v>1.4998816996047051</v>
      </c>
      <c r="C501" s="7" t="str">
        <f>INDEX([1]!MODEL[POS],MATCH($A501,[1]!MODEL[Code],0))</f>
        <v>DEF</v>
      </c>
      <c r="D501" s="7" t="str">
        <f>INDEX([1]!MODEL[TEAM],MATCH($A501,[1]!MODEL[Code],0))</f>
        <v>COV</v>
      </c>
      <c r="E501" s="7">
        <f>INDEX([1]PREDICT!$M$3:$M$1001,MATCH($A501,[1]PREDICT!$B$3:$B$1001,0))</f>
        <v>4</v>
      </c>
      <c r="F501" s="15" t="str">
        <f>INDEX([1]!MODEL[FPL_Name],MATCH($A501,[1]!MODEL[Code],0))</f>
        <v>Jake Bidwell</v>
      </c>
      <c r="G501" s="10">
        <v>0</v>
      </c>
      <c r="H501" s="10">
        <v>0</v>
      </c>
      <c r="I501" s="10">
        <v>0</v>
      </c>
      <c r="J501" s="11">
        <f t="shared" si="36"/>
        <v>0</v>
      </c>
      <c r="K501" s="11">
        <f t="shared" si="37"/>
        <v>0</v>
      </c>
      <c r="L501" s="11">
        <f t="shared" si="38"/>
        <v>0</v>
      </c>
      <c r="M501" s="11">
        <v>0</v>
      </c>
      <c r="N501" s="11">
        <f t="shared" si="39"/>
        <v>0</v>
      </c>
      <c r="P501" s="13">
        <f t="shared" si="40"/>
        <v>7.4994084980235257E-2</v>
      </c>
    </row>
    <row r="502" spans="1:16" x14ac:dyDescent="0.25">
      <c r="A502" s="16">
        <v>232112</v>
      </c>
      <c r="B502" s="4">
        <f>INDEX([1]!PREDICT[TRUE PTS],MATCH($A502,[1]!PREDICT[HARD CODE],0))</f>
        <v>0.59974017727331685</v>
      </c>
      <c r="C502" s="7" t="str">
        <f>INDEX([1]!MODEL[POS],MATCH($A502,[1]!MODEL[Code],0))</f>
        <v>MID</v>
      </c>
      <c r="D502" s="7" t="str">
        <f>INDEX([1]!MODEL[TEAM],MATCH($A502,[1]!MODEL[Code],0))</f>
        <v>MUN</v>
      </c>
      <c r="E502" s="7">
        <f>INDEX([1]PREDICT!$M$3:$M$1001,MATCH($A502,[1]PREDICT!$B$3:$B$1001,0))</f>
        <v>5</v>
      </c>
      <c r="F502" s="15" t="str">
        <f>INDEX([1]!MODEL[FPL_Name],MATCH($A502,[1]!MODEL[Code],0))</f>
        <v>Manuel Ugarte Ribeiro</v>
      </c>
      <c r="G502" s="10">
        <v>0</v>
      </c>
      <c r="H502" s="10">
        <v>0</v>
      </c>
      <c r="I502" s="10">
        <v>0</v>
      </c>
      <c r="J502" s="11">
        <f t="shared" si="36"/>
        <v>0</v>
      </c>
      <c r="K502" s="11">
        <f t="shared" si="37"/>
        <v>0</v>
      </c>
      <c r="L502" s="11">
        <f t="shared" si="38"/>
        <v>0</v>
      </c>
      <c r="M502" s="11">
        <v>0</v>
      </c>
      <c r="N502" s="11">
        <f t="shared" si="39"/>
        <v>0</v>
      </c>
      <c r="P502" s="13">
        <f t="shared" si="40"/>
        <v>2.3989607090932674E-2</v>
      </c>
    </row>
    <row r="503" spans="1:16" x14ac:dyDescent="0.25">
      <c r="A503" s="16">
        <v>222018</v>
      </c>
      <c r="B503" s="4">
        <f>INDEX([1]!PREDICT[TRUE PTS],MATCH($A503,[1]!PREDICT[HARD CODE],0))</f>
        <v>5.2688281527566803</v>
      </c>
      <c r="C503" s="7" t="str">
        <f>INDEX([1]!MODEL[POS],MATCH($A503,[1]!MODEL[Code],0))</f>
        <v>DEF</v>
      </c>
      <c r="D503" s="7" t="str">
        <f>INDEX([1]!MODEL[TEAM],MATCH($A503,[1]!MODEL[Code],0))</f>
        <v>IPS</v>
      </c>
      <c r="E503" s="7">
        <f>INDEX([1]PREDICT!$M$3:$M$1001,MATCH($A503,[1]PREDICT!$B$3:$B$1001,0))</f>
        <v>4</v>
      </c>
      <c r="F503" s="15" t="str">
        <f>INDEX([1]!MODEL[FPL_Name],MATCH($A503,[1]!MODEL[Code],0))</f>
        <v>Ben Johnson</v>
      </c>
      <c r="G503" s="10">
        <v>0</v>
      </c>
      <c r="H503" s="10">
        <v>0</v>
      </c>
      <c r="I503" s="10">
        <v>0</v>
      </c>
      <c r="J503" s="11">
        <f t="shared" si="36"/>
        <v>0</v>
      </c>
      <c r="K503" s="11">
        <f t="shared" si="37"/>
        <v>0</v>
      </c>
      <c r="L503" s="11">
        <f t="shared" si="38"/>
        <v>0</v>
      </c>
      <c r="M503" s="11">
        <v>0</v>
      </c>
      <c r="N503" s="11">
        <f t="shared" si="39"/>
        <v>0</v>
      </c>
      <c r="P503" s="13">
        <f t="shared" si="40"/>
        <v>0.26344140763783402</v>
      </c>
    </row>
    <row r="504" spans="1:16" x14ac:dyDescent="0.25">
      <c r="A504" s="16">
        <v>437495</v>
      </c>
      <c r="B504" s="4">
        <f>INDEX([1]!PREDICT[TRUE PTS],MATCH($A504,[1]!PREDICT[HARD CODE],0))</f>
        <v>0.1616841528453811</v>
      </c>
      <c r="C504" s="7" t="str">
        <f>INDEX([1]!MODEL[POS],MATCH($A504,[1]!MODEL[Code],0))</f>
        <v>GK</v>
      </c>
      <c r="D504" s="7" t="str">
        <f>INDEX([1]!MODEL[TEAM],MATCH($A504,[1]!MODEL[Code],0))</f>
        <v>ARS</v>
      </c>
      <c r="E504" s="7">
        <f>INDEX([1]PREDICT!$M$3:$M$1001,MATCH($A504,[1]PREDICT!$B$3:$B$1001,0))</f>
        <v>5</v>
      </c>
      <c r="F504" s="15" t="str">
        <f>INDEX([1]!MODEL[FPL_Name],MATCH($A504,[1]!MODEL[Code],0))</f>
        <v>Illan Meslier</v>
      </c>
      <c r="G504" s="10">
        <v>0</v>
      </c>
      <c r="H504" s="10">
        <v>0</v>
      </c>
      <c r="I504" s="10">
        <v>0</v>
      </c>
      <c r="J504" s="11">
        <f t="shared" si="36"/>
        <v>0</v>
      </c>
      <c r="K504" s="11">
        <f t="shared" si="37"/>
        <v>0</v>
      </c>
      <c r="L504" s="11">
        <f t="shared" si="38"/>
        <v>0</v>
      </c>
      <c r="M504" s="11">
        <v>0</v>
      </c>
      <c r="N504" s="11">
        <f t="shared" si="39"/>
        <v>0</v>
      </c>
      <c r="P504" s="13">
        <f t="shared" si="40"/>
        <v>6.4673661138152441E-3</v>
      </c>
    </row>
    <row r="505" spans="1:16" x14ac:dyDescent="0.25">
      <c r="A505" s="16">
        <v>549067</v>
      </c>
      <c r="B505" s="4">
        <f>INDEX([1]!PREDICT[TRUE PTS],MATCH($A505,[1]!PREDICT[HARD CODE],0))</f>
        <v>0.13492382437811409</v>
      </c>
      <c r="C505" s="7" t="str">
        <f>INDEX([1]!MODEL[POS],MATCH($A505,[1]!MODEL[Code],0))</f>
        <v>DEF</v>
      </c>
      <c r="D505" s="7" t="str">
        <f>INDEX([1]!MODEL[TEAM],MATCH($A505,[1]!MODEL[Code],0))</f>
        <v>NFO</v>
      </c>
      <c r="E505" s="7">
        <f>INDEX([1]PREDICT!$M$3:$M$1001,MATCH($A505,[1]PREDICT!$B$3:$B$1001,0))</f>
        <v>4</v>
      </c>
      <c r="F505" s="15" t="str">
        <f>INDEX([1]!MODEL[FPL_Name],MATCH($A505,[1]!MODEL[Code],0))</f>
        <v>Zach Abbott</v>
      </c>
      <c r="G505" s="10">
        <v>0</v>
      </c>
      <c r="H505" s="10">
        <v>0</v>
      </c>
      <c r="I505" s="10">
        <v>0</v>
      </c>
      <c r="J505" s="11">
        <f t="shared" si="36"/>
        <v>0</v>
      </c>
      <c r="K505" s="11">
        <f t="shared" si="37"/>
        <v>0</v>
      </c>
      <c r="L505" s="11">
        <f t="shared" si="38"/>
        <v>0</v>
      </c>
      <c r="M505" s="11">
        <v>0</v>
      </c>
      <c r="N505" s="11">
        <f t="shared" si="39"/>
        <v>0</v>
      </c>
      <c r="P505" s="13">
        <f t="shared" si="40"/>
        <v>6.7461912189057047E-3</v>
      </c>
    </row>
    <row r="506" spans="1:16" x14ac:dyDescent="0.25">
      <c r="A506" s="16">
        <v>465390</v>
      </c>
      <c r="B506" s="4">
        <f>INDEX([1]!PREDICT[TRUE PTS],MATCH($A506,[1]!PREDICT[HARD CODE],0))</f>
        <v>3.9920717277456279</v>
      </c>
      <c r="C506" s="7" t="str">
        <f>INDEX([1]!MODEL[POS],MATCH($A506,[1]!MODEL[Code],0))</f>
        <v>DEF</v>
      </c>
      <c r="D506" s="7" t="str">
        <f>INDEX([1]!MODEL[TEAM],MATCH($A506,[1]!MODEL[Code],0))</f>
        <v>COV</v>
      </c>
      <c r="E506" s="7">
        <f>INDEX([1]PREDICT!$M$3:$M$1001,MATCH($A506,[1]PREDICT!$B$3:$B$1001,0))</f>
        <v>4</v>
      </c>
      <c r="F506" s="15" t="str">
        <f>INDEX([1]!MODEL[FPL_Name],MATCH($A506,[1]!MODEL[Code],0))</f>
        <v>Kaine Kesler-Hayden</v>
      </c>
      <c r="G506" s="10">
        <v>0</v>
      </c>
      <c r="H506" s="10">
        <v>0</v>
      </c>
      <c r="I506" s="10">
        <v>0</v>
      </c>
      <c r="J506" s="11">
        <f t="shared" si="36"/>
        <v>0</v>
      </c>
      <c r="K506" s="11">
        <f t="shared" si="37"/>
        <v>0</v>
      </c>
      <c r="L506" s="11">
        <f t="shared" si="38"/>
        <v>0</v>
      </c>
      <c r="M506" s="11">
        <v>0</v>
      </c>
      <c r="N506" s="11">
        <f t="shared" si="39"/>
        <v>0</v>
      </c>
      <c r="P506" s="13">
        <f t="shared" si="40"/>
        <v>0.1996035863872814</v>
      </c>
    </row>
    <row r="507" spans="1:16" x14ac:dyDescent="0.25">
      <c r="A507" s="16">
        <v>577974</v>
      </c>
      <c r="B507" s="4">
        <f>INDEX([1]!PREDICT[TRUE PTS],MATCH($A507,[1]!PREDICT[HARD CODE],0))</f>
        <v>9.0073808140877204E-2</v>
      </c>
      <c r="C507" s="7" t="str">
        <f>INDEX([1]!MODEL[POS],MATCH($A507,[1]!MODEL[Code],0))</f>
        <v>DEF</v>
      </c>
      <c r="D507" s="7" t="str">
        <f>INDEX([1]!MODEL[TEAM],MATCH($A507,[1]!MODEL[Code],0))</f>
        <v>MUN</v>
      </c>
      <c r="E507" s="7">
        <f>INDEX([1]PREDICT!$M$3:$M$1001,MATCH($A507,[1]PREDICT!$B$3:$B$1001,0))</f>
        <v>4</v>
      </c>
      <c r="F507" s="15" t="str">
        <f>INDEX([1]!MODEL[FPL_Name],MATCH($A507,[1]!MODEL[Code],0))</f>
        <v>Harry Amass</v>
      </c>
      <c r="G507" s="10">
        <v>0</v>
      </c>
      <c r="H507" s="10">
        <v>0</v>
      </c>
      <c r="I507" s="10">
        <v>0</v>
      </c>
      <c r="J507" s="11">
        <f t="shared" si="36"/>
        <v>0</v>
      </c>
      <c r="K507" s="11">
        <f t="shared" si="37"/>
        <v>0</v>
      </c>
      <c r="L507" s="11">
        <f t="shared" si="38"/>
        <v>0</v>
      </c>
      <c r="M507" s="11">
        <v>0</v>
      </c>
      <c r="N507" s="11">
        <f t="shared" si="39"/>
        <v>0</v>
      </c>
      <c r="P507" s="13">
        <f t="shared" si="40"/>
        <v>4.5036904070438599E-3</v>
      </c>
    </row>
    <row r="508" spans="1:16" x14ac:dyDescent="0.25">
      <c r="A508" s="16">
        <v>21205</v>
      </c>
      <c r="B508" s="4">
        <f>INDEX([1]!PREDICT[TRUE PTS],MATCH($A508,[1]!PREDICT[HARD CODE],0))</f>
        <v>7.6278713372978951E-2</v>
      </c>
      <c r="C508" s="7" t="str">
        <f>INDEX([1]!MODEL[POS],MATCH($A508,[1]!MODEL[Code],0))</f>
        <v>GK</v>
      </c>
      <c r="D508" s="7" t="str">
        <f>INDEX([1]!MODEL[TEAM],MATCH($A508,[1]!MODEL[Code],0))</f>
        <v>MUN</v>
      </c>
      <c r="E508" s="7">
        <f>INDEX([1]PREDICT!$M$3:$M$1001,MATCH($A508,[1]PREDICT!$B$3:$B$1001,0))</f>
        <v>4</v>
      </c>
      <c r="F508" s="15" t="str">
        <f>INDEX([1]!MODEL[FPL_Name],MATCH($A508,[1]!MODEL[Code],0))</f>
        <v>Tom Heaton</v>
      </c>
      <c r="G508" s="10">
        <v>0</v>
      </c>
      <c r="H508" s="10">
        <v>0</v>
      </c>
      <c r="I508" s="10">
        <v>0</v>
      </c>
      <c r="J508" s="11">
        <f t="shared" si="36"/>
        <v>0</v>
      </c>
      <c r="K508" s="11">
        <f t="shared" si="37"/>
        <v>0</v>
      </c>
      <c r="L508" s="11">
        <f t="shared" si="38"/>
        <v>0</v>
      </c>
      <c r="M508" s="11">
        <v>0</v>
      </c>
      <c r="N508" s="11">
        <f t="shared" si="39"/>
        <v>0</v>
      </c>
      <c r="P508" s="13">
        <f t="shared" si="40"/>
        <v>3.8139356686489475E-3</v>
      </c>
    </row>
    <row r="509" spans="1:16" x14ac:dyDescent="0.25">
      <c r="A509" s="16">
        <v>108416</v>
      </c>
      <c r="B509" s="4">
        <f>INDEX([1]!PREDICT[TRUE PTS],MATCH($A509,[1]!PREDICT[HARD CODE],0))</f>
        <v>7.409245277877325</v>
      </c>
      <c r="C509" s="7" t="str">
        <f>INDEX([1]!MODEL[POS],MATCH($A509,[1]!MODEL[Code],0))</f>
        <v>DEF</v>
      </c>
      <c r="D509" s="7" t="str">
        <f>INDEX([1]!MODEL[TEAM],MATCH($A509,[1]!MODEL[Code],0))</f>
        <v>HUL</v>
      </c>
      <c r="E509" s="7">
        <f>INDEX([1]PREDICT!$M$3:$M$1001,MATCH($A509,[1]PREDICT!$B$3:$B$1001,0))</f>
        <v>4</v>
      </c>
      <c r="F509" s="15" t="str">
        <f>INDEX([1]!MODEL[FPL_Name],MATCH($A509,[1]!MODEL[Code],0))</f>
        <v>John Egan</v>
      </c>
      <c r="G509" s="10">
        <v>0</v>
      </c>
      <c r="H509" s="10">
        <v>0</v>
      </c>
      <c r="I509" s="10">
        <v>0</v>
      </c>
      <c r="J509" s="11">
        <f t="shared" si="36"/>
        <v>0</v>
      </c>
      <c r="K509" s="11">
        <f t="shared" si="37"/>
        <v>0</v>
      </c>
      <c r="L509" s="11">
        <f t="shared" si="38"/>
        <v>0</v>
      </c>
      <c r="M509" s="11">
        <v>0</v>
      </c>
      <c r="N509" s="11">
        <f t="shared" si="39"/>
        <v>0</v>
      </c>
      <c r="P509" s="13">
        <f t="shared" si="40"/>
        <v>0.37046226389386627</v>
      </c>
    </row>
    <row r="510" spans="1:16" x14ac:dyDescent="0.25">
      <c r="A510" s="16">
        <v>500151</v>
      </c>
      <c r="B510" s="4">
        <f>INDEX([1]!PREDICT[TRUE PTS],MATCH($A510,[1]!PREDICT[HARD CODE],0))</f>
        <v>0.74694837548050153</v>
      </c>
      <c r="C510" s="7" t="str">
        <f>INDEX([1]!MODEL[POS],MATCH($A510,[1]!MODEL[Code],0))</f>
        <v>DEF</v>
      </c>
      <c r="D510" s="7" t="str">
        <f>INDEX([1]!MODEL[TEAM],MATCH($A510,[1]!MODEL[Code],0))</f>
        <v>NFO</v>
      </c>
      <c r="E510" s="7">
        <f>INDEX([1]PREDICT!$M$3:$M$1001,MATCH($A510,[1]PREDICT!$B$3:$B$1001,0))</f>
        <v>4.5</v>
      </c>
      <c r="F510" s="15" t="str">
        <f>INDEX([1]!MODEL[FPL_Name],MATCH($A510,[1]!MODEL[Code],0))</f>
        <v>Nicolò Savona</v>
      </c>
      <c r="G510" s="10">
        <v>0</v>
      </c>
      <c r="H510" s="10">
        <v>0</v>
      </c>
      <c r="I510" s="10">
        <v>0</v>
      </c>
      <c r="J510" s="11">
        <f t="shared" si="36"/>
        <v>0</v>
      </c>
      <c r="K510" s="11">
        <f t="shared" si="37"/>
        <v>0</v>
      </c>
      <c r="L510" s="11">
        <f t="shared" si="38"/>
        <v>0</v>
      </c>
      <c r="M510" s="11">
        <v>0</v>
      </c>
      <c r="N510" s="11">
        <f t="shared" si="39"/>
        <v>0</v>
      </c>
      <c r="P510" s="13">
        <f t="shared" si="40"/>
        <v>3.319770557691118E-2</v>
      </c>
    </row>
    <row r="511" spans="1:16" x14ac:dyDescent="0.25">
      <c r="A511" s="16">
        <v>122074</v>
      </c>
      <c r="B511" s="4">
        <f>INDEX([1]!PREDICT[TRUE PTS],MATCH($A511,[1]!PREDICT[HARD CODE],0))</f>
        <v>1.0621381145733813E-2</v>
      </c>
      <c r="C511" s="7" t="str">
        <f>INDEX([1]!MODEL[POS],MATCH($A511,[1]!MODEL[Code],0))</f>
        <v>GK</v>
      </c>
      <c r="D511" s="7" t="str">
        <f>INDEX([1]!MODEL[TEAM],MATCH($A511,[1]!MODEL[Code],0))</f>
        <v>MCI</v>
      </c>
      <c r="E511" s="7">
        <f>INDEX([1]PREDICT!$M$3:$M$1001,MATCH($A511,[1]PREDICT!$B$3:$B$1001,0))</f>
        <v>4.5</v>
      </c>
      <c r="F511" s="15" t="str">
        <f>INDEX([1]!MODEL[FPL_Name],MATCH($A511,[1]!MODEL[Code],0))</f>
        <v>Marcus Bettinelli</v>
      </c>
      <c r="G511" s="10">
        <v>0</v>
      </c>
      <c r="H511" s="10">
        <v>0</v>
      </c>
      <c r="I511" s="10">
        <v>0</v>
      </c>
      <c r="J511" s="11">
        <f t="shared" si="36"/>
        <v>0</v>
      </c>
      <c r="K511" s="11">
        <f t="shared" si="37"/>
        <v>0</v>
      </c>
      <c r="L511" s="11">
        <f t="shared" si="38"/>
        <v>0</v>
      </c>
      <c r="M511" s="11">
        <v>0</v>
      </c>
      <c r="N511" s="11">
        <f t="shared" si="39"/>
        <v>0</v>
      </c>
      <c r="P511" s="13">
        <f t="shared" si="40"/>
        <v>4.7206138425483614E-4</v>
      </c>
    </row>
    <row r="512" spans="1:16" x14ac:dyDescent="0.25">
      <c r="A512" s="16">
        <v>522047</v>
      </c>
      <c r="B512" s="4">
        <f>INDEX([1]!PREDICT[TRUE PTS],MATCH($A512,[1]!PREDICT[HARD CODE],0))</f>
        <v>-0.18486575297532432</v>
      </c>
      <c r="C512" s="7" t="str">
        <f>INDEX([1]!MODEL[POS],MATCH($A512,[1]!MODEL[Code],0))</f>
        <v>DEF</v>
      </c>
      <c r="D512" s="7" t="str">
        <f>INDEX([1]!MODEL[TEAM],MATCH($A512,[1]!MODEL[Code],0))</f>
        <v>LEE</v>
      </c>
      <c r="E512" s="7">
        <f>INDEX([1]PREDICT!$M$3:$M$1001,MATCH($A512,[1]PREDICT!$B$3:$B$1001,0))</f>
        <v>5</v>
      </c>
      <c r="F512" s="15" t="str">
        <f>INDEX([1]!MODEL[FPL_Name],MATCH($A512,[1]!MODEL[Code],0))</f>
        <v>Tarik Muharemović</v>
      </c>
      <c r="G512" s="10">
        <v>0</v>
      </c>
      <c r="H512" s="10">
        <v>0</v>
      </c>
      <c r="I512" s="10">
        <v>0</v>
      </c>
      <c r="J512" s="11">
        <f t="shared" si="36"/>
        <v>0</v>
      </c>
      <c r="K512" s="11">
        <f t="shared" si="37"/>
        <v>0</v>
      </c>
      <c r="L512" s="11">
        <f t="shared" si="38"/>
        <v>0</v>
      </c>
      <c r="M512" s="11">
        <v>0</v>
      </c>
      <c r="N512" s="11">
        <f t="shared" si="39"/>
        <v>0</v>
      </c>
      <c r="P512" s="13">
        <f t="shared" si="40"/>
        <v>-7.3946301190129723E-3</v>
      </c>
    </row>
    <row r="513" spans="1:16" x14ac:dyDescent="0.25">
      <c r="A513" s="16">
        <v>0</v>
      </c>
      <c r="B513" s="4">
        <f>INDEX([1]!PREDICT[TRUE PTS],MATCH($A513,[1]!PREDICT[HARD CODE],0))</f>
        <v>0</v>
      </c>
      <c r="C513" s="7" t="str">
        <f>INDEX([1]!MODEL[POS],MATCH($A513,[1]!MODEL[Code],0))</f>
        <v>-</v>
      </c>
      <c r="D513" s="7" t="str">
        <f>INDEX([1]!MODEL[TEAM],MATCH($A513,[1]!MODEL[Code],0))</f>
        <v>-</v>
      </c>
      <c r="E513" s="7">
        <f>INDEX([1]PREDICT!$M$3:$M$1001,MATCH($A513,[1]PREDICT!$B$3:$B$1001,0))</f>
        <v>0</v>
      </c>
      <c r="F513" s="15" t="str">
        <f>INDEX([1]!MODEL[FPL_Name],MATCH($A513,[1]!MODEL[Code],0))</f>
        <v>-</v>
      </c>
      <c r="G513" s="10">
        <v>0</v>
      </c>
      <c r="H513" s="10">
        <v>0</v>
      </c>
      <c r="I513" s="10">
        <v>0</v>
      </c>
      <c r="J513" s="11">
        <f t="shared" si="36"/>
        <v>0</v>
      </c>
      <c r="K513" s="11">
        <f t="shared" si="37"/>
        <v>0</v>
      </c>
      <c r="L513" s="11">
        <f t="shared" si="38"/>
        <v>0</v>
      </c>
      <c r="M513" s="11">
        <v>0</v>
      </c>
      <c r="N513" s="11">
        <f t="shared" si="39"/>
        <v>0</v>
      </c>
      <c r="P513" s="13">
        <f t="shared" si="40"/>
        <v>0</v>
      </c>
    </row>
    <row r="514" spans="1:16" x14ac:dyDescent="0.25">
      <c r="A514" s="16">
        <v>0</v>
      </c>
      <c r="B514" s="4">
        <f>INDEX([1]!PREDICT[TRUE PTS],MATCH($A514,[1]!PREDICT[HARD CODE],0))</f>
        <v>0</v>
      </c>
      <c r="C514" s="7" t="str">
        <f>INDEX([1]!MODEL[POS],MATCH($A514,[1]!MODEL[Code],0))</f>
        <v>-</v>
      </c>
      <c r="D514" s="7" t="str">
        <f>INDEX([1]!MODEL[TEAM],MATCH($A514,[1]!MODEL[Code],0))</f>
        <v>-</v>
      </c>
      <c r="E514" s="7">
        <f>INDEX([1]PREDICT!$M$3:$M$1001,MATCH($A514,[1]PREDICT!$B$3:$B$1001,0))</f>
        <v>0</v>
      </c>
      <c r="F514" s="15" t="str">
        <f>INDEX([1]!MODEL[FPL_Name],MATCH($A514,[1]!MODEL[Code],0))</f>
        <v>-</v>
      </c>
      <c r="G514" s="10">
        <v>0</v>
      </c>
      <c r="H514" s="10">
        <v>0</v>
      </c>
      <c r="I514" s="10">
        <v>0</v>
      </c>
      <c r="J514" s="11">
        <f t="shared" ref="J514:J577" si="41">G514+H514</f>
        <v>0</v>
      </c>
      <c r="K514" s="11">
        <f t="shared" ref="K514:K577" si="42">G514*E514</f>
        <v>0</v>
      </c>
      <c r="L514" s="11">
        <f t="shared" ref="L514:L577" si="43">H514*E514</f>
        <v>0</v>
      </c>
      <c r="M514" s="11">
        <v>0</v>
      </c>
      <c r="N514" s="11">
        <f t="shared" ref="N514:N577" si="44">(G514*B514)+(H514*B514*$U$2)+(I514*B514)</f>
        <v>0</v>
      </c>
      <c r="P514" s="13">
        <f t="shared" ref="P514:P577" si="45">IFERROR((B514/E514)/$Q$2,0)</f>
        <v>0</v>
      </c>
    </row>
    <row r="515" spans="1:16" x14ac:dyDescent="0.25">
      <c r="A515" s="16">
        <v>0</v>
      </c>
      <c r="B515" s="4">
        <f>INDEX([1]!PREDICT[TRUE PTS],MATCH($A515,[1]!PREDICT[HARD CODE],0))</f>
        <v>0</v>
      </c>
      <c r="C515" s="7" t="str">
        <f>INDEX([1]!MODEL[POS],MATCH($A515,[1]!MODEL[Code],0))</f>
        <v>-</v>
      </c>
      <c r="D515" s="7" t="str">
        <f>INDEX([1]!MODEL[TEAM],MATCH($A515,[1]!MODEL[Code],0))</f>
        <v>-</v>
      </c>
      <c r="E515" s="7">
        <f>INDEX([1]PREDICT!$M$3:$M$1001,MATCH($A515,[1]PREDICT!$B$3:$B$1001,0))</f>
        <v>0</v>
      </c>
      <c r="F515" s="15" t="str">
        <f>INDEX([1]!MODEL[FPL_Name],MATCH($A515,[1]!MODEL[Code],0))</f>
        <v>-</v>
      </c>
      <c r="G515" s="10">
        <v>0</v>
      </c>
      <c r="H515" s="10">
        <v>0</v>
      </c>
      <c r="I515" s="10">
        <v>0</v>
      </c>
      <c r="J515" s="11">
        <f t="shared" si="41"/>
        <v>0</v>
      </c>
      <c r="K515" s="11">
        <f t="shared" si="42"/>
        <v>0</v>
      </c>
      <c r="L515" s="11">
        <f t="shared" si="43"/>
        <v>0</v>
      </c>
      <c r="M515" s="11">
        <v>0</v>
      </c>
      <c r="N515" s="11">
        <f t="shared" si="44"/>
        <v>0</v>
      </c>
      <c r="P515" s="13">
        <f t="shared" si="45"/>
        <v>0</v>
      </c>
    </row>
    <row r="516" spans="1:16" x14ac:dyDescent="0.25">
      <c r="A516" s="16">
        <v>0</v>
      </c>
      <c r="B516" s="4">
        <f>INDEX([1]!PREDICT[TRUE PTS],MATCH($A516,[1]!PREDICT[HARD CODE],0))</f>
        <v>0</v>
      </c>
      <c r="C516" s="7" t="str">
        <f>INDEX([1]!MODEL[POS],MATCH($A516,[1]!MODEL[Code],0))</f>
        <v>-</v>
      </c>
      <c r="D516" s="7" t="str">
        <f>INDEX([1]!MODEL[TEAM],MATCH($A516,[1]!MODEL[Code],0))</f>
        <v>-</v>
      </c>
      <c r="E516" s="7">
        <f>INDEX([1]PREDICT!$M$3:$M$1001,MATCH($A516,[1]PREDICT!$B$3:$B$1001,0))</f>
        <v>0</v>
      </c>
      <c r="F516" s="15" t="str">
        <f>INDEX([1]!MODEL[FPL_Name],MATCH($A516,[1]!MODEL[Code],0))</f>
        <v>-</v>
      </c>
      <c r="G516" s="10">
        <v>0</v>
      </c>
      <c r="H516" s="10">
        <v>0</v>
      </c>
      <c r="I516" s="10">
        <v>0</v>
      </c>
      <c r="J516" s="11">
        <f t="shared" si="41"/>
        <v>0</v>
      </c>
      <c r="K516" s="11">
        <f t="shared" si="42"/>
        <v>0</v>
      </c>
      <c r="L516" s="11">
        <f t="shared" si="43"/>
        <v>0</v>
      </c>
      <c r="M516" s="11">
        <v>0</v>
      </c>
      <c r="N516" s="11">
        <f t="shared" si="44"/>
        <v>0</v>
      </c>
      <c r="P516" s="13">
        <f t="shared" si="45"/>
        <v>0</v>
      </c>
    </row>
    <row r="517" spans="1:16" x14ac:dyDescent="0.25">
      <c r="A517" s="16">
        <v>0</v>
      </c>
      <c r="B517" s="4">
        <f>INDEX([1]!PREDICT[TRUE PTS],MATCH($A517,[1]!PREDICT[HARD CODE],0))</f>
        <v>0</v>
      </c>
      <c r="C517" s="7" t="str">
        <f>INDEX([1]!MODEL[POS],MATCH($A517,[1]!MODEL[Code],0))</f>
        <v>-</v>
      </c>
      <c r="D517" s="7" t="str">
        <f>INDEX([1]!MODEL[TEAM],MATCH($A517,[1]!MODEL[Code],0))</f>
        <v>-</v>
      </c>
      <c r="E517" s="7">
        <f>INDEX([1]PREDICT!$M$3:$M$1001,MATCH($A517,[1]PREDICT!$B$3:$B$1001,0))</f>
        <v>0</v>
      </c>
      <c r="F517" s="15" t="str">
        <f>INDEX([1]!MODEL[FPL_Name],MATCH($A517,[1]!MODEL[Code],0))</f>
        <v>-</v>
      </c>
      <c r="G517" s="10">
        <v>0</v>
      </c>
      <c r="H517" s="10">
        <v>0</v>
      </c>
      <c r="I517" s="10">
        <v>0</v>
      </c>
      <c r="J517" s="11">
        <f t="shared" si="41"/>
        <v>0</v>
      </c>
      <c r="K517" s="11">
        <f t="shared" si="42"/>
        <v>0</v>
      </c>
      <c r="L517" s="11">
        <f t="shared" si="43"/>
        <v>0</v>
      </c>
      <c r="M517" s="11">
        <v>0</v>
      </c>
      <c r="N517" s="11">
        <f t="shared" si="44"/>
        <v>0</v>
      </c>
      <c r="P517" s="13">
        <f t="shared" si="45"/>
        <v>0</v>
      </c>
    </row>
    <row r="518" spans="1:16" x14ac:dyDescent="0.25">
      <c r="A518" s="16">
        <v>0</v>
      </c>
      <c r="B518" s="4">
        <f>INDEX([1]!PREDICT[TRUE PTS],MATCH($A518,[1]!PREDICT[HARD CODE],0))</f>
        <v>0</v>
      </c>
      <c r="C518" s="7" t="str">
        <f>INDEX([1]!MODEL[POS],MATCH($A518,[1]!MODEL[Code],0))</f>
        <v>-</v>
      </c>
      <c r="D518" s="7" t="str">
        <f>INDEX([1]!MODEL[TEAM],MATCH($A518,[1]!MODEL[Code],0))</f>
        <v>-</v>
      </c>
      <c r="E518" s="7">
        <f>INDEX([1]PREDICT!$M$3:$M$1001,MATCH($A518,[1]PREDICT!$B$3:$B$1001,0))</f>
        <v>0</v>
      </c>
      <c r="F518" s="15" t="str">
        <f>INDEX([1]!MODEL[FPL_Name],MATCH($A518,[1]!MODEL[Code],0))</f>
        <v>-</v>
      </c>
      <c r="G518" s="10">
        <v>0</v>
      </c>
      <c r="H518" s="10">
        <v>0</v>
      </c>
      <c r="I518" s="10">
        <v>0</v>
      </c>
      <c r="J518" s="11">
        <f t="shared" si="41"/>
        <v>0</v>
      </c>
      <c r="K518" s="11">
        <f t="shared" si="42"/>
        <v>0</v>
      </c>
      <c r="L518" s="11">
        <f t="shared" si="43"/>
        <v>0</v>
      </c>
      <c r="M518" s="11">
        <v>0</v>
      </c>
      <c r="N518" s="11">
        <f t="shared" si="44"/>
        <v>0</v>
      </c>
      <c r="P518" s="13">
        <f t="shared" si="45"/>
        <v>0</v>
      </c>
    </row>
    <row r="519" spans="1:16" x14ac:dyDescent="0.25">
      <c r="A519" s="16">
        <v>0</v>
      </c>
      <c r="B519" s="4">
        <f>INDEX([1]!PREDICT[TRUE PTS],MATCH($A519,[1]!PREDICT[HARD CODE],0))</f>
        <v>0</v>
      </c>
      <c r="C519" s="7" t="str">
        <f>INDEX([1]!MODEL[POS],MATCH($A519,[1]!MODEL[Code],0))</f>
        <v>-</v>
      </c>
      <c r="D519" s="7" t="str">
        <f>INDEX([1]!MODEL[TEAM],MATCH($A519,[1]!MODEL[Code],0))</f>
        <v>-</v>
      </c>
      <c r="E519" s="7">
        <f>INDEX([1]PREDICT!$M$3:$M$1001,MATCH($A519,[1]PREDICT!$B$3:$B$1001,0))</f>
        <v>0</v>
      </c>
      <c r="F519" s="15" t="str">
        <f>INDEX([1]!MODEL[FPL_Name],MATCH($A519,[1]!MODEL[Code],0))</f>
        <v>-</v>
      </c>
      <c r="G519" s="10">
        <v>0</v>
      </c>
      <c r="H519" s="10">
        <v>0</v>
      </c>
      <c r="I519" s="10">
        <v>0</v>
      </c>
      <c r="J519" s="11">
        <f t="shared" si="41"/>
        <v>0</v>
      </c>
      <c r="K519" s="11">
        <f t="shared" si="42"/>
        <v>0</v>
      </c>
      <c r="L519" s="11">
        <f t="shared" si="43"/>
        <v>0</v>
      </c>
      <c r="M519" s="11">
        <v>0</v>
      </c>
      <c r="N519" s="11">
        <f t="shared" si="44"/>
        <v>0</v>
      </c>
      <c r="P519" s="13">
        <f t="shared" si="45"/>
        <v>0</v>
      </c>
    </row>
    <row r="520" spans="1:16" x14ac:dyDescent="0.25">
      <c r="A520" s="16">
        <v>0</v>
      </c>
      <c r="B520" s="4">
        <f>INDEX([1]!PREDICT[TRUE PTS],MATCH($A520,[1]!PREDICT[HARD CODE],0))</f>
        <v>0</v>
      </c>
      <c r="C520" s="7" t="str">
        <f>INDEX([1]!MODEL[POS],MATCH($A520,[1]!MODEL[Code],0))</f>
        <v>-</v>
      </c>
      <c r="D520" s="7" t="str">
        <f>INDEX([1]!MODEL[TEAM],MATCH($A520,[1]!MODEL[Code],0))</f>
        <v>-</v>
      </c>
      <c r="E520" s="7">
        <f>INDEX([1]PREDICT!$M$3:$M$1001,MATCH($A520,[1]PREDICT!$B$3:$B$1001,0))</f>
        <v>0</v>
      </c>
      <c r="F520" s="15" t="str">
        <f>INDEX([1]!MODEL[FPL_Name],MATCH($A520,[1]!MODEL[Code],0))</f>
        <v>-</v>
      </c>
      <c r="G520" s="10">
        <v>0</v>
      </c>
      <c r="H520" s="10">
        <v>0</v>
      </c>
      <c r="I520" s="10">
        <v>0</v>
      </c>
      <c r="J520" s="11">
        <f t="shared" si="41"/>
        <v>0</v>
      </c>
      <c r="K520" s="11">
        <f t="shared" si="42"/>
        <v>0</v>
      </c>
      <c r="L520" s="11">
        <f t="shared" si="43"/>
        <v>0</v>
      </c>
      <c r="M520" s="11">
        <v>0</v>
      </c>
      <c r="N520" s="11">
        <f t="shared" si="44"/>
        <v>0</v>
      </c>
      <c r="P520" s="13">
        <f t="shared" si="45"/>
        <v>0</v>
      </c>
    </row>
    <row r="521" spans="1:16" x14ac:dyDescent="0.25">
      <c r="A521" s="16">
        <v>0</v>
      </c>
      <c r="B521" s="4">
        <f>INDEX([1]!PREDICT[TRUE PTS],MATCH($A521,[1]!PREDICT[HARD CODE],0))</f>
        <v>0</v>
      </c>
      <c r="C521" s="7" t="str">
        <f>INDEX([1]!MODEL[POS],MATCH($A521,[1]!MODEL[Code],0))</f>
        <v>-</v>
      </c>
      <c r="D521" s="7" t="str">
        <f>INDEX([1]!MODEL[TEAM],MATCH($A521,[1]!MODEL[Code],0))</f>
        <v>-</v>
      </c>
      <c r="E521" s="7">
        <f>INDEX([1]PREDICT!$M$3:$M$1001,MATCH($A521,[1]PREDICT!$B$3:$B$1001,0))</f>
        <v>0</v>
      </c>
      <c r="F521" s="15" t="str">
        <f>INDEX([1]!MODEL[FPL_Name],MATCH($A521,[1]!MODEL[Code],0))</f>
        <v>-</v>
      </c>
      <c r="G521" s="10">
        <v>0</v>
      </c>
      <c r="H521" s="10">
        <v>0</v>
      </c>
      <c r="I521" s="10">
        <v>0</v>
      </c>
      <c r="J521" s="11">
        <f t="shared" si="41"/>
        <v>0</v>
      </c>
      <c r="K521" s="11">
        <f t="shared" si="42"/>
        <v>0</v>
      </c>
      <c r="L521" s="11">
        <f t="shared" si="43"/>
        <v>0</v>
      </c>
      <c r="M521" s="11">
        <v>0</v>
      </c>
      <c r="N521" s="11">
        <f t="shared" si="44"/>
        <v>0</v>
      </c>
      <c r="P521" s="13">
        <f t="shared" si="45"/>
        <v>0</v>
      </c>
    </row>
    <row r="522" spans="1:16" x14ac:dyDescent="0.25">
      <c r="A522" s="16">
        <v>0</v>
      </c>
      <c r="B522" s="4">
        <f>INDEX([1]!PREDICT[TRUE PTS],MATCH($A522,[1]!PREDICT[HARD CODE],0))</f>
        <v>0</v>
      </c>
      <c r="C522" s="7" t="str">
        <f>INDEX([1]!MODEL[POS],MATCH($A522,[1]!MODEL[Code],0))</f>
        <v>-</v>
      </c>
      <c r="D522" s="7" t="str">
        <f>INDEX([1]!MODEL[TEAM],MATCH($A522,[1]!MODEL[Code],0))</f>
        <v>-</v>
      </c>
      <c r="E522" s="7">
        <f>INDEX([1]PREDICT!$M$3:$M$1001,MATCH($A522,[1]PREDICT!$B$3:$B$1001,0))</f>
        <v>0</v>
      </c>
      <c r="F522" s="15" t="str">
        <f>INDEX([1]!MODEL[FPL_Name],MATCH($A522,[1]!MODEL[Code],0))</f>
        <v>-</v>
      </c>
      <c r="G522" s="10">
        <v>0</v>
      </c>
      <c r="H522" s="10">
        <v>0</v>
      </c>
      <c r="I522" s="10">
        <v>0</v>
      </c>
      <c r="J522" s="11">
        <f t="shared" si="41"/>
        <v>0</v>
      </c>
      <c r="K522" s="11">
        <f t="shared" si="42"/>
        <v>0</v>
      </c>
      <c r="L522" s="11">
        <f t="shared" si="43"/>
        <v>0</v>
      </c>
      <c r="M522" s="11">
        <v>0</v>
      </c>
      <c r="N522" s="11">
        <f t="shared" si="44"/>
        <v>0</v>
      </c>
      <c r="P522" s="13">
        <f t="shared" si="45"/>
        <v>0</v>
      </c>
    </row>
    <row r="523" spans="1:16" x14ac:dyDescent="0.25">
      <c r="A523" s="16">
        <v>0</v>
      </c>
      <c r="B523" s="4">
        <f>INDEX([1]!PREDICT[TRUE PTS],MATCH($A523,[1]!PREDICT[HARD CODE],0))</f>
        <v>0</v>
      </c>
      <c r="C523" s="7" t="str">
        <f>INDEX([1]!MODEL[POS],MATCH($A523,[1]!MODEL[Code],0))</f>
        <v>-</v>
      </c>
      <c r="D523" s="7" t="str">
        <f>INDEX([1]!MODEL[TEAM],MATCH($A523,[1]!MODEL[Code],0))</f>
        <v>-</v>
      </c>
      <c r="E523" s="7">
        <f>INDEX([1]PREDICT!$M$3:$M$1001,MATCH($A523,[1]PREDICT!$B$3:$B$1001,0))</f>
        <v>0</v>
      </c>
      <c r="F523" s="15" t="str">
        <f>INDEX([1]!MODEL[FPL_Name],MATCH($A523,[1]!MODEL[Code],0))</f>
        <v>-</v>
      </c>
      <c r="G523" s="10">
        <v>0</v>
      </c>
      <c r="H523" s="10">
        <v>0</v>
      </c>
      <c r="I523" s="10">
        <v>0</v>
      </c>
      <c r="J523" s="11">
        <f t="shared" si="41"/>
        <v>0</v>
      </c>
      <c r="K523" s="11">
        <f t="shared" si="42"/>
        <v>0</v>
      </c>
      <c r="L523" s="11">
        <f t="shared" si="43"/>
        <v>0</v>
      </c>
      <c r="M523" s="11">
        <v>0</v>
      </c>
      <c r="N523" s="11">
        <f t="shared" si="44"/>
        <v>0</v>
      </c>
      <c r="P523" s="13">
        <f t="shared" si="45"/>
        <v>0</v>
      </c>
    </row>
    <row r="524" spans="1:16" x14ac:dyDescent="0.25">
      <c r="A524" s="16">
        <v>0</v>
      </c>
      <c r="B524" s="4">
        <f>INDEX([1]!PREDICT[TRUE PTS],MATCH($A524,[1]!PREDICT[HARD CODE],0))</f>
        <v>0</v>
      </c>
      <c r="C524" s="7" t="str">
        <f>INDEX([1]!MODEL[POS],MATCH($A524,[1]!MODEL[Code],0))</f>
        <v>-</v>
      </c>
      <c r="D524" s="7" t="str">
        <f>INDEX([1]!MODEL[TEAM],MATCH($A524,[1]!MODEL[Code],0))</f>
        <v>-</v>
      </c>
      <c r="E524" s="7">
        <f>INDEX([1]PREDICT!$M$3:$M$1001,MATCH($A524,[1]PREDICT!$B$3:$B$1001,0))</f>
        <v>0</v>
      </c>
      <c r="F524" s="15" t="str">
        <f>INDEX([1]!MODEL[FPL_Name],MATCH($A524,[1]!MODEL[Code],0))</f>
        <v>-</v>
      </c>
      <c r="G524" s="10">
        <v>0</v>
      </c>
      <c r="H524" s="10">
        <v>0</v>
      </c>
      <c r="I524" s="10">
        <v>0</v>
      </c>
      <c r="J524" s="11">
        <f t="shared" si="41"/>
        <v>0</v>
      </c>
      <c r="K524" s="11">
        <f t="shared" si="42"/>
        <v>0</v>
      </c>
      <c r="L524" s="11">
        <f t="shared" si="43"/>
        <v>0</v>
      </c>
      <c r="M524" s="11">
        <v>0</v>
      </c>
      <c r="N524" s="11">
        <f t="shared" si="44"/>
        <v>0</v>
      </c>
      <c r="P524" s="13">
        <f t="shared" si="45"/>
        <v>0</v>
      </c>
    </row>
    <row r="525" spans="1:16" x14ac:dyDescent="0.25">
      <c r="A525" s="16">
        <v>0</v>
      </c>
      <c r="B525" s="4">
        <f>INDEX([1]!PREDICT[TRUE PTS],MATCH($A525,[1]!PREDICT[HARD CODE],0))</f>
        <v>0</v>
      </c>
      <c r="C525" s="7" t="str">
        <f>INDEX([1]!MODEL[POS],MATCH($A525,[1]!MODEL[Code],0))</f>
        <v>-</v>
      </c>
      <c r="D525" s="7" t="str">
        <f>INDEX([1]!MODEL[TEAM],MATCH($A525,[1]!MODEL[Code],0))</f>
        <v>-</v>
      </c>
      <c r="E525" s="7">
        <f>INDEX([1]PREDICT!$M$3:$M$1001,MATCH($A525,[1]PREDICT!$B$3:$B$1001,0))</f>
        <v>0</v>
      </c>
      <c r="F525" s="15" t="str">
        <f>INDEX([1]!MODEL[FPL_Name],MATCH($A525,[1]!MODEL[Code],0))</f>
        <v>-</v>
      </c>
      <c r="G525" s="10">
        <v>0</v>
      </c>
      <c r="H525" s="10">
        <v>0</v>
      </c>
      <c r="I525" s="10">
        <v>0</v>
      </c>
      <c r="J525" s="11">
        <f t="shared" si="41"/>
        <v>0</v>
      </c>
      <c r="K525" s="11">
        <f t="shared" si="42"/>
        <v>0</v>
      </c>
      <c r="L525" s="11">
        <f t="shared" si="43"/>
        <v>0</v>
      </c>
      <c r="M525" s="11">
        <v>0</v>
      </c>
      <c r="N525" s="11">
        <f t="shared" si="44"/>
        <v>0</v>
      </c>
      <c r="P525" s="13">
        <f t="shared" si="45"/>
        <v>0</v>
      </c>
    </row>
    <row r="526" spans="1:16" x14ac:dyDescent="0.25">
      <c r="A526" s="16">
        <v>0</v>
      </c>
      <c r="B526" s="4">
        <f>INDEX([1]!PREDICT[TRUE PTS],MATCH($A526,[1]!PREDICT[HARD CODE],0))</f>
        <v>0</v>
      </c>
      <c r="C526" s="7" t="str">
        <f>INDEX([1]!MODEL[POS],MATCH($A526,[1]!MODEL[Code],0))</f>
        <v>-</v>
      </c>
      <c r="D526" s="7" t="str">
        <f>INDEX([1]!MODEL[TEAM],MATCH($A526,[1]!MODEL[Code],0))</f>
        <v>-</v>
      </c>
      <c r="E526" s="7">
        <f>INDEX([1]PREDICT!$M$3:$M$1001,MATCH($A526,[1]PREDICT!$B$3:$B$1001,0))</f>
        <v>0</v>
      </c>
      <c r="F526" s="15" t="str">
        <f>INDEX([1]!MODEL[FPL_Name],MATCH($A526,[1]!MODEL[Code],0))</f>
        <v>-</v>
      </c>
      <c r="G526" s="10">
        <v>0</v>
      </c>
      <c r="H526" s="10">
        <v>0</v>
      </c>
      <c r="I526" s="10">
        <v>0</v>
      </c>
      <c r="J526" s="11">
        <f t="shared" si="41"/>
        <v>0</v>
      </c>
      <c r="K526" s="11">
        <f t="shared" si="42"/>
        <v>0</v>
      </c>
      <c r="L526" s="11">
        <f t="shared" si="43"/>
        <v>0</v>
      </c>
      <c r="M526" s="11">
        <v>0</v>
      </c>
      <c r="N526" s="11">
        <f t="shared" si="44"/>
        <v>0</v>
      </c>
      <c r="P526" s="13">
        <f t="shared" si="45"/>
        <v>0</v>
      </c>
    </row>
    <row r="527" spans="1:16" x14ac:dyDescent="0.25">
      <c r="A527" s="16">
        <v>0</v>
      </c>
      <c r="B527" s="4">
        <f>INDEX([1]!PREDICT[TRUE PTS],MATCH($A527,[1]!PREDICT[HARD CODE],0))</f>
        <v>0</v>
      </c>
      <c r="C527" s="7" t="str">
        <f>INDEX([1]!MODEL[POS],MATCH($A527,[1]!MODEL[Code],0))</f>
        <v>-</v>
      </c>
      <c r="D527" s="7" t="str">
        <f>INDEX([1]!MODEL[TEAM],MATCH($A527,[1]!MODEL[Code],0))</f>
        <v>-</v>
      </c>
      <c r="E527" s="7">
        <f>INDEX([1]PREDICT!$M$3:$M$1001,MATCH($A527,[1]PREDICT!$B$3:$B$1001,0))</f>
        <v>0</v>
      </c>
      <c r="F527" s="15" t="str">
        <f>INDEX([1]!MODEL[FPL_Name],MATCH($A527,[1]!MODEL[Code],0))</f>
        <v>-</v>
      </c>
      <c r="G527" s="10">
        <v>0</v>
      </c>
      <c r="H527" s="10">
        <v>0</v>
      </c>
      <c r="I527" s="10">
        <v>0</v>
      </c>
      <c r="J527" s="11">
        <f t="shared" si="41"/>
        <v>0</v>
      </c>
      <c r="K527" s="11">
        <f t="shared" si="42"/>
        <v>0</v>
      </c>
      <c r="L527" s="11">
        <f t="shared" si="43"/>
        <v>0</v>
      </c>
      <c r="M527" s="11">
        <v>0</v>
      </c>
      <c r="N527" s="11">
        <f t="shared" si="44"/>
        <v>0</v>
      </c>
      <c r="P527" s="13">
        <f t="shared" si="45"/>
        <v>0</v>
      </c>
    </row>
    <row r="528" spans="1:16" x14ac:dyDescent="0.25">
      <c r="A528" s="16">
        <v>0</v>
      </c>
      <c r="B528" s="4">
        <f>INDEX([1]!PREDICT[TRUE PTS],MATCH($A528,[1]!PREDICT[HARD CODE],0))</f>
        <v>0</v>
      </c>
      <c r="C528" s="7" t="str">
        <f>INDEX([1]!MODEL[POS],MATCH($A528,[1]!MODEL[Code],0))</f>
        <v>-</v>
      </c>
      <c r="D528" s="7" t="str">
        <f>INDEX([1]!MODEL[TEAM],MATCH($A528,[1]!MODEL[Code],0))</f>
        <v>-</v>
      </c>
      <c r="E528" s="7">
        <f>INDEX([1]PREDICT!$M$3:$M$1001,MATCH($A528,[1]PREDICT!$B$3:$B$1001,0))</f>
        <v>0</v>
      </c>
      <c r="F528" s="15" t="str">
        <f>INDEX([1]!MODEL[FPL_Name],MATCH($A528,[1]!MODEL[Code],0))</f>
        <v>-</v>
      </c>
      <c r="G528" s="10">
        <v>0</v>
      </c>
      <c r="H528" s="10">
        <v>0</v>
      </c>
      <c r="I528" s="10">
        <v>0</v>
      </c>
      <c r="J528" s="11">
        <f t="shared" si="41"/>
        <v>0</v>
      </c>
      <c r="K528" s="11">
        <f t="shared" si="42"/>
        <v>0</v>
      </c>
      <c r="L528" s="11">
        <f t="shared" si="43"/>
        <v>0</v>
      </c>
      <c r="M528" s="11">
        <v>0</v>
      </c>
      <c r="N528" s="11">
        <f t="shared" si="44"/>
        <v>0</v>
      </c>
      <c r="P528" s="13">
        <f t="shared" si="45"/>
        <v>0</v>
      </c>
    </row>
    <row r="529" spans="1:16" x14ac:dyDescent="0.25">
      <c r="A529" s="16">
        <v>0</v>
      </c>
      <c r="B529" s="4">
        <f>INDEX([1]!PREDICT[TRUE PTS],MATCH($A529,[1]!PREDICT[HARD CODE],0))</f>
        <v>0</v>
      </c>
      <c r="C529" s="7" t="str">
        <f>INDEX([1]!MODEL[POS],MATCH($A529,[1]!MODEL[Code],0))</f>
        <v>-</v>
      </c>
      <c r="D529" s="7" t="str">
        <f>INDEX([1]!MODEL[TEAM],MATCH($A529,[1]!MODEL[Code],0))</f>
        <v>-</v>
      </c>
      <c r="E529" s="7">
        <f>INDEX([1]PREDICT!$M$3:$M$1001,MATCH($A529,[1]PREDICT!$B$3:$B$1001,0))</f>
        <v>0</v>
      </c>
      <c r="F529" s="15" t="str">
        <f>INDEX([1]!MODEL[FPL_Name],MATCH($A529,[1]!MODEL[Code],0))</f>
        <v>-</v>
      </c>
      <c r="G529" s="10">
        <v>0</v>
      </c>
      <c r="H529" s="10">
        <v>0</v>
      </c>
      <c r="I529" s="10">
        <v>0</v>
      </c>
      <c r="J529" s="11">
        <f t="shared" si="41"/>
        <v>0</v>
      </c>
      <c r="K529" s="11">
        <f t="shared" si="42"/>
        <v>0</v>
      </c>
      <c r="L529" s="11">
        <f t="shared" si="43"/>
        <v>0</v>
      </c>
      <c r="M529" s="11">
        <v>0</v>
      </c>
      <c r="N529" s="11">
        <f t="shared" si="44"/>
        <v>0</v>
      </c>
      <c r="P529" s="13">
        <f t="shared" si="45"/>
        <v>0</v>
      </c>
    </row>
    <row r="530" spans="1:16" x14ac:dyDescent="0.25">
      <c r="A530" s="16">
        <v>0</v>
      </c>
      <c r="B530" s="4">
        <f>INDEX([1]!PREDICT[TRUE PTS],MATCH($A530,[1]!PREDICT[HARD CODE],0))</f>
        <v>0</v>
      </c>
      <c r="C530" s="7" t="str">
        <f>INDEX([1]!MODEL[POS],MATCH($A530,[1]!MODEL[Code],0))</f>
        <v>-</v>
      </c>
      <c r="D530" s="7" t="str">
        <f>INDEX([1]!MODEL[TEAM],MATCH($A530,[1]!MODEL[Code],0))</f>
        <v>-</v>
      </c>
      <c r="E530" s="7">
        <f>INDEX([1]PREDICT!$M$3:$M$1001,MATCH($A530,[1]PREDICT!$B$3:$B$1001,0))</f>
        <v>0</v>
      </c>
      <c r="F530" s="15" t="str">
        <f>INDEX([1]!MODEL[FPL_Name],MATCH($A530,[1]!MODEL[Code],0))</f>
        <v>-</v>
      </c>
      <c r="G530" s="10">
        <v>0</v>
      </c>
      <c r="H530" s="10">
        <v>0</v>
      </c>
      <c r="I530" s="10">
        <v>0</v>
      </c>
      <c r="J530" s="11">
        <f t="shared" si="41"/>
        <v>0</v>
      </c>
      <c r="K530" s="11">
        <f t="shared" si="42"/>
        <v>0</v>
      </c>
      <c r="L530" s="11">
        <f t="shared" si="43"/>
        <v>0</v>
      </c>
      <c r="M530" s="11">
        <v>0</v>
      </c>
      <c r="N530" s="11">
        <f t="shared" si="44"/>
        <v>0</v>
      </c>
      <c r="P530" s="13">
        <f t="shared" si="45"/>
        <v>0</v>
      </c>
    </row>
    <row r="531" spans="1:16" x14ac:dyDescent="0.25">
      <c r="A531" s="16">
        <v>0</v>
      </c>
      <c r="B531" s="4">
        <f>INDEX([1]!PREDICT[TRUE PTS],MATCH($A531,[1]!PREDICT[HARD CODE],0))</f>
        <v>0</v>
      </c>
      <c r="C531" s="7" t="str">
        <f>INDEX([1]!MODEL[POS],MATCH($A531,[1]!MODEL[Code],0))</f>
        <v>-</v>
      </c>
      <c r="D531" s="7" t="str">
        <f>INDEX([1]!MODEL[TEAM],MATCH($A531,[1]!MODEL[Code],0))</f>
        <v>-</v>
      </c>
      <c r="E531" s="7">
        <f>INDEX([1]PREDICT!$M$3:$M$1001,MATCH($A531,[1]PREDICT!$B$3:$B$1001,0))</f>
        <v>0</v>
      </c>
      <c r="F531" s="15" t="str">
        <f>INDEX([1]!MODEL[FPL_Name],MATCH($A531,[1]!MODEL[Code],0))</f>
        <v>-</v>
      </c>
      <c r="G531" s="10">
        <v>0</v>
      </c>
      <c r="H531" s="10">
        <v>0</v>
      </c>
      <c r="I531" s="10">
        <v>0</v>
      </c>
      <c r="J531" s="11">
        <f t="shared" si="41"/>
        <v>0</v>
      </c>
      <c r="K531" s="11">
        <f t="shared" si="42"/>
        <v>0</v>
      </c>
      <c r="L531" s="11">
        <f t="shared" si="43"/>
        <v>0</v>
      </c>
      <c r="M531" s="11">
        <v>0</v>
      </c>
      <c r="N531" s="11">
        <f t="shared" si="44"/>
        <v>0</v>
      </c>
      <c r="P531" s="13">
        <f t="shared" si="45"/>
        <v>0</v>
      </c>
    </row>
    <row r="532" spans="1:16" x14ac:dyDescent="0.25">
      <c r="A532" s="16">
        <v>0</v>
      </c>
      <c r="B532" s="4">
        <f>INDEX([1]!PREDICT[TRUE PTS],MATCH($A532,[1]!PREDICT[HARD CODE],0))</f>
        <v>0</v>
      </c>
      <c r="C532" s="7" t="str">
        <f>INDEX([1]!MODEL[POS],MATCH($A532,[1]!MODEL[Code],0))</f>
        <v>-</v>
      </c>
      <c r="D532" s="7" t="str">
        <f>INDEX([1]!MODEL[TEAM],MATCH($A532,[1]!MODEL[Code],0))</f>
        <v>-</v>
      </c>
      <c r="E532" s="7">
        <f>INDEX([1]PREDICT!$M$3:$M$1001,MATCH($A532,[1]PREDICT!$B$3:$B$1001,0))</f>
        <v>0</v>
      </c>
      <c r="F532" s="15" t="str">
        <f>INDEX([1]!MODEL[FPL_Name],MATCH($A532,[1]!MODEL[Code],0))</f>
        <v>-</v>
      </c>
      <c r="G532" s="10">
        <v>0</v>
      </c>
      <c r="H532" s="10">
        <v>0</v>
      </c>
      <c r="I532" s="10">
        <v>0</v>
      </c>
      <c r="J532" s="11">
        <f t="shared" si="41"/>
        <v>0</v>
      </c>
      <c r="K532" s="11">
        <f t="shared" si="42"/>
        <v>0</v>
      </c>
      <c r="L532" s="11">
        <f t="shared" si="43"/>
        <v>0</v>
      </c>
      <c r="M532" s="11">
        <v>0</v>
      </c>
      <c r="N532" s="11">
        <f t="shared" si="44"/>
        <v>0</v>
      </c>
      <c r="P532" s="13">
        <f t="shared" si="45"/>
        <v>0</v>
      </c>
    </row>
    <row r="533" spans="1:16" x14ac:dyDescent="0.25">
      <c r="A533" s="16">
        <v>0</v>
      </c>
      <c r="B533" s="4">
        <f>INDEX([1]!PREDICT[TRUE PTS],MATCH($A533,[1]!PREDICT[HARD CODE],0))</f>
        <v>0</v>
      </c>
      <c r="C533" s="7" t="str">
        <f>INDEX([1]!MODEL[POS],MATCH($A533,[1]!MODEL[Code],0))</f>
        <v>-</v>
      </c>
      <c r="D533" s="7" t="str">
        <f>INDEX([1]!MODEL[TEAM],MATCH($A533,[1]!MODEL[Code],0))</f>
        <v>-</v>
      </c>
      <c r="E533" s="7">
        <f>INDEX([1]PREDICT!$M$3:$M$1001,MATCH($A533,[1]PREDICT!$B$3:$B$1001,0))</f>
        <v>0</v>
      </c>
      <c r="F533" s="15" t="str">
        <f>INDEX([1]!MODEL[FPL_Name],MATCH($A533,[1]!MODEL[Code],0))</f>
        <v>-</v>
      </c>
      <c r="G533" s="10">
        <v>0</v>
      </c>
      <c r="H533" s="10">
        <v>0</v>
      </c>
      <c r="I533" s="10">
        <v>0</v>
      </c>
      <c r="J533" s="11">
        <f t="shared" si="41"/>
        <v>0</v>
      </c>
      <c r="K533" s="11">
        <f t="shared" si="42"/>
        <v>0</v>
      </c>
      <c r="L533" s="11">
        <f t="shared" si="43"/>
        <v>0</v>
      </c>
      <c r="M533" s="11">
        <v>0</v>
      </c>
      <c r="N533" s="11">
        <f t="shared" si="44"/>
        <v>0</v>
      </c>
      <c r="P533" s="13">
        <f t="shared" si="45"/>
        <v>0</v>
      </c>
    </row>
    <row r="534" spans="1:16" x14ac:dyDescent="0.25">
      <c r="A534" s="16">
        <v>0</v>
      </c>
      <c r="B534" s="4">
        <f>INDEX([1]!PREDICT[TRUE PTS],MATCH($A534,[1]!PREDICT[HARD CODE],0))</f>
        <v>0</v>
      </c>
      <c r="C534" s="7" t="str">
        <f>INDEX([1]!MODEL[POS],MATCH($A534,[1]!MODEL[Code],0))</f>
        <v>-</v>
      </c>
      <c r="D534" s="7" t="str">
        <f>INDEX([1]!MODEL[TEAM],MATCH($A534,[1]!MODEL[Code],0))</f>
        <v>-</v>
      </c>
      <c r="E534" s="7">
        <f>INDEX([1]PREDICT!$M$3:$M$1001,MATCH($A534,[1]PREDICT!$B$3:$B$1001,0))</f>
        <v>0</v>
      </c>
      <c r="F534" s="15" t="str">
        <f>INDEX([1]!MODEL[FPL_Name],MATCH($A534,[1]!MODEL[Code],0))</f>
        <v>-</v>
      </c>
      <c r="G534" s="10">
        <v>0</v>
      </c>
      <c r="H534" s="10">
        <v>0</v>
      </c>
      <c r="I534" s="10">
        <v>0</v>
      </c>
      <c r="J534" s="11">
        <f t="shared" si="41"/>
        <v>0</v>
      </c>
      <c r="K534" s="11">
        <f t="shared" si="42"/>
        <v>0</v>
      </c>
      <c r="L534" s="11">
        <f t="shared" si="43"/>
        <v>0</v>
      </c>
      <c r="M534" s="11">
        <v>0</v>
      </c>
      <c r="N534" s="11">
        <f t="shared" si="44"/>
        <v>0</v>
      </c>
      <c r="P534" s="13">
        <f t="shared" si="45"/>
        <v>0</v>
      </c>
    </row>
    <row r="535" spans="1:16" x14ac:dyDescent="0.25">
      <c r="A535" s="16">
        <v>0</v>
      </c>
      <c r="B535" s="4">
        <f>INDEX([1]!PREDICT[TRUE PTS],MATCH($A535,[1]!PREDICT[HARD CODE],0))</f>
        <v>0</v>
      </c>
      <c r="C535" s="7" t="str">
        <f>INDEX([1]!MODEL[POS],MATCH($A535,[1]!MODEL[Code],0))</f>
        <v>-</v>
      </c>
      <c r="D535" s="7" t="str">
        <f>INDEX([1]!MODEL[TEAM],MATCH($A535,[1]!MODEL[Code],0))</f>
        <v>-</v>
      </c>
      <c r="E535" s="7">
        <f>INDEX([1]PREDICT!$M$3:$M$1001,MATCH($A535,[1]PREDICT!$B$3:$B$1001,0))</f>
        <v>0</v>
      </c>
      <c r="F535" s="15" t="str">
        <f>INDEX([1]!MODEL[FPL_Name],MATCH($A535,[1]!MODEL[Code],0))</f>
        <v>-</v>
      </c>
      <c r="G535" s="10">
        <v>0</v>
      </c>
      <c r="H535" s="10">
        <v>0</v>
      </c>
      <c r="I535" s="10">
        <v>0</v>
      </c>
      <c r="J535" s="11">
        <f t="shared" si="41"/>
        <v>0</v>
      </c>
      <c r="K535" s="11">
        <f t="shared" si="42"/>
        <v>0</v>
      </c>
      <c r="L535" s="11">
        <f t="shared" si="43"/>
        <v>0</v>
      </c>
      <c r="M535" s="11">
        <v>0</v>
      </c>
      <c r="N535" s="11">
        <f t="shared" si="44"/>
        <v>0</v>
      </c>
      <c r="P535" s="13">
        <f t="shared" si="45"/>
        <v>0</v>
      </c>
    </row>
    <row r="536" spans="1:16" x14ac:dyDescent="0.25">
      <c r="A536" s="16">
        <v>0</v>
      </c>
      <c r="B536" s="4">
        <f>INDEX([1]!PREDICT[TRUE PTS],MATCH($A536,[1]!PREDICT[HARD CODE],0))</f>
        <v>0</v>
      </c>
      <c r="C536" s="7" t="str">
        <f>INDEX([1]!MODEL[POS],MATCH($A536,[1]!MODEL[Code],0))</f>
        <v>-</v>
      </c>
      <c r="D536" s="7" t="str">
        <f>INDEX([1]!MODEL[TEAM],MATCH($A536,[1]!MODEL[Code],0))</f>
        <v>-</v>
      </c>
      <c r="E536" s="7">
        <f>INDEX([1]PREDICT!$M$3:$M$1001,MATCH($A536,[1]PREDICT!$B$3:$B$1001,0))</f>
        <v>0</v>
      </c>
      <c r="F536" s="15" t="str">
        <f>INDEX([1]!MODEL[FPL_Name],MATCH($A536,[1]!MODEL[Code],0))</f>
        <v>-</v>
      </c>
      <c r="G536" s="10">
        <v>0</v>
      </c>
      <c r="H536" s="10">
        <v>0</v>
      </c>
      <c r="I536" s="10">
        <v>0</v>
      </c>
      <c r="J536" s="11">
        <f t="shared" si="41"/>
        <v>0</v>
      </c>
      <c r="K536" s="11">
        <f t="shared" si="42"/>
        <v>0</v>
      </c>
      <c r="L536" s="11">
        <f t="shared" si="43"/>
        <v>0</v>
      </c>
      <c r="M536" s="11">
        <v>0</v>
      </c>
      <c r="N536" s="11">
        <f t="shared" si="44"/>
        <v>0</v>
      </c>
      <c r="P536" s="13">
        <f t="shared" si="45"/>
        <v>0</v>
      </c>
    </row>
    <row r="537" spans="1:16" x14ac:dyDescent="0.25">
      <c r="A537" s="16">
        <v>0</v>
      </c>
      <c r="B537" s="4">
        <f>INDEX([1]!PREDICT[TRUE PTS],MATCH($A537,[1]!PREDICT[HARD CODE],0))</f>
        <v>0</v>
      </c>
      <c r="C537" s="7" t="str">
        <f>INDEX([1]!MODEL[POS],MATCH($A537,[1]!MODEL[Code],0))</f>
        <v>-</v>
      </c>
      <c r="D537" s="7" t="str">
        <f>INDEX([1]!MODEL[TEAM],MATCH($A537,[1]!MODEL[Code],0))</f>
        <v>-</v>
      </c>
      <c r="E537" s="7">
        <f>INDEX([1]PREDICT!$M$3:$M$1001,MATCH($A537,[1]PREDICT!$B$3:$B$1001,0))</f>
        <v>0</v>
      </c>
      <c r="F537" s="15" t="str">
        <f>INDEX([1]!MODEL[FPL_Name],MATCH($A537,[1]!MODEL[Code],0))</f>
        <v>-</v>
      </c>
      <c r="G537" s="10">
        <v>0</v>
      </c>
      <c r="H537" s="10">
        <v>0</v>
      </c>
      <c r="I537" s="10">
        <v>0</v>
      </c>
      <c r="J537" s="11">
        <f t="shared" si="41"/>
        <v>0</v>
      </c>
      <c r="K537" s="11">
        <f t="shared" si="42"/>
        <v>0</v>
      </c>
      <c r="L537" s="11">
        <f t="shared" si="43"/>
        <v>0</v>
      </c>
      <c r="M537" s="11">
        <v>0</v>
      </c>
      <c r="N537" s="11">
        <f t="shared" si="44"/>
        <v>0</v>
      </c>
      <c r="P537" s="13">
        <f t="shared" si="45"/>
        <v>0</v>
      </c>
    </row>
    <row r="538" spans="1:16" x14ac:dyDescent="0.25">
      <c r="A538" s="16">
        <v>0</v>
      </c>
      <c r="B538" s="4">
        <f>INDEX([1]!PREDICT[TRUE PTS],MATCH($A538,[1]!PREDICT[HARD CODE],0))</f>
        <v>0</v>
      </c>
      <c r="C538" s="7" t="str">
        <f>INDEX([1]!MODEL[POS],MATCH($A538,[1]!MODEL[Code],0))</f>
        <v>-</v>
      </c>
      <c r="D538" s="7" t="str">
        <f>INDEX([1]!MODEL[TEAM],MATCH($A538,[1]!MODEL[Code],0))</f>
        <v>-</v>
      </c>
      <c r="E538" s="7">
        <f>INDEX([1]PREDICT!$M$3:$M$1001,MATCH($A538,[1]PREDICT!$B$3:$B$1001,0))</f>
        <v>0</v>
      </c>
      <c r="F538" s="15" t="str">
        <f>INDEX([1]!MODEL[FPL_Name],MATCH($A538,[1]!MODEL[Code],0))</f>
        <v>-</v>
      </c>
      <c r="G538" s="10">
        <v>0</v>
      </c>
      <c r="H538" s="10">
        <v>0</v>
      </c>
      <c r="I538" s="10">
        <v>0</v>
      </c>
      <c r="J538" s="11">
        <f t="shared" si="41"/>
        <v>0</v>
      </c>
      <c r="K538" s="11">
        <f t="shared" si="42"/>
        <v>0</v>
      </c>
      <c r="L538" s="11">
        <f t="shared" si="43"/>
        <v>0</v>
      </c>
      <c r="M538" s="11">
        <v>0</v>
      </c>
      <c r="N538" s="11">
        <f t="shared" si="44"/>
        <v>0</v>
      </c>
      <c r="P538" s="13">
        <f t="shared" si="45"/>
        <v>0</v>
      </c>
    </row>
    <row r="539" spans="1:16" x14ac:dyDescent="0.25">
      <c r="A539" s="16">
        <v>0</v>
      </c>
      <c r="B539" s="4">
        <f>INDEX([1]!PREDICT[TRUE PTS],MATCH($A539,[1]!PREDICT[HARD CODE],0))</f>
        <v>0</v>
      </c>
      <c r="C539" s="7" t="str">
        <f>INDEX([1]!MODEL[POS],MATCH($A539,[1]!MODEL[Code],0))</f>
        <v>-</v>
      </c>
      <c r="D539" s="7" t="str">
        <f>INDEX([1]!MODEL[TEAM],MATCH($A539,[1]!MODEL[Code],0))</f>
        <v>-</v>
      </c>
      <c r="E539" s="7">
        <f>INDEX([1]PREDICT!$M$3:$M$1001,MATCH($A539,[1]PREDICT!$B$3:$B$1001,0))</f>
        <v>0</v>
      </c>
      <c r="F539" s="15" t="str">
        <f>INDEX([1]!MODEL[FPL_Name],MATCH($A539,[1]!MODEL[Code],0))</f>
        <v>-</v>
      </c>
      <c r="G539" s="10">
        <v>0</v>
      </c>
      <c r="H539" s="10">
        <v>0</v>
      </c>
      <c r="I539" s="10">
        <v>0</v>
      </c>
      <c r="J539" s="11">
        <f t="shared" si="41"/>
        <v>0</v>
      </c>
      <c r="K539" s="11">
        <f t="shared" si="42"/>
        <v>0</v>
      </c>
      <c r="L539" s="11">
        <f t="shared" si="43"/>
        <v>0</v>
      </c>
      <c r="M539" s="11">
        <v>0</v>
      </c>
      <c r="N539" s="11">
        <f t="shared" si="44"/>
        <v>0</v>
      </c>
      <c r="P539" s="13">
        <f t="shared" si="45"/>
        <v>0</v>
      </c>
    </row>
    <row r="540" spans="1:16" x14ac:dyDescent="0.25">
      <c r="A540" s="16">
        <v>0</v>
      </c>
      <c r="B540" s="4">
        <f>INDEX([1]!PREDICT[TRUE PTS],MATCH($A540,[1]!PREDICT[HARD CODE],0))</f>
        <v>0</v>
      </c>
      <c r="C540" s="7" t="str">
        <f>INDEX([1]!MODEL[POS],MATCH($A540,[1]!MODEL[Code],0))</f>
        <v>-</v>
      </c>
      <c r="D540" s="7" t="str">
        <f>INDEX([1]!MODEL[TEAM],MATCH($A540,[1]!MODEL[Code],0))</f>
        <v>-</v>
      </c>
      <c r="E540" s="7">
        <f>INDEX([1]PREDICT!$M$3:$M$1001,MATCH($A540,[1]PREDICT!$B$3:$B$1001,0))</f>
        <v>0</v>
      </c>
      <c r="F540" s="15" t="str">
        <f>INDEX([1]!MODEL[FPL_Name],MATCH($A540,[1]!MODEL[Code],0))</f>
        <v>-</v>
      </c>
      <c r="G540" s="10">
        <v>0</v>
      </c>
      <c r="H540" s="10">
        <v>0</v>
      </c>
      <c r="I540" s="10">
        <v>0</v>
      </c>
      <c r="J540" s="11">
        <f t="shared" si="41"/>
        <v>0</v>
      </c>
      <c r="K540" s="11">
        <f t="shared" si="42"/>
        <v>0</v>
      </c>
      <c r="L540" s="11">
        <f t="shared" si="43"/>
        <v>0</v>
      </c>
      <c r="M540" s="11">
        <v>0</v>
      </c>
      <c r="N540" s="11">
        <f t="shared" si="44"/>
        <v>0</v>
      </c>
      <c r="P540" s="13">
        <f t="shared" si="45"/>
        <v>0</v>
      </c>
    </row>
    <row r="541" spans="1:16" x14ac:dyDescent="0.25">
      <c r="A541" s="16">
        <v>0</v>
      </c>
      <c r="B541" s="4">
        <f>INDEX([1]!PREDICT[TRUE PTS],MATCH($A541,[1]!PREDICT[HARD CODE],0))</f>
        <v>0</v>
      </c>
      <c r="C541" s="7" t="str">
        <f>INDEX([1]!MODEL[POS],MATCH($A541,[1]!MODEL[Code],0))</f>
        <v>-</v>
      </c>
      <c r="D541" s="7" t="str">
        <f>INDEX([1]!MODEL[TEAM],MATCH($A541,[1]!MODEL[Code],0))</f>
        <v>-</v>
      </c>
      <c r="E541" s="7">
        <f>INDEX([1]PREDICT!$M$3:$M$1001,MATCH($A541,[1]PREDICT!$B$3:$B$1001,0))</f>
        <v>0</v>
      </c>
      <c r="F541" s="15" t="str">
        <f>INDEX([1]!MODEL[FPL_Name],MATCH($A541,[1]!MODEL[Code],0))</f>
        <v>-</v>
      </c>
      <c r="G541" s="10">
        <v>0</v>
      </c>
      <c r="H541" s="10">
        <v>0</v>
      </c>
      <c r="I541" s="10">
        <v>0</v>
      </c>
      <c r="J541" s="11">
        <f t="shared" si="41"/>
        <v>0</v>
      </c>
      <c r="K541" s="11">
        <f t="shared" si="42"/>
        <v>0</v>
      </c>
      <c r="L541" s="11">
        <f t="shared" si="43"/>
        <v>0</v>
      </c>
      <c r="M541" s="11">
        <v>0</v>
      </c>
      <c r="N541" s="11">
        <f t="shared" si="44"/>
        <v>0</v>
      </c>
      <c r="P541" s="13">
        <f t="shared" si="45"/>
        <v>0</v>
      </c>
    </row>
    <row r="542" spans="1:16" x14ac:dyDescent="0.25">
      <c r="A542" s="16">
        <v>0</v>
      </c>
      <c r="B542" s="4">
        <f>INDEX([1]!PREDICT[TRUE PTS],MATCH($A542,[1]!PREDICT[HARD CODE],0))</f>
        <v>0</v>
      </c>
      <c r="C542" s="7" t="str">
        <f>INDEX([1]!MODEL[POS],MATCH($A542,[1]!MODEL[Code],0))</f>
        <v>-</v>
      </c>
      <c r="D542" s="7" t="str">
        <f>INDEX([1]!MODEL[TEAM],MATCH($A542,[1]!MODEL[Code],0))</f>
        <v>-</v>
      </c>
      <c r="E542" s="7">
        <f>INDEX([1]PREDICT!$M$3:$M$1001,MATCH($A542,[1]PREDICT!$B$3:$B$1001,0))</f>
        <v>0</v>
      </c>
      <c r="F542" s="15" t="str">
        <f>INDEX([1]!MODEL[FPL_Name],MATCH($A542,[1]!MODEL[Code],0))</f>
        <v>-</v>
      </c>
      <c r="G542" s="10">
        <v>0</v>
      </c>
      <c r="H542" s="10">
        <v>0</v>
      </c>
      <c r="I542" s="10">
        <v>0</v>
      </c>
      <c r="J542" s="11">
        <f t="shared" si="41"/>
        <v>0</v>
      </c>
      <c r="K542" s="11">
        <f t="shared" si="42"/>
        <v>0</v>
      </c>
      <c r="L542" s="11">
        <f t="shared" si="43"/>
        <v>0</v>
      </c>
      <c r="M542" s="11">
        <v>0</v>
      </c>
      <c r="N542" s="11">
        <f t="shared" si="44"/>
        <v>0</v>
      </c>
      <c r="P542" s="13">
        <f t="shared" si="45"/>
        <v>0</v>
      </c>
    </row>
    <row r="543" spans="1:16" x14ac:dyDescent="0.25">
      <c r="A543" s="16">
        <v>0</v>
      </c>
      <c r="B543" s="4">
        <f>INDEX([1]!PREDICT[TRUE PTS],MATCH($A543,[1]!PREDICT[HARD CODE],0))</f>
        <v>0</v>
      </c>
      <c r="C543" s="7" t="str">
        <f>INDEX([1]!MODEL[POS],MATCH($A543,[1]!MODEL[Code],0))</f>
        <v>-</v>
      </c>
      <c r="D543" s="7" t="str">
        <f>INDEX([1]!MODEL[TEAM],MATCH($A543,[1]!MODEL[Code],0))</f>
        <v>-</v>
      </c>
      <c r="E543" s="7">
        <f>INDEX([1]PREDICT!$M$3:$M$1001,MATCH($A543,[1]PREDICT!$B$3:$B$1001,0))</f>
        <v>0</v>
      </c>
      <c r="F543" s="15" t="str">
        <f>INDEX([1]!MODEL[FPL_Name],MATCH($A543,[1]!MODEL[Code],0))</f>
        <v>-</v>
      </c>
      <c r="G543" s="10">
        <v>0</v>
      </c>
      <c r="H543" s="10">
        <v>0</v>
      </c>
      <c r="I543" s="10">
        <v>0</v>
      </c>
      <c r="J543" s="11">
        <f t="shared" si="41"/>
        <v>0</v>
      </c>
      <c r="K543" s="11">
        <f t="shared" si="42"/>
        <v>0</v>
      </c>
      <c r="L543" s="11">
        <f t="shared" si="43"/>
        <v>0</v>
      </c>
      <c r="M543" s="11">
        <v>0</v>
      </c>
      <c r="N543" s="11">
        <f t="shared" si="44"/>
        <v>0</v>
      </c>
      <c r="P543" s="13">
        <f t="shared" si="45"/>
        <v>0</v>
      </c>
    </row>
    <row r="544" spans="1:16" x14ac:dyDescent="0.25">
      <c r="A544" s="16">
        <v>0</v>
      </c>
      <c r="B544" s="4">
        <f>INDEX([1]!PREDICT[TRUE PTS],MATCH($A544,[1]!PREDICT[HARD CODE],0))</f>
        <v>0</v>
      </c>
      <c r="C544" s="7" t="str">
        <f>INDEX([1]!MODEL[POS],MATCH($A544,[1]!MODEL[Code],0))</f>
        <v>-</v>
      </c>
      <c r="D544" s="7" t="str">
        <f>INDEX([1]!MODEL[TEAM],MATCH($A544,[1]!MODEL[Code],0))</f>
        <v>-</v>
      </c>
      <c r="E544" s="7">
        <f>INDEX([1]PREDICT!$M$3:$M$1001,MATCH($A544,[1]PREDICT!$B$3:$B$1001,0))</f>
        <v>0</v>
      </c>
      <c r="F544" s="15" t="str">
        <f>INDEX([1]!MODEL[FPL_Name],MATCH($A544,[1]!MODEL[Code],0))</f>
        <v>-</v>
      </c>
      <c r="G544" s="10">
        <v>0</v>
      </c>
      <c r="H544" s="10">
        <v>0</v>
      </c>
      <c r="I544" s="10">
        <v>0</v>
      </c>
      <c r="J544" s="11">
        <f t="shared" si="41"/>
        <v>0</v>
      </c>
      <c r="K544" s="11">
        <f t="shared" si="42"/>
        <v>0</v>
      </c>
      <c r="L544" s="11">
        <f t="shared" si="43"/>
        <v>0</v>
      </c>
      <c r="M544" s="11">
        <v>0</v>
      </c>
      <c r="N544" s="11">
        <f t="shared" si="44"/>
        <v>0</v>
      </c>
      <c r="P544" s="13">
        <f t="shared" si="45"/>
        <v>0</v>
      </c>
    </row>
    <row r="545" spans="1:16" x14ac:dyDescent="0.25">
      <c r="A545" s="16">
        <v>0</v>
      </c>
      <c r="B545" s="4">
        <f>INDEX([1]!PREDICT[TRUE PTS],MATCH($A545,[1]!PREDICT[HARD CODE],0))</f>
        <v>0</v>
      </c>
      <c r="C545" s="7" t="str">
        <f>INDEX([1]!MODEL[POS],MATCH($A545,[1]!MODEL[Code],0))</f>
        <v>-</v>
      </c>
      <c r="D545" s="7" t="str">
        <f>INDEX([1]!MODEL[TEAM],MATCH($A545,[1]!MODEL[Code],0))</f>
        <v>-</v>
      </c>
      <c r="E545" s="7">
        <f>INDEX([1]PREDICT!$M$3:$M$1001,MATCH($A545,[1]PREDICT!$B$3:$B$1001,0))</f>
        <v>0</v>
      </c>
      <c r="F545" s="15" t="str">
        <f>INDEX([1]!MODEL[FPL_Name],MATCH($A545,[1]!MODEL[Code],0))</f>
        <v>-</v>
      </c>
      <c r="G545" s="10">
        <v>0</v>
      </c>
      <c r="H545" s="10">
        <v>0</v>
      </c>
      <c r="I545" s="10">
        <v>0</v>
      </c>
      <c r="J545" s="11">
        <f t="shared" si="41"/>
        <v>0</v>
      </c>
      <c r="K545" s="11">
        <f t="shared" si="42"/>
        <v>0</v>
      </c>
      <c r="L545" s="11">
        <f t="shared" si="43"/>
        <v>0</v>
      </c>
      <c r="M545" s="11">
        <v>0</v>
      </c>
      <c r="N545" s="11">
        <f t="shared" si="44"/>
        <v>0</v>
      </c>
      <c r="P545" s="13">
        <f t="shared" si="45"/>
        <v>0</v>
      </c>
    </row>
    <row r="546" spans="1:16" x14ac:dyDescent="0.25">
      <c r="A546" s="16">
        <v>0</v>
      </c>
      <c r="B546" s="4">
        <f>INDEX([1]!PREDICT[TRUE PTS],MATCH($A546,[1]!PREDICT[HARD CODE],0))</f>
        <v>0</v>
      </c>
      <c r="C546" s="7" t="str">
        <f>INDEX([1]!MODEL[POS],MATCH($A546,[1]!MODEL[Code],0))</f>
        <v>-</v>
      </c>
      <c r="D546" s="7" t="str">
        <f>INDEX([1]!MODEL[TEAM],MATCH($A546,[1]!MODEL[Code],0))</f>
        <v>-</v>
      </c>
      <c r="E546" s="7">
        <f>INDEX([1]PREDICT!$M$3:$M$1001,MATCH($A546,[1]PREDICT!$B$3:$B$1001,0))</f>
        <v>0</v>
      </c>
      <c r="F546" s="15" t="str">
        <f>INDEX([1]!MODEL[FPL_Name],MATCH($A546,[1]!MODEL[Code],0))</f>
        <v>-</v>
      </c>
      <c r="G546" s="10">
        <v>0</v>
      </c>
      <c r="H546" s="10">
        <v>0</v>
      </c>
      <c r="I546" s="10">
        <v>0</v>
      </c>
      <c r="J546" s="11">
        <f t="shared" si="41"/>
        <v>0</v>
      </c>
      <c r="K546" s="11">
        <f t="shared" si="42"/>
        <v>0</v>
      </c>
      <c r="L546" s="11">
        <f t="shared" si="43"/>
        <v>0</v>
      </c>
      <c r="M546" s="11">
        <v>0</v>
      </c>
      <c r="N546" s="11">
        <f t="shared" si="44"/>
        <v>0</v>
      </c>
      <c r="P546" s="13">
        <f t="shared" si="45"/>
        <v>0</v>
      </c>
    </row>
    <row r="547" spans="1:16" x14ac:dyDescent="0.25">
      <c r="A547" s="16">
        <v>0</v>
      </c>
      <c r="B547" s="4">
        <f>INDEX([1]!PREDICT[TRUE PTS],MATCH($A547,[1]!PREDICT[HARD CODE],0))</f>
        <v>0</v>
      </c>
      <c r="C547" s="7" t="str">
        <f>INDEX([1]!MODEL[POS],MATCH($A547,[1]!MODEL[Code],0))</f>
        <v>-</v>
      </c>
      <c r="D547" s="7" t="str">
        <f>INDEX([1]!MODEL[TEAM],MATCH($A547,[1]!MODEL[Code],0))</f>
        <v>-</v>
      </c>
      <c r="E547" s="7">
        <f>INDEX([1]PREDICT!$M$3:$M$1001,MATCH($A547,[1]PREDICT!$B$3:$B$1001,0))</f>
        <v>0</v>
      </c>
      <c r="F547" s="15" t="str">
        <f>INDEX([1]!MODEL[FPL_Name],MATCH($A547,[1]!MODEL[Code],0))</f>
        <v>-</v>
      </c>
      <c r="G547" s="10">
        <v>0</v>
      </c>
      <c r="H547" s="10">
        <v>0</v>
      </c>
      <c r="I547" s="10">
        <v>0</v>
      </c>
      <c r="J547" s="11">
        <f t="shared" si="41"/>
        <v>0</v>
      </c>
      <c r="K547" s="11">
        <f t="shared" si="42"/>
        <v>0</v>
      </c>
      <c r="L547" s="11">
        <f t="shared" si="43"/>
        <v>0</v>
      </c>
      <c r="M547" s="11">
        <v>0</v>
      </c>
      <c r="N547" s="11">
        <f t="shared" si="44"/>
        <v>0</v>
      </c>
      <c r="P547" s="13">
        <f t="shared" si="45"/>
        <v>0</v>
      </c>
    </row>
    <row r="548" spans="1:16" x14ac:dyDescent="0.25">
      <c r="A548" s="16">
        <v>0</v>
      </c>
      <c r="B548" s="4">
        <f>INDEX([1]!PREDICT[TRUE PTS],MATCH($A548,[1]!PREDICT[HARD CODE],0))</f>
        <v>0</v>
      </c>
      <c r="C548" s="7" t="str">
        <f>INDEX([1]!MODEL[POS],MATCH($A548,[1]!MODEL[Code],0))</f>
        <v>-</v>
      </c>
      <c r="D548" s="7" t="str">
        <f>INDEX([1]!MODEL[TEAM],MATCH($A548,[1]!MODEL[Code],0))</f>
        <v>-</v>
      </c>
      <c r="E548" s="7">
        <f>INDEX([1]PREDICT!$M$3:$M$1001,MATCH($A548,[1]PREDICT!$B$3:$B$1001,0))</f>
        <v>0</v>
      </c>
      <c r="F548" s="15" t="str">
        <f>INDEX([1]!MODEL[FPL_Name],MATCH($A548,[1]!MODEL[Code],0))</f>
        <v>-</v>
      </c>
      <c r="G548" s="10">
        <v>0</v>
      </c>
      <c r="H548" s="10">
        <v>0</v>
      </c>
      <c r="I548" s="10">
        <v>0</v>
      </c>
      <c r="J548" s="11">
        <f t="shared" si="41"/>
        <v>0</v>
      </c>
      <c r="K548" s="11">
        <f t="shared" si="42"/>
        <v>0</v>
      </c>
      <c r="L548" s="11">
        <f t="shared" si="43"/>
        <v>0</v>
      </c>
      <c r="M548" s="11">
        <v>0</v>
      </c>
      <c r="N548" s="11">
        <f t="shared" si="44"/>
        <v>0</v>
      </c>
      <c r="P548" s="13">
        <f t="shared" si="45"/>
        <v>0</v>
      </c>
    </row>
    <row r="549" spans="1:16" x14ac:dyDescent="0.25">
      <c r="A549" s="16">
        <v>0</v>
      </c>
      <c r="B549" s="4">
        <f>INDEX([1]!PREDICT[TRUE PTS],MATCH($A549,[1]!PREDICT[HARD CODE],0))</f>
        <v>0</v>
      </c>
      <c r="C549" s="7" t="str">
        <f>INDEX([1]!MODEL[POS],MATCH($A549,[1]!MODEL[Code],0))</f>
        <v>-</v>
      </c>
      <c r="D549" s="7" t="str">
        <f>INDEX([1]!MODEL[TEAM],MATCH($A549,[1]!MODEL[Code],0))</f>
        <v>-</v>
      </c>
      <c r="E549" s="7">
        <f>INDEX([1]PREDICT!$M$3:$M$1001,MATCH($A549,[1]PREDICT!$B$3:$B$1001,0))</f>
        <v>0</v>
      </c>
      <c r="F549" s="15" t="str">
        <f>INDEX([1]!MODEL[FPL_Name],MATCH($A549,[1]!MODEL[Code],0))</f>
        <v>-</v>
      </c>
      <c r="G549" s="10">
        <v>0</v>
      </c>
      <c r="H549" s="10">
        <v>0</v>
      </c>
      <c r="I549" s="10">
        <v>0</v>
      </c>
      <c r="J549" s="11">
        <f t="shared" si="41"/>
        <v>0</v>
      </c>
      <c r="K549" s="11">
        <f t="shared" si="42"/>
        <v>0</v>
      </c>
      <c r="L549" s="11">
        <f t="shared" si="43"/>
        <v>0</v>
      </c>
      <c r="M549" s="11">
        <v>0</v>
      </c>
      <c r="N549" s="11">
        <f t="shared" si="44"/>
        <v>0</v>
      </c>
      <c r="P549" s="13">
        <f t="shared" si="45"/>
        <v>0</v>
      </c>
    </row>
    <row r="550" spans="1:16" x14ac:dyDescent="0.25">
      <c r="A550" s="16">
        <v>0</v>
      </c>
      <c r="B550" s="4">
        <f>INDEX([1]!PREDICT[TRUE PTS],MATCH($A550,[1]!PREDICT[HARD CODE],0))</f>
        <v>0</v>
      </c>
      <c r="C550" s="7" t="str">
        <f>INDEX([1]!MODEL[POS],MATCH($A550,[1]!MODEL[Code],0))</f>
        <v>-</v>
      </c>
      <c r="D550" s="7" t="str">
        <f>INDEX([1]!MODEL[TEAM],MATCH($A550,[1]!MODEL[Code],0))</f>
        <v>-</v>
      </c>
      <c r="E550" s="7">
        <f>INDEX([1]PREDICT!$M$3:$M$1001,MATCH($A550,[1]PREDICT!$B$3:$B$1001,0))</f>
        <v>0</v>
      </c>
      <c r="F550" s="15" t="str">
        <f>INDEX([1]!MODEL[FPL_Name],MATCH($A550,[1]!MODEL[Code],0))</f>
        <v>-</v>
      </c>
      <c r="G550" s="10">
        <v>0</v>
      </c>
      <c r="H550" s="10">
        <v>0</v>
      </c>
      <c r="I550" s="10">
        <v>0</v>
      </c>
      <c r="J550" s="11">
        <f t="shared" si="41"/>
        <v>0</v>
      </c>
      <c r="K550" s="11">
        <f t="shared" si="42"/>
        <v>0</v>
      </c>
      <c r="L550" s="11">
        <f t="shared" si="43"/>
        <v>0</v>
      </c>
      <c r="M550" s="11">
        <v>0</v>
      </c>
      <c r="N550" s="11">
        <f t="shared" si="44"/>
        <v>0</v>
      </c>
      <c r="P550" s="13">
        <f t="shared" si="45"/>
        <v>0</v>
      </c>
    </row>
    <row r="551" spans="1:16" x14ac:dyDescent="0.25">
      <c r="A551" s="16">
        <v>0</v>
      </c>
      <c r="B551" s="4">
        <f>INDEX([1]!PREDICT[TRUE PTS],MATCH($A551,[1]!PREDICT[HARD CODE],0))</f>
        <v>0</v>
      </c>
      <c r="C551" s="7" t="str">
        <f>INDEX([1]!MODEL[POS],MATCH($A551,[1]!MODEL[Code],0))</f>
        <v>-</v>
      </c>
      <c r="D551" s="7" t="str">
        <f>INDEX([1]!MODEL[TEAM],MATCH($A551,[1]!MODEL[Code],0))</f>
        <v>-</v>
      </c>
      <c r="E551" s="7">
        <f>INDEX([1]PREDICT!$M$3:$M$1001,MATCH($A551,[1]PREDICT!$B$3:$B$1001,0))</f>
        <v>0</v>
      </c>
      <c r="F551" s="15" t="str">
        <f>INDEX([1]!MODEL[FPL_Name],MATCH($A551,[1]!MODEL[Code],0))</f>
        <v>-</v>
      </c>
      <c r="G551" s="10">
        <v>0</v>
      </c>
      <c r="H551" s="10">
        <v>0</v>
      </c>
      <c r="I551" s="10">
        <v>0</v>
      </c>
      <c r="J551" s="11">
        <f t="shared" si="41"/>
        <v>0</v>
      </c>
      <c r="K551" s="11">
        <f t="shared" si="42"/>
        <v>0</v>
      </c>
      <c r="L551" s="11">
        <f t="shared" si="43"/>
        <v>0</v>
      </c>
      <c r="M551" s="11">
        <v>0</v>
      </c>
      <c r="N551" s="11">
        <f t="shared" si="44"/>
        <v>0</v>
      </c>
      <c r="P551" s="13">
        <f t="shared" si="45"/>
        <v>0</v>
      </c>
    </row>
    <row r="552" spans="1:16" x14ac:dyDescent="0.25">
      <c r="A552" s="16">
        <v>0</v>
      </c>
      <c r="B552" s="4">
        <f>INDEX([1]!PREDICT[TRUE PTS],MATCH($A552,[1]!PREDICT[HARD CODE],0))</f>
        <v>0</v>
      </c>
      <c r="C552" s="7" t="str">
        <f>INDEX([1]!MODEL[POS],MATCH($A552,[1]!MODEL[Code],0))</f>
        <v>-</v>
      </c>
      <c r="D552" s="7" t="str">
        <f>INDEX([1]!MODEL[TEAM],MATCH($A552,[1]!MODEL[Code],0))</f>
        <v>-</v>
      </c>
      <c r="E552" s="7">
        <f>INDEX([1]PREDICT!$M$3:$M$1001,MATCH($A552,[1]PREDICT!$B$3:$B$1001,0))</f>
        <v>0</v>
      </c>
      <c r="F552" s="15" t="str">
        <f>INDEX([1]!MODEL[FPL_Name],MATCH($A552,[1]!MODEL[Code],0))</f>
        <v>-</v>
      </c>
      <c r="G552" s="10">
        <v>0</v>
      </c>
      <c r="H552" s="10">
        <v>0</v>
      </c>
      <c r="I552" s="10">
        <v>0</v>
      </c>
      <c r="J552" s="11">
        <f t="shared" si="41"/>
        <v>0</v>
      </c>
      <c r="K552" s="11">
        <f t="shared" si="42"/>
        <v>0</v>
      </c>
      <c r="L552" s="11">
        <f t="shared" si="43"/>
        <v>0</v>
      </c>
      <c r="M552" s="11">
        <v>0</v>
      </c>
      <c r="N552" s="11">
        <f t="shared" si="44"/>
        <v>0</v>
      </c>
      <c r="P552" s="13">
        <f t="shared" si="45"/>
        <v>0</v>
      </c>
    </row>
    <row r="553" spans="1:16" x14ac:dyDescent="0.25">
      <c r="A553" s="16">
        <v>0</v>
      </c>
      <c r="B553" s="4">
        <f>INDEX([1]!PREDICT[TRUE PTS],MATCH($A553,[1]!PREDICT[HARD CODE],0))</f>
        <v>0</v>
      </c>
      <c r="C553" s="7" t="str">
        <f>INDEX([1]!MODEL[POS],MATCH($A553,[1]!MODEL[Code],0))</f>
        <v>-</v>
      </c>
      <c r="D553" s="7" t="str">
        <f>INDEX([1]!MODEL[TEAM],MATCH($A553,[1]!MODEL[Code],0))</f>
        <v>-</v>
      </c>
      <c r="E553" s="7">
        <f>INDEX([1]PREDICT!$M$3:$M$1001,MATCH($A553,[1]PREDICT!$B$3:$B$1001,0))</f>
        <v>0</v>
      </c>
      <c r="F553" s="15" t="str">
        <f>INDEX([1]!MODEL[FPL_Name],MATCH($A553,[1]!MODEL[Code],0))</f>
        <v>-</v>
      </c>
      <c r="G553" s="10">
        <v>0</v>
      </c>
      <c r="H553" s="10">
        <v>0</v>
      </c>
      <c r="I553" s="10">
        <v>0</v>
      </c>
      <c r="J553" s="11">
        <f t="shared" si="41"/>
        <v>0</v>
      </c>
      <c r="K553" s="11">
        <f t="shared" si="42"/>
        <v>0</v>
      </c>
      <c r="L553" s="11">
        <f t="shared" si="43"/>
        <v>0</v>
      </c>
      <c r="M553" s="11">
        <v>0</v>
      </c>
      <c r="N553" s="11">
        <f t="shared" si="44"/>
        <v>0</v>
      </c>
      <c r="P553" s="13">
        <f t="shared" si="45"/>
        <v>0</v>
      </c>
    </row>
    <row r="554" spans="1:16" x14ac:dyDescent="0.25">
      <c r="A554" s="16">
        <v>0</v>
      </c>
      <c r="B554" s="4">
        <f>INDEX([1]!PREDICT[TRUE PTS],MATCH($A554,[1]!PREDICT[HARD CODE],0))</f>
        <v>0</v>
      </c>
      <c r="C554" s="7" t="str">
        <f>INDEX([1]!MODEL[POS],MATCH($A554,[1]!MODEL[Code],0))</f>
        <v>-</v>
      </c>
      <c r="D554" s="7" t="str">
        <f>INDEX([1]!MODEL[TEAM],MATCH($A554,[1]!MODEL[Code],0))</f>
        <v>-</v>
      </c>
      <c r="E554" s="7">
        <f>INDEX([1]PREDICT!$M$3:$M$1001,MATCH($A554,[1]PREDICT!$B$3:$B$1001,0))</f>
        <v>0</v>
      </c>
      <c r="F554" s="15" t="str">
        <f>INDEX([1]!MODEL[FPL_Name],MATCH($A554,[1]!MODEL[Code],0))</f>
        <v>-</v>
      </c>
      <c r="G554" s="10">
        <v>0</v>
      </c>
      <c r="H554" s="10">
        <v>0</v>
      </c>
      <c r="I554" s="10">
        <v>0</v>
      </c>
      <c r="J554" s="11">
        <f t="shared" si="41"/>
        <v>0</v>
      </c>
      <c r="K554" s="11">
        <f t="shared" si="42"/>
        <v>0</v>
      </c>
      <c r="L554" s="11">
        <f t="shared" si="43"/>
        <v>0</v>
      </c>
      <c r="M554" s="11">
        <v>0</v>
      </c>
      <c r="N554" s="11">
        <f t="shared" si="44"/>
        <v>0</v>
      </c>
      <c r="P554" s="13">
        <f t="shared" si="45"/>
        <v>0</v>
      </c>
    </row>
    <row r="555" spans="1:16" x14ac:dyDescent="0.25">
      <c r="A555" s="16">
        <v>0</v>
      </c>
      <c r="B555" s="4">
        <f>INDEX([1]!PREDICT[TRUE PTS],MATCH($A555,[1]!PREDICT[HARD CODE],0))</f>
        <v>0</v>
      </c>
      <c r="C555" s="7" t="str">
        <f>INDEX([1]!MODEL[POS],MATCH($A555,[1]!MODEL[Code],0))</f>
        <v>-</v>
      </c>
      <c r="D555" s="7" t="str">
        <f>INDEX([1]!MODEL[TEAM],MATCH($A555,[1]!MODEL[Code],0))</f>
        <v>-</v>
      </c>
      <c r="E555" s="7">
        <f>INDEX([1]PREDICT!$M$3:$M$1001,MATCH($A555,[1]PREDICT!$B$3:$B$1001,0))</f>
        <v>0</v>
      </c>
      <c r="F555" s="15" t="str">
        <f>INDEX([1]!MODEL[FPL_Name],MATCH($A555,[1]!MODEL[Code],0))</f>
        <v>-</v>
      </c>
      <c r="G555" s="10">
        <v>0</v>
      </c>
      <c r="H555" s="10">
        <v>0</v>
      </c>
      <c r="I555" s="10">
        <v>0</v>
      </c>
      <c r="J555" s="11">
        <f t="shared" si="41"/>
        <v>0</v>
      </c>
      <c r="K555" s="11">
        <f t="shared" si="42"/>
        <v>0</v>
      </c>
      <c r="L555" s="11">
        <f t="shared" si="43"/>
        <v>0</v>
      </c>
      <c r="M555" s="11">
        <v>0</v>
      </c>
      <c r="N555" s="11">
        <f t="shared" si="44"/>
        <v>0</v>
      </c>
      <c r="P555" s="13">
        <f t="shared" si="45"/>
        <v>0</v>
      </c>
    </row>
    <row r="556" spans="1:16" x14ac:dyDescent="0.25">
      <c r="A556" s="16">
        <v>0</v>
      </c>
      <c r="B556" s="4">
        <f>INDEX([1]!PREDICT[TRUE PTS],MATCH($A556,[1]!PREDICT[HARD CODE],0))</f>
        <v>0</v>
      </c>
      <c r="C556" s="7" t="str">
        <f>INDEX([1]!MODEL[POS],MATCH($A556,[1]!MODEL[Code],0))</f>
        <v>-</v>
      </c>
      <c r="D556" s="7" t="str">
        <f>INDEX([1]!MODEL[TEAM],MATCH($A556,[1]!MODEL[Code],0))</f>
        <v>-</v>
      </c>
      <c r="E556" s="7">
        <f>INDEX([1]PREDICT!$M$3:$M$1001,MATCH($A556,[1]PREDICT!$B$3:$B$1001,0))</f>
        <v>0</v>
      </c>
      <c r="F556" s="15" t="str">
        <f>INDEX([1]!MODEL[FPL_Name],MATCH($A556,[1]!MODEL[Code],0))</f>
        <v>-</v>
      </c>
      <c r="G556" s="10">
        <v>0</v>
      </c>
      <c r="H556" s="10">
        <v>0</v>
      </c>
      <c r="I556" s="10">
        <v>0</v>
      </c>
      <c r="J556" s="11">
        <f t="shared" si="41"/>
        <v>0</v>
      </c>
      <c r="K556" s="11">
        <f t="shared" si="42"/>
        <v>0</v>
      </c>
      <c r="L556" s="11">
        <f t="shared" si="43"/>
        <v>0</v>
      </c>
      <c r="M556" s="11">
        <v>0</v>
      </c>
      <c r="N556" s="11">
        <f t="shared" si="44"/>
        <v>0</v>
      </c>
      <c r="P556" s="13">
        <f t="shared" si="45"/>
        <v>0</v>
      </c>
    </row>
    <row r="557" spans="1:16" x14ac:dyDescent="0.25">
      <c r="A557" s="16">
        <v>0</v>
      </c>
      <c r="B557" s="4">
        <f>INDEX([1]!PREDICT[TRUE PTS],MATCH($A557,[1]!PREDICT[HARD CODE],0))</f>
        <v>0</v>
      </c>
      <c r="C557" s="7" t="str">
        <f>INDEX([1]!MODEL[POS],MATCH($A557,[1]!MODEL[Code],0))</f>
        <v>-</v>
      </c>
      <c r="D557" s="7" t="str">
        <f>INDEX([1]!MODEL[TEAM],MATCH($A557,[1]!MODEL[Code],0))</f>
        <v>-</v>
      </c>
      <c r="E557" s="7">
        <f>INDEX([1]PREDICT!$M$3:$M$1001,MATCH($A557,[1]PREDICT!$B$3:$B$1001,0))</f>
        <v>0</v>
      </c>
      <c r="F557" s="15" t="str">
        <f>INDEX([1]!MODEL[FPL_Name],MATCH($A557,[1]!MODEL[Code],0))</f>
        <v>-</v>
      </c>
      <c r="G557" s="10">
        <v>0</v>
      </c>
      <c r="H557" s="10">
        <v>0</v>
      </c>
      <c r="I557" s="10">
        <v>0</v>
      </c>
      <c r="J557" s="11">
        <f t="shared" si="41"/>
        <v>0</v>
      </c>
      <c r="K557" s="11">
        <f t="shared" si="42"/>
        <v>0</v>
      </c>
      <c r="L557" s="11">
        <f t="shared" si="43"/>
        <v>0</v>
      </c>
      <c r="M557" s="11">
        <v>0</v>
      </c>
      <c r="N557" s="11">
        <f t="shared" si="44"/>
        <v>0</v>
      </c>
      <c r="P557" s="13">
        <f t="shared" si="45"/>
        <v>0</v>
      </c>
    </row>
    <row r="558" spans="1:16" x14ac:dyDescent="0.25">
      <c r="A558" s="16">
        <v>0</v>
      </c>
      <c r="B558" s="4">
        <f>INDEX([1]!PREDICT[TRUE PTS],MATCH($A558,[1]!PREDICT[HARD CODE],0))</f>
        <v>0</v>
      </c>
      <c r="C558" s="7" t="str">
        <f>INDEX([1]!MODEL[POS],MATCH($A558,[1]!MODEL[Code],0))</f>
        <v>-</v>
      </c>
      <c r="D558" s="7" t="str">
        <f>INDEX([1]!MODEL[TEAM],MATCH($A558,[1]!MODEL[Code],0))</f>
        <v>-</v>
      </c>
      <c r="E558" s="7">
        <f>INDEX([1]PREDICT!$M$3:$M$1001,MATCH($A558,[1]PREDICT!$B$3:$B$1001,0))</f>
        <v>0</v>
      </c>
      <c r="F558" s="15" t="str">
        <f>INDEX([1]!MODEL[FPL_Name],MATCH($A558,[1]!MODEL[Code],0))</f>
        <v>-</v>
      </c>
      <c r="G558" s="10">
        <v>0</v>
      </c>
      <c r="H558" s="10">
        <v>0</v>
      </c>
      <c r="I558" s="10">
        <v>0</v>
      </c>
      <c r="J558" s="11">
        <f t="shared" si="41"/>
        <v>0</v>
      </c>
      <c r="K558" s="11">
        <f t="shared" si="42"/>
        <v>0</v>
      </c>
      <c r="L558" s="11">
        <f t="shared" si="43"/>
        <v>0</v>
      </c>
      <c r="M558" s="11">
        <v>0</v>
      </c>
      <c r="N558" s="11">
        <f t="shared" si="44"/>
        <v>0</v>
      </c>
      <c r="P558" s="13">
        <f t="shared" si="45"/>
        <v>0</v>
      </c>
    </row>
    <row r="559" spans="1:16" x14ac:dyDescent="0.25">
      <c r="A559" s="16">
        <v>0</v>
      </c>
      <c r="B559" s="4">
        <f>INDEX([1]!PREDICT[TRUE PTS],MATCH($A559,[1]!PREDICT[HARD CODE],0))</f>
        <v>0</v>
      </c>
      <c r="C559" s="7" t="str">
        <f>INDEX([1]!MODEL[POS],MATCH($A559,[1]!MODEL[Code],0))</f>
        <v>-</v>
      </c>
      <c r="D559" s="7" t="str">
        <f>INDEX([1]!MODEL[TEAM],MATCH($A559,[1]!MODEL[Code],0))</f>
        <v>-</v>
      </c>
      <c r="E559" s="7">
        <f>INDEX([1]PREDICT!$M$3:$M$1001,MATCH($A559,[1]PREDICT!$B$3:$B$1001,0))</f>
        <v>0</v>
      </c>
      <c r="F559" s="15" t="str">
        <f>INDEX([1]!MODEL[FPL_Name],MATCH($A559,[1]!MODEL[Code],0))</f>
        <v>-</v>
      </c>
      <c r="G559" s="10">
        <v>0</v>
      </c>
      <c r="H559" s="10">
        <v>0</v>
      </c>
      <c r="I559" s="10">
        <v>0</v>
      </c>
      <c r="J559" s="11">
        <f t="shared" si="41"/>
        <v>0</v>
      </c>
      <c r="K559" s="11">
        <f t="shared" si="42"/>
        <v>0</v>
      </c>
      <c r="L559" s="11">
        <f t="shared" si="43"/>
        <v>0</v>
      </c>
      <c r="M559" s="11">
        <v>0</v>
      </c>
      <c r="N559" s="11">
        <f t="shared" si="44"/>
        <v>0</v>
      </c>
      <c r="P559" s="13">
        <f t="shared" si="45"/>
        <v>0</v>
      </c>
    </row>
    <row r="560" spans="1:16" x14ac:dyDescent="0.25">
      <c r="A560" s="16">
        <v>0</v>
      </c>
      <c r="B560" s="4">
        <f>INDEX([1]!PREDICT[TRUE PTS],MATCH($A560,[1]!PREDICT[HARD CODE],0))</f>
        <v>0</v>
      </c>
      <c r="C560" s="7" t="str">
        <f>INDEX([1]!MODEL[POS],MATCH($A560,[1]!MODEL[Code],0))</f>
        <v>-</v>
      </c>
      <c r="D560" s="7" t="str">
        <f>INDEX([1]!MODEL[TEAM],MATCH($A560,[1]!MODEL[Code],0))</f>
        <v>-</v>
      </c>
      <c r="E560" s="7">
        <f>INDEX([1]PREDICT!$M$3:$M$1001,MATCH($A560,[1]PREDICT!$B$3:$B$1001,0))</f>
        <v>0</v>
      </c>
      <c r="F560" s="15" t="str">
        <f>INDEX([1]!MODEL[FPL_Name],MATCH($A560,[1]!MODEL[Code],0))</f>
        <v>-</v>
      </c>
      <c r="G560" s="10">
        <v>0</v>
      </c>
      <c r="H560" s="10">
        <v>0</v>
      </c>
      <c r="I560" s="10">
        <v>0</v>
      </c>
      <c r="J560" s="11">
        <f t="shared" si="41"/>
        <v>0</v>
      </c>
      <c r="K560" s="11">
        <f t="shared" si="42"/>
        <v>0</v>
      </c>
      <c r="L560" s="11">
        <f t="shared" si="43"/>
        <v>0</v>
      </c>
      <c r="M560" s="11">
        <v>0</v>
      </c>
      <c r="N560" s="11">
        <f t="shared" si="44"/>
        <v>0</v>
      </c>
      <c r="P560" s="13">
        <f t="shared" si="45"/>
        <v>0</v>
      </c>
    </row>
    <row r="561" spans="1:16" x14ac:dyDescent="0.25">
      <c r="A561" s="16">
        <v>0</v>
      </c>
      <c r="B561" s="4">
        <f>INDEX([1]!PREDICT[TRUE PTS],MATCH($A561,[1]!PREDICT[HARD CODE],0))</f>
        <v>0</v>
      </c>
      <c r="C561" s="7" t="str">
        <f>INDEX([1]!MODEL[POS],MATCH($A561,[1]!MODEL[Code],0))</f>
        <v>-</v>
      </c>
      <c r="D561" s="7" t="str">
        <f>INDEX([1]!MODEL[TEAM],MATCH($A561,[1]!MODEL[Code],0))</f>
        <v>-</v>
      </c>
      <c r="E561" s="7">
        <f>INDEX([1]PREDICT!$M$3:$M$1001,MATCH($A561,[1]PREDICT!$B$3:$B$1001,0))</f>
        <v>0</v>
      </c>
      <c r="F561" s="15" t="str">
        <f>INDEX([1]!MODEL[FPL_Name],MATCH($A561,[1]!MODEL[Code],0))</f>
        <v>-</v>
      </c>
      <c r="G561" s="10">
        <v>0</v>
      </c>
      <c r="H561" s="10">
        <v>0</v>
      </c>
      <c r="I561" s="10">
        <v>0</v>
      </c>
      <c r="J561" s="11">
        <f t="shared" si="41"/>
        <v>0</v>
      </c>
      <c r="K561" s="11">
        <f t="shared" si="42"/>
        <v>0</v>
      </c>
      <c r="L561" s="11">
        <f t="shared" si="43"/>
        <v>0</v>
      </c>
      <c r="M561" s="11">
        <v>0</v>
      </c>
      <c r="N561" s="11">
        <f t="shared" si="44"/>
        <v>0</v>
      </c>
      <c r="P561" s="13">
        <f t="shared" si="45"/>
        <v>0</v>
      </c>
    </row>
    <row r="562" spans="1:16" x14ac:dyDescent="0.25">
      <c r="A562" s="16">
        <v>0</v>
      </c>
      <c r="B562" s="4">
        <f>INDEX([1]!PREDICT[TRUE PTS],MATCH($A562,[1]!PREDICT[HARD CODE],0))</f>
        <v>0</v>
      </c>
      <c r="C562" s="7" t="str">
        <f>INDEX([1]!MODEL[POS],MATCH($A562,[1]!MODEL[Code],0))</f>
        <v>-</v>
      </c>
      <c r="D562" s="7" t="str">
        <f>INDEX([1]!MODEL[TEAM],MATCH($A562,[1]!MODEL[Code],0))</f>
        <v>-</v>
      </c>
      <c r="E562" s="7">
        <f>INDEX([1]PREDICT!$M$3:$M$1001,MATCH($A562,[1]PREDICT!$B$3:$B$1001,0))</f>
        <v>0</v>
      </c>
      <c r="F562" s="15" t="str">
        <f>INDEX([1]!MODEL[FPL_Name],MATCH($A562,[1]!MODEL[Code],0))</f>
        <v>-</v>
      </c>
      <c r="G562" s="10">
        <v>0</v>
      </c>
      <c r="H562" s="10">
        <v>0</v>
      </c>
      <c r="I562" s="10">
        <v>0</v>
      </c>
      <c r="J562" s="11">
        <f t="shared" si="41"/>
        <v>0</v>
      </c>
      <c r="K562" s="11">
        <f t="shared" si="42"/>
        <v>0</v>
      </c>
      <c r="L562" s="11">
        <f t="shared" si="43"/>
        <v>0</v>
      </c>
      <c r="M562" s="11">
        <v>0</v>
      </c>
      <c r="N562" s="11">
        <f t="shared" si="44"/>
        <v>0</v>
      </c>
      <c r="P562" s="13">
        <f t="shared" si="45"/>
        <v>0</v>
      </c>
    </row>
    <row r="563" spans="1:16" x14ac:dyDescent="0.25">
      <c r="A563" s="16">
        <v>0</v>
      </c>
      <c r="B563" s="4">
        <f>INDEX([1]!PREDICT[TRUE PTS],MATCH($A563,[1]!PREDICT[HARD CODE],0))</f>
        <v>0</v>
      </c>
      <c r="C563" s="7" t="str">
        <f>INDEX([1]!MODEL[POS],MATCH($A563,[1]!MODEL[Code],0))</f>
        <v>-</v>
      </c>
      <c r="D563" s="7" t="str">
        <f>INDEX([1]!MODEL[TEAM],MATCH($A563,[1]!MODEL[Code],0))</f>
        <v>-</v>
      </c>
      <c r="E563" s="7">
        <f>INDEX([1]PREDICT!$M$3:$M$1001,MATCH($A563,[1]PREDICT!$B$3:$B$1001,0))</f>
        <v>0</v>
      </c>
      <c r="F563" s="15" t="str">
        <f>INDEX([1]!MODEL[FPL_Name],MATCH($A563,[1]!MODEL[Code],0))</f>
        <v>-</v>
      </c>
      <c r="G563" s="10">
        <v>0</v>
      </c>
      <c r="H563" s="10">
        <v>0</v>
      </c>
      <c r="I563" s="10">
        <v>0</v>
      </c>
      <c r="J563" s="11">
        <f t="shared" si="41"/>
        <v>0</v>
      </c>
      <c r="K563" s="11">
        <f t="shared" si="42"/>
        <v>0</v>
      </c>
      <c r="L563" s="11">
        <f t="shared" si="43"/>
        <v>0</v>
      </c>
      <c r="M563" s="11">
        <v>0</v>
      </c>
      <c r="N563" s="11">
        <f t="shared" si="44"/>
        <v>0</v>
      </c>
      <c r="P563" s="13">
        <f t="shared" si="45"/>
        <v>0</v>
      </c>
    </row>
    <row r="564" spans="1:16" x14ac:dyDescent="0.25">
      <c r="A564" s="16">
        <v>0</v>
      </c>
      <c r="B564" s="4">
        <f>INDEX([1]!PREDICT[TRUE PTS],MATCH($A564,[1]!PREDICT[HARD CODE],0))</f>
        <v>0</v>
      </c>
      <c r="C564" s="7" t="str">
        <f>INDEX([1]!MODEL[POS],MATCH($A564,[1]!MODEL[Code],0))</f>
        <v>-</v>
      </c>
      <c r="D564" s="7" t="str">
        <f>INDEX([1]!MODEL[TEAM],MATCH($A564,[1]!MODEL[Code],0))</f>
        <v>-</v>
      </c>
      <c r="E564" s="7">
        <f>INDEX([1]PREDICT!$M$3:$M$1001,MATCH($A564,[1]PREDICT!$B$3:$B$1001,0))</f>
        <v>0</v>
      </c>
      <c r="F564" s="15" t="str">
        <f>INDEX([1]!MODEL[FPL_Name],MATCH($A564,[1]!MODEL[Code],0))</f>
        <v>-</v>
      </c>
      <c r="G564" s="10">
        <v>0</v>
      </c>
      <c r="H564" s="10">
        <v>0</v>
      </c>
      <c r="I564" s="10">
        <v>0</v>
      </c>
      <c r="J564" s="11">
        <f t="shared" si="41"/>
        <v>0</v>
      </c>
      <c r="K564" s="11">
        <f t="shared" si="42"/>
        <v>0</v>
      </c>
      <c r="L564" s="11">
        <f t="shared" si="43"/>
        <v>0</v>
      </c>
      <c r="M564" s="11">
        <v>0</v>
      </c>
      <c r="N564" s="11">
        <f t="shared" si="44"/>
        <v>0</v>
      </c>
      <c r="P564" s="13">
        <f t="shared" si="45"/>
        <v>0</v>
      </c>
    </row>
    <row r="565" spans="1:16" x14ac:dyDescent="0.25">
      <c r="A565" s="16">
        <v>0</v>
      </c>
      <c r="B565" s="4">
        <f>INDEX([1]!PREDICT[TRUE PTS],MATCH($A565,[1]!PREDICT[HARD CODE],0))</f>
        <v>0</v>
      </c>
      <c r="C565" s="7" t="str">
        <f>INDEX([1]!MODEL[POS],MATCH($A565,[1]!MODEL[Code],0))</f>
        <v>-</v>
      </c>
      <c r="D565" s="7" t="str">
        <f>INDEX([1]!MODEL[TEAM],MATCH($A565,[1]!MODEL[Code],0))</f>
        <v>-</v>
      </c>
      <c r="E565" s="7">
        <f>INDEX([1]PREDICT!$M$3:$M$1001,MATCH($A565,[1]PREDICT!$B$3:$B$1001,0))</f>
        <v>0</v>
      </c>
      <c r="F565" s="15" t="str">
        <f>INDEX([1]!MODEL[FPL_Name],MATCH($A565,[1]!MODEL[Code],0))</f>
        <v>-</v>
      </c>
      <c r="G565" s="10">
        <v>0</v>
      </c>
      <c r="H565" s="10">
        <v>0</v>
      </c>
      <c r="I565" s="10">
        <v>0</v>
      </c>
      <c r="J565" s="11">
        <f t="shared" si="41"/>
        <v>0</v>
      </c>
      <c r="K565" s="11">
        <f t="shared" si="42"/>
        <v>0</v>
      </c>
      <c r="L565" s="11">
        <f t="shared" si="43"/>
        <v>0</v>
      </c>
      <c r="M565" s="11">
        <v>0</v>
      </c>
      <c r="N565" s="11">
        <f t="shared" si="44"/>
        <v>0</v>
      </c>
      <c r="P565" s="13">
        <f t="shared" si="45"/>
        <v>0</v>
      </c>
    </row>
    <row r="566" spans="1:16" x14ac:dyDescent="0.25">
      <c r="A566" s="16">
        <v>0</v>
      </c>
      <c r="B566" s="4">
        <f>INDEX([1]!PREDICT[TRUE PTS],MATCH($A566,[1]!PREDICT[HARD CODE],0))</f>
        <v>0</v>
      </c>
      <c r="C566" s="7" t="str">
        <f>INDEX([1]!MODEL[POS],MATCH($A566,[1]!MODEL[Code],0))</f>
        <v>-</v>
      </c>
      <c r="D566" s="7" t="str">
        <f>INDEX([1]!MODEL[TEAM],MATCH($A566,[1]!MODEL[Code],0))</f>
        <v>-</v>
      </c>
      <c r="E566" s="7">
        <f>INDEX([1]PREDICT!$M$3:$M$1001,MATCH($A566,[1]PREDICT!$B$3:$B$1001,0))</f>
        <v>0</v>
      </c>
      <c r="F566" s="15" t="str">
        <f>INDEX([1]!MODEL[FPL_Name],MATCH($A566,[1]!MODEL[Code],0))</f>
        <v>-</v>
      </c>
      <c r="G566" s="10">
        <v>0</v>
      </c>
      <c r="H566" s="10">
        <v>0</v>
      </c>
      <c r="I566" s="10">
        <v>0</v>
      </c>
      <c r="J566" s="11">
        <f t="shared" si="41"/>
        <v>0</v>
      </c>
      <c r="K566" s="11">
        <f t="shared" si="42"/>
        <v>0</v>
      </c>
      <c r="L566" s="11">
        <f t="shared" si="43"/>
        <v>0</v>
      </c>
      <c r="M566" s="11">
        <v>0</v>
      </c>
      <c r="N566" s="11">
        <f t="shared" si="44"/>
        <v>0</v>
      </c>
      <c r="P566" s="13">
        <f t="shared" si="45"/>
        <v>0</v>
      </c>
    </row>
    <row r="567" spans="1:16" x14ac:dyDescent="0.25">
      <c r="A567" s="16">
        <v>0</v>
      </c>
      <c r="B567" s="4">
        <f>INDEX([1]!PREDICT[TRUE PTS],MATCH($A567,[1]!PREDICT[HARD CODE],0))</f>
        <v>0</v>
      </c>
      <c r="C567" s="7" t="str">
        <f>INDEX([1]!MODEL[POS],MATCH($A567,[1]!MODEL[Code],0))</f>
        <v>-</v>
      </c>
      <c r="D567" s="7" t="str">
        <f>INDEX([1]!MODEL[TEAM],MATCH($A567,[1]!MODEL[Code],0))</f>
        <v>-</v>
      </c>
      <c r="E567" s="7">
        <f>INDEX([1]PREDICT!$M$3:$M$1001,MATCH($A567,[1]PREDICT!$B$3:$B$1001,0))</f>
        <v>0</v>
      </c>
      <c r="F567" s="15" t="str">
        <f>INDEX([1]!MODEL[FPL_Name],MATCH($A567,[1]!MODEL[Code],0))</f>
        <v>-</v>
      </c>
      <c r="G567" s="10">
        <v>0</v>
      </c>
      <c r="H567" s="10">
        <v>0</v>
      </c>
      <c r="I567" s="10">
        <v>0</v>
      </c>
      <c r="J567" s="11">
        <f t="shared" si="41"/>
        <v>0</v>
      </c>
      <c r="K567" s="11">
        <f t="shared" si="42"/>
        <v>0</v>
      </c>
      <c r="L567" s="11">
        <f t="shared" si="43"/>
        <v>0</v>
      </c>
      <c r="M567" s="11">
        <v>0</v>
      </c>
      <c r="N567" s="11">
        <f t="shared" si="44"/>
        <v>0</v>
      </c>
      <c r="P567" s="13">
        <f t="shared" si="45"/>
        <v>0</v>
      </c>
    </row>
    <row r="568" spans="1:16" x14ac:dyDescent="0.25">
      <c r="A568" s="16">
        <v>0</v>
      </c>
      <c r="B568" s="4">
        <f>INDEX([1]!PREDICT[TRUE PTS],MATCH($A568,[1]!PREDICT[HARD CODE],0))</f>
        <v>0</v>
      </c>
      <c r="C568" s="7" t="str">
        <f>INDEX([1]!MODEL[POS],MATCH($A568,[1]!MODEL[Code],0))</f>
        <v>-</v>
      </c>
      <c r="D568" s="7" t="str">
        <f>INDEX([1]!MODEL[TEAM],MATCH($A568,[1]!MODEL[Code],0))</f>
        <v>-</v>
      </c>
      <c r="E568" s="7">
        <f>INDEX([1]PREDICT!$M$3:$M$1001,MATCH($A568,[1]PREDICT!$B$3:$B$1001,0))</f>
        <v>0</v>
      </c>
      <c r="F568" s="15" t="str">
        <f>INDEX([1]!MODEL[FPL_Name],MATCH($A568,[1]!MODEL[Code],0))</f>
        <v>-</v>
      </c>
      <c r="G568" s="10">
        <v>0</v>
      </c>
      <c r="H568" s="10">
        <v>0</v>
      </c>
      <c r="I568" s="10">
        <v>0</v>
      </c>
      <c r="J568" s="11">
        <f t="shared" si="41"/>
        <v>0</v>
      </c>
      <c r="K568" s="11">
        <f t="shared" si="42"/>
        <v>0</v>
      </c>
      <c r="L568" s="11">
        <f t="shared" si="43"/>
        <v>0</v>
      </c>
      <c r="M568" s="11">
        <v>0</v>
      </c>
      <c r="N568" s="11">
        <f t="shared" si="44"/>
        <v>0</v>
      </c>
      <c r="P568" s="13">
        <f t="shared" si="45"/>
        <v>0</v>
      </c>
    </row>
    <row r="569" spans="1:16" x14ac:dyDescent="0.25">
      <c r="A569" s="16">
        <v>0</v>
      </c>
      <c r="B569" s="4">
        <f>INDEX([1]!PREDICT[TRUE PTS],MATCH($A569,[1]!PREDICT[HARD CODE],0))</f>
        <v>0</v>
      </c>
      <c r="C569" s="7" t="str">
        <f>INDEX([1]!MODEL[POS],MATCH($A569,[1]!MODEL[Code],0))</f>
        <v>-</v>
      </c>
      <c r="D569" s="7" t="str">
        <f>INDEX([1]!MODEL[TEAM],MATCH($A569,[1]!MODEL[Code],0))</f>
        <v>-</v>
      </c>
      <c r="E569" s="7">
        <f>INDEX([1]PREDICT!$M$3:$M$1001,MATCH($A569,[1]PREDICT!$B$3:$B$1001,0))</f>
        <v>0</v>
      </c>
      <c r="F569" s="15" t="str">
        <f>INDEX([1]!MODEL[FPL_Name],MATCH($A569,[1]!MODEL[Code],0))</f>
        <v>-</v>
      </c>
      <c r="G569" s="10">
        <v>0</v>
      </c>
      <c r="H569" s="10">
        <v>0</v>
      </c>
      <c r="I569" s="10">
        <v>0</v>
      </c>
      <c r="J569" s="11">
        <f t="shared" si="41"/>
        <v>0</v>
      </c>
      <c r="K569" s="11">
        <f t="shared" si="42"/>
        <v>0</v>
      </c>
      <c r="L569" s="11">
        <f t="shared" si="43"/>
        <v>0</v>
      </c>
      <c r="M569" s="11">
        <v>0</v>
      </c>
      <c r="N569" s="11">
        <f t="shared" si="44"/>
        <v>0</v>
      </c>
      <c r="P569" s="13">
        <f t="shared" si="45"/>
        <v>0</v>
      </c>
    </row>
    <row r="570" spans="1:16" x14ac:dyDescent="0.25">
      <c r="A570" s="16">
        <v>0</v>
      </c>
      <c r="B570" s="4">
        <f>INDEX([1]!PREDICT[TRUE PTS],MATCH($A570,[1]!PREDICT[HARD CODE],0))</f>
        <v>0</v>
      </c>
      <c r="C570" s="7" t="str">
        <f>INDEX([1]!MODEL[POS],MATCH($A570,[1]!MODEL[Code],0))</f>
        <v>-</v>
      </c>
      <c r="D570" s="7" t="str">
        <f>INDEX([1]!MODEL[TEAM],MATCH($A570,[1]!MODEL[Code],0))</f>
        <v>-</v>
      </c>
      <c r="E570" s="7">
        <f>INDEX([1]PREDICT!$M$3:$M$1001,MATCH($A570,[1]PREDICT!$B$3:$B$1001,0))</f>
        <v>0</v>
      </c>
      <c r="F570" s="15" t="str">
        <f>INDEX([1]!MODEL[FPL_Name],MATCH($A570,[1]!MODEL[Code],0))</f>
        <v>-</v>
      </c>
      <c r="G570" s="10">
        <v>0</v>
      </c>
      <c r="H570" s="10">
        <v>0</v>
      </c>
      <c r="I570" s="10">
        <v>0</v>
      </c>
      <c r="J570" s="11">
        <f t="shared" si="41"/>
        <v>0</v>
      </c>
      <c r="K570" s="11">
        <f t="shared" si="42"/>
        <v>0</v>
      </c>
      <c r="L570" s="11">
        <f t="shared" si="43"/>
        <v>0</v>
      </c>
      <c r="M570" s="11">
        <v>0</v>
      </c>
      <c r="N570" s="11">
        <f t="shared" si="44"/>
        <v>0</v>
      </c>
      <c r="P570" s="13">
        <f t="shared" si="45"/>
        <v>0</v>
      </c>
    </row>
    <row r="571" spans="1:16" x14ac:dyDescent="0.25">
      <c r="A571" s="16">
        <v>0</v>
      </c>
      <c r="B571" s="4">
        <f>INDEX([1]!PREDICT[TRUE PTS],MATCH($A571,[1]!PREDICT[HARD CODE],0))</f>
        <v>0</v>
      </c>
      <c r="C571" s="7" t="str">
        <f>INDEX([1]!MODEL[POS],MATCH($A571,[1]!MODEL[Code],0))</f>
        <v>-</v>
      </c>
      <c r="D571" s="7" t="str">
        <f>INDEX([1]!MODEL[TEAM],MATCH($A571,[1]!MODEL[Code],0))</f>
        <v>-</v>
      </c>
      <c r="E571" s="7">
        <f>INDEX([1]PREDICT!$M$3:$M$1001,MATCH($A571,[1]PREDICT!$B$3:$B$1001,0))</f>
        <v>0</v>
      </c>
      <c r="F571" s="15" t="str">
        <f>INDEX([1]!MODEL[FPL_Name],MATCH($A571,[1]!MODEL[Code],0))</f>
        <v>-</v>
      </c>
      <c r="G571" s="10">
        <v>0</v>
      </c>
      <c r="H571" s="10">
        <v>0</v>
      </c>
      <c r="I571" s="10">
        <v>0</v>
      </c>
      <c r="J571" s="11">
        <f t="shared" si="41"/>
        <v>0</v>
      </c>
      <c r="K571" s="11">
        <f t="shared" si="42"/>
        <v>0</v>
      </c>
      <c r="L571" s="11">
        <f t="shared" si="43"/>
        <v>0</v>
      </c>
      <c r="M571" s="11">
        <v>0</v>
      </c>
      <c r="N571" s="11">
        <f t="shared" si="44"/>
        <v>0</v>
      </c>
      <c r="P571" s="13">
        <f t="shared" si="45"/>
        <v>0</v>
      </c>
    </row>
    <row r="572" spans="1:16" x14ac:dyDescent="0.25">
      <c r="A572" s="16">
        <v>0</v>
      </c>
      <c r="B572" s="4">
        <f>INDEX([1]!PREDICT[TRUE PTS],MATCH($A572,[1]!PREDICT[HARD CODE],0))</f>
        <v>0</v>
      </c>
      <c r="C572" s="7" t="str">
        <f>INDEX([1]!MODEL[POS],MATCH($A572,[1]!MODEL[Code],0))</f>
        <v>-</v>
      </c>
      <c r="D572" s="7" t="str">
        <f>INDEX([1]!MODEL[TEAM],MATCH($A572,[1]!MODEL[Code],0))</f>
        <v>-</v>
      </c>
      <c r="E572" s="7">
        <f>INDEX([1]PREDICT!$M$3:$M$1001,MATCH($A572,[1]PREDICT!$B$3:$B$1001,0))</f>
        <v>0</v>
      </c>
      <c r="F572" s="15" t="str">
        <f>INDEX([1]!MODEL[FPL_Name],MATCH($A572,[1]!MODEL[Code],0))</f>
        <v>-</v>
      </c>
      <c r="G572" s="10">
        <v>0</v>
      </c>
      <c r="H572" s="10">
        <v>0</v>
      </c>
      <c r="I572" s="10">
        <v>0</v>
      </c>
      <c r="J572" s="11">
        <f t="shared" si="41"/>
        <v>0</v>
      </c>
      <c r="K572" s="11">
        <f t="shared" si="42"/>
        <v>0</v>
      </c>
      <c r="L572" s="11">
        <f t="shared" si="43"/>
        <v>0</v>
      </c>
      <c r="M572" s="11">
        <v>0</v>
      </c>
      <c r="N572" s="11">
        <f t="shared" si="44"/>
        <v>0</v>
      </c>
      <c r="P572" s="13">
        <f t="shared" si="45"/>
        <v>0</v>
      </c>
    </row>
    <row r="573" spans="1:16" x14ac:dyDescent="0.25">
      <c r="A573" s="16">
        <v>0</v>
      </c>
      <c r="B573" s="4">
        <f>INDEX([1]!PREDICT[TRUE PTS],MATCH($A573,[1]!PREDICT[HARD CODE],0))</f>
        <v>0</v>
      </c>
      <c r="C573" s="7" t="str">
        <f>INDEX([1]!MODEL[POS],MATCH($A573,[1]!MODEL[Code],0))</f>
        <v>-</v>
      </c>
      <c r="D573" s="7" t="str">
        <f>INDEX([1]!MODEL[TEAM],MATCH($A573,[1]!MODEL[Code],0))</f>
        <v>-</v>
      </c>
      <c r="E573" s="7">
        <f>INDEX([1]PREDICT!$M$3:$M$1001,MATCH($A573,[1]PREDICT!$B$3:$B$1001,0))</f>
        <v>0</v>
      </c>
      <c r="F573" s="15" t="str">
        <f>INDEX([1]!MODEL[FPL_Name],MATCH($A573,[1]!MODEL[Code],0))</f>
        <v>-</v>
      </c>
      <c r="G573" s="10">
        <v>0</v>
      </c>
      <c r="H573" s="10">
        <v>0</v>
      </c>
      <c r="I573" s="10">
        <v>0</v>
      </c>
      <c r="J573" s="11">
        <f t="shared" si="41"/>
        <v>0</v>
      </c>
      <c r="K573" s="11">
        <f t="shared" si="42"/>
        <v>0</v>
      </c>
      <c r="L573" s="11">
        <f t="shared" si="43"/>
        <v>0</v>
      </c>
      <c r="M573" s="11">
        <v>0</v>
      </c>
      <c r="N573" s="11">
        <f t="shared" si="44"/>
        <v>0</v>
      </c>
      <c r="P573" s="13">
        <f t="shared" si="45"/>
        <v>0</v>
      </c>
    </row>
    <row r="574" spans="1:16" x14ac:dyDescent="0.25">
      <c r="A574" s="16">
        <v>0</v>
      </c>
      <c r="B574" s="4">
        <f>INDEX([1]!PREDICT[TRUE PTS],MATCH($A574,[1]!PREDICT[HARD CODE],0))</f>
        <v>0</v>
      </c>
      <c r="C574" s="7" t="str">
        <f>INDEX([1]!MODEL[POS],MATCH($A574,[1]!MODEL[Code],0))</f>
        <v>-</v>
      </c>
      <c r="D574" s="7" t="str">
        <f>INDEX([1]!MODEL[TEAM],MATCH($A574,[1]!MODEL[Code],0))</f>
        <v>-</v>
      </c>
      <c r="E574" s="7">
        <f>INDEX([1]PREDICT!$M$3:$M$1001,MATCH($A574,[1]PREDICT!$B$3:$B$1001,0))</f>
        <v>0</v>
      </c>
      <c r="F574" s="15" t="str">
        <f>INDEX([1]!MODEL[FPL_Name],MATCH($A574,[1]!MODEL[Code],0))</f>
        <v>-</v>
      </c>
      <c r="G574" s="10">
        <v>0</v>
      </c>
      <c r="H574" s="10">
        <v>0</v>
      </c>
      <c r="I574" s="10">
        <v>0</v>
      </c>
      <c r="J574" s="11">
        <f t="shared" si="41"/>
        <v>0</v>
      </c>
      <c r="K574" s="11">
        <f t="shared" si="42"/>
        <v>0</v>
      </c>
      <c r="L574" s="11">
        <f t="shared" si="43"/>
        <v>0</v>
      </c>
      <c r="M574" s="11">
        <v>0</v>
      </c>
      <c r="N574" s="11">
        <f t="shared" si="44"/>
        <v>0</v>
      </c>
      <c r="P574" s="13">
        <f t="shared" si="45"/>
        <v>0</v>
      </c>
    </row>
    <row r="575" spans="1:16" x14ac:dyDescent="0.25">
      <c r="A575" s="16">
        <v>0</v>
      </c>
      <c r="B575" s="4">
        <f>INDEX([1]!PREDICT[TRUE PTS],MATCH($A575,[1]!PREDICT[HARD CODE],0))</f>
        <v>0</v>
      </c>
      <c r="C575" s="7" t="str">
        <f>INDEX([1]!MODEL[POS],MATCH($A575,[1]!MODEL[Code],0))</f>
        <v>-</v>
      </c>
      <c r="D575" s="7" t="str">
        <f>INDEX([1]!MODEL[TEAM],MATCH($A575,[1]!MODEL[Code],0))</f>
        <v>-</v>
      </c>
      <c r="E575" s="7">
        <f>INDEX([1]PREDICT!$M$3:$M$1001,MATCH($A575,[1]PREDICT!$B$3:$B$1001,0))</f>
        <v>0</v>
      </c>
      <c r="F575" s="15" t="str">
        <f>INDEX([1]!MODEL[FPL_Name],MATCH($A575,[1]!MODEL[Code],0))</f>
        <v>-</v>
      </c>
      <c r="G575" s="10">
        <v>0</v>
      </c>
      <c r="H575" s="10">
        <v>0</v>
      </c>
      <c r="I575" s="10">
        <v>0</v>
      </c>
      <c r="J575" s="11">
        <f t="shared" si="41"/>
        <v>0</v>
      </c>
      <c r="K575" s="11">
        <f t="shared" si="42"/>
        <v>0</v>
      </c>
      <c r="L575" s="11">
        <f t="shared" si="43"/>
        <v>0</v>
      </c>
      <c r="M575" s="11">
        <v>0</v>
      </c>
      <c r="N575" s="11">
        <f t="shared" si="44"/>
        <v>0</v>
      </c>
      <c r="P575" s="13">
        <f t="shared" si="45"/>
        <v>0</v>
      </c>
    </row>
    <row r="576" spans="1:16" x14ac:dyDescent="0.25">
      <c r="A576" s="16">
        <v>0</v>
      </c>
      <c r="B576" s="4">
        <f>INDEX([1]!PREDICT[TRUE PTS],MATCH($A576,[1]!PREDICT[HARD CODE],0))</f>
        <v>0</v>
      </c>
      <c r="C576" s="7" t="str">
        <f>INDEX([1]!MODEL[POS],MATCH($A576,[1]!MODEL[Code],0))</f>
        <v>-</v>
      </c>
      <c r="D576" s="7" t="str">
        <f>INDEX([1]!MODEL[TEAM],MATCH($A576,[1]!MODEL[Code],0))</f>
        <v>-</v>
      </c>
      <c r="E576" s="7">
        <f>INDEX([1]PREDICT!$M$3:$M$1001,MATCH($A576,[1]PREDICT!$B$3:$B$1001,0))</f>
        <v>0</v>
      </c>
      <c r="F576" s="15" t="str">
        <f>INDEX([1]!MODEL[FPL_Name],MATCH($A576,[1]!MODEL[Code],0))</f>
        <v>-</v>
      </c>
      <c r="G576" s="10">
        <v>0</v>
      </c>
      <c r="H576" s="10">
        <v>0</v>
      </c>
      <c r="I576" s="10">
        <v>0</v>
      </c>
      <c r="J576" s="11">
        <f t="shared" si="41"/>
        <v>0</v>
      </c>
      <c r="K576" s="11">
        <f t="shared" si="42"/>
        <v>0</v>
      </c>
      <c r="L576" s="11">
        <f t="shared" si="43"/>
        <v>0</v>
      </c>
      <c r="M576" s="11">
        <v>0</v>
      </c>
      <c r="N576" s="11">
        <f t="shared" si="44"/>
        <v>0</v>
      </c>
      <c r="P576" s="13">
        <f t="shared" si="45"/>
        <v>0</v>
      </c>
    </row>
    <row r="577" spans="1:16" x14ac:dyDescent="0.25">
      <c r="A577" s="16">
        <v>0</v>
      </c>
      <c r="B577" s="4">
        <f>INDEX([1]!PREDICT[TRUE PTS],MATCH($A577,[1]!PREDICT[HARD CODE],0))</f>
        <v>0</v>
      </c>
      <c r="C577" s="7" t="str">
        <f>INDEX([1]!MODEL[POS],MATCH($A577,[1]!MODEL[Code],0))</f>
        <v>-</v>
      </c>
      <c r="D577" s="7" t="str">
        <f>INDEX([1]!MODEL[TEAM],MATCH($A577,[1]!MODEL[Code],0))</f>
        <v>-</v>
      </c>
      <c r="E577" s="7">
        <f>INDEX([1]PREDICT!$M$3:$M$1001,MATCH($A577,[1]PREDICT!$B$3:$B$1001,0))</f>
        <v>0</v>
      </c>
      <c r="F577" s="15" t="str">
        <f>INDEX([1]!MODEL[FPL_Name],MATCH($A577,[1]!MODEL[Code],0))</f>
        <v>-</v>
      </c>
      <c r="G577" s="10">
        <v>0</v>
      </c>
      <c r="H577" s="10">
        <v>0</v>
      </c>
      <c r="I577" s="10">
        <v>0</v>
      </c>
      <c r="J577" s="11">
        <f t="shared" si="41"/>
        <v>0</v>
      </c>
      <c r="K577" s="11">
        <f t="shared" si="42"/>
        <v>0</v>
      </c>
      <c r="L577" s="11">
        <f t="shared" si="43"/>
        <v>0</v>
      </c>
      <c r="M577" s="11">
        <v>0</v>
      </c>
      <c r="N577" s="11">
        <f t="shared" si="44"/>
        <v>0</v>
      </c>
      <c r="P577" s="13">
        <f t="shared" si="45"/>
        <v>0</v>
      </c>
    </row>
    <row r="578" spans="1:16" x14ac:dyDescent="0.25">
      <c r="A578" s="16">
        <v>0</v>
      </c>
      <c r="B578" s="4">
        <f>INDEX([1]!PREDICT[TRUE PTS],MATCH($A578,[1]!PREDICT[HARD CODE],0))</f>
        <v>0</v>
      </c>
      <c r="C578" s="7" t="str">
        <f>INDEX([1]!MODEL[POS],MATCH($A578,[1]!MODEL[Code],0))</f>
        <v>-</v>
      </c>
      <c r="D578" s="7" t="str">
        <f>INDEX([1]!MODEL[TEAM],MATCH($A578,[1]!MODEL[Code],0))</f>
        <v>-</v>
      </c>
      <c r="E578" s="7">
        <f>INDEX([1]PREDICT!$M$3:$M$1001,MATCH($A578,[1]PREDICT!$B$3:$B$1001,0))</f>
        <v>0</v>
      </c>
      <c r="F578" s="15" t="str">
        <f>INDEX([1]!MODEL[FPL_Name],MATCH($A578,[1]!MODEL[Code],0))</f>
        <v>-</v>
      </c>
      <c r="G578" s="10">
        <v>0</v>
      </c>
      <c r="H578" s="10">
        <v>0</v>
      </c>
      <c r="I578" s="10">
        <v>0</v>
      </c>
      <c r="J578" s="11">
        <f t="shared" ref="J578:J641" si="46">G578+H578</f>
        <v>0</v>
      </c>
      <c r="K578" s="11">
        <f t="shared" ref="K578:K641" si="47">G578*E578</f>
        <v>0</v>
      </c>
      <c r="L578" s="11">
        <f t="shared" ref="L578:L641" si="48">H578*E578</f>
        <v>0</v>
      </c>
      <c r="M578" s="11">
        <v>0</v>
      </c>
      <c r="N578" s="11">
        <f t="shared" ref="N578:N641" si="49">(G578*B578)+(H578*B578*$U$2)+(I578*B578)</f>
        <v>0</v>
      </c>
      <c r="P578" s="13">
        <f t="shared" ref="P578:P641" si="50">IFERROR((B578/E578)/$Q$2,0)</f>
        <v>0</v>
      </c>
    </row>
    <row r="579" spans="1:16" x14ac:dyDescent="0.25">
      <c r="A579" s="16">
        <v>0</v>
      </c>
      <c r="B579" s="4">
        <f>INDEX([1]!PREDICT[TRUE PTS],MATCH($A579,[1]!PREDICT[HARD CODE],0))</f>
        <v>0</v>
      </c>
      <c r="C579" s="7" t="str">
        <f>INDEX([1]!MODEL[POS],MATCH($A579,[1]!MODEL[Code],0))</f>
        <v>-</v>
      </c>
      <c r="D579" s="7" t="str">
        <f>INDEX([1]!MODEL[TEAM],MATCH($A579,[1]!MODEL[Code],0))</f>
        <v>-</v>
      </c>
      <c r="E579" s="7">
        <f>INDEX([1]PREDICT!$M$3:$M$1001,MATCH($A579,[1]PREDICT!$B$3:$B$1001,0))</f>
        <v>0</v>
      </c>
      <c r="F579" s="15" t="str">
        <f>INDEX([1]!MODEL[FPL_Name],MATCH($A579,[1]!MODEL[Code],0))</f>
        <v>-</v>
      </c>
      <c r="G579" s="10">
        <v>0</v>
      </c>
      <c r="H579" s="10">
        <v>0</v>
      </c>
      <c r="I579" s="10">
        <v>0</v>
      </c>
      <c r="J579" s="11">
        <f t="shared" si="46"/>
        <v>0</v>
      </c>
      <c r="K579" s="11">
        <f t="shared" si="47"/>
        <v>0</v>
      </c>
      <c r="L579" s="11">
        <f t="shared" si="48"/>
        <v>0</v>
      </c>
      <c r="M579" s="11">
        <v>0</v>
      </c>
      <c r="N579" s="11">
        <f t="shared" si="49"/>
        <v>0</v>
      </c>
      <c r="P579" s="13">
        <f t="shared" si="50"/>
        <v>0</v>
      </c>
    </row>
    <row r="580" spans="1:16" x14ac:dyDescent="0.25">
      <c r="A580" s="16">
        <v>0</v>
      </c>
      <c r="B580" s="4">
        <f>INDEX([1]!PREDICT[TRUE PTS],MATCH($A580,[1]!PREDICT[HARD CODE],0))</f>
        <v>0</v>
      </c>
      <c r="C580" s="7" t="str">
        <f>INDEX([1]!MODEL[POS],MATCH($A580,[1]!MODEL[Code],0))</f>
        <v>-</v>
      </c>
      <c r="D580" s="7" t="str">
        <f>INDEX([1]!MODEL[TEAM],MATCH($A580,[1]!MODEL[Code],0))</f>
        <v>-</v>
      </c>
      <c r="E580" s="7">
        <f>INDEX([1]PREDICT!$M$3:$M$1001,MATCH($A580,[1]PREDICT!$B$3:$B$1001,0))</f>
        <v>0</v>
      </c>
      <c r="F580" s="15" t="str">
        <f>INDEX([1]!MODEL[FPL_Name],MATCH($A580,[1]!MODEL[Code],0))</f>
        <v>-</v>
      </c>
      <c r="G580" s="10">
        <v>0</v>
      </c>
      <c r="H580" s="10">
        <v>0</v>
      </c>
      <c r="I580" s="10">
        <v>0</v>
      </c>
      <c r="J580" s="11">
        <f t="shared" si="46"/>
        <v>0</v>
      </c>
      <c r="K580" s="11">
        <f t="shared" si="47"/>
        <v>0</v>
      </c>
      <c r="L580" s="11">
        <f t="shared" si="48"/>
        <v>0</v>
      </c>
      <c r="M580" s="11">
        <v>0</v>
      </c>
      <c r="N580" s="11">
        <f t="shared" si="49"/>
        <v>0</v>
      </c>
      <c r="P580" s="13">
        <f t="shared" si="50"/>
        <v>0</v>
      </c>
    </row>
    <row r="581" spans="1:16" x14ac:dyDescent="0.25">
      <c r="A581" s="16">
        <v>0</v>
      </c>
      <c r="B581" s="4">
        <f>INDEX([1]!PREDICT[TRUE PTS],MATCH($A581,[1]!PREDICT[HARD CODE],0))</f>
        <v>0</v>
      </c>
      <c r="C581" s="7" t="str">
        <f>INDEX([1]!MODEL[POS],MATCH($A581,[1]!MODEL[Code],0))</f>
        <v>-</v>
      </c>
      <c r="D581" s="7" t="str">
        <f>INDEX([1]!MODEL[TEAM],MATCH($A581,[1]!MODEL[Code],0))</f>
        <v>-</v>
      </c>
      <c r="E581" s="7">
        <f>INDEX([1]PREDICT!$M$3:$M$1001,MATCH($A581,[1]PREDICT!$B$3:$B$1001,0))</f>
        <v>0</v>
      </c>
      <c r="F581" s="15" t="str">
        <f>INDEX([1]!MODEL[FPL_Name],MATCH($A581,[1]!MODEL[Code],0))</f>
        <v>-</v>
      </c>
      <c r="G581" s="10">
        <v>0</v>
      </c>
      <c r="H581" s="10">
        <v>0</v>
      </c>
      <c r="I581" s="10">
        <v>0</v>
      </c>
      <c r="J581" s="11">
        <f t="shared" si="46"/>
        <v>0</v>
      </c>
      <c r="K581" s="11">
        <f t="shared" si="47"/>
        <v>0</v>
      </c>
      <c r="L581" s="11">
        <f t="shared" si="48"/>
        <v>0</v>
      </c>
      <c r="M581" s="11">
        <v>0</v>
      </c>
      <c r="N581" s="11">
        <f t="shared" si="49"/>
        <v>0</v>
      </c>
      <c r="P581" s="13">
        <f t="shared" si="50"/>
        <v>0</v>
      </c>
    </row>
    <row r="582" spans="1:16" x14ac:dyDescent="0.25">
      <c r="A582" s="16">
        <v>0</v>
      </c>
      <c r="B582" s="4">
        <f>INDEX([1]!PREDICT[TRUE PTS],MATCH($A582,[1]!PREDICT[HARD CODE],0))</f>
        <v>0</v>
      </c>
      <c r="C582" s="7" t="str">
        <f>INDEX([1]!MODEL[POS],MATCH($A582,[1]!MODEL[Code],0))</f>
        <v>-</v>
      </c>
      <c r="D582" s="7" t="str">
        <f>INDEX([1]!MODEL[TEAM],MATCH($A582,[1]!MODEL[Code],0))</f>
        <v>-</v>
      </c>
      <c r="E582" s="7">
        <f>INDEX([1]PREDICT!$M$3:$M$1001,MATCH($A582,[1]PREDICT!$B$3:$B$1001,0))</f>
        <v>0</v>
      </c>
      <c r="F582" s="15" t="str">
        <f>INDEX([1]!MODEL[FPL_Name],MATCH($A582,[1]!MODEL[Code],0))</f>
        <v>-</v>
      </c>
      <c r="G582" s="10">
        <v>0</v>
      </c>
      <c r="H582" s="10">
        <v>0</v>
      </c>
      <c r="I582" s="10">
        <v>0</v>
      </c>
      <c r="J582" s="11">
        <f t="shared" si="46"/>
        <v>0</v>
      </c>
      <c r="K582" s="11">
        <f t="shared" si="47"/>
        <v>0</v>
      </c>
      <c r="L582" s="11">
        <f t="shared" si="48"/>
        <v>0</v>
      </c>
      <c r="M582" s="11">
        <v>0</v>
      </c>
      <c r="N582" s="11">
        <f t="shared" si="49"/>
        <v>0</v>
      </c>
      <c r="P582" s="13">
        <f t="shared" si="50"/>
        <v>0</v>
      </c>
    </row>
    <row r="583" spans="1:16" x14ac:dyDescent="0.25">
      <c r="A583" s="16">
        <v>0</v>
      </c>
      <c r="B583" s="4">
        <f>INDEX([1]!PREDICT[TRUE PTS],MATCH($A583,[1]!PREDICT[HARD CODE],0))</f>
        <v>0</v>
      </c>
      <c r="C583" s="7" t="str">
        <f>INDEX([1]!MODEL[POS],MATCH($A583,[1]!MODEL[Code],0))</f>
        <v>-</v>
      </c>
      <c r="D583" s="7" t="str">
        <f>INDEX([1]!MODEL[TEAM],MATCH($A583,[1]!MODEL[Code],0))</f>
        <v>-</v>
      </c>
      <c r="E583" s="7">
        <f>INDEX([1]PREDICT!$M$3:$M$1001,MATCH($A583,[1]PREDICT!$B$3:$B$1001,0))</f>
        <v>0</v>
      </c>
      <c r="F583" s="15" t="str">
        <f>INDEX([1]!MODEL[FPL_Name],MATCH($A583,[1]!MODEL[Code],0))</f>
        <v>-</v>
      </c>
      <c r="G583" s="10">
        <v>0</v>
      </c>
      <c r="H583" s="10">
        <v>0</v>
      </c>
      <c r="I583" s="10">
        <v>0</v>
      </c>
      <c r="J583" s="11">
        <f t="shared" si="46"/>
        <v>0</v>
      </c>
      <c r="K583" s="11">
        <f t="shared" si="47"/>
        <v>0</v>
      </c>
      <c r="L583" s="11">
        <f t="shared" si="48"/>
        <v>0</v>
      </c>
      <c r="M583" s="11">
        <v>0</v>
      </c>
      <c r="N583" s="11">
        <f t="shared" si="49"/>
        <v>0</v>
      </c>
      <c r="P583" s="13">
        <f t="shared" si="50"/>
        <v>0</v>
      </c>
    </row>
    <row r="584" spans="1:16" x14ac:dyDescent="0.25">
      <c r="A584" s="16">
        <v>0</v>
      </c>
      <c r="B584" s="4">
        <f>INDEX([1]!PREDICT[TRUE PTS],MATCH($A584,[1]!PREDICT[HARD CODE],0))</f>
        <v>0</v>
      </c>
      <c r="C584" s="7" t="str">
        <f>INDEX([1]!MODEL[POS],MATCH($A584,[1]!MODEL[Code],0))</f>
        <v>-</v>
      </c>
      <c r="D584" s="7" t="str">
        <f>INDEX([1]!MODEL[TEAM],MATCH($A584,[1]!MODEL[Code],0))</f>
        <v>-</v>
      </c>
      <c r="E584" s="7">
        <f>INDEX([1]PREDICT!$M$3:$M$1001,MATCH($A584,[1]PREDICT!$B$3:$B$1001,0))</f>
        <v>0</v>
      </c>
      <c r="F584" s="15" t="str">
        <f>INDEX([1]!MODEL[FPL_Name],MATCH($A584,[1]!MODEL[Code],0))</f>
        <v>-</v>
      </c>
      <c r="G584" s="10">
        <v>0</v>
      </c>
      <c r="H584" s="10">
        <v>0</v>
      </c>
      <c r="I584" s="10">
        <v>0</v>
      </c>
      <c r="J584" s="11">
        <f t="shared" si="46"/>
        <v>0</v>
      </c>
      <c r="K584" s="11">
        <f t="shared" si="47"/>
        <v>0</v>
      </c>
      <c r="L584" s="11">
        <f t="shared" si="48"/>
        <v>0</v>
      </c>
      <c r="M584" s="11">
        <v>0</v>
      </c>
      <c r="N584" s="11">
        <f t="shared" si="49"/>
        <v>0</v>
      </c>
      <c r="P584" s="13">
        <f t="shared" si="50"/>
        <v>0</v>
      </c>
    </row>
    <row r="585" spans="1:16" x14ac:dyDescent="0.25">
      <c r="A585" s="16">
        <v>0</v>
      </c>
      <c r="B585" s="4">
        <f>INDEX([1]!PREDICT[TRUE PTS],MATCH($A585,[1]!PREDICT[HARD CODE],0))</f>
        <v>0</v>
      </c>
      <c r="C585" s="7" t="str">
        <f>INDEX([1]!MODEL[POS],MATCH($A585,[1]!MODEL[Code],0))</f>
        <v>-</v>
      </c>
      <c r="D585" s="7" t="str">
        <f>INDEX([1]!MODEL[TEAM],MATCH($A585,[1]!MODEL[Code],0))</f>
        <v>-</v>
      </c>
      <c r="E585" s="7">
        <f>INDEX([1]PREDICT!$M$3:$M$1001,MATCH($A585,[1]PREDICT!$B$3:$B$1001,0))</f>
        <v>0</v>
      </c>
      <c r="F585" s="15" t="str">
        <f>INDEX([1]!MODEL[FPL_Name],MATCH($A585,[1]!MODEL[Code],0))</f>
        <v>-</v>
      </c>
      <c r="G585" s="10">
        <v>0</v>
      </c>
      <c r="H585" s="10">
        <v>0</v>
      </c>
      <c r="I585" s="10">
        <v>0</v>
      </c>
      <c r="J585" s="11">
        <f t="shared" si="46"/>
        <v>0</v>
      </c>
      <c r="K585" s="11">
        <f t="shared" si="47"/>
        <v>0</v>
      </c>
      <c r="L585" s="11">
        <f t="shared" si="48"/>
        <v>0</v>
      </c>
      <c r="M585" s="11">
        <v>0</v>
      </c>
      <c r="N585" s="11">
        <f t="shared" si="49"/>
        <v>0</v>
      </c>
      <c r="P585" s="13">
        <f t="shared" si="50"/>
        <v>0</v>
      </c>
    </row>
    <row r="586" spans="1:16" x14ac:dyDescent="0.25">
      <c r="A586" s="16">
        <v>0</v>
      </c>
      <c r="B586" s="4">
        <f>INDEX([1]!PREDICT[TRUE PTS],MATCH($A586,[1]!PREDICT[HARD CODE],0))</f>
        <v>0</v>
      </c>
      <c r="C586" s="7" t="str">
        <f>INDEX([1]!MODEL[POS],MATCH($A586,[1]!MODEL[Code],0))</f>
        <v>-</v>
      </c>
      <c r="D586" s="7" t="str">
        <f>INDEX([1]!MODEL[TEAM],MATCH($A586,[1]!MODEL[Code],0))</f>
        <v>-</v>
      </c>
      <c r="E586" s="7">
        <f>INDEX([1]PREDICT!$M$3:$M$1001,MATCH($A586,[1]PREDICT!$B$3:$B$1001,0))</f>
        <v>0</v>
      </c>
      <c r="F586" s="15" t="str">
        <f>INDEX([1]!MODEL[FPL_Name],MATCH($A586,[1]!MODEL[Code],0))</f>
        <v>-</v>
      </c>
      <c r="G586" s="10">
        <v>0</v>
      </c>
      <c r="H586" s="10">
        <v>0</v>
      </c>
      <c r="I586" s="10">
        <v>0</v>
      </c>
      <c r="J586" s="11">
        <f t="shared" si="46"/>
        <v>0</v>
      </c>
      <c r="K586" s="11">
        <f t="shared" si="47"/>
        <v>0</v>
      </c>
      <c r="L586" s="11">
        <f t="shared" si="48"/>
        <v>0</v>
      </c>
      <c r="M586" s="11">
        <v>0</v>
      </c>
      <c r="N586" s="11">
        <f t="shared" si="49"/>
        <v>0</v>
      </c>
      <c r="P586" s="13">
        <f t="shared" si="50"/>
        <v>0</v>
      </c>
    </row>
    <row r="587" spans="1:16" x14ac:dyDescent="0.25">
      <c r="A587" s="16">
        <v>0</v>
      </c>
      <c r="B587" s="4">
        <f>INDEX([1]!PREDICT[TRUE PTS],MATCH($A587,[1]!PREDICT[HARD CODE],0))</f>
        <v>0</v>
      </c>
      <c r="C587" s="7" t="str">
        <f>INDEX([1]!MODEL[POS],MATCH($A587,[1]!MODEL[Code],0))</f>
        <v>-</v>
      </c>
      <c r="D587" s="7" t="str">
        <f>INDEX([1]!MODEL[TEAM],MATCH($A587,[1]!MODEL[Code],0))</f>
        <v>-</v>
      </c>
      <c r="E587" s="7">
        <f>INDEX([1]PREDICT!$M$3:$M$1001,MATCH($A587,[1]PREDICT!$B$3:$B$1001,0))</f>
        <v>0</v>
      </c>
      <c r="F587" s="15" t="str">
        <f>INDEX([1]!MODEL[FPL_Name],MATCH($A587,[1]!MODEL[Code],0))</f>
        <v>-</v>
      </c>
      <c r="G587" s="10">
        <v>0</v>
      </c>
      <c r="H587" s="10">
        <v>0</v>
      </c>
      <c r="I587" s="10">
        <v>0</v>
      </c>
      <c r="J587" s="11">
        <f t="shared" si="46"/>
        <v>0</v>
      </c>
      <c r="K587" s="11">
        <f t="shared" si="47"/>
        <v>0</v>
      </c>
      <c r="L587" s="11">
        <f t="shared" si="48"/>
        <v>0</v>
      </c>
      <c r="M587" s="11">
        <v>0</v>
      </c>
      <c r="N587" s="11">
        <f t="shared" si="49"/>
        <v>0</v>
      </c>
      <c r="P587" s="13">
        <f t="shared" si="50"/>
        <v>0</v>
      </c>
    </row>
    <row r="588" spans="1:16" x14ac:dyDescent="0.25">
      <c r="A588" s="16">
        <v>0</v>
      </c>
      <c r="B588" s="4">
        <f>INDEX([1]!PREDICT[TRUE PTS],MATCH($A588,[1]!PREDICT[HARD CODE],0))</f>
        <v>0</v>
      </c>
      <c r="C588" s="7" t="str">
        <f>INDEX([1]!MODEL[POS],MATCH($A588,[1]!MODEL[Code],0))</f>
        <v>-</v>
      </c>
      <c r="D588" s="7" t="str">
        <f>INDEX([1]!MODEL[TEAM],MATCH($A588,[1]!MODEL[Code],0))</f>
        <v>-</v>
      </c>
      <c r="E588" s="7">
        <f>INDEX([1]PREDICT!$M$3:$M$1001,MATCH($A588,[1]PREDICT!$B$3:$B$1001,0))</f>
        <v>0</v>
      </c>
      <c r="F588" s="15" t="str">
        <f>INDEX([1]!MODEL[FPL_Name],MATCH($A588,[1]!MODEL[Code],0))</f>
        <v>-</v>
      </c>
      <c r="G588" s="10">
        <v>0</v>
      </c>
      <c r="H588" s="10">
        <v>0</v>
      </c>
      <c r="I588" s="10">
        <v>0</v>
      </c>
      <c r="J588" s="11">
        <f t="shared" si="46"/>
        <v>0</v>
      </c>
      <c r="K588" s="11">
        <f t="shared" si="47"/>
        <v>0</v>
      </c>
      <c r="L588" s="11">
        <f t="shared" si="48"/>
        <v>0</v>
      </c>
      <c r="M588" s="11">
        <v>0</v>
      </c>
      <c r="N588" s="11">
        <f t="shared" si="49"/>
        <v>0</v>
      </c>
      <c r="P588" s="13">
        <f t="shared" si="50"/>
        <v>0</v>
      </c>
    </row>
    <row r="589" spans="1:16" x14ac:dyDescent="0.25">
      <c r="A589" s="16">
        <v>0</v>
      </c>
      <c r="B589" s="4">
        <f>INDEX([1]!PREDICT[TRUE PTS],MATCH($A589,[1]!PREDICT[HARD CODE],0))</f>
        <v>0</v>
      </c>
      <c r="C589" s="7" t="str">
        <f>INDEX([1]!MODEL[POS],MATCH($A589,[1]!MODEL[Code],0))</f>
        <v>-</v>
      </c>
      <c r="D589" s="7" t="str">
        <f>INDEX([1]!MODEL[TEAM],MATCH($A589,[1]!MODEL[Code],0))</f>
        <v>-</v>
      </c>
      <c r="E589" s="7">
        <f>INDEX([1]PREDICT!$M$3:$M$1001,MATCH($A589,[1]PREDICT!$B$3:$B$1001,0))</f>
        <v>0</v>
      </c>
      <c r="F589" s="15" t="str">
        <f>INDEX([1]!MODEL[FPL_Name],MATCH($A589,[1]!MODEL[Code],0))</f>
        <v>-</v>
      </c>
      <c r="G589" s="10">
        <v>0</v>
      </c>
      <c r="H589" s="10">
        <v>0</v>
      </c>
      <c r="I589" s="10">
        <v>0</v>
      </c>
      <c r="J589" s="11">
        <f t="shared" si="46"/>
        <v>0</v>
      </c>
      <c r="K589" s="11">
        <f t="shared" si="47"/>
        <v>0</v>
      </c>
      <c r="L589" s="11">
        <f t="shared" si="48"/>
        <v>0</v>
      </c>
      <c r="M589" s="11">
        <v>0</v>
      </c>
      <c r="N589" s="11">
        <f t="shared" si="49"/>
        <v>0</v>
      </c>
      <c r="P589" s="13">
        <f t="shared" si="50"/>
        <v>0</v>
      </c>
    </row>
    <row r="590" spans="1:16" x14ac:dyDescent="0.25">
      <c r="A590" s="16">
        <v>0</v>
      </c>
      <c r="B590" s="4">
        <f>INDEX([1]!PREDICT[TRUE PTS],MATCH($A590,[1]!PREDICT[HARD CODE],0))</f>
        <v>0</v>
      </c>
      <c r="C590" s="7" t="str">
        <f>INDEX([1]!MODEL[POS],MATCH($A590,[1]!MODEL[Code],0))</f>
        <v>-</v>
      </c>
      <c r="D590" s="7" t="str">
        <f>INDEX([1]!MODEL[TEAM],MATCH($A590,[1]!MODEL[Code],0))</f>
        <v>-</v>
      </c>
      <c r="E590" s="7">
        <f>INDEX([1]PREDICT!$M$3:$M$1001,MATCH($A590,[1]PREDICT!$B$3:$B$1001,0))</f>
        <v>0</v>
      </c>
      <c r="F590" s="15" t="str">
        <f>INDEX([1]!MODEL[FPL_Name],MATCH($A590,[1]!MODEL[Code],0))</f>
        <v>-</v>
      </c>
      <c r="G590" s="10">
        <v>0</v>
      </c>
      <c r="H590" s="10">
        <v>0</v>
      </c>
      <c r="I590" s="10">
        <v>0</v>
      </c>
      <c r="J590" s="11">
        <f t="shared" si="46"/>
        <v>0</v>
      </c>
      <c r="K590" s="11">
        <f t="shared" si="47"/>
        <v>0</v>
      </c>
      <c r="L590" s="11">
        <f t="shared" si="48"/>
        <v>0</v>
      </c>
      <c r="M590" s="11">
        <v>0</v>
      </c>
      <c r="N590" s="11">
        <f t="shared" si="49"/>
        <v>0</v>
      </c>
      <c r="P590" s="13">
        <f t="shared" si="50"/>
        <v>0</v>
      </c>
    </row>
    <row r="591" spans="1:16" x14ac:dyDescent="0.25">
      <c r="A591" s="16">
        <v>0</v>
      </c>
      <c r="B591" s="4">
        <f>INDEX([1]!PREDICT[TRUE PTS],MATCH($A591,[1]!PREDICT[HARD CODE],0))</f>
        <v>0</v>
      </c>
      <c r="C591" s="7" t="str">
        <f>INDEX([1]!MODEL[POS],MATCH($A591,[1]!MODEL[Code],0))</f>
        <v>-</v>
      </c>
      <c r="D591" s="7" t="str">
        <f>INDEX([1]!MODEL[TEAM],MATCH($A591,[1]!MODEL[Code],0))</f>
        <v>-</v>
      </c>
      <c r="E591" s="7">
        <f>INDEX([1]PREDICT!$M$3:$M$1001,MATCH($A591,[1]PREDICT!$B$3:$B$1001,0))</f>
        <v>0</v>
      </c>
      <c r="F591" s="15" t="str">
        <f>INDEX([1]!MODEL[FPL_Name],MATCH($A591,[1]!MODEL[Code],0))</f>
        <v>-</v>
      </c>
      <c r="G591" s="10">
        <v>0</v>
      </c>
      <c r="H591" s="10">
        <v>0</v>
      </c>
      <c r="I591" s="10">
        <v>0</v>
      </c>
      <c r="J591" s="11">
        <f t="shared" si="46"/>
        <v>0</v>
      </c>
      <c r="K591" s="11">
        <f t="shared" si="47"/>
        <v>0</v>
      </c>
      <c r="L591" s="11">
        <f t="shared" si="48"/>
        <v>0</v>
      </c>
      <c r="M591" s="11">
        <v>0</v>
      </c>
      <c r="N591" s="11">
        <f t="shared" si="49"/>
        <v>0</v>
      </c>
      <c r="P591" s="13">
        <f t="shared" si="50"/>
        <v>0</v>
      </c>
    </row>
    <row r="592" spans="1:16" x14ac:dyDescent="0.25">
      <c r="A592" s="16">
        <v>0</v>
      </c>
      <c r="B592" s="4">
        <f>INDEX([1]!PREDICT[TRUE PTS],MATCH($A592,[1]!PREDICT[HARD CODE],0))</f>
        <v>0</v>
      </c>
      <c r="C592" s="7" t="str">
        <f>INDEX([1]!MODEL[POS],MATCH($A592,[1]!MODEL[Code],0))</f>
        <v>-</v>
      </c>
      <c r="D592" s="7" t="str">
        <f>INDEX([1]!MODEL[TEAM],MATCH($A592,[1]!MODEL[Code],0))</f>
        <v>-</v>
      </c>
      <c r="E592" s="7">
        <f>INDEX([1]PREDICT!$M$3:$M$1001,MATCH($A592,[1]PREDICT!$B$3:$B$1001,0))</f>
        <v>0</v>
      </c>
      <c r="F592" s="15" t="str">
        <f>INDEX([1]!MODEL[FPL_Name],MATCH($A592,[1]!MODEL[Code],0))</f>
        <v>-</v>
      </c>
      <c r="G592" s="10">
        <v>0</v>
      </c>
      <c r="H592" s="10">
        <v>0</v>
      </c>
      <c r="I592" s="10">
        <v>0</v>
      </c>
      <c r="J592" s="11">
        <f t="shared" si="46"/>
        <v>0</v>
      </c>
      <c r="K592" s="11">
        <f t="shared" si="47"/>
        <v>0</v>
      </c>
      <c r="L592" s="11">
        <f t="shared" si="48"/>
        <v>0</v>
      </c>
      <c r="M592" s="11">
        <v>0</v>
      </c>
      <c r="N592" s="11">
        <f t="shared" si="49"/>
        <v>0</v>
      </c>
      <c r="P592" s="13">
        <f t="shared" si="50"/>
        <v>0</v>
      </c>
    </row>
    <row r="593" spans="1:16" x14ac:dyDescent="0.25">
      <c r="A593" s="16">
        <v>0</v>
      </c>
      <c r="B593" s="4">
        <f>INDEX([1]!PREDICT[TRUE PTS],MATCH($A593,[1]!PREDICT[HARD CODE],0))</f>
        <v>0</v>
      </c>
      <c r="C593" s="7" t="str">
        <f>INDEX([1]!MODEL[POS],MATCH($A593,[1]!MODEL[Code],0))</f>
        <v>-</v>
      </c>
      <c r="D593" s="7" t="str">
        <f>INDEX([1]!MODEL[TEAM],MATCH($A593,[1]!MODEL[Code],0))</f>
        <v>-</v>
      </c>
      <c r="E593" s="7">
        <f>INDEX([1]PREDICT!$M$3:$M$1001,MATCH($A593,[1]PREDICT!$B$3:$B$1001,0))</f>
        <v>0</v>
      </c>
      <c r="F593" s="15" t="str">
        <f>INDEX([1]!MODEL[FPL_Name],MATCH($A593,[1]!MODEL[Code],0))</f>
        <v>-</v>
      </c>
      <c r="G593" s="10">
        <v>0</v>
      </c>
      <c r="H593" s="10">
        <v>0</v>
      </c>
      <c r="I593" s="10">
        <v>0</v>
      </c>
      <c r="J593" s="11">
        <f t="shared" si="46"/>
        <v>0</v>
      </c>
      <c r="K593" s="11">
        <f t="shared" si="47"/>
        <v>0</v>
      </c>
      <c r="L593" s="11">
        <f t="shared" si="48"/>
        <v>0</v>
      </c>
      <c r="M593" s="11">
        <v>0</v>
      </c>
      <c r="N593" s="11">
        <f t="shared" si="49"/>
        <v>0</v>
      </c>
      <c r="P593" s="13">
        <f t="shared" si="50"/>
        <v>0</v>
      </c>
    </row>
    <row r="594" spans="1:16" x14ac:dyDescent="0.25">
      <c r="A594" s="16">
        <v>0</v>
      </c>
      <c r="B594" s="4">
        <f>INDEX([1]!PREDICT[TRUE PTS],MATCH($A594,[1]!PREDICT[HARD CODE],0))</f>
        <v>0</v>
      </c>
      <c r="C594" s="7" t="str">
        <f>INDEX([1]!MODEL[POS],MATCH($A594,[1]!MODEL[Code],0))</f>
        <v>-</v>
      </c>
      <c r="D594" s="7" t="str">
        <f>INDEX([1]!MODEL[TEAM],MATCH($A594,[1]!MODEL[Code],0))</f>
        <v>-</v>
      </c>
      <c r="E594" s="7">
        <f>INDEX([1]PREDICT!$M$3:$M$1001,MATCH($A594,[1]PREDICT!$B$3:$B$1001,0))</f>
        <v>0</v>
      </c>
      <c r="F594" s="15" t="str">
        <f>INDEX([1]!MODEL[FPL_Name],MATCH($A594,[1]!MODEL[Code],0))</f>
        <v>-</v>
      </c>
      <c r="G594" s="10">
        <v>0</v>
      </c>
      <c r="H594" s="10">
        <v>0</v>
      </c>
      <c r="I594" s="10">
        <v>0</v>
      </c>
      <c r="J594" s="11">
        <f t="shared" si="46"/>
        <v>0</v>
      </c>
      <c r="K594" s="11">
        <f t="shared" si="47"/>
        <v>0</v>
      </c>
      <c r="L594" s="11">
        <f t="shared" si="48"/>
        <v>0</v>
      </c>
      <c r="M594" s="11">
        <v>0</v>
      </c>
      <c r="N594" s="11">
        <f t="shared" si="49"/>
        <v>0</v>
      </c>
      <c r="P594" s="13">
        <f t="shared" si="50"/>
        <v>0</v>
      </c>
    </row>
    <row r="595" spans="1:16" x14ac:dyDescent="0.25">
      <c r="A595" s="16">
        <v>0</v>
      </c>
      <c r="B595" s="4">
        <f>INDEX([1]!PREDICT[TRUE PTS],MATCH($A595,[1]!PREDICT[HARD CODE],0))</f>
        <v>0</v>
      </c>
      <c r="C595" s="7" t="str">
        <f>INDEX([1]!MODEL[POS],MATCH($A595,[1]!MODEL[Code],0))</f>
        <v>-</v>
      </c>
      <c r="D595" s="7" t="str">
        <f>INDEX([1]!MODEL[TEAM],MATCH($A595,[1]!MODEL[Code],0))</f>
        <v>-</v>
      </c>
      <c r="E595" s="7">
        <f>INDEX([1]PREDICT!$M$3:$M$1001,MATCH($A595,[1]PREDICT!$B$3:$B$1001,0))</f>
        <v>0</v>
      </c>
      <c r="F595" s="15" t="str">
        <f>INDEX([1]!MODEL[FPL_Name],MATCH($A595,[1]!MODEL[Code],0))</f>
        <v>-</v>
      </c>
      <c r="G595" s="10">
        <v>0</v>
      </c>
      <c r="H595" s="10">
        <v>0</v>
      </c>
      <c r="I595" s="10">
        <v>0</v>
      </c>
      <c r="J595" s="11">
        <f t="shared" si="46"/>
        <v>0</v>
      </c>
      <c r="K595" s="11">
        <f t="shared" si="47"/>
        <v>0</v>
      </c>
      <c r="L595" s="11">
        <f t="shared" si="48"/>
        <v>0</v>
      </c>
      <c r="M595" s="11">
        <v>0</v>
      </c>
      <c r="N595" s="11">
        <f t="shared" si="49"/>
        <v>0</v>
      </c>
      <c r="P595" s="13">
        <f t="shared" si="50"/>
        <v>0</v>
      </c>
    </row>
    <row r="596" spans="1:16" x14ac:dyDescent="0.25">
      <c r="A596" s="16">
        <v>0</v>
      </c>
      <c r="B596" s="4">
        <f>INDEX([1]!PREDICT[TRUE PTS],MATCH($A596,[1]!PREDICT[HARD CODE],0))</f>
        <v>0</v>
      </c>
      <c r="C596" s="7" t="str">
        <f>INDEX([1]!MODEL[POS],MATCH($A596,[1]!MODEL[Code],0))</f>
        <v>-</v>
      </c>
      <c r="D596" s="7" t="str">
        <f>INDEX([1]!MODEL[TEAM],MATCH($A596,[1]!MODEL[Code],0))</f>
        <v>-</v>
      </c>
      <c r="E596" s="7">
        <f>INDEX([1]PREDICT!$M$3:$M$1001,MATCH($A596,[1]PREDICT!$B$3:$B$1001,0))</f>
        <v>0</v>
      </c>
      <c r="F596" s="15" t="str">
        <f>INDEX([1]!MODEL[FPL_Name],MATCH($A596,[1]!MODEL[Code],0))</f>
        <v>-</v>
      </c>
      <c r="G596" s="10">
        <v>0</v>
      </c>
      <c r="H596" s="10">
        <v>0</v>
      </c>
      <c r="I596" s="10">
        <v>0</v>
      </c>
      <c r="J596" s="11">
        <f t="shared" si="46"/>
        <v>0</v>
      </c>
      <c r="K596" s="11">
        <f t="shared" si="47"/>
        <v>0</v>
      </c>
      <c r="L596" s="11">
        <f t="shared" si="48"/>
        <v>0</v>
      </c>
      <c r="M596" s="11">
        <v>0</v>
      </c>
      <c r="N596" s="11">
        <f t="shared" si="49"/>
        <v>0</v>
      </c>
      <c r="P596" s="13">
        <f t="shared" si="50"/>
        <v>0</v>
      </c>
    </row>
    <row r="597" spans="1:16" x14ac:dyDescent="0.25">
      <c r="A597" s="16">
        <v>0</v>
      </c>
      <c r="B597" s="4">
        <f>INDEX([1]!PREDICT[TRUE PTS],MATCH($A597,[1]!PREDICT[HARD CODE],0))</f>
        <v>0</v>
      </c>
      <c r="C597" s="7" t="str">
        <f>INDEX([1]!MODEL[POS],MATCH($A597,[1]!MODEL[Code],0))</f>
        <v>-</v>
      </c>
      <c r="D597" s="7" t="str">
        <f>INDEX([1]!MODEL[TEAM],MATCH($A597,[1]!MODEL[Code],0))</f>
        <v>-</v>
      </c>
      <c r="E597" s="7">
        <f>INDEX([1]PREDICT!$M$3:$M$1001,MATCH($A597,[1]PREDICT!$B$3:$B$1001,0))</f>
        <v>0</v>
      </c>
      <c r="F597" s="15" t="str">
        <f>INDEX([1]!MODEL[FPL_Name],MATCH($A597,[1]!MODEL[Code],0))</f>
        <v>-</v>
      </c>
      <c r="G597" s="10">
        <v>0</v>
      </c>
      <c r="H597" s="10">
        <v>0</v>
      </c>
      <c r="I597" s="10">
        <v>0</v>
      </c>
      <c r="J597" s="11">
        <f t="shared" si="46"/>
        <v>0</v>
      </c>
      <c r="K597" s="11">
        <f t="shared" si="47"/>
        <v>0</v>
      </c>
      <c r="L597" s="11">
        <f t="shared" si="48"/>
        <v>0</v>
      </c>
      <c r="M597" s="11">
        <v>0</v>
      </c>
      <c r="N597" s="11">
        <f t="shared" si="49"/>
        <v>0</v>
      </c>
      <c r="P597" s="13">
        <f t="shared" si="50"/>
        <v>0</v>
      </c>
    </row>
    <row r="598" spans="1:16" x14ac:dyDescent="0.25">
      <c r="A598" s="16">
        <v>0</v>
      </c>
      <c r="B598" s="4">
        <f>INDEX([1]!PREDICT[TRUE PTS],MATCH($A598,[1]!PREDICT[HARD CODE],0))</f>
        <v>0</v>
      </c>
      <c r="C598" s="7" t="str">
        <f>INDEX([1]!MODEL[POS],MATCH($A598,[1]!MODEL[Code],0))</f>
        <v>-</v>
      </c>
      <c r="D598" s="7" t="str">
        <f>INDEX([1]!MODEL[TEAM],MATCH($A598,[1]!MODEL[Code],0))</f>
        <v>-</v>
      </c>
      <c r="E598" s="7">
        <f>INDEX([1]PREDICT!$M$3:$M$1001,MATCH($A598,[1]PREDICT!$B$3:$B$1001,0))</f>
        <v>0</v>
      </c>
      <c r="F598" s="15" t="str">
        <f>INDEX([1]!MODEL[FPL_Name],MATCH($A598,[1]!MODEL[Code],0))</f>
        <v>-</v>
      </c>
      <c r="G598" s="10">
        <v>0</v>
      </c>
      <c r="H598" s="10">
        <v>0</v>
      </c>
      <c r="I598" s="10">
        <v>0</v>
      </c>
      <c r="J598" s="11">
        <f t="shared" si="46"/>
        <v>0</v>
      </c>
      <c r="K598" s="11">
        <f t="shared" si="47"/>
        <v>0</v>
      </c>
      <c r="L598" s="11">
        <f t="shared" si="48"/>
        <v>0</v>
      </c>
      <c r="M598" s="11">
        <v>0</v>
      </c>
      <c r="N598" s="11">
        <f t="shared" si="49"/>
        <v>0</v>
      </c>
      <c r="P598" s="13">
        <f t="shared" si="50"/>
        <v>0</v>
      </c>
    </row>
    <row r="599" spans="1:16" x14ac:dyDescent="0.25">
      <c r="A599" s="16">
        <v>0</v>
      </c>
      <c r="B599" s="4">
        <f>INDEX([1]!PREDICT[TRUE PTS],MATCH($A599,[1]!PREDICT[HARD CODE],0))</f>
        <v>0</v>
      </c>
      <c r="C599" s="7" t="str">
        <f>INDEX([1]!MODEL[POS],MATCH($A599,[1]!MODEL[Code],0))</f>
        <v>-</v>
      </c>
      <c r="D599" s="7" t="str">
        <f>INDEX([1]!MODEL[TEAM],MATCH($A599,[1]!MODEL[Code],0))</f>
        <v>-</v>
      </c>
      <c r="E599" s="7">
        <f>INDEX([1]PREDICT!$M$3:$M$1001,MATCH($A599,[1]PREDICT!$B$3:$B$1001,0))</f>
        <v>0</v>
      </c>
      <c r="F599" s="15" t="str">
        <f>INDEX([1]!MODEL[FPL_Name],MATCH($A599,[1]!MODEL[Code],0))</f>
        <v>-</v>
      </c>
      <c r="G599" s="10">
        <v>0</v>
      </c>
      <c r="H599" s="10">
        <v>0</v>
      </c>
      <c r="I599" s="10">
        <v>0</v>
      </c>
      <c r="J599" s="11">
        <f t="shared" si="46"/>
        <v>0</v>
      </c>
      <c r="K599" s="11">
        <f t="shared" si="47"/>
        <v>0</v>
      </c>
      <c r="L599" s="11">
        <f t="shared" si="48"/>
        <v>0</v>
      </c>
      <c r="M599" s="11">
        <v>0</v>
      </c>
      <c r="N599" s="11">
        <f t="shared" si="49"/>
        <v>0</v>
      </c>
      <c r="P599" s="13">
        <f t="shared" si="50"/>
        <v>0</v>
      </c>
    </row>
    <row r="600" spans="1:16" x14ac:dyDescent="0.25">
      <c r="A600" s="16">
        <v>0</v>
      </c>
      <c r="B600" s="4">
        <f>INDEX([1]!PREDICT[TRUE PTS],MATCH($A600,[1]!PREDICT[HARD CODE],0))</f>
        <v>0</v>
      </c>
      <c r="C600" s="7" t="str">
        <f>INDEX([1]!MODEL[POS],MATCH($A600,[1]!MODEL[Code],0))</f>
        <v>-</v>
      </c>
      <c r="D600" s="7" t="str">
        <f>INDEX([1]!MODEL[TEAM],MATCH($A600,[1]!MODEL[Code],0))</f>
        <v>-</v>
      </c>
      <c r="E600" s="7">
        <f>INDEX([1]PREDICT!$M$3:$M$1001,MATCH($A600,[1]PREDICT!$B$3:$B$1001,0))</f>
        <v>0</v>
      </c>
      <c r="F600" s="15" t="str">
        <f>INDEX([1]!MODEL[FPL_Name],MATCH($A600,[1]!MODEL[Code],0))</f>
        <v>-</v>
      </c>
      <c r="G600" s="10">
        <v>0</v>
      </c>
      <c r="H600" s="10">
        <v>0</v>
      </c>
      <c r="I600" s="10">
        <v>0</v>
      </c>
      <c r="J600" s="11">
        <f t="shared" si="46"/>
        <v>0</v>
      </c>
      <c r="K600" s="11">
        <f t="shared" si="47"/>
        <v>0</v>
      </c>
      <c r="L600" s="11">
        <f t="shared" si="48"/>
        <v>0</v>
      </c>
      <c r="M600" s="11">
        <v>0</v>
      </c>
      <c r="N600" s="11">
        <f t="shared" si="49"/>
        <v>0</v>
      </c>
      <c r="P600" s="13">
        <f t="shared" si="50"/>
        <v>0</v>
      </c>
    </row>
    <row r="601" spans="1:16" x14ac:dyDescent="0.25">
      <c r="A601" s="16">
        <v>0</v>
      </c>
      <c r="B601" s="4">
        <f>INDEX([1]!PREDICT[TRUE PTS],MATCH($A601,[1]!PREDICT[HARD CODE],0))</f>
        <v>0</v>
      </c>
      <c r="C601" s="7" t="str">
        <f>INDEX([1]!MODEL[POS],MATCH($A601,[1]!MODEL[Code],0))</f>
        <v>-</v>
      </c>
      <c r="D601" s="7" t="str">
        <f>INDEX([1]!MODEL[TEAM],MATCH($A601,[1]!MODEL[Code],0))</f>
        <v>-</v>
      </c>
      <c r="E601" s="7">
        <f>INDEX([1]PREDICT!$M$3:$M$1001,MATCH($A601,[1]PREDICT!$B$3:$B$1001,0))</f>
        <v>0</v>
      </c>
      <c r="F601" s="15" t="str">
        <f>INDEX([1]!MODEL[FPL_Name],MATCH($A601,[1]!MODEL[Code],0))</f>
        <v>-</v>
      </c>
      <c r="G601" s="10">
        <v>0</v>
      </c>
      <c r="H601" s="10">
        <v>0</v>
      </c>
      <c r="I601" s="10">
        <v>0</v>
      </c>
      <c r="J601" s="11">
        <f t="shared" si="46"/>
        <v>0</v>
      </c>
      <c r="K601" s="11">
        <f t="shared" si="47"/>
        <v>0</v>
      </c>
      <c r="L601" s="11">
        <f t="shared" si="48"/>
        <v>0</v>
      </c>
      <c r="M601" s="11">
        <v>0</v>
      </c>
      <c r="N601" s="11">
        <f t="shared" si="49"/>
        <v>0</v>
      </c>
      <c r="P601" s="13">
        <f t="shared" si="50"/>
        <v>0</v>
      </c>
    </row>
    <row r="602" spans="1:16" x14ac:dyDescent="0.25">
      <c r="A602" s="16">
        <v>616222</v>
      </c>
      <c r="B602" s="4">
        <f>INDEX([1]!PREDICT[TRUE PTS],MATCH($A602,[1]!PREDICT[HARD CODE],0))</f>
        <v>-9.922149779191175E-3</v>
      </c>
      <c r="C602" s="7" t="str">
        <f>INDEX([1]!MODEL[POS],MATCH($A602,[1]!MODEL[Code],0))</f>
        <v>DEF</v>
      </c>
      <c r="D602" s="7" t="str">
        <f>INDEX([1]!MODEL[TEAM],MATCH($A602,[1]!MODEL[Code],0))</f>
        <v>MCI</v>
      </c>
      <c r="E602" s="7">
        <f>INDEX([1]PREDICT!$M$3:$M$1001,MATCH($A602,[1]PREDICT!$B$3:$B$1001,0))</f>
        <v>4.5</v>
      </c>
      <c r="F602" s="15" t="str">
        <f>INDEX([1]!MODEL[FPL_Name],MATCH($A602,[1]!MODEL[Code],0))</f>
        <v>Vitor de Oliveira Nunes dos Reis</v>
      </c>
      <c r="G602" s="10">
        <v>0</v>
      </c>
      <c r="H602" s="10">
        <v>0</v>
      </c>
      <c r="I602" s="10">
        <v>0</v>
      </c>
      <c r="J602" s="11">
        <f t="shared" si="46"/>
        <v>0</v>
      </c>
      <c r="K602" s="11">
        <f t="shared" si="47"/>
        <v>0</v>
      </c>
      <c r="L602" s="11">
        <f t="shared" si="48"/>
        <v>0</v>
      </c>
      <c r="M602" s="11">
        <v>0</v>
      </c>
      <c r="N602" s="11">
        <f t="shared" si="49"/>
        <v>0</v>
      </c>
      <c r="P602" s="13">
        <f t="shared" si="50"/>
        <v>-4.409844346307189E-4</v>
      </c>
    </row>
    <row r="603" spans="1:16" x14ac:dyDescent="0.25">
      <c r="A603" s="16">
        <v>214572</v>
      </c>
      <c r="B603" s="4">
        <f>INDEX([1]!PREDICT[TRUE PTS],MATCH($A603,[1]!PREDICT[HARD CODE],0))</f>
        <v>-1.7387002889136097E-2</v>
      </c>
      <c r="C603" s="7" t="str">
        <f>INDEX([1]!MODEL[POS],MATCH($A603,[1]!MODEL[Code],0))</f>
        <v>GK</v>
      </c>
      <c r="D603" s="7" t="str">
        <f>INDEX([1]!MODEL[TEAM],MATCH($A603,[1]!MODEL[Code],0))</f>
        <v>TOT</v>
      </c>
      <c r="E603" s="7">
        <f>INDEX([1]PREDICT!$M$3:$M$1001,MATCH($A603,[1]PREDICT!$B$3:$B$1001,0))</f>
        <v>4</v>
      </c>
      <c r="F603" s="15" t="str">
        <f>INDEX([1]!MODEL[FPL_Name],MATCH($A603,[1]!MODEL[Code],0))</f>
        <v>Brandon Austin</v>
      </c>
      <c r="G603" s="10">
        <v>0</v>
      </c>
      <c r="H603" s="10">
        <v>0</v>
      </c>
      <c r="I603" s="10">
        <v>0</v>
      </c>
      <c r="J603" s="11">
        <f t="shared" si="46"/>
        <v>0</v>
      </c>
      <c r="K603" s="11">
        <f t="shared" si="47"/>
        <v>0</v>
      </c>
      <c r="L603" s="11">
        <f t="shared" si="48"/>
        <v>0</v>
      </c>
      <c r="M603" s="11">
        <v>0</v>
      </c>
      <c r="N603" s="11">
        <f t="shared" si="49"/>
        <v>0</v>
      </c>
      <c r="P603" s="13">
        <f t="shared" si="50"/>
        <v>-8.6935014445680488E-4</v>
      </c>
    </row>
    <row r="604" spans="1:16" x14ac:dyDescent="0.25">
      <c r="A604" s="16">
        <v>586268</v>
      </c>
      <c r="B604" s="4">
        <f>INDEX([1]!PREDICT[TRUE PTS],MATCH($A604,[1]!PREDICT[HARD CODE],0))</f>
        <v>-1.9949337323768093E-2</v>
      </c>
      <c r="C604" s="7" t="str">
        <f>INDEX([1]!MODEL[POS],MATCH($A604,[1]!MODEL[Code],0))</f>
        <v>GK</v>
      </c>
      <c r="D604" s="7" t="str">
        <f>INDEX([1]!MODEL[TEAM],MATCH($A604,[1]!MODEL[Code],0))</f>
        <v>LIV</v>
      </c>
      <c r="E604" s="7">
        <f>INDEX([1]PREDICT!$M$3:$M$1001,MATCH($A604,[1]PREDICT!$B$3:$B$1001,0))</f>
        <v>4</v>
      </c>
      <c r="F604" s="15" t="str">
        <f>INDEX([1]!MODEL[FPL_Name],MATCH($A604,[1]!MODEL[Code],0))</f>
        <v>Armin Pecsi</v>
      </c>
      <c r="G604" s="10">
        <v>0</v>
      </c>
      <c r="H604" s="10">
        <v>0</v>
      </c>
      <c r="I604" s="10">
        <v>0</v>
      </c>
      <c r="J604" s="11">
        <f t="shared" si="46"/>
        <v>0</v>
      </c>
      <c r="K604" s="11">
        <f t="shared" si="47"/>
        <v>0</v>
      </c>
      <c r="L604" s="11">
        <f t="shared" si="48"/>
        <v>0</v>
      </c>
      <c r="M604" s="11">
        <v>0</v>
      </c>
      <c r="N604" s="11">
        <f t="shared" si="49"/>
        <v>0</v>
      </c>
      <c r="P604" s="13">
        <f t="shared" si="50"/>
        <v>-9.9746686618840466E-4</v>
      </c>
    </row>
    <row r="605" spans="1:16" x14ac:dyDescent="0.25">
      <c r="A605" s="16">
        <v>67089</v>
      </c>
      <c r="B605" s="4">
        <f>INDEX([1]!PREDICT[TRUE PTS],MATCH($A605,[1]!PREDICT[HARD CODE],0))</f>
        <v>-4.2502059240471339E-2</v>
      </c>
      <c r="C605" s="7" t="str">
        <f>INDEX([1]!MODEL[POS],MATCH($A605,[1]!MODEL[Code],0))</f>
        <v>GK</v>
      </c>
      <c r="D605" s="7" t="str">
        <f>INDEX([1]!MODEL[TEAM],MATCH($A605,[1]!MODEL[Code],0))</f>
        <v>TOT</v>
      </c>
      <c r="E605" s="7">
        <f>INDEX([1]PREDICT!$M$3:$M$1001,MATCH($A605,[1]PREDICT!$B$3:$B$1001,0))</f>
        <v>4</v>
      </c>
      <c r="F605" s="15" t="str">
        <f>INDEX([1]!MODEL[FPL_Name],MATCH($A605,[1]!MODEL[Code],0))</f>
        <v>Martin Dubravka</v>
      </c>
      <c r="G605" s="10">
        <v>0</v>
      </c>
      <c r="H605" s="10">
        <v>0</v>
      </c>
      <c r="I605" s="10">
        <v>0</v>
      </c>
      <c r="J605" s="11">
        <f t="shared" si="46"/>
        <v>0</v>
      </c>
      <c r="K605" s="11">
        <f t="shared" si="47"/>
        <v>0</v>
      </c>
      <c r="L605" s="11">
        <f t="shared" si="48"/>
        <v>0</v>
      </c>
      <c r="M605" s="11">
        <v>0</v>
      </c>
      <c r="N605" s="11">
        <f t="shared" si="49"/>
        <v>0</v>
      </c>
      <c r="P605" s="13">
        <f t="shared" si="50"/>
        <v>-2.125102962023567E-3</v>
      </c>
    </row>
    <row r="606" spans="1:16" x14ac:dyDescent="0.25">
      <c r="A606" s="16">
        <v>174874</v>
      </c>
      <c r="B606" s="4">
        <f>INDEX([1]!PREDICT[TRUE PTS],MATCH($A606,[1]!PREDICT[HARD CODE],0))</f>
        <v>-4.8886067780632744E-2</v>
      </c>
      <c r="C606" s="7" t="str">
        <f>INDEX([1]!MODEL[POS],MATCH($A606,[1]!MODEL[Code],0))</f>
        <v>DEF</v>
      </c>
      <c r="D606" s="7" t="str">
        <f>INDEX([1]!MODEL[TEAM],MATCH($A606,[1]!MODEL[Code],0))</f>
        <v>FUL</v>
      </c>
      <c r="E606" s="7">
        <f>INDEX([1]PREDICT!$M$3:$M$1001,MATCH($A606,[1]PREDICT!$B$3:$B$1001,0))</f>
        <v>5</v>
      </c>
      <c r="F606" s="15" t="str">
        <f>INDEX([1]!MODEL[FPL_Name],MATCH($A606,[1]!MODEL[Code],0))</f>
        <v>Joachim Andersen</v>
      </c>
      <c r="G606" s="10">
        <v>0</v>
      </c>
      <c r="H606" s="10">
        <v>0</v>
      </c>
      <c r="I606" s="10">
        <v>0</v>
      </c>
      <c r="J606" s="11">
        <f t="shared" si="46"/>
        <v>0</v>
      </c>
      <c r="K606" s="11">
        <f t="shared" si="47"/>
        <v>0</v>
      </c>
      <c r="L606" s="11">
        <f t="shared" si="48"/>
        <v>0</v>
      </c>
      <c r="M606" s="11">
        <v>0</v>
      </c>
      <c r="N606" s="11">
        <f t="shared" si="49"/>
        <v>0</v>
      </c>
      <c r="P606" s="13">
        <f t="shared" si="50"/>
        <v>-1.9554427112253099E-3</v>
      </c>
    </row>
    <row r="607" spans="1:16" x14ac:dyDescent="0.25">
      <c r="A607" s="16">
        <v>81441</v>
      </c>
      <c r="B607" s="4">
        <f>INDEX([1]!PREDICT[TRUE PTS],MATCH($A607,[1]!PREDICT[HARD CODE],0))</f>
        <v>-5.0192287457911426E-2</v>
      </c>
      <c r="C607" s="7" t="str">
        <f>INDEX([1]!MODEL[POS],MATCH($A607,[1]!MODEL[Code],0))</f>
        <v>GK</v>
      </c>
      <c r="D607" s="7" t="str">
        <f>INDEX([1]!MODEL[TEAM],MATCH($A607,[1]!MODEL[Code],0))</f>
        <v>NEW</v>
      </c>
      <c r="E607" s="7">
        <f>INDEX([1]PREDICT!$M$3:$M$1001,MATCH($A607,[1]PREDICT!$B$3:$B$1001,0))</f>
        <v>4.5</v>
      </c>
      <c r="F607" s="15" t="str">
        <f>INDEX([1]!MODEL[FPL_Name],MATCH($A607,[1]!MODEL[Code],0))</f>
        <v>Mark Gillespie</v>
      </c>
      <c r="G607" s="10">
        <v>0</v>
      </c>
      <c r="H607" s="10">
        <v>0</v>
      </c>
      <c r="I607" s="10">
        <v>0</v>
      </c>
      <c r="J607" s="11">
        <f t="shared" si="46"/>
        <v>0</v>
      </c>
      <c r="K607" s="11">
        <f t="shared" si="47"/>
        <v>0</v>
      </c>
      <c r="L607" s="11">
        <f t="shared" si="48"/>
        <v>0</v>
      </c>
      <c r="M607" s="11">
        <v>0</v>
      </c>
      <c r="N607" s="11">
        <f t="shared" si="49"/>
        <v>0</v>
      </c>
      <c r="P607" s="13">
        <f t="shared" si="50"/>
        <v>-2.2307683314627303E-3</v>
      </c>
    </row>
    <row r="608" spans="1:16" x14ac:dyDescent="0.25">
      <c r="A608" s="16">
        <v>554578</v>
      </c>
      <c r="B608" s="4">
        <f>INDEX([1]!PREDICT[TRUE PTS],MATCH($A608,[1]!PREDICT[HARD CODE],0))</f>
        <v>-5.0192287457911426E-2</v>
      </c>
      <c r="C608" s="7" t="str">
        <f>INDEX([1]!MODEL[POS],MATCH($A608,[1]!MODEL[Code],0))</f>
        <v>GK</v>
      </c>
      <c r="D608" s="7" t="str">
        <f>INDEX([1]!MODEL[TEAM],MATCH($A608,[1]!MODEL[Code],0))</f>
        <v>NEW</v>
      </c>
      <c r="E608" s="7">
        <f>INDEX([1]PREDICT!$M$3:$M$1001,MATCH($A608,[1]PREDICT!$B$3:$B$1001,0))</f>
        <v>4.5</v>
      </c>
      <c r="F608" s="15" t="str">
        <f>INDEX([1]!MODEL[FPL_Name],MATCH($A608,[1]!MODEL[Code],0))</f>
        <v>Ewen Jaouen</v>
      </c>
      <c r="G608" s="10">
        <v>0</v>
      </c>
      <c r="H608" s="10">
        <v>0</v>
      </c>
      <c r="I608" s="10">
        <v>0</v>
      </c>
      <c r="J608" s="11">
        <f t="shared" si="46"/>
        <v>0</v>
      </c>
      <c r="K608" s="11">
        <f t="shared" si="47"/>
        <v>0</v>
      </c>
      <c r="L608" s="11">
        <f t="shared" si="48"/>
        <v>0</v>
      </c>
      <c r="M608" s="11">
        <v>0</v>
      </c>
      <c r="N608" s="11">
        <f t="shared" si="49"/>
        <v>0</v>
      </c>
      <c r="P608" s="13">
        <f t="shared" si="50"/>
        <v>-2.2307683314627303E-3</v>
      </c>
    </row>
    <row r="609" spans="1:16" x14ac:dyDescent="0.25">
      <c r="A609" s="16">
        <v>548308</v>
      </c>
      <c r="B609" s="4">
        <f>INDEX([1]!PREDICT[TRUE PTS],MATCH($A609,[1]!PREDICT[HARD CODE],0))</f>
        <v>-5.2359095286569832E-2</v>
      </c>
      <c r="C609" s="7" t="str">
        <f>INDEX([1]!MODEL[POS],MATCH($A609,[1]!MODEL[Code],0))</f>
        <v>DEF</v>
      </c>
      <c r="D609" s="7" t="str">
        <f>INDEX([1]!MODEL[TEAM],MATCH($A609,[1]!MODEL[Code],0))</f>
        <v>TOT</v>
      </c>
      <c r="E609" s="7">
        <f>INDEX([1]PREDICT!$M$3:$M$1001,MATCH($A609,[1]PREDICT!$B$3:$B$1001,0))</f>
        <v>4.5</v>
      </c>
      <c r="F609" s="15" t="str">
        <f>INDEX([1]!MODEL[FPL_Name],MATCH($A609,[1]!MODEL[Code],0))</f>
        <v>Ashley Phillips</v>
      </c>
      <c r="G609" s="10">
        <v>0</v>
      </c>
      <c r="H609" s="10">
        <v>0</v>
      </c>
      <c r="I609" s="10">
        <v>0</v>
      </c>
      <c r="J609" s="11">
        <f t="shared" si="46"/>
        <v>0</v>
      </c>
      <c r="K609" s="11">
        <f t="shared" si="47"/>
        <v>0</v>
      </c>
      <c r="L609" s="11">
        <f t="shared" si="48"/>
        <v>0</v>
      </c>
      <c r="M609" s="11">
        <v>0</v>
      </c>
      <c r="N609" s="11">
        <f t="shared" si="49"/>
        <v>0</v>
      </c>
      <c r="P609" s="13">
        <f t="shared" si="50"/>
        <v>-2.3270709016253261E-3</v>
      </c>
    </row>
    <row r="610" spans="1:16" x14ac:dyDescent="0.25">
      <c r="A610" s="16">
        <v>519440</v>
      </c>
      <c r="B610" s="4">
        <f>INDEX([1]!PREDICT[TRUE PTS],MATCH($A610,[1]!PREDICT[HARD CODE],0))</f>
        <v>-5.5726268672375893E-2</v>
      </c>
      <c r="C610" s="7" t="str">
        <f>INDEX([1]!MODEL[POS],MATCH($A610,[1]!MODEL[Code],0))</f>
        <v>DEF</v>
      </c>
      <c r="D610" s="7" t="str">
        <f>INDEX([1]!MODEL[TEAM],MATCH($A610,[1]!MODEL[Code],0))</f>
        <v>LIV</v>
      </c>
      <c r="E610" s="7">
        <f>INDEX([1]PREDICT!$M$3:$M$1001,MATCH($A610,[1]PREDICT!$B$3:$B$1001,0))</f>
        <v>4</v>
      </c>
      <c r="F610" s="15" t="str">
        <f>INDEX([1]!MODEL[FPL_Name],MATCH($A610,[1]!MODEL[Code],0))</f>
        <v>Wellity Lucky</v>
      </c>
      <c r="G610" s="10">
        <v>0</v>
      </c>
      <c r="H610" s="10">
        <v>0</v>
      </c>
      <c r="I610" s="10">
        <v>0</v>
      </c>
      <c r="J610" s="11">
        <f t="shared" si="46"/>
        <v>0</v>
      </c>
      <c r="K610" s="11">
        <f t="shared" si="47"/>
        <v>0</v>
      </c>
      <c r="L610" s="11">
        <f t="shared" si="48"/>
        <v>0</v>
      </c>
      <c r="M610" s="11">
        <v>0</v>
      </c>
      <c r="N610" s="11">
        <f t="shared" si="49"/>
        <v>0</v>
      </c>
      <c r="P610" s="13">
        <f t="shared" si="50"/>
        <v>-2.7863134336187948E-3</v>
      </c>
    </row>
    <row r="611" spans="1:16" x14ac:dyDescent="0.25">
      <c r="A611" s="16">
        <v>606702</v>
      </c>
      <c r="B611" s="4">
        <f>INDEX([1]!PREDICT[TRUE PTS],MATCH($A611,[1]!PREDICT[HARD CODE],0))</f>
        <v>-5.5726268672375893E-2</v>
      </c>
      <c r="C611" s="7" t="str">
        <f>INDEX([1]!MODEL[POS],MATCH($A611,[1]!MODEL[Code],0))</f>
        <v>DEF</v>
      </c>
      <c r="D611" s="7" t="str">
        <f>INDEX([1]!MODEL[TEAM],MATCH($A611,[1]!MODEL[Code],0))</f>
        <v>LIV</v>
      </c>
      <c r="E611" s="7">
        <f>INDEX([1]PREDICT!$M$3:$M$1001,MATCH($A611,[1]PREDICT!$B$3:$B$1001,0))</f>
        <v>5</v>
      </c>
      <c r="F611" s="15" t="str">
        <f>INDEX([1]!MODEL[FPL_Name],MATCH($A611,[1]!MODEL[Code],0))</f>
        <v>Jeremy Jacquet</v>
      </c>
      <c r="G611" s="10">
        <v>0</v>
      </c>
      <c r="H611" s="10">
        <v>0</v>
      </c>
      <c r="I611" s="10">
        <v>0</v>
      </c>
      <c r="J611" s="11">
        <f t="shared" si="46"/>
        <v>0</v>
      </c>
      <c r="K611" s="11">
        <f t="shared" si="47"/>
        <v>0</v>
      </c>
      <c r="L611" s="11">
        <f t="shared" si="48"/>
        <v>0</v>
      </c>
      <c r="M611" s="11">
        <v>0</v>
      </c>
      <c r="N611" s="11">
        <f t="shared" si="49"/>
        <v>0</v>
      </c>
      <c r="P611" s="13">
        <f t="shared" si="50"/>
        <v>-2.2290507468950361E-3</v>
      </c>
    </row>
    <row r="612" spans="1:16" x14ac:dyDescent="0.25">
      <c r="A612" s="16">
        <v>214285</v>
      </c>
      <c r="B612" s="4">
        <f>INDEX([1]!PREDICT[TRUE PTS],MATCH($A612,[1]!PREDICT[HARD CODE],0))</f>
        <v>-5.5726268672375893E-2</v>
      </c>
      <c r="C612" s="7" t="str">
        <f>INDEX([1]!MODEL[POS],MATCH($A612,[1]!MODEL[Code],0))</f>
        <v>DEF</v>
      </c>
      <c r="D612" s="7" t="str">
        <f>INDEX([1]!MODEL[TEAM],MATCH($A612,[1]!MODEL[Code],0))</f>
        <v>LIV</v>
      </c>
      <c r="E612" s="7">
        <f>INDEX([1]PREDICT!$M$3:$M$1001,MATCH($A612,[1]PREDICT!$B$3:$B$1001,0))</f>
        <v>5</v>
      </c>
      <c r="F612" s="15" t="str">
        <f>INDEX([1]!MODEL[FPL_Name],MATCH($A612,[1]!MODEL[Code],0))</f>
        <v>Kostas Tsimikas</v>
      </c>
      <c r="G612" s="10">
        <v>0</v>
      </c>
      <c r="H612" s="10">
        <v>0</v>
      </c>
      <c r="I612" s="10">
        <v>0</v>
      </c>
      <c r="J612" s="11">
        <f t="shared" si="46"/>
        <v>0</v>
      </c>
      <c r="K612" s="11">
        <f t="shared" si="47"/>
        <v>0</v>
      </c>
      <c r="L612" s="11">
        <f t="shared" si="48"/>
        <v>0</v>
      </c>
      <c r="M612" s="11">
        <v>0</v>
      </c>
      <c r="N612" s="11">
        <f t="shared" si="49"/>
        <v>0</v>
      </c>
      <c r="P612" s="13">
        <f t="shared" si="50"/>
        <v>-2.2290507468950361E-3</v>
      </c>
    </row>
    <row r="613" spans="1:16" x14ac:dyDescent="0.25">
      <c r="A613" s="16">
        <v>489580</v>
      </c>
      <c r="B613" s="4">
        <f>INDEX([1]!PREDICT[TRUE PTS],MATCH($A613,[1]!PREDICT[HARD CODE],0))</f>
        <v>-5.5726268672375893E-2</v>
      </c>
      <c r="C613" s="7" t="str">
        <f>INDEX([1]!MODEL[POS],MATCH($A613,[1]!MODEL[Code],0))</f>
        <v>DEF</v>
      </c>
      <c r="D613" s="7" t="str">
        <f>INDEX([1]!MODEL[TEAM],MATCH($A613,[1]!MODEL[Code],0))</f>
        <v>LIV</v>
      </c>
      <c r="E613" s="7">
        <f>INDEX([1]PREDICT!$M$3:$M$1001,MATCH($A613,[1]PREDICT!$B$3:$B$1001,0))</f>
        <v>4</v>
      </c>
      <c r="F613" s="15" t="str">
        <f>INDEX([1]!MODEL[FPL_Name],MATCH($A613,[1]!MODEL[Code],0))</f>
        <v>Calvin Ramsay</v>
      </c>
      <c r="G613" s="10">
        <v>0</v>
      </c>
      <c r="H613" s="10">
        <v>0</v>
      </c>
      <c r="I613" s="10">
        <v>0</v>
      </c>
      <c r="J613" s="11">
        <f t="shared" si="46"/>
        <v>0</v>
      </c>
      <c r="K613" s="11">
        <f t="shared" si="47"/>
        <v>0</v>
      </c>
      <c r="L613" s="11">
        <f t="shared" si="48"/>
        <v>0</v>
      </c>
      <c r="M613" s="11">
        <v>0</v>
      </c>
      <c r="N613" s="11">
        <f t="shared" si="49"/>
        <v>0</v>
      </c>
      <c r="P613" s="13">
        <f t="shared" si="50"/>
        <v>-2.7863134336187948E-3</v>
      </c>
    </row>
    <row r="614" spans="1:16" x14ac:dyDescent="0.25">
      <c r="A614" s="16">
        <v>171287</v>
      </c>
      <c r="B614" s="4">
        <f>INDEX([1]!PREDICT[TRUE PTS],MATCH($A614,[1]!PREDICT[HARD CODE],0))</f>
        <v>-5.8397491067632853E-2</v>
      </c>
      <c r="C614" s="7" t="str">
        <f>INDEX([1]!MODEL[POS],MATCH($A614,[1]!MODEL[Code],0))</f>
        <v>DEF</v>
      </c>
      <c r="D614" s="7" t="str">
        <f>INDEX([1]!MODEL[TEAM],MATCH($A614,[1]!MODEL[Code],0))</f>
        <v>LIV</v>
      </c>
      <c r="E614" s="7">
        <f>INDEX([1]PREDICT!$M$3:$M$1001,MATCH($A614,[1]PREDICT!$B$3:$B$1001,0))</f>
        <v>5</v>
      </c>
      <c r="F614" s="15" t="str">
        <f>INDEX([1]!MODEL[FPL_Name],MATCH($A614,[1]!MODEL[Code],0))</f>
        <v>Joe Gomez</v>
      </c>
      <c r="G614" s="10">
        <v>0</v>
      </c>
      <c r="H614" s="10">
        <v>0</v>
      </c>
      <c r="I614" s="10">
        <v>0</v>
      </c>
      <c r="J614" s="11">
        <f t="shared" si="46"/>
        <v>0</v>
      </c>
      <c r="K614" s="11">
        <f t="shared" si="47"/>
        <v>0</v>
      </c>
      <c r="L614" s="11">
        <f t="shared" si="48"/>
        <v>0</v>
      </c>
      <c r="M614" s="11">
        <v>0</v>
      </c>
      <c r="N614" s="11">
        <f t="shared" si="49"/>
        <v>0</v>
      </c>
      <c r="P614" s="13">
        <f t="shared" si="50"/>
        <v>-2.3358996427053141E-3</v>
      </c>
    </row>
    <row r="615" spans="1:16" x14ac:dyDescent="0.25">
      <c r="A615" s="16">
        <v>50093</v>
      </c>
      <c r="B615" s="4">
        <f>INDEX([1]!PREDICT[TRUE PTS],MATCH($A615,[1]!PREDICT[HARD CODE],0))</f>
        <v>-6.505004899907868E-2</v>
      </c>
      <c r="C615" s="7" t="str">
        <f>INDEX([1]!MODEL[POS],MATCH($A615,[1]!MODEL[Code],0))</f>
        <v>GK</v>
      </c>
      <c r="D615" s="7" t="str">
        <f>INDEX([1]!MODEL[TEAM],MATCH($A615,[1]!MODEL[Code],0))</f>
        <v>IPS</v>
      </c>
      <c r="E615" s="7">
        <f>INDEX([1]PREDICT!$M$3:$M$1001,MATCH($A615,[1]PREDICT!$B$3:$B$1001,0))</f>
        <v>4</v>
      </c>
      <c r="F615" s="15" t="str">
        <f>INDEX([1]!MODEL[FPL_Name],MATCH($A615,[1]!MODEL[Code],0))</f>
        <v>David Button</v>
      </c>
      <c r="G615" s="10">
        <v>0</v>
      </c>
      <c r="H615" s="10">
        <v>0</v>
      </c>
      <c r="I615" s="10">
        <v>0</v>
      </c>
      <c r="J615" s="11">
        <f t="shared" si="46"/>
        <v>0</v>
      </c>
      <c r="K615" s="11">
        <f t="shared" si="47"/>
        <v>0</v>
      </c>
      <c r="L615" s="11">
        <f t="shared" si="48"/>
        <v>0</v>
      </c>
      <c r="M615" s="11">
        <v>0</v>
      </c>
      <c r="N615" s="11">
        <f t="shared" si="49"/>
        <v>0</v>
      </c>
      <c r="P615" s="13">
        <f t="shared" si="50"/>
        <v>-3.2525024499539339E-3</v>
      </c>
    </row>
    <row r="616" spans="1:16" x14ac:dyDescent="0.25">
      <c r="A616" s="16">
        <v>546600</v>
      </c>
      <c r="B616" s="4">
        <f>INDEX([1]!PREDICT[TRUE PTS],MATCH($A616,[1]!PREDICT[HARD CODE],0))</f>
        <v>-6.505004899907868E-2</v>
      </c>
      <c r="C616" s="7" t="str">
        <f>INDEX([1]!MODEL[POS],MATCH($A616,[1]!MODEL[Code],0))</f>
        <v>GK</v>
      </c>
      <c r="D616" s="7" t="str">
        <f>INDEX([1]!MODEL[TEAM],MATCH($A616,[1]!MODEL[Code],0))</f>
        <v>IPS</v>
      </c>
      <c r="E616" s="7">
        <f>INDEX([1]PREDICT!$M$3:$M$1001,MATCH($A616,[1]PREDICT!$B$3:$B$1001,0))</f>
        <v>4.5</v>
      </c>
      <c r="F616" s="15" t="str">
        <f>INDEX([1]!MODEL[FPL_Name],MATCH($A616,[1]!MODEL[Code],0))</f>
        <v>Kayne van Oevelen</v>
      </c>
      <c r="G616" s="10">
        <v>0</v>
      </c>
      <c r="H616" s="10">
        <v>0</v>
      </c>
      <c r="I616" s="10">
        <v>0</v>
      </c>
      <c r="J616" s="11">
        <f t="shared" si="46"/>
        <v>0</v>
      </c>
      <c r="K616" s="11">
        <f t="shared" si="47"/>
        <v>0</v>
      </c>
      <c r="L616" s="11">
        <f t="shared" si="48"/>
        <v>0</v>
      </c>
      <c r="M616" s="11">
        <v>0</v>
      </c>
      <c r="N616" s="11">
        <f t="shared" si="49"/>
        <v>0</v>
      </c>
      <c r="P616" s="13">
        <f t="shared" si="50"/>
        <v>-2.8911132888479415E-3</v>
      </c>
    </row>
    <row r="617" spans="1:16" x14ac:dyDescent="0.25">
      <c r="A617" s="16">
        <v>240514</v>
      </c>
      <c r="B617" s="4">
        <f>INDEX([1]!PREDICT[TRUE PTS],MATCH($A617,[1]!PREDICT[HARD CODE],0))</f>
        <v>-6.505004899907868E-2</v>
      </c>
      <c r="C617" s="7" t="str">
        <f>INDEX([1]!MODEL[POS],MATCH($A617,[1]!MODEL[Code],0))</f>
        <v>GK</v>
      </c>
      <c r="D617" s="7" t="str">
        <f>INDEX([1]!MODEL[TEAM],MATCH($A617,[1]!MODEL[Code],0))</f>
        <v>IPS</v>
      </c>
      <c r="E617" s="7">
        <f>INDEX([1]PREDICT!$M$3:$M$1001,MATCH($A617,[1]PREDICT!$B$3:$B$1001,0))</f>
        <v>4.5</v>
      </c>
      <c r="F617" s="15" t="str">
        <f>INDEX([1]!MODEL[FPL_Name],MATCH($A617,[1]!MODEL[Code],0))</f>
        <v>Kjell Scherpen</v>
      </c>
      <c r="G617" s="10">
        <v>0</v>
      </c>
      <c r="H617" s="10">
        <v>0</v>
      </c>
      <c r="I617" s="10">
        <v>0</v>
      </c>
      <c r="J617" s="11">
        <f t="shared" si="46"/>
        <v>0</v>
      </c>
      <c r="K617" s="11">
        <f t="shared" si="47"/>
        <v>0</v>
      </c>
      <c r="L617" s="11">
        <f t="shared" si="48"/>
        <v>0</v>
      </c>
      <c r="M617" s="11">
        <v>0</v>
      </c>
      <c r="N617" s="11">
        <f t="shared" si="49"/>
        <v>0</v>
      </c>
      <c r="P617" s="13">
        <f t="shared" si="50"/>
        <v>-2.8911132888479415E-3</v>
      </c>
    </row>
    <row r="618" spans="1:16" x14ac:dyDescent="0.25">
      <c r="A618" s="16">
        <v>578545</v>
      </c>
      <c r="B618" s="4">
        <f>INDEX([1]!PREDICT[TRUE PTS],MATCH($A618,[1]!PREDICT[HARD CODE],0))</f>
        <v>-6.577271011427932E-2</v>
      </c>
      <c r="C618" s="7" t="str">
        <f>INDEX([1]!MODEL[POS],MATCH($A618,[1]!MODEL[Code],0))</f>
        <v>DEF</v>
      </c>
      <c r="D618" s="7" t="str">
        <f>INDEX([1]!MODEL[TEAM],MATCH($A618,[1]!MODEL[Code],0))</f>
        <v>AVL</v>
      </c>
      <c r="E618" s="7">
        <f>INDEX([1]PREDICT!$M$3:$M$1001,MATCH($A618,[1]PREDICT!$B$3:$B$1001,0))</f>
        <v>4</v>
      </c>
      <c r="F618" s="15" t="str">
        <f>INDEX([1]!MODEL[FPL_Name],MATCH($A618,[1]!MODEL[Code],0))</f>
        <v>Kosta Nedeljkovic</v>
      </c>
      <c r="G618" s="10">
        <v>0</v>
      </c>
      <c r="H618" s="10">
        <v>0</v>
      </c>
      <c r="I618" s="10">
        <v>0</v>
      </c>
      <c r="J618" s="11">
        <f t="shared" si="46"/>
        <v>0</v>
      </c>
      <c r="K618" s="11">
        <f t="shared" si="47"/>
        <v>0</v>
      </c>
      <c r="L618" s="11">
        <f t="shared" si="48"/>
        <v>0</v>
      </c>
      <c r="M618" s="11">
        <v>0</v>
      </c>
      <c r="N618" s="11">
        <f t="shared" si="49"/>
        <v>0</v>
      </c>
      <c r="P618" s="13">
        <f t="shared" si="50"/>
        <v>-3.2886355057139662E-3</v>
      </c>
    </row>
    <row r="619" spans="1:16" x14ac:dyDescent="0.25">
      <c r="A619" s="16">
        <v>549939</v>
      </c>
      <c r="B619" s="4">
        <f>INDEX([1]!PREDICT[TRUE PTS],MATCH($A619,[1]!PREDICT[HARD CODE],0))</f>
        <v>-6.7053096654103181E-2</v>
      </c>
      <c r="C619" s="7" t="str">
        <f>INDEX([1]!MODEL[POS],MATCH($A619,[1]!MODEL[Code],0))</f>
        <v>GK</v>
      </c>
      <c r="D619" s="7" t="str">
        <f>INDEX([1]!MODEL[TEAM],MATCH($A619,[1]!MODEL[Code],0))</f>
        <v>CHE</v>
      </c>
      <c r="E619" s="7">
        <f>INDEX([1]PREDICT!$M$3:$M$1001,MATCH($A619,[1]PREDICT!$B$3:$B$1001,0))</f>
        <v>4.5</v>
      </c>
      <c r="F619" s="15" t="str">
        <f>INDEX([1]!MODEL[FPL_Name],MATCH($A619,[1]!MODEL[Code],0))</f>
        <v>Mike Penders</v>
      </c>
      <c r="G619" s="10">
        <v>0</v>
      </c>
      <c r="H619" s="10">
        <v>0</v>
      </c>
      <c r="I619" s="10">
        <v>0</v>
      </c>
      <c r="J619" s="11">
        <f t="shared" si="46"/>
        <v>0</v>
      </c>
      <c r="K619" s="11">
        <f t="shared" si="47"/>
        <v>0</v>
      </c>
      <c r="L619" s="11">
        <f t="shared" si="48"/>
        <v>0</v>
      </c>
      <c r="M619" s="11">
        <v>0</v>
      </c>
      <c r="N619" s="11">
        <f t="shared" si="49"/>
        <v>0</v>
      </c>
      <c r="P619" s="13">
        <f t="shared" si="50"/>
        <v>-2.9801376290712524E-3</v>
      </c>
    </row>
    <row r="620" spans="1:16" x14ac:dyDescent="0.25">
      <c r="A620" s="16">
        <v>501902</v>
      </c>
      <c r="B620" s="4">
        <f>INDEX([1]!PREDICT[TRUE PTS],MATCH($A620,[1]!PREDICT[HARD CODE],0))</f>
        <v>-0.69928130067158245</v>
      </c>
      <c r="C620" s="7" t="str">
        <f>INDEX([1]!MODEL[POS],MATCH($A620,[1]!MODEL[Code],0))</f>
        <v>DEF</v>
      </c>
      <c r="D620" s="7" t="str">
        <f>INDEX([1]!MODEL[TEAM],MATCH($A620,[1]!MODEL[Code],0))</f>
        <v>HUL</v>
      </c>
      <c r="E620" s="7">
        <f>INDEX([1]PREDICT!$M$3:$M$1001,MATCH($A620,[1]PREDICT!$B$3:$B$1001,0))</f>
        <v>4</v>
      </c>
      <c r="F620" s="15" t="str">
        <f>INDEX([1]!MODEL[FPL_Name],MATCH($A620,[1]!MODEL[Code],0))</f>
        <v>Charlie Hughes</v>
      </c>
      <c r="G620" s="10">
        <v>0</v>
      </c>
      <c r="H620" s="10">
        <v>0</v>
      </c>
      <c r="I620" s="10">
        <v>0</v>
      </c>
      <c r="J620" s="11">
        <f t="shared" si="46"/>
        <v>0</v>
      </c>
      <c r="K620" s="11">
        <f t="shared" si="47"/>
        <v>0</v>
      </c>
      <c r="L620" s="11">
        <f t="shared" si="48"/>
        <v>0</v>
      </c>
      <c r="M620" s="11">
        <v>0</v>
      </c>
      <c r="N620" s="11">
        <f t="shared" si="49"/>
        <v>0</v>
      </c>
      <c r="P620" s="13">
        <f t="shared" si="50"/>
        <v>-3.4964065033579121E-2</v>
      </c>
    </row>
    <row r="621" spans="1:16" x14ac:dyDescent="0.25">
      <c r="A621" s="16">
        <v>167825</v>
      </c>
      <c r="B621" s="4">
        <f>INDEX([1]!PREDICT[TRUE PTS],MATCH($A621,[1]!PREDICT[HARD CODE],0))</f>
        <v>-0.29019396960417643</v>
      </c>
      <c r="C621" s="7" t="str">
        <f>INDEX([1]!MODEL[POS],MATCH($A621,[1]!MODEL[Code],0))</f>
        <v>GK</v>
      </c>
      <c r="D621" s="7" t="str">
        <f>INDEX([1]!MODEL[TEAM],MATCH($A621,[1]!MODEL[Code],0))</f>
        <v>HUL</v>
      </c>
      <c r="E621" s="7">
        <f>INDEX([1]PREDICT!$M$3:$M$1001,MATCH($A621,[1]PREDICT!$B$3:$B$1001,0))</f>
        <v>4</v>
      </c>
      <c r="F621" s="15" t="str">
        <f>INDEX([1]!MODEL[FPL_Name],MATCH($A621,[1]!MODEL[Code],0))</f>
        <v>Dillon Phillips</v>
      </c>
      <c r="G621" s="10">
        <v>0</v>
      </c>
      <c r="H621" s="10">
        <v>0</v>
      </c>
      <c r="I621" s="10">
        <v>0</v>
      </c>
      <c r="J621" s="11">
        <f t="shared" si="46"/>
        <v>0</v>
      </c>
      <c r="K621" s="11">
        <f t="shared" si="47"/>
        <v>0</v>
      </c>
      <c r="L621" s="11">
        <f t="shared" si="48"/>
        <v>0</v>
      </c>
      <c r="M621" s="11">
        <v>0</v>
      </c>
      <c r="N621" s="11">
        <f t="shared" si="49"/>
        <v>0</v>
      </c>
      <c r="P621" s="13">
        <f t="shared" si="50"/>
        <v>-1.4509698480208822E-2</v>
      </c>
    </row>
    <row r="622" spans="1:16" x14ac:dyDescent="0.25">
      <c r="A622" s="16">
        <v>647681</v>
      </c>
      <c r="B622" s="4">
        <f>INDEX([1]!PREDICT[TRUE PTS],MATCH($A622,[1]!PREDICT[HARD CODE],0))</f>
        <v>-0.10522626867237589</v>
      </c>
      <c r="C622" s="7" t="str">
        <f>INDEX([1]!MODEL[POS],MATCH($A622,[1]!MODEL[Code],0))</f>
        <v>DEF</v>
      </c>
      <c r="D622" s="7" t="str">
        <f>INDEX([1]!MODEL[TEAM],MATCH($A622,[1]!MODEL[Code],0))</f>
        <v>LIV</v>
      </c>
      <c r="E622" s="7">
        <f>INDEX([1]PREDICT!$M$3:$M$1001,MATCH($A622,[1]PREDICT!$B$3:$B$1001,0))</f>
        <v>4</v>
      </c>
      <c r="F622" s="15" t="str">
        <f>INDEX([1]!MODEL[FPL_Name],MATCH($A622,[1]!MODEL[Code],0))</f>
        <v>Giovanni Leoni</v>
      </c>
      <c r="G622" s="10">
        <v>0</v>
      </c>
      <c r="H622" s="10">
        <v>0</v>
      </c>
      <c r="I622" s="10">
        <v>0</v>
      </c>
      <c r="J622" s="11">
        <f t="shared" si="46"/>
        <v>0</v>
      </c>
      <c r="K622" s="11">
        <f t="shared" si="47"/>
        <v>0</v>
      </c>
      <c r="L622" s="11">
        <f t="shared" si="48"/>
        <v>0</v>
      </c>
      <c r="M622" s="11">
        <v>0</v>
      </c>
      <c r="N622" s="11">
        <f t="shared" si="49"/>
        <v>0</v>
      </c>
      <c r="P622" s="13">
        <f t="shared" si="50"/>
        <v>-5.2613134336187946E-3</v>
      </c>
    </row>
    <row r="623" spans="1:16" x14ac:dyDescent="0.25">
      <c r="A623" s="16">
        <v>169593</v>
      </c>
      <c r="B623" s="4">
        <f>INDEX([1]!PREDICT[TRUE PTS],MATCH($A623,[1]!PREDICT[HARD CODE],0))</f>
        <v>-0.11463111115213176</v>
      </c>
      <c r="C623" s="7" t="str">
        <f>INDEX([1]!MODEL[POS],MATCH($A623,[1]!MODEL[Code],0))</f>
        <v>GK</v>
      </c>
      <c r="D623" s="7" t="str">
        <f>INDEX([1]!MODEL[TEAM],MATCH($A623,[1]!MODEL[Code],0))</f>
        <v>CRY</v>
      </c>
      <c r="E623" s="7">
        <f>INDEX([1]PREDICT!$M$3:$M$1001,MATCH($A623,[1]PREDICT!$B$3:$B$1001,0))</f>
        <v>4</v>
      </c>
      <c r="F623" s="15" t="str">
        <f>INDEX([1]!MODEL[FPL_Name],MATCH($A623,[1]!MODEL[Code],0))</f>
        <v>Remi Matthews</v>
      </c>
      <c r="G623" s="10">
        <v>0</v>
      </c>
      <c r="H623" s="10">
        <v>0</v>
      </c>
      <c r="I623" s="10">
        <v>0</v>
      </c>
      <c r="J623" s="11">
        <f t="shared" si="46"/>
        <v>0</v>
      </c>
      <c r="K623" s="11">
        <f t="shared" si="47"/>
        <v>0</v>
      </c>
      <c r="L623" s="11">
        <f t="shared" si="48"/>
        <v>0</v>
      </c>
      <c r="M623" s="11">
        <v>0</v>
      </c>
      <c r="N623" s="11">
        <f t="shared" si="49"/>
        <v>0</v>
      </c>
      <c r="P623" s="13">
        <f t="shared" si="50"/>
        <v>-5.7315555576065878E-3</v>
      </c>
    </row>
    <row r="624" spans="1:16" x14ac:dyDescent="0.25">
      <c r="A624" s="16">
        <v>49262</v>
      </c>
      <c r="B624" s="4">
        <f>INDEX([1]!PREDICT[TRUE PTS],MATCH($A624,[1]!PREDICT[HARD CODE],0))</f>
        <v>-0.11587033240470075</v>
      </c>
      <c r="C624" s="7" t="str">
        <f>INDEX([1]!MODEL[POS],MATCH($A624,[1]!MODEL[Code],0))</f>
        <v>GK</v>
      </c>
      <c r="D624" s="7" t="str">
        <f>INDEX([1]!MODEL[TEAM],MATCH($A624,[1]!MODEL[Code],0))</f>
        <v>BHA</v>
      </c>
      <c r="E624" s="7">
        <f>INDEX([1]PREDICT!$M$3:$M$1001,MATCH($A624,[1]PREDICT!$B$3:$B$1001,0))</f>
        <v>4</v>
      </c>
      <c r="F624" s="15" t="str">
        <f>INDEX([1]!MODEL[FPL_Name],MATCH($A624,[1]!MODEL[Code],0))</f>
        <v>Jason Steele</v>
      </c>
      <c r="G624" s="10">
        <v>0</v>
      </c>
      <c r="H624" s="10">
        <v>0</v>
      </c>
      <c r="I624" s="10">
        <v>0</v>
      </c>
      <c r="J624" s="11">
        <f t="shared" si="46"/>
        <v>0</v>
      </c>
      <c r="K624" s="11">
        <f t="shared" si="47"/>
        <v>0</v>
      </c>
      <c r="L624" s="11">
        <f t="shared" si="48"/>
        <v>0</v>
      </c>
      <c r="M624" s="11">
        <v>0</v>
      </c>
      <c r="N624" s="11">
        <f t="shared" si="49"/>
        <v>0</v>
      </c>
      <c r="P624" s="13">
        <f t="shared" si="50"/>
        <v>-5.7935166202350372E-3</v>
      </c>
    </row>
    <row r="625" spans="1:16" x14ac:dyDescent="0.25">
      <c r="A625" s="16">
        <v>472739</v>
      </c>
      <c r="B625" s="4">
        <f>INDEX([1]!PREDICT[TRUE PTS],MATCH($A625,[1]!PREDICT[HARD CODE],0))</f>
        <v>13.308551364913489</v>
      </c>
      <c r="C625" s="7" t="str">
        <f>INDEX([1]!MODEL[POS],MATCH($A625,[1]!MODEL[Code],0))</f>
        <v>GK</v>
      </c>
      <c r="D625" s="7" t="str">
        <f>INDEX([1]!MODEL[TEAM],MATCH($A625,[1]!MODEL[Code],0))</f>
        <v>COV</v>
      </c>
      <c r="E625" s="7">
        <f>INDEX([1]PREDICT!$M$3:$M$1001,MATCH($A625,[1]PREDICT!$B$3:$B$1001,0))</f>
        <v>4.5</v>
      </c>
      <c r="F625" s="15" t="str">
        <f>INDEX([1]!MODEL[FPL_Name],MATCH($A625,[1]!MODEL[Code],0))</f>
        <v>Carl Rushworth</v>
      </c>
      <c r="G625" s="10">
        <v>0</v>
      </c>
      <c r="H625" s="10">
        <v>0</v>
      </c>
      <c r="I625" s="10">
        <v>0</v>
      </c>
      <c r="J625" s="11">
        <f t="shared" si="46"/>
        <v>0</v>
      </c>
      <c r="K625" s="11">
        <f t="shared" si="47"/>
        <v>0</v>
      </c>
      <c r="L625" s="11">
        <f t="shared" si="48"/>
        <v>0</v>
      </c>
      <c r="M625" s="11">
        <v>0</v>
      </c>
      <c r="N625" s="11">
        <f t="shared" si="49"/>
        <v>0</v>
      </c>
      <c r="P625" s="13">
        <f t="shared" si="50"/>
        <v>0.59149117177393284</v>
      </c>
    </row>
    <row r="626" spans="1:16" x14ac:dyDescent="0.25">
      <c r="A626" s="16">
        <v>110690</v>
      </c>
      <c r="B626" s="4">
        <f>INDEX([1]!PREDICT[TRUE PTS],MATCH($A626,[1]!PREDICT[HARD CODE],0))</f>
        <v>-0.12257739041979249</v>
      </c>
      <c r="C626" s="7" t="str">
        <f>INDEX([1]!MODEL[POS],MATCH($A626,[1]!MODEL[Code],0))</f>
        <v>GK</v>
      </c>
      <c r="D626" s="7" t="str">
        <f>INDEX([1]!MODEL[TEAM],MATCH($A626,[1]!MODEL[Code],0))</f>
        <v>COV</v>
      </c>
      <c r="E626" s="7">
        <f>INDEX([1]PREDICT!$M$3:$M$1001,MATCH($A626,[1]PREDICT!$B$3:$B$1001,0))</f>
        <v>4.5</v>
      </c>
      <c r="F626" s="15" t="str">
        <f>INDEX([1]!MODEL[FPL_Name],MATCH($A626,[1]!MODEL[Code],0))</f>
        <v>Ben Wilson</v>
      </c>
      <c r="G626" s="10">
        <v>0</v>
      </c>
      <c r="H626" s="10">
        <v>0</v>
      </c>
      <c r="I626" s="10">
        <v>0</v>
      </c>
      <c r="J626" s="11">
        <f t="shared" si="46"/>
        <v>0</v>
      </c>
      <c r="K626" s="11">
        <f t="shared" si="47"/>
        <v>0</v>
      </c>
      <c r="L626" s="11">
        <f t="shared" si="48"/>
        <v>0</v>
      </c>
      <c r="M626" s="11">
        <v>0</v>
      </c>
      <c r="N626" s="11">
        <f t="shared" si="49"/>
        <v>0</v>
      </c>
      <c r="P626" s="13">
        <f t="shared" si="50"/>
        <v>-5.4478840186574437E-3</v>
      </c>
    </row>
    <row r="627" spans="1:16" x14ac:dyDescent="0.25">
      <c r="A627" s="16">
        <v>507433</v>
      </c>
      <c r="B627" s="4">
        <f>INDEX([1]!PREDICT[TRUE PTS],MATCH($A627,[1]!PREDICT[HARD CODE],0))</f>
        <v>-0.12288479894246987</v>
      </c>
      <c r="C627" s="7" t="str">
        <f>INDEX([1]!MODEL[POS],MATCH($A627,[1]!MODEL[Code],0))</f>
        <v>GK</v>
      </c>
      <c r="D627" s="7" t="str">
        <f>INDEX([1]!MODEL[TEAM],MATCH($A627,[1]!MODEL[Code],0))</f>
        <v>BRE</v>
      </c>
      <c r="E627" s="7">
        <f>INDEX([1]PREDICT!$M$3:$M$1001,MATCH($A627,[1]PREDICT!$B$3:$B$1001,0))</f>
        <v>4.5</v>
      </c>
      <c r="F627" s="15" t="str">
        <f>INDEX([1]!MODEL[FPL_Name],MATCH($A627,[1]!MODEL[Code],0))</f>
        <v>Hákon Rafn Valdimarsson</v>
      </c>
      <c r="G627" s="10">
        <v>0</v>
      </c>
      <c r="H627" s="10">
        <v>0</v>
      </c>
      <c r="I627" s="10">
        <v>0</v>
      </c>
      <c r="J627" s="11">
        <f t="shared" si="46"/>
        <v>0</v>
      </c>
      <c r="K627" s="11">
        <f t="shared" si="47"/>
        <v>0</v>
      </c>
      <c r="L627" s="11">
        <f t="shared" si="48"/>
        <v>0</v>
      </c>
      <c r="M627" s="11">
        <v>0</v>
      </c>
      <c r="N627" s="11">
        <f t="shared" si="49"/>
        <v>0</v>
      </c>
      <c r="P627" s="13">
        <f t="shared" si="50"/>
        <v>-5.461546619665328E-3</v>
      </c>
    </row>
    <row r="628" spans="1:16" x14ac:dyDescent="0.25">
      <c r="A628" s="16">
        <v>229600</v>
      </c>
      <c r="B628" s="4">
        <f>INDEX([1]!PREDICT[TRUE PTS],MATCH($A628,[1]!PREDICT[HARD CODE],0))</f>
        <v>-0.1262706479195784</v>
      </c>
      <c r="C628" s="7" t="str">
        <f>INDEX([1]!MODEL[POS],MATCH($A628,[1]!MODEL[Code],0))</f>
        <v>GK</v>
      </c>
      <c r="D628" s="7" t="str">
        <f>INDEX([1]!MODEL[TEAM],MATCH($A628,[1]!MODEL[Code],0))</f>
        <v>EVE</v>
      </c>
      <c r="E628" s="7">
        <f>INDEX([1]PREDICT!$M$3:$M$1001,MATCH($A628,[1]PREDICT!$B$3:$B$1001,0))</f>
        <v>5</v>
      </c>
      <c r="F628" s="15" t="str">
        <f>INDEX([1]!MODEL[FPL_Name],MATCH($A628,[1]!MODEL[Code],0))</f>
        <v>Mark Travers</v>
      </c>
      <c r="G628" s="10">
        <v>0</v>
      </c>
      <c r="H628" s="10">
        <v>0</v>
      </c>
      <c r="I628" s="10">
        <v>0</v>
      </c>
      <c r="J628" s="11">
        <f t="shared" si="46"/>
        <v>0</v>
      </c>
      <c r="K628" s="11">
        <f t="shared" si="47"/>
        <v>0</v>
      </c>
      <c r="L628" s="11">
        <f t="shared" si="48"/>
        <v>0</v>
      </c>
      <c r="M628" s="11">
        <v>0</v>
      </c>
      <c r="N628" s="11">
        <f t="shared" si="49"/>
        <v>0</v>
      </c>
      <c r="P628" s="13">
        <f t="shared" si="50"/>
        <v>-5.0508259167831356E-3</v>
      </c>
    </row>
    <row r="629" spans="1:16" x14ac:dyDescent="0.25">
      <c r="A629" s="16">
        <v>138001</v>
      </c>
      <c r="B629" s="4">
        <f>INDEX([1]!PREDICT[TRUE PTS],MATCH($A629,[1]!PREDICT[HARD CODE],0))</f>
        <v>-0.1262706479195784</v>
      </c>
      <c r="C629" s="7" t="str">
        <f>INDEX([1]!MODEL[POS],MATCH($A629,[1]!MODEL[Code],0))</f>
        <v>GK</v>
      </c>
      <c r="D629" s="7" t="str">
        <f>INDEX([1]!MODEL[TEAM],MATCH($A629,[1]!MODEL[Code],0))</f>
        <v>EVE</v>
      </c>
      <c r="E629" s="7">
        <f>INDEX([1]PREDICT!$M$3:$M$1001,MATCH($A629,[1]PREDICT!$B$3:$B$1001,0))</f>
        <v>4.5</v>
      </c>
      <c r="F629" s="15" t="str">
        <f>INDEX([1]!MODEL[FPL_Name],MATCH($A629,[1]!MODEL[Code],0))</f>
        <v>Tom King</v>
      </c>
      <c r="G629" s="10">
        <v>0</v>
      </c>
      <c r="H629" s="10">
        <v>0</v>
      </c>
      <c r="I629" s="10">
        <v>0</v>
      </c>
      <c r="J629" s="11">
        <f t="shared" si="46"/>
        <v>0</v>
      </c>
      <c r="K629" s="11">
        <f t="shared" si="47"/>
        <v>0</v>
      </c>
      <c r="L629" s="11">
        <f t="shared" si="48"/>
        <v>0</v>
      </c>
      <c r="M629" s="11">
        <v>0</v>
      </c>
      <c r="N629" s="11">
        <f t="shared" si="49"/>
        <v>0</v>
      </c>
      <c r="P629" s="13">
        <f t="shared" si="50"/>
        <v>-5.6120287964257064E-3</v>
      </c>
    </row>
    <row r="630" spans="1:16" x14ac:dyDescent="0.25">
      <c r="A630" s="16">
        <v>620109</v>
      </c>
      <c r="B630" s="4">
        <f>INDEX([1]!PREDICT[TRUE PTS],MATCH($A630,[1]!PREDICT[HARD CODE],0))</f>
        <v>-0.12709560099106543</v>
      </c>
      <c r="C630" s="7" t="str">
        <f>INDEX([1]!MODEL[POS],MATCH($A630,[1]!MODEL[Code],0))</f>
        <v>DEF</v>
      </c>
      <c r="D630" s="7" t="str">
        <f>INDEX([1]!MODEL[TEAM],MATCH($A630,[1]!MODEL[Code],0))</f>
        <v>CHE</v>
      </c>
      <c r="E630" s="7">
        <f>INDEX([1]PREDICT!$M$3:$M$1001,MATCH($A630,[1]PREDICT!$B$3:$B$1001,0))</f>
        <v>5.5</v>
      </c>
      <c r="F630" s="15" t="str">
        <f>INDEX([1]!MODEL[FPL_Name],MATCH($A630,[1]!MODEL[Code],0))</f>
        <v>Marco Palestra</v>
      </c>
      <c r="G630" s="10">
        <v>0</v>
      </c>
      <c r="H630" s="10">
        <v>0</v>
      </c>
      <c r="I630" s="10">
        <v>0</v>
      </c>
      <c r="J630" s="11">
        <f t="shared" si="46"/>
        <v>0</v>
      </c>
      <c r="K630" s="11">
        <f t="shared" si="47"/>
        <v>0</v>
      </c>
      <c r="L630" s="11">
        <f t="shared" si="48"/>
        <v>0</v>
      </c>
      <c r="M630" s="11">
        <v>0</v>
      </c>
      <c r="N630" s="11">
        <f t="shared" si="49"/>
        <v>0</v>
      </c>
      <c r="P630" s="13">
        <f t="shared" si="50"/>
        <v>-4.6216582178569251E-3</v>
      </c>
    </row>
    <row r="631" spans="1:16" x14ac:dyDescent="0.25">
      <c r="A631" s="16">
        <v>622758</v>
      </c>
      <c r="B631" s="4">
        <f>INDEX([1]!PREDICT[TRUE PTS],MATCH($A631,[1]!PREDICT[HARD CODE],0))</f>
        <v>-0.12709560099106543</v>
      </c>
      <c r="C631" s="7" t="str">
        <f>INDEX([1]!MODEL[POS],MATCH($A631,[1]!MODEL[Code],0))</f>
        <v>DEF</v>
      </c>
      <c r="D631" s="7" t="str">
        <f>INDEX([1]!MODEL[TEAM],MATCH($A631,[1]!MODEL[Code],0))</f>
        <v>CHE</v>
      </c>
      <c r="E631" s="7">
        <f>INDEX([1]PREDICT!$M$3:$M$1001,MATCH($A631,[1]PREDICT!$B$3:$B$1001,0))</f>
        <v>4.5</v>
      </c>
      <c r="F631" s="15" t="str">
        <f>INDEX([1]!MODEL[FPL_Name],MATCH($A631,[1]!MODEL[Code],0))</f>
        <v>Aaron Anselmino</v>
      </c>
      <c r="G631" s="10">
        <v>0</v>
      </c>
      <c r="H631" s="10">
        <v>0</v>
      </c>
      <c r="I631" s="10">
        <v>0</v>
      </c>
      <c r="J631" s="11">
        <f t="shared" si="46"/>
        <v>0</v>
      </c>
      <c r="K631" s="11">
        <f t="shared" si="47"/>
        <v>0</v>
      </c>
      <c r="L631" s="11">
        <f t="shared" si="48"/>
        <v>0</v>
      </c>
      <c r="M631" s="11">
        <v>0</v>
      </c>
      <c r="N631" s="11">
        <f t="shared" si="49"/>
        <v>0</v>
      </c>
      <c r="P631" s="13">
        <f t="shared" si="50"/>
        <v>-5.6486933773806855E-3</v>
      </c>
    </row>
    <row r="632" spans="1:16" x14ac:dyDescent="0.25">
      <c r="A632" s="16">
        <v>449429</v>
      </c>
      <c r="B632" s="4">
        <f>INDEX([1]!PREDICT[TRUE PTS],MATCH($A632,[1]!PREDICT[HARD CODE],0))</f>
        <v>8.7512129384952004</v>
      </c>
      <c r="C632" s="7" t="str">
        <f>INDEX([1]!MODEL[POS],MATCH($A632,[1]!MODEL[Code],0))</f>
        <v>DEF</v>
      </c>
      <c r="D632" s="7" t="str">
        <f>INDEX([1]!MODEL[TEAM],MATCH($A632,[1]!MODEL[Code],0))</f>
        <v>IPS</v>
      </c>
      <c r="E632" s="7">
        <f>INDEX([1]PREDICT!$M$3:$M$1001,MATCH($A632,[1]PREDICT!$B$3:$B$1001,0))</f>
        <v>4</v>
      </c>
      <c r="F632" s="15" t="str">
        <f>INDEX([1]!MODEL[FPL_Name],MATCH($A632,[1]!MODEL[Code],0))</f>
        <v>Jacob Greaves</v>
      </c>
      <c r="G632" s="10">
        <v>0</v>
      </c>
      <c r="H632" s="10">
        <v>0</v>
      </c>
      <c r="I632" s="10">
        <v>0</v>
      </c>
      <c r="J632" s="11">
        <f t="shared" si="46"/>
        <v>0</v>
      </c>
      <c r="K632" s="11">
        <f t="shared" si="47"/>
        <v>0</v>
      </c>
      <c r="L632" s="11">
        <f t="shared" si="48"/>
        <v>0</v>
      </c>
      <c r="M632" s="11">
        <v>0</v>
      </c>
      <c r="N632" s="11">
        <f t="shared" si="49"/>
        <v>0</v>
      </c>
      <c r="P632" s="13">
        <f t="shared" si="50"/>
        <v>0.43756064692476004</v>
      </c>
    </row>
    <row r="633" spans="1:16" x14ac:dyDescent="0.25">
      <c r="A633" s="16">
        <v>176420</v>
      </c>
      <c r="B633" s="4">
        <f>INDEX([1]!PREDICT[TRUE PTS],MATCH($A633,[1]!PREDICT[HARD CODE],0))</f>
        <v>15.729264954310747</v>
      </c>
      <c r="C633" s="7" t="str">
        <f>INDEX([1]!MODEL[POS],MATCH($A633,[1]!MODEL[Code],0))</f>
        <v>DEF</v>
      </c>
      <c r="D633" s="7" t="str">
        <f>INDEX([1]!MODEL[TEAM],MATCH($A633,[1]!MODEL[Code],0))</f>
        <v>IPS</v>
      </c>
      <c r="E633" s="7">
        <f>INDEX([1]PREDICT!$M$3:$M$1001,MATCH($A633,[1]PREDICT!$B$3:$B$1001,0))</f>
        <v>4</v>
      </c>
      <c r="F633" s="15" t="str">
        <f>INDEX([1]!MODEL[FPL_Name],MATCH($A633,[1]!MODEL[Code],0))</f>
        <v>Darnell Furlong</v>
      </c>
      <c r="G633" s="10">
        <v>0</v>
      </c>
      <c r="H633" s="10">
        <v>0</v>
      </c>
      <c r="I633" s="10">
        <v>0</v>
      </c>
      <c r="J633" s="11">
        <f t="shared" si="46"/>
        <v>0</v>
      </c>
      <c r="K633" s="11">
        <f t="shared" si="47"/>
        <v>0</v>
      </c>
      <c r="L633" s="11">
        <f t="shared" si="48"/>
        <v>0</v>
      </c>
      <c r="M633" s="11">
        <v>0</v>
      </c>
      <c r="N633" s="11">
        <f t="shared" si="49"/>
        <v>0</v>
      </c>
      <c r="P633" s="13">
        <f t="shared" si="50"/>
        <v>0.78646324771553733</v>
      </c>
    </row>
    <row r="634" spans="1:16" x14ac:dyDescent="0.25">
      <c r="A634" s="16">
        <v>40383</v>
      </c>
      <c r="B634" s="4">
        <f>INDEX([1]!PREDICT[TRUE PTS],MATCH($A634,[1]!PREDICT[HARD CODE],0))</f>
        <v>-0.13904245572519458</v>
      </c>
      <c r="C634" s="7" t="str">
        <f>INDEX([1]!MODEL[POS],MATCH($A634,[1]!MODEL[Code],0))</f>
        <v>GK</v>
      </c>
      <c r="D634" s="7" t="str">
        <f>INDEX([1]!MODEL[TEAM],MATCH($A634,[1]!MODEL[Code],0))</f>
        <v>BOU</v>
      </c>
      <c r="E634" s="7">
        <f>INDEX([1]PREDICT!$M$3:$M$1001,MATCH($A634,[1]PREDICT!$B$3:$B$1001,0))</f>
        <v>4</v>
      </c>
      <c r="F634" s="15" t="str">
        <f>INDEX([1]!MODEL[FPL_Name],MATCH($A634,[1]!MODEL[Code],0))</f>
        <v>Fraser Forster</v>
      </c>
      <c r="G634" s="10">
        <v>0</v>
      </c>
      <c r="H634" s="10">
        <v>0</v>
      </c>
      <c r="I634" s="10">
        <v>0</v>
      </c>
      <c r="J634" s="11">
        <f t="shared" si="46"/>
        <v>0</v>
      </c>
      <c r="K634" s="11">
        <f t="shared" si="47"/>
        <v>0</v>
      </c>
      <c r="L634" s="11">
        <f t="shared" si="48"/>
        <v>0</v>
      </c>
      <c r="M634" s="11">
        <v>0</v>
      </c>
      <c r="N634" s="11">
        <f t="shared" si="49"/>
        <v>0</v>
      </c>
      <c r="P634" s="13">
        <f t="shared" si="50"/>
        <v>-6.952122786259729E-3</v>
      </c>
    </row>
    <row r="635" spans="1:16" x14ac:dyDescent="0.25">
      <c r="A635" s="16">
        <v>444172</v>
      </c>
      <c r="B635" s="4">
        <f>INDEX([1]!PREDICT[TRUE PTS],MATCH($A635,[1]!PREDICT[HARD CODE],0))</f>
        <v>-0.13904245572519458</v>
      </c>
      <c r="C635" s="7" t="str">
        <f>INDEX([1]!MODEL[POS],MATCH($A635,[1]!MODEL[Code],0))</f>
        <v>GK</v>
      </c>
      <c r="D635" s="7" t="str">
        <f>INDEX([1]!MODEL[TEAM],MATCH($A635,[1]!MODEL[Code],0))</f>
        <v>BOU</v>
      </c>
      <c r="E635" s="7">
        <f>INDEX([1]PREDICT!$M$3:$M$1001,MATCH($A635,[1]PREDICT!$B$3:$B$1001,0))</f>
        <v>4</v>
      </c>
      <c r="F635" s="15" t="str">
        <f>INDEX([1]!MODEL[FPL_Name],MATCH($A635,[1]!MODEL[Code],0))</f>
        <v>Will Dennis</v>
      </c>
      <c r="G635" s="10">
        <v>0</v>
      </c>
      <c r="H635" s="10">
        <v>0</v>
      </c>
      <c r="I635" s="10">
        <v>0</v>
      </c>
      <c r="J635" s="11">
        <f t="shared" si="46"/>
        <v>0</v>
      </c>
      <c r="K635" s="11">
        <f t="shared" si="47"/>
        <v>0</v>
      </c>
      <c r="L635" s="11">
        <f t="shared" si="48"/>
        <v>0</v>
      </c>
      <c r="M635" s="11">
        <v>0</v>
      </c>
      <c r="N635" s="11">
        <f t="shared" si="49"/>
        <v>0</v>
      </c>
      <c r="P635" s="13">
        <f t="shared" si="50"/>
        <v>-6.952122786259729E-3</v>
      </c>
    </row>
    <row r="636" spans="1:16" x14ac:dyDescent="0.25">
      <c r="A636" s="16">
        <v>232571</v>
      </c>
      <c r="B636" s="4">
        <f>INDEX([1]!PREDICT[TRUE PTS],MATCH($A636,[1]!PREDICT[HARD CODE],0))</f>
        <v>-0.17628291554463016</v>
      </c>
      <c r="C636" s="7" t="str">
        <f>INDEX([1]!MODEL[POS],MATCH($A636,[1]!MODEL[Code],0))</f>
        <v>GK</v>
      </c>
      <c r="D636" s="7" t="str">
        <f>INDEX([1]!MODEL[TEAM],MATCH($A636,[1]!MODEL[Code],0))</f>
        <v>SUN</v>
      </c>
      <c r="E636" s="7">
        <f>INDEX([1]PREDICT!$M$3:$M$1001,MATCH($A636,[1]PREDICT!$B$3:$B$1001,0))</f>
        <v>4</v>
      </c>
      <c r="F636" s="15" t="str">
        <f>INDEX([1]!MODEL[FPL_Name],MATCH($A636,[1]!MODEL[Code],0))</f>
        <v>Anthony Patterson</v>
      </c>
      <c r="G636" s="10">
        <v>0</v>
      </c>
      <c r="H636" s="10">
        <v>0</v>
      </c>
      <c r="I636" s="10">
        <v>0</v>
      </c>
      <c r="J636" s="11">
        <f t="shared" si="46"/>
        <v>0</v>
      </c>
      <c r="K636" s="11">
        <f t="shared" si="47"/>
        <v>0</v>
      </c>
      <c r="L636" s="11">
        <f t="shared" si="48"/>
        <v>0</v>
      </c>
      <c r="M636" s="11">
        <v>0</v>
      </c>
      <c r="N636" s="11">
        <f t="shared" si="49"/>
        <v>0</v>
      </c>
      <c r="P636" s="13">
        <f t="shared" si="50"/>
        <v>-8.8141457772315072E-3</v>
      </c>
    </row>
    <row r="637" spans="1:16" x14ac:dyDescent="0.25">
      <c r="A637" s="16">
        <v>86873</v>
      </c>
      <c r="B637" s="4">
        <f>INDEX([1]!PREDICT[TRUE PTS],MATCH($A637,[1]!PREDICT[HARD CODE],0))</f>
        <v>-0.17816329107664547</v>
      </c>
      <c r="C637" s="7" t="str">
        <f>INDEX([1]!MODEL[POS],MATCH($A637,[1]!MODEL[Code],0))</f>
        <v>GK</v>
      </c>
      <c r="D637" s="7" t="str">
        <f>INDEX([1]!MODEL[TEAM],MATCH($A637,[1]!MODEL[Code],0))</f>
        <v>FUL</v>
      </c>
      <c r="E637" s="7">
        <f>INDEX([1]PREDICT!$M$3:$M$1001,MATCH($A637,[1]PREDICT!$B$3:$B$1001,0))</f>
        <v>4</v>
      </c>
      <c r="F637" s="15" t="str">
        <f>INDEX([1]!MODEL[FPL_Name],MATCH($A637,[1]!MODEL[Code],0))</f>
        <v>Benjamin Lecomte</v>
      </c>
      <c r="G637" s="10">
        <v>0</v>
      </c>
      <c r="H637" s="10">
        <v>0</v>
      </c>
      <c r="I637" s="10">
        <v>0</v>
      </c>
      <c r="J637" s="11">
        <f t="shared" si="46"/>
        <v>0</v>
      </c>
      <c r="K637" s="11">
        <f t="shared" si="47"/>
        <v>0</v>
      </c>
      <c r="L637" s="11">
        <f t="shared" si="48"/>
        <v>0</v>
      </c>
      <c r="M637" s="11">
        <v>0</v>
      </c>
      <c r="N637" s="11">
        <f t="shared" si="49"/>
        <v>0</v>
      </c>
      <c r="P637" s="13">
        <f t="shared" si="50"/>
        <v>-8.9081645538322731E-3</v>
      </c>
    </row>
    <row r="638" spans="1:16" x14ac:dyDescent="0.25">
      <c r="A638" s="16">
        <v>505079</v>
      </c>
      <c r="B638" s="4">
        <f>INDEX([1]!PREDICT[TRUE PTS],MATCH($A638,[1]!PREDICT[HARD CODE],0))</f>
        <v>-0.17816329107664547</v>
      </c>
      <c r="C638" s="7" t="str">
        <f>INDEX([1]!MODEL[POS],MATCH($A638,[1]!MODEL[Code],0))</f>
        <v>GK</v>
      </c>
      <c r="D638" s="7" t="str">
        <f>INDEX([1]!MODEL[TEAM],MATCH($A638,[1]!MODEL[Code],0))</f>
        <v>FUL</v>
      </c>
      <c r="E638" s="7">
        <f>INDEX([1]PREDICT!$M$3:$M$1001,MATCH($A638,[1]PREDICT!$B$3:$B$1001,0))</f>
        <v>4</v>
      </c>
      <c r="F638" s="15" t="str">
        <f>INDEX([1]!MODEL[FPL_Name],MATCH($A638,[1]!MODEL[Code],0))</f>
        <v>Alfie McNally</v>
      </c>
      <c r="G638" s="10">
        <v>0</v>
      </c>
      <c r="H638" s="10">
        <v>0</v>
      </c>
      <c r="I638" s="10">
        <v>0</v>
      </c>
      <c r="J638" s="11">
        <f t="shared" si="46"/>
        <v>0</v>
      </c>
      <c r="K638" s="11">
        <f t="shared" si="47"/>
        <v>0</v>
      </c>
      <c r="L638" s="11">
        <f t="shared" si="48"/>
        <v>0</v>
      </c>
      <c r="M638" s="11">
        <v>0</v>
      </c>
      <c r="N638" s="11">
        <f t="shared" si="49"/>
        <v>0</v>
      </c>
      <c r="P638" s="13">
        <f t="shared" si="50"/>
        <v>-8.9081645538322731E-3</v>
      </c>
    </row>
    <row r="639" spans="1:16" x14ac:dyDescent="0.25">
      <c r="A639" s="16">
        <v>242313</v>
      </c>
      <c r="B639" s="4">
        <f>INDEX([1]!PREDICT[TRUE PTS],MATCH($A639,[1]!PREDICT[HARD CODE],0))</f>
        <v>-0.19918350174565419</v>
      </c>
      <c r="C639" s="7" t="str">
        <f>INDEX([1]!MODEL[POS],MATCH($A639,[1]!MODEL[Code],0))</f>
        <v>DEF</v>
      </c>
      <c r="D639" s="7" t="str">
        <f>INDEX([1]!MODEL[TEAM],MATCH($A639,[1]!MODEL[Code],0))</f>
        <v>CRY</v>
      </c>
      <c r="E639" s="7">
        <f>INDEX([1]PREDICT!$M$3:$M$1001,MATCH($A639,[1]PREDICT!$B$3:$B$1001,0))</f>
        <v>4.5</v>
      </c>
      <c r="F639" s="15" t="str">
        <f>INDEX([1]!MODEL[FPL_Name],MATCH($A639,[1]!MODEL[Code],0))</f>
        <v>Oscar Mingueza</v>
      </c>
      <c r="G639" s="10">
        <v>0</v>
      </c>
      <c r="H639" s="10">
        <v>0</v>
      </c>
      <c r="I639" s="10">
        <v>0</v>
      </c>
      <c r="J639" s="11">
        <f t="shared" si="46"/>
        <v>0</v>
      </c>
      <c r="K639" s="11">
        <f t="shared" si="47"/>
        <v>0</v>
      </c>
      <c r="L639" s="11">
        <f t="shared" si="48"/>
        <v>0</v>
      </c>
      <c r="M639" s="11">
        <v>0</v>
      </c>
      <c r="N639" s="11">
        <f t="shared" si="49"/>
        <v>0</v>
      </c>
      <c r="P639" s="13">
        <f t="shared" si="50"/>
        <v>-8.8526000775846318E-3</v>
      </c>
    </row>
    <row r="640" spans="1:16" x14ac:dyDescent="0.25">
      <c r="A640" s="16">
        <v>223434</v>
      </c>
      <c r="B640" s="4">
        <f>INDEX([1]!PREDICT[TRUE PTS],MATCH($A640,[1]!PREDICT[HARD CODE],0))</f>
        <v>-0.20157626121924355</v>
      </c>
      <c r="C640" s="7" t="str">
        <f>INDEX([1]!MODEL[POS],MATCH($A640,[1]!MODEL[Code],0))</f>
        <v>DEF</v>
      </c>
      <c r="D640" s="7" t="str">
        <f>INDEX([1]!MODEL[TEAM],MATCH($A640,[1]!MODEL[Code],0))</f>
        <v>BHA</v>
      </c>
      <c r="E640" s="7">
        <f>INDEX([1]PREDICT!$M$3:$M$1001,MATCH($A640,[1]PREDICT!$B$3:$B$1001,0))</f>
        <v>4.5</v>
      </c>
      <c r="F640" s="15" t="str">
        <f>INDEX([1]!MODEL[FPL_Name],MATCH($A640,[1]!MODEL[Code],0))</f>
        <v>Igor Julio dos Santos de Paulo</v>
      </c>
      <c r="G640" s="10">
        <v>0</v>
      </c>
      <c r="H640" s="10">
        <v>0</v>
      </c>
      <c r="I640" s="10">
        <v>0</v>
      </c>
      <c r="J640" s="11">
        <f t="shared" si="46"/>
        <v>0</v>
      </c>
      <c r="K640" s="11">
        <f t="shared" si="47"/>
        <v>0</v>
      </c>
      <c r="L640" s="11">
        <f t="shared" si="48"/>
        <v>0</v>
      </c>
      <c r="M640" s="11">
        <v>0</v>
      </c>
      <c r="N640" s="11">
        <f t="shared" si="49"/>
        <v>0</v>
      </c>
      <c r="P640" s="13">
        <f t="shared" si="50"/>
        <v>-8.958944943077491E-3</v>
      </c>
    </row>
    <row r="641" spans="1:16" x14ac:dyDescent="0.25">
      <c r="A641" s="16">
        <v>610799</v>
      </c>
      <c r="B641" s="4">
        <f>INDEX([1]!PREDICT[TRUE PTS],MATCH($A641,[1]!PREDICT[HARD CODE],0))</f>
        <v>-0.20157626121924355</v>
      </c>
      <c r="C641" s="7" t="str">
        <f>INDEX([1]!MODEL[POS],MATCH($A641,[1]!MODEL[Code],0))</f>
        <v>DEF</v>
      </c>
      <c r="D641" s="7" t="str">
        <f>INDEX([1]!MODEL[TEAM],MATCH($A641,[1]!MODEL[Code],0))</f>
        <v>BHA</v>
      </c>
      <c r="E641" s="7">
        <f>INDEX([1]PREDICT!$M$3:$M$1001,MATCH($A641,[1]PREDICT!$B$3:$B$1001,0))</f>
        <v>5</v>
      </c>
      <c r="F641" s="15" t="str">
        <f>INDEX([1]!MODEL[FPL_Name],MATCH($A641,[1]!MODEL[Code],0))</f>
        <v>Luka Vušković</v>
      </c>
      <c r="G641" s="10">
        <v>0</v>
      </c>
      <c r="H641" s="10">
        <v>0</v>
      </c>
      <c r="I641" s="10">
        <v>0</v>
      </c>
      <c r="J641" s="11">
        <f t="shared" si="46"/>
        <v>0</v>
      </c>
      <c r="K641" s="11">
        <f t="shared" si="47"/>
        <v>0</v>
      </c>
      <c r="L641" s="11">
        <f t="shared" si="48"/>
        <v>0</v>
      </c>
      <c r="M641" s="11">
        <v>0</v>
      </c>
      <c r="N641" s="11">
        <f t="shared" si="49"/>
        <v>0</v>
      </c>
      <c r="P641" s="13">
        <f t="shared" si="50"/>
        <v>-8.0630504487697423E-3</v>
      </c>
    </row>
    <row r="642" spans="1:16" x14ac:dyDescent="0.25">
      <c r="A642" s="16">
        <v>204822</v>
      </c>
      <c r="B642" s="4">
        <f>INDEX([1]!PREDICT[TRUE PTS],MATCH($A642,[1]!PREDICT[HARD CODE],0))</f>
        <v>-0.21044460106289264</v>
      </c>
      <c r="C642" s="7" t="str">
        <f>INDEX([1]!MODEL[POS],MATCH($A642,[1]!MODEL[Code],0))</f>
        <v>DEF</v>
      </c>
      <c r="D642" s="7" t="str">
        <f>INDEX([1]!MODEL[TEAM],MATCH($A642,[1]!MODEL[Code],0))</f>
        <v>NFO</v>
      </c>
      <c r="E642" s="7">
        <f>INDEX([1]PREDICT!$M$3:$M$1001,MATCH($A642,[1]PREDICT!$B$3:$B$1001,0))</f>
        <v>4</v>
      </c>
      <c r="F642" s="15" t="str">
        <f>INDEX([1]!MODEL[FPL_Name],MATCH($A642,[1]!MODEL[Code],0))</f>
        <v>Omar Richards</v>
      </c>
      <c r="G642" s="10">
        <v>0</v>
      </c>
      <c r="H642" s="10">
        <v>0</v>
      </c>
      <c r="I642" s="10">
        <v>0</v>
      </c>
      <c r="J642" s="11">
        <f t="shared" ref="J642:J658" si="51">G642+H642</f>
        <v>0</v>
      </c>
      <c r="K642" s="11">
        <f t="shared" ref="K642:K658" si="52">G642*E642</f>
        <v>0</v>
      </c>
      <c r="L642" s="11">
        <f t="shared" ref="L642:L658" si="53">H642*E642</f>
        <v>0</v>
      </c>
      <c r="M642" s="11">
        <v>0</v>
      </c>
      <c r="N642" s="11">
        <f t="shared" ref="N642:N658" si="54">(G642*B642)+(H642*B642*$U$2)+(I642*B642)</f>
        <v>0</v>
      </c>
      <c r="P642" s="13">
        <f t="shared" ref="P642:P658" si="55">IFERROR((B642/E642)/$Q$2,0)</f>
        <v>-1.0522230053144632E-2</v>
      </c>
    </row>
    <row r="643" spans="1:16" x14ac:dyDescent="0.25">
      <c r="A643" s="16">
        <v>451284</v>
      </c>
      <c r="B643" s="4">
        <f>INDEX([1]!PREDICT[TRUE PTS],MATCH($A643,[1]!PREDICT[HARD CODE],0))</f>
        <v>13.040176797321655</v>
      </c>
      <c r="C643" s="7" t="str">
        <f>INDEX([1]!MODEL[POS],MATCH($A643,[1]!MODEL[Code],0))</f>
        <v>DEF</v>
      </c>
      <c r="D643" s="7" t="str">
        <f>INDEX([1]!MODEL[TEAM],MATCH($A643,[1]!MODEL[Code],0))</f>
        <v>COV</v>
      </c>
      <c r="E643" s="7">
        <f>INDEX([1]PREDICT!$M$3:$M$1001,MATCH($A643,[1]PREDICT!$B$3:$B$1001,0))</f>
        <v>4</v>
      </c>
      <c r="F643" s="15" t="str">
        <f>INDEX([1]!MODEL[FPL_Name],MATCH($A643,[1]!MODEL[Code],0))</f>
        <v>Milan van Ewijk</v>
      </c>
      <c r="G643" s="10">
        <v>0</v>
      </c>
      <c r="H643" s="10">
        <v>0</v>
      </c>
      <c r="I643" s="10">
        <v>0</v>
      </c>
      <c r="J643" s="11">
        <f t="shared" si="51"/>
        <v>0</v>
      </c>
      <c r="K643" s="11">
        <f t="shared" si="52"/>
        <v>0</v>
      </c>
      <c r="L643" s="11">
        <f t="shared" si="53"/>
        <v>0</v>
      </c>
      <c r="M643" s="11">
        <v>0</v>
      </c>
      <c r="N643" s="11">
        <f t="shared" si="54"/>
        <v>0</v>
      </c>
      <c r="P643" s="13">
        <f t="shared" si="55"/>
        <v>0.65200883986608271</v>
      </c>
    </row>
    <row r="644" spans="1:16" x14ac:dyDescent="0.25">
      <c r="A644" s="16">
        <v>577411</v>
      </c>
      <c r="B644" s="4">
        <f>INDEX([1]!PREDICT[TRUE PTS],MATCH($A644,[1]!PREDICT[HARD CODE],0))</f>
        <v>2.0597615853084945</v>
      </c>
      <c r="C644" s="7" t="str">
        <f>INDEX([1]!MODEL[POS],MATCH($A644,[1]!MODEL[Code],0))</f>
        <v>DEF</v>
      </c>
      <c r="D644" s="7" t="str">
        <f>INDEX([1]!MODEL[TEAM],MATCH($A644,[1]!MODEL[Code],0))</f>
        <v>COV</v>
      </c>
      <c r="E644" s="7">
        <f>INDEX([1]PREDICT!$M$3:$M$1001,MATCH($A644,[1]PREDICT!$B$3:$B$1001,0))</f>
        <v>4</v>
      </c>
      <c r="F644" s="15" t="str">
        <f>INDEX([1]!MODEL[FPL_Name],MATCH($A644,[1]!MODEL[Code],0))</f>
        <v>Miguel Brau</v>
      </c>
      <c r="G644" s="10">
        <v>0</v>
      </c>
      <c r="H644" s="10">
        <v>0</v>
      </c>
      <c r="I644" s="10">
        <v>0</v>
      </c>
      <c r="J644" s="11">
        <f t="shared" si="51"/>
        <v>0</v>
      </c>
      <c r="K644" s="11">
        <f t="shared" si="52"/>
        <v>0</v>
      </c>
      <c r="L644" s="11">
        <f t="shared" si="53"/>
        <v>0</v>
      </c>
      <c r="M644" s="11">
        <v>0</v>
      </c>
      <c r="N644" s="11">
        <f t="shared" si="54"/>
        <v>0</v>
      </c>
      <c r="P644" s="13">
        <f t="shared" si="55"/>
        <v>0.10298807926542472</v>
      </c>
    </row>
    <row r="645" spans="1:16" x14ac:dyDescent="0.25">
      <c r="A645" s="16">
        <v>570241</v>
      </c>
      <c r="B645" s="4">
        <f>INDEX([1]!PREDICT[TRUE PTS],MATCH($A645,[1]!PREDICT[HARD CODE],0))</f>
        <v>-0.21220424082192405</v>
      </c>
      <c r="C645" s="7" t="str">
        <f>INDEX([1]!MODEL[POS],MATCH($A645,[1]!MODEL[Code],0))</f>
        <v>DEF</v>
      </c>
      <c r="D645" s="7" t="str">
        <f>INDEX([1]!MODEL[TEAM],MATCH($A645,[1]!MODEL[Code],0))</f>
        <v>BRE</v>
      </c>
      <c r="E645" s="7">
        <f>INDEX([1]PREDICT!$M$3:$M$1001,MATCH($A645,[1]PREDICT!$B$3:$B$1001,0))</f>
        <v>4.5</v>
      </c>
      <c r="F645" s="15" t="str">
        <f>INDEX([1]!MODEL[FPL_Name],MATCH($A645,[1]!MODEL[Code],0))</f>
        <v>Kim Ji-soo</v>
      </c>
      <c r="G645" s="10">
        <v>0</v>
      </c>
      <c r="H645" s="10">
        <v>0</v>
      </c>
      <c r="I645" s="10">
        <v>0</v>
      </c>
      <c r="J645" s="11">
        <f t="shared" si="51"/>
        <v>0</v>
      </c>
      <c r="K645" s="11">
        <f t="shared" si="52"/>
        <v>0</v>
      </c>
      <c r="L645" s="11">
        <f t="shared" si="53"/>
        <v>0</v>
      </c>
      <c r="M645" s="11">
        <v>0</v>
      </c>
      <c r="N645" s="11">
        <f t="shared" si="54"/>
        <v>0</v>
      </c>
      <c r="P645" s="13">
        <f t="shared" si="55"/>
        <v>-9.4312995920855132E-3</v>
      </c>
    </row>
    <row r="646" spans="1:16" x14ac:dyDescent="0.25">
      <c r="A646" s="16">
        <v>499300</v>
      </c>
      <c r="B646" s="4">
        <f>INDEX([1]!PREDICT[TRUE PTS],MATCH($A646,[1]!PREDICT[HARD CODE],0))</f>
        <v>-0.21733431502966419</v>
      </c>
      <c r="C646" s="7" t="str">
        <f>INDEX([1]!MODEL[POS],MATCH($A646,[1]!MODEL[Code],0))</f>
        <v>DEF</v>
      </c>
      <c r="D646" s="7" t="str">
        <f>INDEX([1]!MODEL[TEAM],MATCH($A646,[1]!MODEL[Code],0))</f>
        <v>EVE</v>
      </c>
      <c r="E646" s="7">
        <f>INDEX([1]PREDICT!$M$3:$M$1001,MATCH($A646,[1]PREDICT!$B$3:$B$1001,0))</f>
        <v>4</v>
      </c>
      <c r="F646" s="15" t="str">
        <f>INDEX([1]!MODEL[FPL_Name],MATCH($A646,[1]!MODEL[Code],0))</f>
        <v>Adam Aznou</v>
      </c>
      <c r="G646" s="10">
        <v>0</v>
      </c>
      <c r="H646" s="10">
        <v>0</v>
      </c>
      <c r="I646" s="10">
        <v>0</v>
      </c>
      <c r="J646" s="11">
        <f t="shared" si="51"/>
        <v>0</v>
      </c>
      <c r="K646" s="11">
        <f t="shared" si="52"/>
        <v>0</v>
      </c>
      <c r="L646" s="11">
        <f t="shared" si="53"/>
        <v>0</v>
      </c>
      <c r="M646" s="11">
        <v>0</v>
      </c>
      <c r="N646" s="11">
        <f t="shared" si="54"/>
        <v>0</v>
      </c>
      <c r="P646" s="13">
        <f t="shared" si="55"/>
        <v>-1.086671575148321E-2</v>
      </c>
    </row>
    <row r="647" spans="1:16" x14ac:dyDescent="0.25">
      <c r="A647" s="16">
        <v>436893</v>
      </c>
      <c r="B647" s="4">
        <f>INDEX([1]!PREDICT[TRUE PTS],MATCH($A647,[1]!PREDICT[HARD CODE],0))</f>
        <v>-0.23668553897756756</v>
      </c>
      <c r="C647" s="7" t="str">
        <f>INDEX([1]!MODEL[POS],MATCH($A647,[1]!MODEL[Code],0))</f>
        <v>DEF</v>
      </c>
      <c r="D647" s="7" t="str">
        <f>INDEX([1]!MODEL[TEAM],MATCH($A647,[1]!MODEL[Code],0))</f>
        <v>BOU</v>
      </c>
      <c r="E647" s="7">
        <f>INDEX([1]PREDICT!$M$3:$M$1001,MATCH($A647,[1]PREDICT!$B$3:$B$1001,0))</f>
        <v>4.5</v>
      </c>
      <c r="F647" s="15" t="str">
        <f>INDEX([1]!MODEL[FPL_Name],MATCH($A647,[1]!MODEL[Code],0))</f>
        <v>Julián Araujo Zúñiga</v>
      </c>
      <c r="G647" s="10">
        <v>0</v>
      </c>
      <c r="H647" s="10">
        <v>0</v>
      </c>
      <c r="I647" s="10">
        <v>0</v>
      </c>
      <c r="J647" s="11">
        <f t="shared" si="51"/>
        <v>0</v>
      </c>
      <c r="K647" s="11">
        <f t="shared" si="52"/>
        <v>0</v>
      </c>
      <c r="L647" s="11">
        <f t="shared" si="53"/>
        <v>0</v>
      </c>
      <c r="M647" s="11">
        <v>0</v>
      </c>
      <c r="N647" s="11">
        <f t="shared" si="54"/>
        <v>0</v>
      </c>
      <c r="P647" s="13">
        <f t="shared" si="55"/>
        <v>-1.0519357287891891E-2</v>
      </c>
    </row>
    <row r="648" spans="1:16" x14ac:dyDescent="0.25">
      <c r="A648" s="16">
        <v>575901</v>
      </c>
      <c r="B648" s="4">
        <f>INDEX([1]!PREDICT[TRUE PTS],MATCH($A648,[1]!PREDICT[HARD CODE],0))</f>
        <v>-0.23668553897756756</v>
      </c>
      <c r="C648" s="7" t="str">
        <f>INDEX([1]!MODEL[POS],MATCH($A648,[1]!MODEL[Code],0))</f>
        <v>DEF</v>
      </c>
      <c r="D648" s="7" t="str">
        <f>INDEX([1]!MODEL[TEAM],MATCH($A648,[1]!MODEL[Code],0))</f>
        <v>BOU</v>
      </c>
      <c r="E648" s="7">
        <f>INDEX([1]PREDICT!$M$3:$M$1001,MATCH($A648,[1]PREDICT!$B$3:$B$1001,0))</f>
        <v>4</v>
      </c>
      <c r="F648" s="15" t="str">
        <f>INDEX([1]!MODEL[FPL_Name],MATCH($A648,[1]!MODEL[Code],0))</f>
        <v>Julio Soler Barreto</v>
      </c>
      <c r="G648" s="10">
        <v>0</v>
      </c>
      <c r="H648" s="10">
        <v>0</v>
      </c>
      <c r="I648" s="10">
        <v>0</v>
      </c>
      <c r="J648" s="11">
        <f t="shared" si="51"/>
        <v>0</v>
      </c>
      <c r="K648" s="11">
        <f t="shared" si="52"/>
        <v>0</v>
      </c>
      <c r="L648" s="11">
        <f t="shared" si="53"/>
        <v>0</v>
      </c>
      <c r="M648" s="11">
        <v>0</v>
      </c>
      <c r="N648" s="11">
        <f t="shared" si="54"/>
        <v>0</v>
      </c>
      <c r="P648" s="13">
        <f t="shared" si="55"/>
        <v>-1.1834276948878378E-2</v>
      </c>
    </row>
    <row r="649" spans="1:16" x14ac:dyDescent="0.25">
      <c r="A649" s="16">
        <v>477547</v>
      </c>
      <c r="B649" s="4">
        <f>INDEX([1]!PREDICT[TRUE PTS],MATCH($A649,[1]!PREDICT[HARD CODE],0))</f>
        <v>-0.29259532658277293</v>
      </c>
      <c r="C649" s="7" t="str">
        <f>INDEX([1]!MODEL[POS],MATCH($A649,[1]!MODEL[Code],0))</f>
        <v>DEF</v>
      </c>
      <c r="D649" s="7" t="str">
        <f>INDEX([1]!MODEL[TEAM],MATCH($A649,[1]!MODEL[Code],0))</f>
        <v>SUN</v>
      </c>
      <c r="E649" s="7">
        <f>INDEX([1]PREDICT!$M$3:$M$1001,MATCH($A649,[1]PREDICT!$B$3:$B$1001,0))</f>
        <v>4</v>
      </c>
      <c r="F649" s="15" t="str">
        <f>INDEX([1]!MODEL[FPL_Name],MATCH($A649,[1]!MODEL[Code],0))</f>
        <v>Leo Fuhr Hjelde</v>
      </c>
      <c r="G649" s="10">
        <v>0</v>
      </c>
      <c r="H649" s="10">
        <v>0</v>
      </c>
      <c r="I649" s="10">
        <v>0</v>
      </c>
      <c r="J649" s="11">
        <f t="shared" si="51"/>
        <v>0</v>
      </c>
      <c r="K649" s="11">
        <f t="shared" si="52"/>
        <v>0</v>
      </c>
      <c r="L649" s="11">
        <f t="shared" si="53"/>
        <v>0</v>
      </c>
      <c r="M649" s="11">
        <v>0</v>
      </c>
      <c r="N649" s="11">
        <f t="shared" si="54"/>
        <v>0</v>
      </c>
      <c r="P649" s="13">
        <f t="shared" si="55"/>
        <v>-1.4629766329138646E-2</v>
      </c>
    </row>
    <row r="650" spans="1:16" x14ac:dyDescent="0.25">
      <c r="A650" s="16">
        <v>444463</v>
      </c>
      <c r="B650" s="4">
        <f>INDEX([1]!PREDICT[TRUE PTS],MATCH($A650,[1]!PREDICT[HARD CODE],0))</f>
        <v>-0.29368571584711128</v>
      </c>
      <c r="C650" s="7" t="str">
        <f>INDEX([1]!MODEL[POS],MATCH($A650,[1]!MODEL[Code],0))</f>
        <v>DEF</v>
      </c>
      <c r="D650" s="7" t="str">
        <f>INDEX([1]!MODEL[TEAM],MATCH($A650,[1]!MODEL[Code],0))</f>
        <v>CHE</v>
      </c>
      <c r="E650" s="7">
        <f>INDEX([1]PREDICT!$M$3:$M$1001,MATCH($A650,[1]PREDICT!$B$3:$B$1001,0))</f>
        <v>5</v>
      </c>
      <c r="F650" s="15" t="str">
        <f>INDEX([1]!MODEL[FPL_Name],MATCH($A650,[1]!MODEL[Code],0))</f>
        <v>Wesley Fofana</v>
      </c>
      <c r="G650" s="10">
        <v>0</v>
      </c>
      <c r="H650" s="10">
        <v>0</v>
      </c>
      <c r="I650" s="10">
        <v>0</v>
      </c>
      <c r="J650" s="11">
        <f t="shared" si="51"/>
        <v>0</v>
      </c>
      <c r="K650" s="11">
        <f t="shared" si="52"/>
        <v>0</v>
      </c>
      <c r="L650" s="11">
        <f t="shared" si="53"/>
        <v>0</v>
      </c>
      <c r="M650" s="11">
        <v>0</v>
      </c>
      <c r="N650" s="11">
        <f t="shared" si="54"/>
        <v>0</v>
      </c>
      <c r="P650" s="13">
        <f t="shared" si="55"/>
        <v>-1.1747428633884453E-2</v>
      </c>
    </row>
    <row r="651" spans="1:16" x14ac:dyDescent="0.25">
      <c r="A651" s="16">
        <v>160817</v>
      </c>
      <c r="B651" s="4">
        <f>INDEX([1]!PREDICT[TRUE PTS],MATCH($A651,[1]!PREDICT[HARD CODE],0))</f>
        <v>3.7424897477167725</v>
      </c>
      <c r="C651" s="7" t="str">
        <f>INDEX([1]!MODEL[POS],MATCH($A651,[1]!MODEL[Code],0))</f>
        <v>DEF</v>
      </c>
      <c r="D651" s="7" t="str">
        <f>INDEX([1]!MODEL[TEAM],MATCH($A651,[1]!MODEL[Code],0))</f>
        <v>HUL</v>
      </c>
      <c r="E651" s="7">
        <f>INDEX([1]PREDICT!$M$3:$M$1001,MATCH($A651,[1]PREDICT!$B$3:$B$1001,0))</f>
        <v>4</v>
      </c>
      <c r="F651" s="15" t="str">
        <f>INDEX([1]!MODEL[FPL_Name],MATCH($A651,[1]!MODEL[Code],0))</f>
        <v>Paddy McNair</v>
      </c>
      <c r="G651" s="10">
        <v>0</v>
      </c>
      <c r="H651" s="10">
        <v>0</v>
      </c>
      <c r="I651" s="10">
        <v>0</v>
      </c>
      <c r="J651" s="11">
        <f t="shared" si="51"/>
        <v>0</v>
      </c>
      <c r="K651" s="11">
        <f t="shared" si="52"/>
        <v>0</v>
      </c>
      <c r="L651" s="11">
        <f t="shared" si="53"/>
        <v>0</v>
      </c>
      <c r="M651" s="11">
        <v>0</v>
      </c>
      <c r="N651" s="11">
        <f t="shared" si="54"/>
        <v>0</v>
      </c>
      <c r="P651" s="13">
        <f t="shared" si="55"/>
        <v>0.18712448738583862</v>
      </c>
    </row>
    <row r="652" spans="1:16" x14ac:dyDescent="0.25">
      <c r="A652" s="16">
        <v>193278</v>
      </c>
      <c r="B652" s="4">
        <f>INDEX([1]!PREDICT[TRUE PTS],MATCH($A652,[1]!PREDICT[HARD CODE],0))</f>
        <v>7.3887534679893578</v>
      </c>
      <c r="C652" s="7" t="str">
        <f>INDEX([1]!MODEL[POS],MATCH($A652,[1]!MODEL[Code],0))</f>
        <v>DEF</v>
      </c>
      <c r="D652" s="7" t="str">
        <f>INDEX([1]!MODEL[TEAM],MATCH($A652,[1]!MODEL[Code],0))</f>
        <v>HUL</v>
      </c>
      <c r="E652" s="7">
        <f>INDEX([1]PREDICT!$M$3:$M$1001,MATCH($A652,[1]PREDICT!$B$3:$B$1001,0))</f>
        <v>4</v>
      </c>
      <c r="F652" s="15" t="str">
        <f>INDEX([1]!MODEL[FPL_Name],MATCH($A652,[1]!MODEL[Code],0))</f>
        <v>Lewie Coyle</v>
      </c>
      <c r="G652" s="10">
        <v>0</v>
      </c>
      <c r="H652" s="10">
        <v>0</v>
      </c>
      <c r="I652" s="10">
        <v>0</v>
      </c>
      <c r="J652" s="11">
        <f t="shared" si="51"/>
        <v>0</v>
      </c>
      <c r="K652" s="11">
        <f t="shared" si="52"/>
        <v>0</v>
      </c>
      <c r="L652" s="11">
        <f t="shared" si="53"/>
        <v>0</v>
      </c>
      <c r="M652" s="11">
        <v>0</v>
      </c>
      <c r="N652" s="11">
        <f t="shared" si="54"/>
        <v>0</v>
      </c>
      <c r="P652" s="13">
        <f t="shared" si="55"/>
        <v>0.36943767339946787</v>
      </c>
    </row>
    <row r="653" spans="1:16" x14ac:dyDescent="0.25">
      <c r="A653" s="16">
        <v>549074</v>
      </c>
      <c r="B653" s="4">
        <f>INDEX([1]!PREDICT[TRUE PTS],MATCH($A653,[1]!PREDICT[HARD CODE],0))</f>
        <v>-0.45113348441039869</v>
      </c>
      <c r="C653" s="7" t="str">
        <f>INDEX([1]!MODEL[POS],MATCH($A653,[1]!MODEL[Code],0))</f>
        <v>MID</v>
      </c>
      <c r="D653" s="7" t="str">
        <f>INDEX([1]!MODEL[TEAM],MATCH($A653,[1]!MODEL[Code],0))</f>
        <v>BHA</v>
      </c>
      <c r="E653" s="7">
        <f>INDEX([1]PREDICT!$M$3:$M$1001,MATCH($A653,[1]PREDICT!$B$3:$B$1001,0))</f>
        <v>5</v>
      </c>
      <c r="F653" s="15" t="str">
        <f>INDEX([1]!MODEL[FPL_Name],MATCH($A653,[1]!MODEL[Code],0))</f>
        <v>Tom Watson</v>
      </c>
      <c r="G653" s="10">
        <v>0</v>
      </c>
      <c r="H653" s="10">
        <v>0</v>
      </c>
      <c r="I653" s="10">
        <v>0</v>
      </c>
      <c r="J653" s="11">
        <f t="shared" si="51"/>
        <v>0</v>
      </c>
      <c r="K653" s="11">
        <f t="shared" si="52"/>
        <v>0</v>
      </c>
      <c r="L653" s="11">
        <f t="shared" si="53"/>
        <v>0</v>
      </c>
      <c r="M653" s="11">
        <v>0</v>
      </c>
      <c r="N653" s="11">
        <f t="shared" si="54"/>
        <v>0</v>
      </c>
      <c r="P653" s="13">
        <f t="shared" si="55"/>
        <v>-1.8045339376415948E-2</v>
      </c>
    </row>
    <row r="654" spans="1:16" x14ac:dyDescent="0.25">
      <c r="A654" s="16">
        <v>492777</v>
      </c>
      <c r="B654" s="4">
        <f>INDEX([1]!PREDICT[TRUE PTS],MATCH($A654,[1]!PREDICT[HARD CODE],0))</f>
        <v>-0.60596308286400746</v>
      </c>
      <c r="C654" s="7" t="str">
        <f>INDEX([1]!MODEL[POS],MATCH($A654,[1]!MODEL[Code],0))</f>
        <v>DEF</v>
      </c>
      <c r="D654" s="7" t="str">
        <f>INDEX([1]!MODEL[TEAM],MATCH($A654,[1]!MODEL[Code],0))</f>
        <v>LIV</v>
      </c>
      <c r="E654" s="7">
        <f>INDEX([1]PREDICT!$M$3:$M$1001,MATCH($A654,[1]PREDICT!$B$3:$B$1001,0))</f>
        <v>5</v>
      </c>
      <c r="F654" s="15" t="str">
        <f>INDEX([1]!MODEL[FPL_Name],MATCH($A654,[1]!MODEL[Code],0))</f>
        <v>Conor Bradley</v>
      </c>
      <c r="G654" s="10">
        <v>0</v>
      </c>
      <c r="H654" s="10">
        <v>0</v>
      </c>
      <c r="I654" s="10">
        <v>0</v>
      </c>
      <c r="J654" s="11">
        <f t="shared" si="51"/>
        <v>0</v>
      </c>
      <c r="K654" s="11">
        <f t="shared" si="52"/>
        <v>0</v>
      </c>
      <c r="L654" s="11">
        <f t="shared" si="53"/>
        <v>0</v>
      </c>
      <c r="M654" s="11">
        <v>0</v>
      </c>
      <c r="N654" s="11">
        <f t="shared" si="54"/>
        <v>0</v>
      </c>
      <c r="P654" s="13">
        <f t="shared" si="55"/>
        <v>-2.4238523314560299E-2</v>
      </c>
    </row>
    <row r="655" spans="1:16" x14ac:dyDescent="0.25">
      <c r="A655" s="16">
        <v>661800</v>
      </c>
      <c r="B655" s="4">
        <f>INDEX([1]!PREDICT[TRUE PTS],MATCH($A655,[1]!PREDICT[HARD CODE],0))</f>
        <v>0.26752224180933254</v>
      </c>
      <c r="C655" s="7" t="str">
        <f>INDEX([1]!MODEL[POS],MATCH($A655,[1]!MODEL[Code],0))</f>
        <v>DEF</v>
      </c>
      <c r="D655" s="7" t="str">
        <f>INDEX([1]!MODEL[TEAM],MATCH($A655,[1]!MODEL[Code],0))</f>
        <v>HUL</v>
      </c>
      <c r="E655" s="7">
        <f>INDEX([1]PREDICT!$M$3:$M$1001,MATCH($A655,[1]PREDICT!$B$3:$B$1001,0))</f>
        <v>4</v>
      </c>
      <c r="F655" s="15" t="str">
        <f>INDEX([1]!MODEL[FPL_Name],MATCH($A655,[1]!MODEL[Code],0))</f>
        <v>Cathal McCarthy</v>
      </c>
      <c r="G655" s="10">
        <v>0</v>
      </c>
      <c r="H655" s="10">
        <v>0</v>
      </c>
      <c r="I655" s="10">
        <v>0</v>
      </c>
      <c r="J655" s="11">
        <f t="shared" si="51"/>
        <v>0</v>
      </c>
      <c r="K655" s="11">
        <f t="shared" si="52"/>
        <v>0</v>
      </c>
      <c r="L655" s="11">
        <f t="shared" si="53"/>
        <v>0</v>
      </c>
      <c r="M655" s="11">
        <v>0</v>
      </c>
      <c r="N655" s="11">
        <f t="shared" si="54"/>
        <v>0</v>
      </c>
      <c r="P655" s="13">
        <f t="shared" si="55"/>
        <v>1.3376112090466626E-2</v>
      </c>
    </row>
    <row r="656" spans="1:16" x14ac:dyDescent="0.25">
      <c r="A656" s="16">
        <v>169359</v>
      </c>
      <c r="B656" s="4">
        <f>INDEX([1]!PREDICT[TRUE PTS],MATCH($A656,[1]!PREDICT[HARD CODE],0))</f>
        <v>-0.68792391707185052</v>
      </c>
      <c r="C656" s="7" t="str">
        <f>INDEX([1]!MODEL[POS],MATCH($A656,[1]!MODEL[Code],0))</f>
        <v>DEF</v>
      </c>
      <c r="D656" s="7" t="str">
        <f>INDEX([1]!MODEL[TEAM],MATCH($A656,[1]!MODEL[Code],0))</f>
        <v>HUL</v>
      </c>
      <c r="E656" s="7">
        <f>INDEX([1]PREDICT!$M$3:$M$1001,MATCH($A656,[1]PREDICT!$B$3:$B$1001,0))</f>
        <v>4</v>
      </c>
      <c r="F656" s="15" t="str">
        <f>INDEX([1]!MODEL[FPL_Name],MATCH($A656,[1]!MODEL[Code],0))</f>
        <v>Matt Targett</v>
      </c>
      <c r="G656" s="10">
        <v>0</v>
      </c>
      <c r="H656" s="10">
        <v>0</v>
      </c>
      <c r="I656" s="10">
        <v>0</v>
      </c>
      <c r="J656" s="11">
        <f t="shared" si="51"/>
        <v>0</v>
      </c>
      <c r="K656" s="11">
        <f t="shared" si="52"/>
        <v>0</v>
      </c>
      <c r="L656" s="11">
        <f t="shared" si="53"/>
        <v>0</v>
      </c>
      <c r="M656" s="11">
        <v>0</v>
      </c>
      <c r="N656" s="11">
        <f t="shared" si="54"/>
        <v>0</v>
      </c>
      <c r="P656" s="13">
        <f t="shared" si="55"/>
        <v>-3.4396195853592527E-2</v>
      </c>
    </row>
    <row r="657" spans="1:16" x14ac:dyDescent="0.25">
      <c r="A657" s="16">
        <v>449428</v>
      </c>
      <c r="B657" s="4">
        <f>INDEX([1]!PREDICT[TRUE PTS],MATCH($A657,[1]!PREDICT[HARD CODE],0))</f>
        <v>1.5170769363462666</v>
      </c>
      <c r="C657" s="7" t="str">
        <f>INDEX([1]!MODEL[POS],MATCH($A657,[1]!MODEL[Code],0))</f>
        <v>DEF</v>
      </c>
      <c r="D657" s="7" t="str">
        <f>INDEX([1]!MODEL[TEAM],MATCH($A657,[1]!MODEL[Code],0))</f>
        <v>HUL</v>
      </c>
      <c r="E657" s="7">
        <f>INDEX([1]PREDICT!$M$3:$M$1001,MATCH($A657,[1]PREDICT!$B$3:$B$1001,0))</f>
        <v>4</v>
      </c>
      <c r="F657" s="15" t="str">
        <f>INDEX([1]!MODEL[FPL_Name],MATCH($A657,[1]!MODEL[Code],0))</f>
        <v>Matty Jacob</v>
      </c>
      <c r="G657" s="10">
        <v>0</v>
      </c>
      <c r="H657" s="10">
        <v>0</v>
      </c>
      <c r="I657" s="10">
        <v>0</v>
      </c>
      <c r="J657" s="11">
        <f t="shared" si="51"/>
        <v>0</v>
      </c>
      <c r="K657" s="11">
        <f t="shared" si="52"/>
        <v>0</v>
      </c>
      <c r="L657" s="11">
        <f t="shared" si="53"/>
        <v>0</v>
      </c>
      <c r="M657" s="11">
        <v>0</v>
      </c>
      <c r="N657" s="11">
        <f t="shared" si="54"/>
        <v>0</v>
      </c>
      <c r="P657" s="13">
        <f t="shared" si="55"/>
        <v>7.5853846817313331E-2</v>
      </c>
    </row>
    <row r="658" spans="1:16" x14ac:dyDescent="0.25">
      <c r="A658" s="16">
        <v>491007</v>
      </c>
      <c r="B658" s="4">
        <f>INDEX([1]!PREDICT[TRUE PTS],MATCH($A658,[1]!PREDICT[HARD CODE],0))</f>
        <v>-6.1073274639573576</v>
      </c>
      <c r="C658" s="7" t="str">
        <f>INDEX([1]!MODEL[POS],MATCH($A658,[1]!MODEL[Code],0))</f>
        <v>MID</v>
      </c>
      <c r="D658" s="7" t="str">
        <f>INDEX([1]!MODEL[TEAM],MATCH($A658,[1]!MODEL[Code],0))</f>
        <v>CHE</v>
      </c>
      <c r="E658" s="7">
        <f>INDEX([1]PREDICT!$M$3:$M$1001,MATCH($A658,[1]PREDICT!$B$3:$B$1001,0))</f>
        <v>4.5</v>
      </c>
      <c r="F658" s="15" t="str">
        <f>INDEX([1]!MODEL[FPL_Name],MATCH($A658,[1]!MODEL[Code],0))</f>
        <v>Dário Luís Essugo</v>
      </c>
      <c r="G658" s="10">
        <v>0</v>
      </c>
      <c r="H658" s="10">
        <v>0</v>
      </c>
      <c r="I658" s="10">
        <v>0</v>
      </c>
      <c r="J658" s="11">
        <f t="shared" si="51"/>
        <v>0</v>
      </c>
      <c r="K658" s="11">
        <f t="shared" si="52"/>
        <v>0</v>
      </c>
      <c r="L658" s="11">
        <f t="shared" si="53"/>
        <v>0</v>
      </c>
      <c r="M658" s="11">
        <v>0</v>
      </c>
      <c r="N658" s="11">
        <f t="shared" si="54"/>
        <v>0</v>
      </c>
      <c r="P658" s="13">
        <f t="shared" si="55"/>
        <v>-0.27143677617588258</v>
      </c>
    </row>
    <row r="659" spans="1:16" x14ac:dyDescent="0.25">
      <c r="A659" s="16">
        <v>0</v>
      </c>
      <c r="F659" s="15" t="str">
        <f>INDEX([1]!MODEL[FPL_Name],MATCH($A659,[1]!MODEL[Code],0))</f>
        <v>-</v>
      </c>
      <c r="P659" s="13">
        <f t="shared" ref="P659:P683" si="56">IFERROR((B659/E659)/$Q$2,0)</f>
        <v>0</v>
      </c>
    </row>
    <row r="660" spans="1:16" x14ac:dyDescent="0.25">
      <c r="A660" s="16">
        <v>0</v>
      </c>
      <c r="F660" s="15" t="str">
        <f>INDEX([1]!MODEL[FPL_Name],MATCH($A660,[1]!MODEL[Code],0))</f>
        <v>-</v>
      </c>
      <c r="P660" s="13">
        <f t="shared" si="56"/>
        <v>0</v>
      </c>
    </row>
    <row r="661" spans="1:16" x14ac:dyDescent="0.25">
      <c r="A661" s="16">
        <v>0</v>
      </c>
      <c r="F661" s="15" t="str">
        <f>INDEX([1]!MODEL[FPL_Name],MATCH($A661,[1]!MODEL[Code],0))</f>
        <v>-</v>
      </c>
      <c r="P661" s="13">
        <f t="shared" si="56"/>
        <v>0</v>
      </c>
    </row>
    <row r="662" spans="1:16" x14ac:dyDescent="0.25">
      <c r="A662" s="16">
        <v>0</v>
      </c>
      <c r="F662" s="15" t="str">
        <f>INDEX([1]!MODEL[FPL_Name],MATCH($A662,[1]!MODEL[Code],0))</f>
        <v>-</v>
      </c>
      <c r="P662" s="13">
        <f t="shared" si="56"/>
        <v>0</v>
      </c>
    </row>
    <row r="663" spans="1:16" x14ac:dyDescent="0.25">
      <c r="A663" s="16">
        <v>0</v>
      </c>
      <c r="F663" s="15" t="str">
        <f>INDEX([1]!MODEL[FPL_Name],MATCH($A663,[1]!MODEL[Code],0))</f>
        <v>-</v>
      </c>
      <c r="P663" s="13">
        <f t="shared" si="56"/>
        <v>0</v>
      </c>
    </row>
    <row r="664" spans="1:16" x14ac:dyDescent="0.25">
      <c r="A664" s="16">
        <v>0</v>
      </c>
      <c r="F664" s="15" t="str">
        <f>INDEX([1]!MODEL[FPL_Name],MATCH($A664,[1]!MODEL[Code],0))</f>
        <v>-</v>
      </c>
      <c r="P664" s="13">
        <f t="shared" si="56"/>
        <v>0</v>
      </c>
    </row>
    <row r="665" spans="1:16" x14ac:dyDescent="0.25">
      <c r="A665" s="16">
        <v>0</v>
      </c>
      <c r="F665" s="15" t="str">
        <f>INDEX([1]!MODEL[FPL_Name],MATCH($A665,[1]!MODEL[Code],0))</f>
        <v>-</v>
      </c>
      <c r="P665" s="13">
        <f t="shared" si="56"/>
        <v>0</v>
      </c>
    </row>
    <row r="666" spans="1:16" x14ac:dyDescent="0.25">
      <c r="A666" s="16">
        <v>0</v>
      </c>
      <c r="F666" s="15" t="str">
        <f>INDEX([1]!MODEL[FPL_Name],MATCH($A666,[1]!MODEL[Code],0))</f>
        <v>-</v>
      </c>
      <c r="P666" s="13">
        <f t="shared" si="56"/>
        <v>0</v>
      </c>
    </row>
    <row r="667" spans="1:16" x14ac:dyDescent="0.25">
      <c r="A667" s="16">
        <v>0</v>
      </c>
      <c r="F667" s="15" t="str">
        <f>INDEX([1]!MODEL[FPL_Name],MATCH($A667,[1]!MODEL[Code],0))</f>
        <v>-</v>
      </c>
      <c r="P667" s="13">
        <f t="shared" si="56"/>
        <v>0</v>
      </c>
    </row>
    <row r="668" spans="1:16" x14ac:dyDescent="0.25">
      <c r="A668" s="16">
        <v>0</v>
      </c>
      <c r="F668" s="15" t="str">
        <f>INDEX([1]!MODEL[FPL_Name],MATCH($A668,[1]!MODEL[Code],0))</f>
        <v>-</v>
      </c>
      <c r="P668" s="13">
        <f t="shared" si="56"/>
        <v>0</v>
      </c>
    </row>
    <row r="669" spans="1:16" x14ac:dyDescent="0.25">
      <c r="A669" s="16">
        <v>0</v>
      </c>
      <c r="F669" s="15" t="str">
        <f>INDEX([1]!MODEL[FPL_Name],MATCH($A669,[1]!MODEL[Code],0))</f>
        <v>-</v>
      </c>
      <c r="P669" s="13">
        <f t="shared" si="56"/>
        <v>0</v>
      </c>
    </row>
    <row r="670" spans="1:16" x14ac:dyDescent="0.25">
      <c r="A670" s="16">
        <v>0</v>
      </c>
      <c r="F670" s="15" t="str">
        <f>INDEX([1]!MODEL[FPL_Name],MATCH($A670,[1]!MODEL[Code],0))</f>
        <v>-</v>
      </c>
      <c r="P670" s="13">
        <f t="shared" si="56"/>
        <v>0</v>
      </c>
    </row>
    <row r="671" spans="1:16" x14ac:dyDescent="0.25">
      <c r="A671" s="16">
        <v>0</v>
      </c>
      <c r="F671" s="15" t="str">
        <f>INDEX([1]!MODEL[FPL_Name],MATCH($A671,[1]!MODEL[Code],0))</f>
        <v>-</v>
      </c>
      <c r="P671" s="13">
        <f t="shared" si="56"/>
        <v>0</v>
      </c>
    </row>
    <row r="672" spans="1:16" x14ac:dyDescent="0.25">
      <c r="A672" s="16">
        <v>0</v>
      </c>
      <c r="F672" s="15" t="str">
        <f>INDEX([1]!MODEL[FPL_Name],MATCH($A672,[1]!MODEL[Code],0))</f>
        <v>-</v>
      </c>
      <c r="P672" s="13">
        <f t="shared" si="56"/>
        <v>0</v>
      </c>
    </row>
    <row r="673" spans="1:16" x14ac:dyDescent="0.25">
      <c r="A673" s="16">
        <v>0</v>
      </c>
      <c r="F673" s="15" t="str">
        <f>INDEX([1]!MODEL[FPL_Name],MATCH($A673,[1]!MODEL[Code],0))</f>
        <v>-</v>
      </c>
      <c r="P673" s="13">
        <f t="shared" si="56"/>
        <v>0</v>
      </c>
    </row>
    <row r="674" spans="1:16" x14ac:dyDescent="0.25">
      <c r="A674" s="16">
        <v>0</v>
      </c>
      <c r="F674" s="15" t="str">
        <f>INDEX([1]!MODEL[FPL_Name],MATCH($A674,[1]!MODEL[Code],0))</f>
        <v>-</v>
      </c>
      <c r="P674" s="13">
        <f t="shared" si="56"/>
        <v>0</v>
      </c>
    </row>
    <row r="675" spans="1:16" x14ac:dyDescent="0.25">
      <c r="A675" s="16">
        <v>0</v>
      </c>
      <c r="F675" s="15" t="str">
        <f>INDEX([1]!MODEL[FPL_Name],MATCH($A675,[1]!MODEL[Code],0))</f>
        <v>-</v>
      </c>
      <c r="P675" s="13">
        <f t="shared" si="56"/>
        <v>0</v>
      </c>
    </row>
    <row r="676" spans="1:16" x14ac:dyDescent="0.25">
      <c r="A676" s="16">
        <v>0</v>
      </c>
      <c r="F676" s="15" t="str">
        <f>INDEX([1]!MODEL[FPL_Name],MATCH($A676,[1]!MODEL[Code],0))</f>
        <v>-</v>
      </c>
      <c r="P676" s="13">
        <f t="shared" si="56"/>
        <v>0</v>
      </c>
    </row>
    <row r="677" spans="1:16" x14ac:dyDescent="0.25">
      <c r="A677" s="16">
        <v>0</v>
      </c>
      <c r="F677" s="15" t="str">
        <f>INDEX([1]!MODEL[FPL_Name],MATCH($A677,[1]!MODEL[Code],0))</f>
        <v>-</v>
      </c>
      <c r="P677" s="13">
        <f t="shared" si="56"/>
        <v>0</v>
      </c>
    </row>
    <row r="678" spans="1:16" x14ac:dyDescent="0.25">
      <c r="A678" s="16">
        <v>0</v>
      </c>
      <c r="F678" s="15" t="str">
        <f>INDEX([1]!MODEL[FPL_Name],MATCH($A678,[1]!MODEL[Code],0))</f>
        <v>-</v>
      </c>
      <c r="P678" s="13">
        <f t="shared" si="56"/>
        <v>0</v>
      </c>
    </row>
    <row r="679" spans="1:16" x14ac:dyDescent="0.25">
      <c r="A679" s="16">
        <v>0</v>
      </c>
      <c r="F679" s="15" t="str">
        <f>INDEX([1]!MODEL[FPL_Name],MATCH($A679,[1]!MODEL[Code],0))</f>
        <v>-</v>
      </c>
      <c r="P679" s="13">
        <f t="shared" si="56"/>
        <v>0</v>
      </c>
    </row>
    <row r="680" spans="1:16" x14ac:dyDescent="0.25">
      <c r="A680" s="16">
        <v>0</v>
      </c>
      <c r="F680" s="15" t="str">
        <f>INDEX([1]!MODEL[FPL_Name],MATCH($A680,[1]!MODEL[Code],0))</f>
        <v>-</v>
      </c>
      <c r="P680" s="13">
        <f t="shared" si="56"/>
        <v>0</v>
      </c>
    </row>
    <row r="681" spans="1:16" x14ac:dyDescent="0.25">
      <c r="A681" s="16">
        <v>0</v>
      </c>
      <c r="F681" s="15" t="str">
        <f>INDEX([1]!MODEL[FPL_Name],MATCH($A681,[1]!MODEL[Code],0))</f>
        <v>-</v>
      </c>
      <c r="P681" s="13">
        <f t="shared" si="56"/>
        <v>0</v>
      </c>
    </row>
    <row r="682" spans="1:16" x14ac:dyDescent="0.25">
      <c r="A682" s="16">
        <v>0</v>
      </c>
      <c r="F682" s="15" t="str">
        <f>INDEX([1]!MODEL[FPL_Name],MATCH($A682,[1]!MODEL[Code],0))</f>
        <v>-</v>
      </c>
      <c r="P682" s="13">
        <f t="shared" si="56"/>
        <v>0</v>
      </c>
    </row>
    <row r="683" spans="1:16" x14ac:dyDescent="0.25">
      <c r="A683" s="16">
        <v>0</v>
      </c>
      <c r="F683" s="15" t="str">
        <f>INDEX([1]!MODEL[FPL_Name],MATCH($A683,[1]!MODEL[Code],0))</f>
        <v>-</v>
      </c>
      <c r="P683" s="13">
        <f t="shared" si="56"/>
        <v>0</v>
      </c>
    </row>
    <row r="684" spans="1:16" x14ac:dyDescent="0.25">
      <c r="A684" s="16">
        <v>0</v>
      </c>
      <c r="F684" s="15" t="str">
        <f>INDEX([1]!MODEL[FPL_Name],MATCH($A684,[1]!MODEL[Code],0))</f>
        <v>-</v>
      </c>
      <c r="P684" s="13">
        <f t="shared" ref="P684:P747" si="57">IFERROR((B684/E684)/$Q$2,0)</f>
        <v>0</v>
      </c>
    </row>
    <row r="685" spans="1:16" x14ac:dyDescent="0.25">
      <c r="A685" s="16">
        <v>0</v>
      </c>
      <c r="F685" s="15" t="str">
        <f>INDEX([1]!MODEL[FPL_Name],MATCH($A685,[1]!MODEL[Code],0))</f>
        <v>-</v>
      </c>
      <c r="P685" s="13">
        <f t="shared" si="57"/>
        <v>0</v>
      </c>
    </row>
    <row r="686" spans="1:16" x14ac:dyDescent="0.25">
      <c r="A686" s="16">
        <v>0</v>
      </c>
      <c r="F686" s="15" t="str">
        <f>INDEX([1]!MODEL[FPL_Name],MATCH($A686,[1]!MODEL[Code],0))</f>
        <v>-</v>
      </c>
      <c r="P686" s="13">
        <f t="shared" si="57"/>
        <v>0</v>
      </c>
    </row>
    <row r="687" spans="1:16" x14ac:dyDescent="0.25">
      <c r="A687" s="16">
        <v>0</v>
      </c>
      <c r="F687" s="15" t="str">
        <f>INDEX([1]!MODEL[FPL_Name],MATCH($A687,[1]!MODEL[Code],0))</f>
        <v>-</v>
      </c>
      <c r="P687" s="13">
        <f t="shared" si="57"/>
        <v>0</v>
      </c>
    </row>
    <row r="688" spans="1:16" x14ac:dyDescent="0.25">
      <c r="A688" s="16">
        <v>0</v>
      </c>
      <c r="F688" s="15" t="str">
        <f>INDEX([1]!MODEL[FPL_Name],MATCH($A688,[1]!MODEL[Code],0))</f>
        <v>-</v>
      </c>
      <c r="P688" s="13">
        <f t="shared" si="57"/>
        <v>0</v>
      </c>
    </row>
    <row r="689" spans="1:16" x14ac:dyDescent="0.25">
      <c r="A689" s="16">
        <v>0</v>
      </c>
      <c r="F689" s="15" t="str">
        <f>INDEX([1]!MODEL[FPL_Name],MATCH($A689,[1]!MODEL[Code],0))</f>
        <v>-</v>
      </c>
      <c r="P689" s="13">
        <f t="shared" si="57"/>
        <v>0</v>
      </c>
    </row>
    <row r="690" spans="1:16" x14ac:dyDescent="0.25">
      <c r="A690" s="16">
        <v>0</v>
      </c>
      <c r="F690" s="15" t="str">
        <f>INDEX([1]!MODEL[FPL_Name],MATCH($A690,[1]!MODEL[Code],0))</f>
        <v>-</v>
      </c>
      <c r="P690" s="13">
        <f t="shared" si="57"/>
        <v>0</v>
      </c>
    </row>
    <row r="691" spans="1:16" x14ac:dyDescent="0.25">
      <c r="A691" s="16">
        <v>0</v>
      </c>
      <c r="F691" s="15" t="str">
        <f>INDEX([1]!MODEL[FPL_Name],MATCH($A691,[1]!MODEL[Code],0))</f>
        <v>-</v>
      </c>
      <c r="P691" s="13">
        <f t="shared" si="57"/>
        <v>0</v>
      </c>
    </row>
    <row r="692" spans="1:16" x14ac:dyDescent="0.25">
      <c r="A692" s="16">
        <v>0</v>
      </c>
      <c r="F692" s="15" t="str">
        <f>INDEX([1]!MODEL[FPL_Name],MATCH($A692,[1]!MODEL[Code],0))</f>
        <v>-</v>
      </c>
      <c r="P692" s="13">
        <f t="shared" si="57"/>
        <v>0</v>
      </c>
    </row>
    <row r="693" spans="1:16" x14ac:dyDescent="0.25">
      <c r="A693" s="16">
        <v>0</v>
      </c>
      <c r="F693" s="15" t="str">
        <f>INDEX([1]!MODEL[FPL_Name],MATCH($A693,[1]!MODEL[Code],0))</f>
        <v>-</v>
      </c>
      <c r="P693" s="13">
        <f t="shared" si="57"/>
        <v>0</v>
      </c>
    </row>
    <row r="694" spans="1:16" x14ac:dyDescent="0.25">
      <c r="A694" s="16">
        <v>0</v>
      </c>
      <c r="F694" s="15" t="str">
        <f>INDEX([1]!MODEL[FPL_Name],MATCH($A694,[1]!MODEL[Code],0))</f>
        <v>-</v>
      </c>
      <c r="P694" s="13">
        <f t="shared" si="57"/>
        <v>0</v>
      </c>
    </row>
    <row r="695" spans="1:16" x14ac:dyDescent="0.25">
      <c r="A695" s="16">
        <v>0</v>
      </c>
      <c r="F695" s="15" t="str">
        <f>INDEX([1]!MODEL[FPL_Name],MATCH($A695,[1]!MODEL[Code],0))</f>
        <v>-</v>
      </c>
      <c r="P695" s="13">
        <f t="shared" si="57"/>
        <v>0</v>
      </c>
    </row>
    <row r="696" spans="1:16" x14ac:dyDescent="0.25">
      <c r="A696" s="16">
        <v>0</v>
      </c>
      <c r="F696" s="15" t="str">
        <f>INDEX([1]!MODEL[FPL_Name],MATCH($A696,[1]!MODEL[Code],0))</f>
        <v>-</v>
      </c>
      <c r="P696" s="13">
        <f t="shared" si="57"/>
        <v>0</v>
      </c>
    </row>
    <row r="697" spans="1:16" x14ac:dyDescent="0.25">
      <c r="A697" s="16">
        <v>0</v>
      </c>
      <c r="F697" s="15" t="str">
        <f>INDEX([1]!MODEL[FPL_Name],MATCH($A697,[1]!MODEL[Code],0))</f>
        <v>-</v>
      </c>
      <c r="P697" s="13">
        <f t="shared" si="57"/>
        <v>0</v>
      </c>
    </row>
    <row r="698" spans="1:16" x14ac:dyDescent="0.25">
      <c r="A698" s="16">
        <v>0</v>
      </c>
      <c r="F698" s="15" t="str">
        <f>INDEX([1]!MODEL[FPL_Name],MATCH($A698,[1]!MODEL[Code],0))</f>
        <v>-</v>
      </c>
      <c r="P698" s="13">
        <f t="shared" si="57"/>
        <v>0</v>
      </c>
    </row>
    <row r="699" spans="1:16" x14ac:dyDescent="0.25">
      <c r="A699" s="16">
        <v>0</v>
      </c>
      <c r="F699" s="15" t="str">
        <f>INDEX([1]!MODEL[FPL_Name],MATCH($A699,[1]!MODEL[Code],0))</f>
        <v>-</v>
      </c>
      <c r="P699" s="13">
        <f t="shared" si="57"/>
        <v>0</v>
      </c>
    </row>
    <row r="700" spans="1:16" x14ac:dyDescent="0.25">
      <c r="A700" s="16">
        <v>0</v>
      </c>
      <c r="F700" s="15" t="str">
        <f>INDEX([1]!MODEL[FPL_Name],MATCH($A700,[1]!MODEL[Code],0))</f>
        <v>-</v>
      </c>
      <c r="P700" s="13">
        <f t="shared" si="57"/>
        <v>0</v>
      </c>
    </row>
    <row r="701" spans="1:16" x14ac:dyDescent="0.25">
      <c r="A701" s="16">
        <v>0</v>
      </c>
      <c r="F701" s="15" t="str">
        <f>INDEX([1]!MODEL[FPL_Name],MATCH($A701,[1]!MODEL[Code],0))</f>
        <v>-</v>
      </c>
      <c r="P701" s="13">
        <f t="shared" si="57"/>
        <v>0</v>
      </c>
    </row>
    <row r="702" spans="1:16" x14ac:dyDescent="0.25">
      <c r="A702" s="16">
        <v>0</v>
      </c>
      <c r="F702" s="15" t="str">
        <f>INDEX([1]!MODEL[FPL_Name],MATCH($A702,[1]!MODEL[Code],0))</f>
        <v>-</v>
      </c>
      <c r="P702" s="13">
        <f t="shared" si="57"/>
        <v>0</v>
      </c>
    </row>
    <row r="703" spans="1:16" x14ac:dyDescent="0.25">
      <c r="A703" s="16">
        <v>0</v>
      </c>
      <c r="F703" s="15" t="str">
        <f>INDEX([1]!MODEL[FPL_Name],MATCH($A703,[1]!MODEL[Code],0))</f>
        <v>-</v>
      </c>
      <c r="P703" s="13">
        <f t="shared" si="57"/>
        <v>0</v>
      </c>
    </row>
    <row r="704" spans="1:16" x14ac:dyDescent="0.25">
      <c r="A704" s="16">
        <v>0</v>
      </c>
      <c r="F704" s="15" t="str">
        <f>INDEX([1]!MODEL[FPL_Name],MATCH($A704,[1]!MODEL[Code],0))</f>
        <v>-</v>
      </c>
      <c r="P704" s="13">
        <f t="shared" si="57"/>
        <v>0</v>
      </c>
    </row>
    <row r="705" spans="1:16" x14ac:dyDescent="0.25">
      <c r="A705" s="16">
        <v>0</v>
      </c>
      <c r="F705" s="15" t="str">
        <f>INDEX([1]!MODEL[FPL_Name],MATCH($A705,[1]!MODEL[Code],0))</f>
        <v>-</v>
      </c>
      <c r="P705" s="13">
        <f t="shared" si="57"/>
        <v>0</v>
      </c>
    </row>
    <row r="706" spans="1:16" x14ac:dyDescent="0.25">
      <c r="A706" s="16">
        <v>0</v>
      </c>
      <c r="F706" s="15" t="str">
        <f>INDEX([1]!MODEL[FPL_Name],MATCH($A706,[1]!MODEL[Code],0))</f>
        <v>-</v>
      </c>
      <c r="P706" s="13">
        <f t="shared" si="57"/>
        <v>0</v>
      </c>
    </row>
    <row r="707" spans="1:16" x14ac:dyDescent="0.25">
      <c r="A707" s="16">
        <v>0</v>
      </c>
      <c r="F707" s="15" t="str">
        <f>INDEX([1]!MODEL[FPL_Name],MATCH($A707,[1]!MODEL[Code],0))</f>
        <v>-</v>
      </c>
      <c r="P707" s="13">
        <f t="shared" si="57"/>
        <v>0</v>
      </c>
    </row>
    <row r="708" spans="1:16" x14ac:dyDescent="0.25">
      <c r="A708" s="16">
        <v>0</v>
      </c>
      <c r="F708" s="15" t="str">
        <f>INDEX([1]!MODEL[FPL_Name],MATCH($A708,[1]!MODEL[Code],0))</f>
        <v>-</v>
      </c>
      <c r="P708" s="13">
        <f t="shared" si="57"/>
        <v>0</v>
      </c>
    </row>
    <row r="709" spans="1:16" x14ac:dyDescent="0.25">
      <c r="A709" s="16">
        <v>0</v>
      </c>
      <c r="F709" s="15" t="str">
        <f>INDEX([1]!MODEL[FPL_Name],MATCH($A709,[1]!MODEL[Code],0))</f>
        <v>-</v>
      </c>
      <c r="P709" s="13">
        <f t="shared" si="57"/>
        <v>0</v>
      </c>
    </row>
    <row r="710" spans="1:16" x14ac:dyDescent="0.25">
      <c r="A710" s="16">
        <v>0</v>
      </c>
      <c r="F710" s="15" t="str">
        <f>INDEX([1]!MODEL[FPL_Name],MATCH($A710,[1]!MODEL[Code],0))</f>
        <v>-</v>
      </c>
      <c r="P710" s="13">
        <f t="shared" si="57"/>
        <v>0</v>
      </c>
    </row>
    <row r="711" spans="1:16" x14ac:dyDescent="0.25">
      <c r="A711" s="16">
        <v>0</v>
      </c>
      <c r="F711" s="15" t="str">
        <f>INDEX([1]!MODEL[FPL_Name],MATCH($A711,[1]!MODEL[Code],0))</f>
        <v>-</v>
      </c>
      <c r="P711" s="13">
        <f t="shared" si="57"/>
        <v>0</v>
      </c>
    </row>
    <row r="712" spans="1:16" x14ac:dyDescent="0.25">
      <c r="A712" s="16">
        <v>0</v>
      </c>
      <c r="F712" s="15" t="str">
        <f>INDEX([1]!MODEL[FPL_Name],MATCH($A712,[1]!MODEL[Code],0))</f>
        <v>-</v>
      </c>
      <c r="P712" s="13">
        <f t="shared" si="57"/>
        <v>0</v>
      </c>
    </row>
    <row r="713" spans="1:16" x14ac:dyDescent="0.25">
      <c r="A713" s="16">
        <v>0</v>
      </c>
      <c r="F713" s="15" t="str">
        <f>INDEX([1]!MODEL[FPL_Name],MATCH($A713,[1]!MODEL[Code],0))</f>
        <v>-</v>
      </c>
      <c r="P713" s="13">
        <f t="shared" si="57"/>
        <v>0</v>
      </c>
    </row>
    <row r="714" spans="1:16" x14ac:dyDescent="0.25">
      <c r="A714" s="16">
        <v>0</v>
      </c>
      <c r="F714" s="15" t="str">
        <f>INDEX([1]!MODEL[FPL_Name],MATCH($A714,[1]!MODEL[Code],0))</f>
        <v>-</v>
      </c>
      <c r="P714" s="13">
        <f t="shared" si="57"/>
        <v>0</v>
      </c>
    </row>
    <row r="715" spans="1:16" x14ac:dyDescent="0.25">
      <c r="A715" s="16">
        <v>0</v>
      </c>
      <c r="F715" s="15" t="str">
        <f>INDEX([1]!MODEL[FPL_Name],MATCH($A715,[1]!MODEL[Code],0))</f>
        <v>-</v>
      </c>
      <c r="P715" s="13">
        <f t="shared" si="57"/>
        <v>0</v>
      </c>
    </row>
    <row r="716" spans="1:16" x14ac:dyDescent="0.25">
      <c r="A716" s="16">
        <v>0</v>
      </c>
      <c r="F716" s="15" t="str">
        <f>INDEX([1]!MODEL[FPL_Name],MATCH($A716,[1]!MODEL[Code],0))</f>
        <v>-</v>
      </c>
      <c r="P716" s="13">
        <f t="shared" si="57"/>
        <v>0</v>
      </c>
    </row>
    <row r="717" spans="1:16" x14ac:dyDescent="0.25">
      <c r="A717" s="16">
        <v>0</v>
      </c>
      <c r="F717" s="15" t="str">
        <f>INDEX([1]!MODEL[FPL_Name],MATCH($A717,[1]!MODEL[Code],0))</f>
        <v>-</v>
      </c>
      <c r="P717" s="13">
        <f t="shared" si="57"/>
        <v>0</v>
      </c>
    </row>
    <row r="718" spans="1:16" x14ac:dyDescent="0.25">
      <c r="A718" s="16">
        <v>0</v>
      </c>
      <c r="F718" s="15" t="str">
        <f>INDEX([1]!MODEL[FPL_Name],MATCH($A718,[1]!MODEL[Code],0))</f>
        <v>-</v>
      </c>
      <c r="P718" s="13">
        <f t="shared" si="57"/>
        <v>0</v>
      </c>
    </row>
    <row r="719" spans="1:16" x14ac:dyDescent="0.25">
      <c r="A719" s="16">
        <v>0</v>
      </c>
      <c r="F719" s="15" t="str">
        <f>INDEX([1]!MODEL[FPL_Name],MATCH($A719,[1]!MODEL[Code],0))</f>
        <v>-</v>
      </c>
      <c r="P719" s="13">
        <f t="shared" si="57"/>
        <v>0</v>
      </c>
    </row>
    <row r="720" spans="1:16" x14ac:dyDescent="0.25">
      <c r="A720" s="16">
        <v>0</v>
      </c>
      <c r="F720" s="15" t="str">
        <f>INDEX([1]!MODEL[FPL_Name],MATCH($A720,[1]!MODEL[Code],0))</f>
        <v>-</v>
      </c>
      <c r="P720" s="13">
        <f t="shared" si="57"/>
        <v>0</v>
      </c>
    </row>
    <row r="721" spans="1:16" x14ac:dyDescent="0.25">
      <c r="A721" s="16">
        <v>0</v>
      </c>
      <c r="F721" s="15" t="str">
        <f>INDEX([1]!MODEL[FPL_Name],MATCH($A721,[1]!MODEL[Code],0))</f>
        <v>-</v>
      </c>
      <c r="P721" s="13">
        <f t="shared" si="57"/>
        <v>0</v>
      </c>
    </row>
    <row r="722" spans="1:16" x14ac:dyDescent="0.25">
      <c r="A722" s="16">
        <v>0</v>
      </c>
      <c r="F722" s="15" t="str">
        <f>INDEX([1]!MODEL[FPL_Name],MATCH($A722,[1]!MODEL[Code],0))</f>
        <v>-</v>
      </c>
      <c r="P722" s="13">
        <f t="shared" si="57"/>
        <v>0</v>
      </c>
    </row>
    <row r="723" spans="1:16" x14ac:dyDescent="0.25">
      <c r="A723" s="16">
        <v>0</v>
      </c>
      <c r="F723" s="15" t="str">
        <f>INDEX([1]!MODEL[FPL_Name],MATCH($A723,[1]!MODEL[Code],0))</f>
        <v>-</v>
      </c>
      <c r="P723" s="13">
        <f t="shared" si="57"/>
        <v>0</v>
      </c>
    </row>
    <row r="724" spans="1:16" x14ac:dyDescent="0.25">
      <c r="A724" s="16">
        <v>0</v>
      </c>
      <c r="F724" s="15" t="str">
        <f>INDEX([1]!MODEL[FPL_Name],MATCH($A724,[1]!MODEL[Code],0))</f>
        <v>-</v>
      </c>
      <c r="P724" s="13">
        <f t="shared" si="57"/>
        <v>0</v>
      </c>
    </row>
    <row r="725" spans="1:16" x14ac:dyDescent="0.25">
      <c r="A725" s="16">
        <v>0</v>
      </c>
      <c r="F725" s="15" t="str">
        <f>INDEX([1]!MODEL[FPL_Name],MATCH($A725,[1]!MODEL[Code],0))</f>
        <v>-</v>
      </c>
      <c r="P725" s="13">
        <f t="shared" si="57"/>
        <v>0</v>
      </c>
    </row>
    <row r="726" spans="1:16" x14ac:dyDescent="0.25">
      <c r="A726" s="16">
        <v>0</v>
      </c>
      <c r="F726" s="15" t="str">
        <f>INDEX([1]!MODEL[FPL_Name],MATCH($A726,[1]!MODEL[Code],0))</f>
        <v>-</v>
      </c>
      <c r="P726" s="13">
        <f t="shared" si="57"/>
        <v>0</v>
      </c>
    </row>
    <row r="727" spans="1:16" x14ac:dyDescent="0.25">
      <c r="A727" s="16">
        <v>0</v>
      </c>
      <c r="F727" s="15" t="str">
        <f>INDEX([1]!MODEL[FPL_Name],MATCH($A727,[1]!MODEL[Code],0))</f>
        <v>-</v>
      </c>
      <c r="P727" s="13">
        <f t="shared" si="57"/>
        <v>0</v>
      </c>
    </row>
    <row r="728" spans="1:16" x14ac:dyDescent="0.25">
      <c r="A728" s="16">
        <v>0</v>
      </c>
      <c r="F728" s="15" t="str">
        <f>INDEX([1]!MODEL[FPL_Name],MATCH($A728,[1]!MODEL[Code],0))</f>
        <v>-</v>
      </c>
      <c r="P728" s="13">
        <f t="shared" si="57"/>
        <v>0</v>
      </c>
    </row>
    <row r="729" spans="1:16" x14ac:dyDescent="0.25">
      <c r="A729" s="16">
        <v>0</v>
      </c>
      <c r="F729" s="15" t="str">
        <f>INDEX([1]!MODEL[FPL_Name],MATCH($A729,[1]!MODEL[Code],0))</f>
        <v>-</v>
      </c>
      <c r="P729" s="13">
        <f t="shared" si="57"/>
        <v>0</v>
      </c>
    </row>
    <row r="730" spans="1:16" x14ac:dyDescent="0.25">
      <c r="A730" s="16">
        <v>0</v>
      </c>
      <c r="F730" s="15" t="str">
        <f>INDEX([1]!MODEL[FPL_Name],MATCH($A730,[1]!MODEL[Code],0))</f>
        <v>-</v>
      </c>
      <c r="P730" s="13">
        <f t="shared" si="57"/>
        <v>0</v>
      </c>
    </row>
    <row r="731" spans="1:16" x14ac:dyDescent="0.25">
      <c r="A731" s="16">
        <v>0</v>
      </c>
      <c r="F731" s="15" t="str">
        <f>INDEX([1]!MODEL[FPL_Name],MATCH($A731,[1]!MODEL[Code],0))</f>
        <v>-</v>
      </c>
      <c r="P731" s="13">
        <f t="shared" si="57"/>
        <v>0</v>
      </c>
    </row>
    <row r="732" spans="1:16" x14ac:dyDescent="0.25">
      <c r="A732" s="16">
        <v>0</v>
      </c>
      <c r="F732" s="15" t="str">
        <f>INDEX([1]!MODEL[FPL_Name],MATCH($A732,[1]!MODEL[Code],0))</f>
        <v>-</v>
      </c>
      <c r="P732" s="13">
        <f t="shared" si="57"/>
        <v>0</v>
      </c>
    </row>
    <row r="733" spans="1:16" x14ac:dyDescent="0.25">
      <c r="A733" s="16">
        <v>0</v>
      </c>
      <c r="F733" s="15" t="str">
        <f>INDEX([1]!MODEL[FPL_Name],MATCH($A733,[1]!MODEL[Code],0))</f>
        <v>-</v>
      </c>
      <c r="P733" s="13">
        <f t="shared" si="57"/>
        <v>0</v>
      </c>
    </row>
    <row r="734" spans="1:16" x14ac:dyDescent="0.25">
      <c r="A734" s="16">
        <v>0</v>
      </c>
      <c r="F734" s="15" t="str">
        <f>INDEX([1]!MODEL[FPL_Name],MATCH($A734,[1]!MODEL[Code],0))</f>
        <v>-</v>
      </c>
      <c r="P734" s="13">
        <f t="shared" si="57"/>
        <v>0</v>
      </c>
    </row>
    <row r="735" spans="1:16" x14ac:dyDescent="0.25">
      <c r="A735" s="16">
        <v>0</v>
      </c>
      <c r="F735" s="15" t="str">
        <f>INDEX([1]!MODEL[FPL_Name],MATCH($A735,[1]!MODEL[Code],0))</f>
        <v>-</v>
      </c>
      <c r="P735" s="13">
        <f t="shared" si="57"/>
        <v>0</v>
      </c>
    </row>
    <row r="736" spans="1:16" x14ac:dyDescent="0.25">
      <c r="A736" s="16">
        <v>0</v>
      </c>
      <c r="F736" s="15" t="str">
        <f>INDEX([1]!MODEL[FPL_Name],MATCH($A736,[1]!MODEL[Code],0))</f>
        <v>-</v>
      </c>
      <c r="P736" s="13">
        <f t="shared" si="57"/>
        <v>0</v>
      </c>
    </row>
    <row r="737" spans="1:16" x14ac:dyDescent="0.25">
      <c r="A737" s="16">
        <v>0</v>
      </c>
      <c r="F737" s="15" t="str">
        <f>INDEX([1]!MODEL[FPL_Name],MATCH($A737,[1]!MODEL[Code],0))</f>
        <v>-</v>
      </c>
      <c r="P737" s="13">
        <f t="shared" si="57"/>
        <v>0</v>
      </c>
    </row>
    <row r="738" spans="1:16" x14ac:dyDescent="0.25">
      <c r="A738" s="16">
        <v>0</v>
      </c>
      <c r="F738" s="15" t="str">
        <f>INDEX([1]!MODEL[FPL_Name],MATCH($A738,[1]!MODEL[Code],0))</f>
        <v>-</v>
      </c>
      <c r="P738" s="13">
        <f t="shared" si="57"/>
        <v>0</v>
      </c>
    </row>
    <row r="739" spans="1:16" x14ac:dyDescent="0.25">
      <c r="A739" s="16">
        <v>0</v>
      </c>
      <c r="F739" s="15" t="str">
        <f>INDEX([1]!MODEL[FPL_Name],MATCH($A739,[1]!MODEL[Code],0))</f>
        <v>-</v>
      </c>
      <c r="P739" s="13">
        <f t="shared" si="57"/>
        <v>0</v>
      </c>
    </row>
    <row r="740" spans="1:16" x14ac:dyDescent="0.25">
      <c r="A740" s="16">
        <v>0</v>
      </c>
      <c r="F740" s="15" t="str">
        <f>INDEX([1]!MODEL[FPL_Name],MATCH($A740,[1]!MODEL[Code],0))</f>
        <v>-</v>
      </c>
      <c r="P740" s="13">
        <f t="shared" si="57"/>
        <v>0</v>
      </c>
    </row>
    <row r="741" spans="1:16" x14ac:dyDescent="0.25">
      <c r="A741" s="16">
        <v>0</v>
      </c>
      <c r="F741" s="15" t="str">
        <f>INDEX([1]!MODEL[FPL_Name],MATCH($A741,[1]!MODEL[Code],0))</f>
        <v>-</v>
      </c>
      <c r="P741" s="13">
        <f t="shared" si="57"/>
        <v>0</v>
      </c>
    </row>
    <row r="742" spans="1:16" x14ac:dyDescent="0.25">
      <c r="A742" s="16">
        <v>0</v>
      </c>
      <c r="F742" s="15" t="str">
        <f>INDEX([1]!MODEL[FPL_Name],MATCH($A742,[1]!MODEL[Code],0))</f>
        <v>-</v>
      </c>
      <c r="P742" s="13">
        <f t="shared" si="57"/>
        <v>0</v>
      </c>
    </row>
    <row r="743" spans="1:16" x14ac:dyDescent="0.25">
      <c r="A743" s="16">
        <v>0</v>
      </c>
      <c r="F743" s="15" t="str">
        <f>INDEX([1]!MODEL[FPL_Name],MATCH($A743,[1]!MODEL[Code],0))</f>
        <v>-</v>
      </c>
      <c r="P743" s="13">
        <f t="shared" si="57"/>
        <v>0</v>
      </c>
    </row>
    <row r="744" spans="1:16" x14ac:dyDescent="0.25">
      <c r="A744" s="16">
        <v>0</v>
      </c>
      <c r="F744" s="15" t="str">
        <f>INDEX([1]!MODEL[FPL_Name],MATCH($A744,[1]!MODEL[Code],0))</f>
        <v>-</v>
      </c>
      <c r="P744" s="13">
        <f t="shared" si="57"/>
        <v>0</v>
      </c>
    </row>
    <row r="745" spans="1:16" x14ac:dyDescent="0.25">
      <c r="A745" s="16">
        <v>0</v>
      </c>
      <c r="F745" s="15" t="str">
        <f>INDEX([1]!MODEL[FPL_Name],MATCH($A745,[1]!MODEL[Code],0))</f>
        <v>-</v>
      </c>
      <c r="P745" s="13">
        <f t="shared" si="57"/>
        <v>0</v>
      </c>
    </row>
    <row r="746" spans="1:16" x14ac:dyDescent="0.25">
      <c r="A746" s="16">
        <v>0</v>
      </c>
      <c r="F746" s="15" t="str">
        <f>INDEX([1]!MODEL[FPL_Name],MATCH($A746,[1]!MODEL[Code],0))</f>
        <v>-</v>
      </c>
      <c r="P746" s="13">
        <f t="shared" si="57"/>
        <v>0</v>
      </c>
    </row>
    <row r="747" spans="1:16" x14ac:dyDescent="0.25">
      <c r="A747" s="16">
        <v>0</v>
      </c>
      <c r="F747" s="15" t="str">
        <f>INDEX([1]!MODEL[FPL_Name],MATCH($A747,[1]!MODEL[Code],0))</f>
        <v>-</v>
      </c>
      <c r="P747" s="13">
        <f t="shared" si="57"/>
        <v>0</v>
      </c>
    </row>
    <row r="748" spans="1:16" x14ac:dyDescent="0.25">
      <c r="A748" s="16">
        <v>0</v>
      </c>
      <c r="F748" s="15" t="str">
        <f>INDEX([1]!MODEL[FPL_Name],MATCH($A748,[1]!MODEL[Code],0))</f>
        <v>-</v>
      </c>
      <c r="P748" s="13">
        <f t="shared" ref="P748:P786" si="58">IFERROR((B748/E748)/$Q$2,0)</f>
        <v>0</v>
      </c>
    </row>
    <row r="749" spans="1:16" x14ac:dyDescent="0.25">
      <c r="A749" s="16">
        <v>0</v>
      </c>
      <c r="F749" s="15" t="str">
        <f>INDEX([1]!MODEL[FPL_Name],MATCH($A749,[1]!MODEL[Code],0))</f>
        <v>-</v>
      </c>
      <c r="P749" s="13">
        <f t="shared" si="58"/>
        <v>0</v>
      </c>
    </row>
    <row r="750" spans="1:16" x14ac:dyDescent="0.25">
      <c r="A750" s="16">
        <v>0</v>
      </c>
      <c r="F750" s="15" t="str">
        <f>INDEX([1]!MODEL[FPL_Name],MATCH($A750,[1]!MODEL[Code],0))</f>
        <v>-</v>
      </c>
      <c r="P750" s="13">
        <f t="shared" si="58"/>
        <v>0</v>
      </c>
    </row>
    <row r="751" spans="1:16" x14ac:dyDescent="0.25">
      <c r="A751" s="16">
        <v>0</v>
      </c>
      <c r="P751" s="13">
        <f t="shared" si="58"/>
        <v>0</v>
      </c>
    </row>
    <row r="752" spans="1:16" x14ac:dyDescent="0.25">
      <c r="A752" s="16">
        <v>0</v>
      </c>
      <c r="P752" s="13">
        <f t="shared" si="58"/>
        <v>0</v>
      </c>
    </row>
    <row r="753" spans="1:16" x14ac:dyDescent="0.25">
      <c r="A753" s="16">
        <v>0</v>
      </c>
      <c r="P753" s="13">
        <f t="shared" si="58"/>
        <v>0</v>
      </c>
    </row>
    <row r="754" spans="1:16" x14ac:dyDescent="0.25">
      <c r="A754" s="16">
        <v>0</v>
      </c>
      <c r="P754" s="13">
        <f t="shared" si="58"/>
        <v>0</v>
      </c>
    </row>
    <row r="755" spans="1:16" x14ac:dyDescent="0.25">
      <c r="A755" s="16">
        <v>0</v>
      </c>
      <c r="P755" s="13">
        <f t="shared" si="58"/>
        <v>0</v>
      </c>
    </row>
    <row r="756" spans="1:16" x14ac:dyDescent="0.25">
      <c r="A756" s="16">
        <v>0</v>
      </c>
      <c r="P756" s="13">
        <f t="shared" si="58"/>
        <v>0</v>
      </c>
    </row>
    <row r="757" spans="1:16" x14ac:dyDescent="0.25">
      <c r="A757" s="16">
        <v>0</v>
      </c>
      <c r="P757" s="13">
        <f t="shared" si="58"/>
        <v>0</v>
      </c>
    </row>
    <row r="758" spans="1:16" x14ac:dyDescent="0.25">
      <c r="A758" s="16">
        <v>0</v>
      </c>
      <c r="P758" s="13">
        <f t="shared" si="58"/>
        <v>0</v>
      </c>
    </row>
    <row r="759" spans="1:16" x14ac:dyDescent="0.25">
      <c r="A759" s="16">
        <v>0</v>
      </c>
      <c r="P759" s="13">
        <f t="shared" si="58"/>
        <v>0</v>
      </c>
    </row>
    <row r="760" spans="1:16" x14ac:dyDescent="0.25">
      <c r="A760" s="16">
        <v>0</v>
      </c>
      <c r="P760" s="13">
        <f t="shared" si="58"/>
        <v>0</v>
      </c>
    </row>
    <row r="761" spans="1:16" x14ac:dyDescent="0.25">
      <c r="A761" s="16">
        <v>0</v>
      </c>
      <c r="P761" s="13">
        <f t="shared" si="58"/>
        <v>0</v>
      </c>
    </row>
    <row r="762" spans="1:16" x14ac:dyDescent="0.25">
      <c r="A762" s="16">
        <v>0</v>
      </c>
      <c r="P762" s="13">
        <f t="shared" si="58"/>
        <v>0</v>
      </c>
    </row>
    <row r="763" spans="1:16" x14ac:dyDescent="0.25">
      <c r="A763" s="16">
        <v>0</v>
      </c>
      <c r="P763" s="13">
        <f t="shared" si="58"/>
        <v>0</v>
      </c>
    </row>
    <row r="764" spans="1:16" x14ac:dyDescent="0.25">
      <c r="A764" s="16">
        <v>0</v>
      </c>
      <c r="P764" s="13">
        <f t="shared" si="58"/>
        <v>0</v>
      </c>
    </row>
    <row r="765" spans="1:16" x14ac:dyDescent="0.25">
      <c r="A765" s="16">
        <v>0</v>
      </c>
      <c r="P765" s="13">
        <f t="shared" si="58"/>
        <v>0</v>
      </c>
    </row>
    <row r="766" spans="1:16" x14ac:dyDescent="0.25">
      <c r="A766" s="16">
        <v>0</v>
      </c>
      <c r="P766" s="13">
        <f t="shared" si="58"/>
        <v>0</v>
      </c>
    </row>
    <row r="767" spans="1:16" x14ac:dyDescent="0.25">
      <c r="A767" s="16">
        <v>0</v>
      </c>
      <c r="P767" s="13">
        <f t="shared" si="58"/>
        <v>0</v>
      </c>
    </row>
    <row r="768" spans="1:16" x14ac:dyDescent="0.25">
      <c r="A768" s="16">
        <v>0</v>
      </c>
      <c r="P768" s="13">
        <f t="shared" si="58"/>
        <v>0</v>
      </c>
    </row>
    <row r="769" spans="1:16" x14ac:dyDescent="0.25">
      <c r="A769" s="16">
        <v>0</v>
      </c>
      <c r="P769" s="13">
        <f t="shared" si="58"/>
        <v>0</v>
      </c>
    </row>
    <row r="770" spans="1:16" x14ac:dyDescent="0.25">
      <c r="A770" s="16">
        <v>0</v>
      </c>
      <c r="P770" s="13">
        <f t="shared" si="58"/>
        <v>0</v>
      </c>
    </row>
    <row r="771" spans="1:16" x14ac:dyDescent="0.25">
      <c r="A771" s="16">
        <v>0</v>
      </c>
      <c r="P771" s="13">
        <f t="shared" si="58"/>
        <v>0</v>
      </c>
    </row>
    <row r="772" spans="1:16" x14ac:dyDescent="0.25">
      <c r="A772" s="16">
        <v>0</v>
      </c>
      <c r="P772" s="13">
        <f t="shared" si="58"/>
        <v>0</v>
      </c>
    </row>
    <row r="773" spans="1:16" x14ac:dyDescent="0.25">
      <c r="A773" s="16">
        <v>0</v>
      </c>
      <c r="P773" s="13">
        <f t="shared" si="58"/>
        <v>0</v>
      </c>
    </row>
    <row r="774" spans="1:16" x14ac:dyDescent="0.25">
      <c r="A774" s="16">
        <v>0</v>
      </c>
      <c r="P774" s="13">
        <f t="shared" si="58"/>
        <v>0</v>
      </c>
    </row>
    <row r="775" spans="1:16" x14ac:dyDescent="0.25">
      <c r="A775" s="16">
        <v>0</v>
      </c>
      <c r="P775" s="13">
        <f t="shared" si="58"/>
        <v>0</v>
      </c>
    </row>
    <row r="776" spans="1:16" x14ac:dyDescent="0.25">
      <c r="A776" s="16">
        <v>0</v>
      </c>
      <c r="P776" s="13">
        <f t="shared" si="58"/>
        <v>0</v>
      </c>
    </row>
    <row r="777" spans="1:16" x14ac:dyDescent="0.25">
      <c r="A777" s="16">
        <v>0</v>
      </c>
      <c r="P777" s="13">
        <f t="shared" si="58"/>
        <v>0</v>
      </c>
    </row>
    <row r="778" spans="1:16" x14ac:dyDescent="0.25">
      <c r="A778" s="16">
        <v>0</v>
      </c>
      <c r="P778" s="13">
        <f t="shared" si="58"/>
        <v>0</v>
      </c>
    </row>
    <row r="779" spans="1:16" x14ac:dyDescent="0.25">
      <c r="A779" s="16">
        <v>0</v>
      </c>
      <c r="P779" s="13">
        <f t="shared" si="58"/>
        <v>0</v>
      </c>
    </row>
    <row r="780" spans="1:16" x14ac:dyDescent="0.25">
      <c r="A780" s="16">
        <v>0</v>
      </c>
      <c r="P780" s="13">
        <f t="shared" si="58"/>
        <v>0</v>
      </c>
    </row>
    <row r="781" spans="1:16" x14ac:dyDescent="0.25">
      <c r="A781" s="16">
        <v>0</v>
      </c>
      <c r="P781" s="13">
        <f t="shared" si="58"/>
        <v>0</v>
      </c>
    </row>
    <row r="782" spans="1:16" x14ac:dyDescent="0.25">
      <c r="A782" s="16">
        <v>0</v>
      </c>
      <c r="P782" s="13">
        <f t="shared" si="58"/>
        <v>0</v>
      </c>
    </row>
    <row r="783" spans="1:16" x14ac:dyDescent="0.25">
      <c r="A783" s="16">
        <v>0</v>
      </c>
      <c r="P783" s="13">
        <f t="shared" si="58"/>
        <v>0</v>
      </c>
    </row>
    <row r="784" spans="1:16" x14ac:dyDescent="0.25">
      <c r="A784" s="16">
        <v>0</v>
      </c>
      <c r="P784" s="13">
        <f t="shared" si="58"/>
        <v>0</v>
      </c>
    </row>
    <row r="785" spans="1:16" x14ac:dyDescent="0.25">
      <c r="A785" s="16">
        <v>0</v>
      </c>
      <c r="P785" s="13">
        <f t="shared" si="58"/>
        <v>0</v>
      </c>
    </row>
    <row r="786" spans="1:16" x14ac:dyDescent="0.25">
      <c r="A786" s="16">
        <v>0</v>
      </c>
      <c r="P786" s="13">
        <f t="shared" si="58"/>
        <v>0</v>
      </c>
    </row>
    <row r="787" spans="1:16" x14ac:dyDescent="0.25">
      <c r="A787" s="16">
        <v>0</v>
      </c>
    </row>
    <row r="788" spans="1:16" x14ac:dyDescent="0.25">
      <c r="A788" s="16">
        <v>0</v>
      </c>
    </row>
    <row r="789" spans="1:16" x14ac:dyDescent="0.25">
      <c r="A789" s="16">
        <v>0</v>
      </c>
    </row>
    <row r="790" spans="1:16" x14ac:dyDescent="0.25">
      <c r="A790" s="16">
        <v>0</v>
      </c>
    </row>
    <row r="791" spans="1:16" x14ac:dyDescent="0.25">
      <c r="A791" s="16">
        <v>0</v>
      </c>
    </row>
    <row r="792" spans="1:16" x14ac:dyDescent="0.25">
      <c r="A792" s="16">
        <v>0</v>
      </c>
    </row>
    <row r="793" spans="1:16" x14ac:dyDescent="0.25">
      <c r="A793" s="16">
        <v>0</v>
      </c>
    </row>
    <row r="794" spans="1:16" x14ac:dyDescent="0.25">
      <c r="A794" s="16">
        <v>0</v>
      </c>
    </row>
    <row r="795" spans="1:16" x14ac:dyDescent="0.25">
      <c r="A795" s="16">
        <v>0</v>
      </c>
    </row>
    <row r="796" spans="1:16" x14ac:dyDescent="0.25">
      <c r="A796" s="16">
        <v>0</v>
      </c>
    </row>
    <row r="797" spans="1:16" x14ac:dyDescent="0.25">
      <c r="A797" s="16">
        <v>0</v>
      </c>
    </row>
    <row r="798" spans="1:16" x14ac:dyDescent="0.25">
      <c r="A798" s="16">
        <v>0</v>
      </c>
    </row>
    <row r="799" spans="1:16" x14ac:dyDescent="0.25">
      <c r="A799" s="16">
        <v>0</v>
      </c>
    </row>
    <row r="800" spans="1:16" x14ac:dyDescent="0.25">
      <c r="A800" s="16">
        <v>0</v>
      </c>
    </row>
    <row r="801" spans="1:1" x14ac:dyDescent="0.25">
      <c r="A801" s="16">
        <v>0</v>
      </c>
    </row>
    <row r="802" spans="1:1" x14ac:dyDescent="0.25">
      <c r="A802" s="16">
        <v>0</v>
      </c>
    </row>
    <row r="803" spans="1:1" x14ac:dyDescent="0.25">
      <c r="A803" s="16">
        <v>0</v>
      </c>
    </row>
    <row r="804" spans="1:1" x14ac:dyDescent="0.25">
      <c r="A804" s="16">
        <v>0</v>
      </c>
    </row>
    <row r="805" spans="1:1" x14ac:dyDescent="0.25">
      <c r="A805" s="16">
        <v>0</v>
      </c>
    </row>
    <row r="806" spans="1:1" x14ac:dyDescent="0.25">
      <c r="A806" s="16">
        <v>0</v>
      </c>
    </row>
    <row r="807" spans="1:1" x14ac:dyDescent="0.25">
      <c r="A807" s="16">
        <v>0</v>
      </c>
    </row>
    <row r="808" spans="1:1" x14ac:dyDescent="0.25">
      <c r="A808" s="16">
        <v>0</v>
      </c>
    </row>
    <row r="809" spans="1:1" x14ac:dyDescent="0.25">
      <c r="A809" s="16">
        <v>0</v>
      </c>
    </row>
    <row r="810" spans="1:1" x14ac:dyDescent="0.25">
      <c r="A810" s="16">
        <v>0</v>
      </c>
    </row>
    <row r="811" spans="1:1" x14ac:dyDescent="0.25">
      <c r="A811" s="16">
        <v>0</v>
      </c>
    </row>
    <row r="812" spans="1:1" x14ac:dyDescent="0.25">
      <c r="A812" s="16">
        <v>0</v>
      </c>
    </row>
    <row r="813" spans="1:1" x14ac:dyDescent="0.25">
      <c r="A813" s="16">
        <v>0</v>
      </c>
    </row>
    <row r="814" spans="1:1" x14ac:dyDescent="0.25">
      <c r="A814" s="16">
        <v>0</v>
      </c>
    </row>
    <row r="815" spans="1:1" x14ac:dyDescent="0.25">
      <c r="A815" s="16">
        <v>0</v>
      </c>
    </row>
    <row r="816" spans="1:1" x14ac:dyDescent="0.25">
      <c r="A816" s="16">
        <v>0</v>
      </c>
    </row>
    <row r="817" spans="1:1" x14ac:dyDescent="0.25">
      <c r="A817" s="16">
        <v>0</v>
      </c>
    </row>
    <row r="818" spans="1:1" x14ac:dyDescent="0.25">
      <c r="A818" s="16">
        <v>0</v>
      </c>
    </row>
    <row r="819" spans="1:1" x14ac:dyDescent="0.25">
      <c r="A819" s="16">
        <v>0</v>
      </c>
    </row>
    <row r="820" spans="1:1" x14ac:dyDescent="0.25">
      <c r="A820" s="16">
        <v>0</v>
      </c>
    </row>
    <row r="821" spans="1:1" x14ac:dyDescent="0.25">
      <c r="A821" s="16">
        <v>0</v>
      </c>
    </row>
    <row r="822" spans="1:1" x14ac:dyDescent="0.25">
      <c r="A822" s="16">
        <v>0</v>
      </c>
    </row>
    <row r="823" spans="1:1" x14ac:dyDescent="0.25">
      <c r="A823" s="16">
        <v>0</v>
      </c>
    </row>
    <row r="824" spans="1:1" x14ac:dyDescent="0.25">
      <c r="A824" s="16">
        <v>0</v>
      </c>
    </row>
    <row r="825" spans="1:1" x14ac:dyDescent="0.25">
      <c r="A825" s="16">
        <v>0</v>
      </c>
    </row>
    <row r="826" spans="1:1" x14ac:dyDescent="0.25">
      <c r="A826" s="16">
        <v>0</v>
      </c>
    </row>
    <row r="827" spans="1:1" x14ac:dyDescent="0.25">
      <c r="A827" s="16">
        <v>0</v>
      </c>
    </row>
    <row r="828" spans="1:1" x14ac:dyDescent="0.25">
      <c r="A828" s="16">
        <v>0</v>
      </c>
    </row>
    <row r="829" spans="1:1" x14ac:dyDescent="0.25">
      <c r="A829" s="16">
        <v>0</v>
      </c>
    </row>
    <row r="830" spans="1:1" x14ac:dyDescent="0.25">
      <c r="A830" s="16">
        <v>0</v>
      </c>
    </row>
    <row r="831" spans="1:1" x14ac:dyDescent="0.25">
      <c r="A831" s="16">
        <v>0</v>
      </c>
    </row>
    <row r="832" spans="1:1" x14ac:dyDescent="0.25">
      <c r="A832" s="16">
        <v>0</v>
      </c>
    </row>
    <row r="833" spans="1:1" x14ac:dyDescent="0.25">
      <c r="A833" s="16">
        <v>0</v>
      </c>
    </row>
    <row r="834" spans="1:1" x14ac:dyDescent="0.25">
      <c r="A834" s="16">
        <v>0</v>
      </c>
    </row>
    <row r="835" spans="1:1" x14ac:dyDescent="0.25">
      <c r="A835" s="16">
        <v>0</v>
      </c>
    </row>
    <row r="836" spans="1:1" x14ac:dyDescent="0.25">
      <c r="A836" s="16">
        <v>0</v>
      </c>
    </row>
    <row r="837" spans="1:1" x14ac:dyDescent="0.25">
      <c r="A837" s="16">
        <v>0</v>
      </c>
    </row>
    <row r="838" spans="1:1" x14ac:dyDescent="0.25">
      <c r="A838" s="16">
        <v>0</v>
      </c>
    </row>
    <row r="839" spans="1:1" x14ac:dyDescent="0.25">
      <c r="A839" s="16">
        <v>0</v>
      </c>
    </row>
    <row r="840" spans="1:1" x14ac:dyDescent="0.25">
      <c r="A840" s="16">
        <v>0</v>
      </c>
    </row>
    <row r="841" spans="1:1" x14ac:dyDescent="0.25">
      <c r="A841" s="16">
        <v>0</v>
      </c>
    </row>
    <row r="842" spans="1:1" x14ac:dyDescent="0.25">
      <c r="A842" s="16">
        <v>0</v>
      </c>
    </row>
    <row r="843" spans="1:1" x14ac:dyDescent="0.25">
      <c r="A843" s="16">
        <v>0</v>
      </c>
    </row>
    <row r="844" spans="1:1" x14ac:dyDescent="0.25">
      <c r="A844" s="16">
        <v>0</v>
      </c>
    </row>
    <row r="845" spans="1:1" x14ac:dyDescent="0.25">
      <c r="A845" s="16">
        <v>0</v>
      </c>
    </row>
    <row r="846" spans="1:1" x14ac:dyDescent="0.25">
      <c r="A846" s="16">
        <v>0</v>
      </c>
    </row>
    <row r="847" spans="1:1" x14ac:dyDescent="0.25">
      <c r="A847" s="16">
        <v>0</v>
      </c>
    </row>
    <row r="848" spans="1:1" x14ac:dyDescent="0.25">
      <c r="A848" s="16">
        <v>0</v>
      </c>
    </row>
    <row r="849" spans="1:1" x14ac:dyDescent="0.25">
      <c r="A849" s="16">
        <v>0</v>
      </c>
    </row>
    <row r="850" spans="1:1" x14ac:dyDescent="0.25">
      <c r="A850" s="16">
        <v>0</v>
      </c>
    </row>
    <row r="851" spans="1:1" x14ac:dyDescent="0.25">
      <c r="A851" s="16">
        <v>0</v>
      </c>
    </row>
    <row r="852" spans="1:1" x14ac:dyDescent="0.25">
      <c r="A852" s="16">
        <v>0</v>
      </c>
    </row>
    <row r="853" spans="1:1" x14ac:dyDescent="0.25">
      <c r="A853" s="16">
        <v>0</v>
      </c>
    </row>
    <row r="854" spans="1:1" x14ac:dyDescent="0.25">
      <c r="A854" s="16">
        <v>0</v>
      </c>
    </row>
    <row r="855" spans="1:1" x14ac:dyDescent="0.25">
      <c r="A855" s="16">
        <v>0</v>
      </c>
    </row>
    <row r="856" spans="1:1" x14ac:dyDescent="0.25">
      <c r="A856" s="16">
        <v>0</v>
      </c>
    </row>
    <row r="857" spans="1:1" x14ac:dyDescent="0.25">
      <c r="A857" s="16">
        <v>0</v>
      </c>
    </row>
    <row r="858" spans="1:1" x14ac:dyDescent="0.25">
      <c r="A858" s="16">
        <v>0</v>
      </c>
    </row>
    <row r="859" spans="1:1" x14ac:dyDescent="0.25">
      <c r="A859" s="16">
        <v>0</v>
      </c>
    </row>
    <row r="860" spans="1:1" x14ac:dyDescent="0.25">
      <c r="A860" s="16">
        <v>0</v>
      </c>
    </row>
    <row r="861" spans="1:1" x14ac:dyDescent="0.25">
      <c r="A861" s="16">
        <v>0</v>
      </c>
    </row>
    <row r="862" spans="1:1" x14ac:dyDescent="0.25">
      <c r="A862" s="16">
        <v>0</v>
      </c>
    </row>
    <row r="863" spans="1:1" x14ac:dyDescent="0.25">
      <c r="A863" s="16">
        <v>0</v>
      </c>
    </row>
    <row r="864" spans="1:1" x14ac:dyDescent="0.25">
      <c r="A864" s="16">
        <v>0</v>
      </c>
    </row>
    <row r="865" spans="1:1" x14ac:dyDescent="0.25">
      <c r="A865" s="16">
        <v>0</v>
      </c>
    </row>
    <row r="866" spans="1:1" x14ac:dyDescent="0.25">
      <c r="A866" s="16">
        <v>0</v>
      </c>
    </row>
    <row r="867" spans="1:1" x14ac:dyDescent="0.25">
      <c r="A867" s="16">
        <v>0</v>
      </c>
    </row>
    <row r="868" spans="1:1" x14ac:dyDescent="0.25">
      <c r="A868" s="16">
        <v>0</v>
      </c>
    </row>
    <row r="869" spans="1:1" x14ac:dyDescent="0.25">
      <c r="A869" s="16">
        <v>0</v>
      </c>
    </row>
    <row r="870" spans="1:1" x14ac:dyDescent="0.25">
      <c r="A870" s="16">
        <v>0</v>
      </c>
    </row>
    <row r="871" spans="1:1" x14ac:dyDescent="0.25">
      <c r="A871" s="16">
        <v>0</v>
      </c>
    </row>
    <row r="872" spans="1:1" x14ac:dyDescent="0.25">
      <c r="A872" s="16">
        <v>0</v>
      </c>
    </row>
    <row r="873" spans="1:1" x14ac:dyDescent="0.25">
      <c r="A873" s="16">
        <v>0</v>
      </c>
    </row>
    <row r="874" spans="1:1" x14ac:dyDescent="0.25">
      <c r="A874" s="16">
        <v>0</v>
      </c>
    </row>
    <row r="875" spans="1:1" x14ac:dyDescent="0.25">
      <c r="A875" s="16">
        <v>0</v>
      </c>
    </row>
    <row r="876" spans="1:1" x14ac:dyDescent="0.25">
      <c r="A876" s="16">
        <v>0</v>
      </c>
    </row>
    <row r="877" spans="1:1" x14ac:dyDescent="0.25">
      <c r="A877" s="16">
        <v>0</v>
      </c>
    </row>
    <row r="878" spans="1:1" x14ac:dyDescent="0.25">
      <c r="A878" s="16">
        <v>0</v>
      </c>
    </row>
    <row r="879" spans="1:1" x14ac:dyDescent="0.25">
      <c r="A879" s="16">
        <v>0</v>
      </c>
    </row>
    <row r="880" spans="1:1" x14ac:dyDescent="0.25">
      <c r="A880" s="16">
        <v>0</v>
      </c>
    </row>
    <row r="881" spans="1:1" x14ac:dyDescent="0.25">
      <c r="A881" s="16">
        <v>0</v>
      </c>
    </row>
    <row r="882" spans="1:1" x14ac:dyDescent="0.25">
      <c r="A882" s="16">
        <v>0</v>
      </c>
    </row>
    <row r="883" spans="1:1" x14ac:dyDescent="0.25">
      <c r="A883" s="16">
        <v>0</v>
      </c>
    </row>
    <row r="884" spans="1:1" x14ac:dyDescent="0.25">
      <c r="A884" s="16">
        <v>0</v>
      </c>
    </row>
    <row r="885" spans="1:1" x14ac:dyDescent="0.25">
      <c r="A885" s="16">
        <v>0</v>
      </c>
    </row>
    <row r="886" spans="1:1" x14ac:dyDescent="0.25">
      <c r="A886" s="16">
        <v>0</v>
      </c>
    </row>
    <row r="887" spans="1:1" x14ac:dyDescent="0.25">
      <c r="A887" s="16">
        <v>0</v>
      </c>
    </row>
    <row r="888" spans="1:1" x14ac:dyDescent="0.25">
      <c r="A888" s="16">
        <v>0</v>
      </c>
    </row>
    <row r="889" spans="1:1" x14ac:dyDescent="0.25">
      <c r="A889" s="16">
        <v>0</v>
      </c>
    </row>
    <row r="890" spans="1:1" x14ac:dyDescent="0.25">
      <c r="A890" s="16">
        <v>0</v>
      </c>
    </row>
    <row r="891" spans="1:1" x14ac:dyDescent="0.25">
      <c r="A891" s="16">
        <v>0</v>
      </c>
    </row>
    <row r="892" spans="1:1" x14ac:dyDescent="0.25">
      <c r="A892" s="16">
        <v>0</v>
      </c>
    </row>
    <row r="893" spans="1:1" x14ac:dyDescent="0.25">
      <c r="A893" s="16">
        <v>0</v>
      </c>
    </row>
    <row r="894" spans="1:1" x14ac:dyDescent="0.25">
      <c r="A894" s="16">
        <v>0</v>
      </c>
    </row>
    <row r="895" spans="1:1" x14ac:dyDescent="0.25">
      <c r="A895" s="16">
        <v>0</v>
      </c>
    </row>
    <row r="896" spans="1:1" x14ac:dyDescent="0.25">
      <c r="A896" s="16">
        <v>0</v>
      </c>
    </row>
    <row r="897" spans="1:1" x14ac:dyDescent="0.25">
      <c r="A897" s="16">
        <v>0</v>
      </c>
    </row>
    <row r="898" spans="1:1" x14ac:dyDescent="0.25">
      <c r="A898" s="16">
        <v>0</v>
      </c>
    </row>
    <row r="899" spans="1:1" x14ac:dyDescent="0.25">
      <c r="A899" s="16">
        <v>0</v>
      </c>
    </row>
    <row r="900" spans="1:1" x14ac:dyDescent="0.25">
      <c r="A900" s="16">
        <v>0</v>
      </c>
    </row>
    <row r="901" spans="1:1" x14ac:dyDescent="0.25">
      <c r="A901" s="16">
        <v>0</v>
      </c>
    </row>
    <row r="902" spans="1:1" x14ac:dyDescent="0.25">
      <c r="A902" s="16">
        <v>0</v>
      </c>
    </row>
    <row r="903" spans="1:1" x14ac:dyDescent="0.25">
      <c r="A903" s="16">
        <v>0</v>
      </c>
    </row>
    <row r="904" spans="1:1" x14ac:dyDescent="0.25">
      <c r="A904" s="16">
        <v>0</v>
      </c>
    </row>
    <row r="905" spans="1:1" x14ac:dyDescent="0.25">
      <c r="A905" s="16">
        <v>0</v>
      </c>
    </row>
    <row r="906" spans="1:1" x14ac:dyDescent="0.25">
      <c r="A906" s="16">
        <v>0</v>
      </c>
    </row>
    <row r="907" spans="1:1" x14ac:dyDescent="0.25">
      <c r="A907" s="16">
        <v>0</v>
      </c>
    </row>
    <row r="908" spans="1:1" x14ac:dyDescent="0.25">
      <c r="A908" s="16">
        <v>0</v>
      </c>
    </row>
    <row r="909" spans="1:1" x14ac:dyDescent="0.25">
      <c r="A909" s="16">
        <v>0</v>
      </c>
    </row>
    <row r="910" spans="1:1" x14ac:dyDescent="0.25">
      <c r="A910" s="16">
        <v>0</v>
      </c>
    </row>
    <row r="911" spans="1:1" x14ac:dyDescent="0.25">
      <c r="A911" s="16">
        <v>0</v>
      </c>
    </row>
    <row r="912" spans="1:1" x14ac:dyDescent="0.25">
      <c r="A912" s="16">
        <v>0</v>
      </c>
    </row>
    <row r="913" spans="1:1" x14ac:dyDescent="0.25">
      <c r="A913" s="16">
        <v>0</v>
      </c>
    </row>
    <row r="914" spans="1:1" x14ac:dyDescent="0.25">
      <c r="A914" s="16">
        <v>0</v>
      </c>
    </row>
    <row r="915" spans="1:1" x14ac:dyDescent="0.25">
      <c r="A915" s="16">
        <v>0</v>
      </c>
    </row>
    <row r="916" spans="1:1" x14ac:dyDescent="0.25">
      <c r="A916" s="16">
        <v>0</v>
      </c>
    </row>
    <row r="917" spans="1:1" x14ac:dyDescent="0.25">
      <c r="A917" s="16">
        <v>0</v>
      </c>
    </row>
    <row r="918" spans="1:1" x14ac:dyDescent="0.25">
      <c r="A918" s="16">
        <v>0</v>
      </c>
    </row>
    <row r="919" spans="1:1" x14ac:dyDescent="0.25">
      <c r="A919" s="16">
        <v>0</v>
      </c>
    </row>
    <row r="920" spans="1:1" x14ac:dyDescent="0.25">
      <c r="A920" s="16">
        <v>0</v>
      </c>
    </row>
    <row r="921" spans="1:1" x14ac:dyDescent="0.25">
      <c r="A921" s="16">
        <v>0</v>
      </c>
    </row>
    <row r="922" spans="1:1" x14ac:dyDescent="0.25">
      <c r="A922" s="16">
        <v>0</v>
      </c>
    </row>
    <row r="923" spans="1:1" x14ac:dyDescent="0.25">
      <c r="A923" s="16">
        <v>0</v>
      </c>
    </row>
    <row r="924" spans="1:1" x14ac:dyDescent="0.25">
      <c r="A924" s="16">
        <v>0</v>
      </c>
    </row>
    <row r="925" spans="1:1" x14ac:dyDescent="0.25">
      <c r="A925" s="16">
        <v>0</v>
      </c>
    </row>
    <row r="926" spans="1:1" x14ac:dyDescent="0.25">
      <c r="A926" s="16">
        <v>0</v>
      </c>
    </row>
    <row r="927" spans="1:1" x14ac:dyDescent="0.25">
      <c r="A927" s="16">
        <v>0</v>
      </c>
    </row>
    <row r="928" spans="1:1" x14ac:dyDescent="0.25">
      <c r="A928" s="16">
        <v>0</v>
      </c>
    </row>
    <row r="929" spans="1:1" x14ac:dyDescent="0.25">
      <c r="A929" s="16">
        <v>0</v>
      </c>
    </row>
    <row r="930" spans="1:1" x14ac:dyDescent="0.25">
      <c r="A930" s="16">
        <v>0</v>
      </c>
    </row>
    <row r="931" spans="1:1" x14ac:dyDescent="0.25">
      <c r="A931" s="16">
        <v>0</v>
      </c>
    </row>
    <row r="932" spans="1:1" x14ac:dyDescent="0.25">
      <c r="A932" s="16">
        <v>0</v>
      </c>
    </row>
    <row r="933" spans="1:1" x14ac:dyDescent="0.25">
      <c r="A933" s="16">
        <v>0</v>
      </c>
    </row>
    <row r="934" spans="1:1" x14ac:dyDescent="0.25">
      <c r="A934" s="16">
        <v>0</v>
      </c>
    </row>
    <row r="935" spans="1:1" x14ac:dyDescent="0.25">
      <c r="A935" s="16">
        <v>0</v>
      </c>
    </row>
    <row r="936" spans="1:1" x14ac:dyDescent="0.25">
      <c r="A936" s="16">
        <v>0</v>
      </c>
    </row>
    <row r="937" spans="1:1" x14ac:dyDescent="0.25">
      <c r="A937" s="16">
        <v>0</v>
      </c>
    </row>
    <row r="938" spans="1:1" x14ac:dyDescent="0.25">
      <c r="A938" s="16">
        <v>0</v>
      </c>
    </row>
    <row r="939" spans="1:1" x14ac:dyDescent="0.25">
      <c r="A939" s="16">
        <v>0</v>
      </c>
    </row>
    <row r="940" spans="1:1" x14ac:dyDescent="0.25">
      <c r="A940" s="16">
        <v>0</v>
      </c>
    </row>
    <row r="941" spans="1:1" x14ac:dyDescent="0.25">
      <c r="A941" s="16">
        <v>0</v>
      </c>
    </row>
    <row r="942" spans="1:1" x14ac:dyDescent="0.25">
      <c r="A942" s="16">
        <v>0</v>
      </c>
    </row>
    <row r="943" spans="1:1" x14ac:dyDescent="0.25">
      <c r="A943" s="16">
        <v>0</v>
      </c>
    </row>
    <row r="944" spans="1:1" x14ac:dyDescent="0.25">
      <c r="A944" s="16">
        <v>0</v>
      </c>
    </row>
    <row r="945" spans="1:1" x14ac:dyDescent="0.25">
      <c r="A945" s="16">
        <v>0</v>
      </c>
    </row>
    <row r="946" spans="1:1" x14ac:dyDescent="0.25">
      <c r="A946" s="16">
        <v>0</v>
      </c>
    </row>
    <row r="947" spans="1:1" x14ac:dyDescent="0.25">
      <c r="A947" s="16">
        <v>0</v>
      </c>
    </row>
    <row r="948" spans="1:1" x14ac:dyDescent="0.25">
      <c r="A948" s="16">
        <v>0</v>
      </c>
    </row>
    <row r="949" spans="1:1" x14ac:dyDescent="0.25">
      <c r="A949" s="16">
        <v>0</v>
      </c>
    </row>
    <row r="950" spans="1:1" x14ac:dyDescent="0.25">
      <c r="A950" s="16">
        <v>0</v>
      </c>
    </row>
    <row r="951" spans="1:1" x14ac:dyDescent="0.25">
      <c r="A951" s="16">
        <v>0</v>
      </c>
    </row>
    <row r="952" spans="1:1" x14ac:dyDescent="0.25">
      <c r="A952" s="16">
        <v>0</v>
      </c>
    </row>
    <row r="953" spans="1:1" x14ac:dyDescent="0.25">
      <c r="A953" s="16">
        <v>0</v>
      </c>
    </row>
    <row r="954" spans="1:1" x14ac:dyDescent="0.25">
      <c r="A954" s="16">
        <v>0</v>
      </c>
    </row>
    <row r="955" spans="1:1" x14ac:dyDescent="0.25">
      <c r="A955" s="16">
        <v>0</v>
      </c>
    </row>
    <row r="956" spans="1:1" x14ac:dyDescent="0.25">
      <c r="A956" s="16">
        <v>0</v>
      </c>
    </row>
    <row r="957" spans="1:1" x14ac:dyDescent="0.25">
      <c r="A957" s="16">
        <v>0</v>
      </c>
    </row>
    <row r="958" spans="1:1" x14ac:dyDescent="0.25">
      <c r="A958" s="16">
        <v>0</v>
      </c>
    </row>
    <row r="959" spans="1:1" x14ac:dyDescent="0.25">
      <c r="A959" s="16">
        <v>0</v>
      </c>
    </row>
    <row r="960" spans="1:1" x14ac:dyDescent="0.25">
      <c r="A960" s="16">
        <v>0</v>
      </c>
    </row>
    <row r="961" spans="1:1" x14ac:dyDescent="0.25">
      <c r="A961" s="16">
        <v>0</v>
      </c>
    </row>
    <row r="962" spans="1:1" x14ac:dyDescent="0.25">
      <c r="A962" s="16">
        <v>0</v>
      </c>
    </row>
    <row r="963" spans="1:1" x14ac:dyDescent="0.25">
      <c r="A963" s="16">
        <v>0</v>
      </c>
    </row>
    <row r="964" spans="1:1" x14ac:dyDescent="0.25">
      <c r="A964" s="16">
        <v>0</v>
      </c>
    </row>
    <row r="965" spans="1:1" x14ac:dyDescent="0.25">
      <c r="A965" s="16">
        <v>0</v>
      </c>
    </row>
    <row r="966" spans="1:1" x14ac:dyDescent="0.25">
      <c r="A966" s="16">
        <v>0</v>
      </c>
    </row>
    <row r="967" spans="1:1" x14ac:dyDescent="0.25">
      <c r="A967" s="16">
        <v>0</v>
      </c>
    </row>
    <row r="968" spans="1:1" x14ac:dyDescent="0.25">
      <c r="A968" s="16">
        <v>0</v>
      </c>
    </row>
    <row r="969" spans="1:1" x14ac:dyDescent="0.25">
      <c r="A969" s="16">
        <v>0</v>
      </c>
    </row>
    <row r="970" spans="1:1" x14ac:dyDescent="0.25">
      <c r="A970" s="16">
        <v>0</v>
      </c>
    </row>
    <row r="971" spans="1:1" x14ac:dyDescent="0.25">
      <c r="A971" s="16">
        <v>0</v>
      </c>
    </row>
    <row r="972" spans="1:1" x14ac:dyDescent="0.25">
      <c r="A972" s="16">
        <v>0</v>
      </c>
    </row>
    <row r="973" spans="1:1" x14ac:dyDescent="0.25">
      <c r="A973" s="16">
        <v>0</v>
      </c>
    </row>
    <row r="974" spans="1:1" x14ac:dyDescent="0.25">
      <c r="A974" s="16">
        <v>0</v>
      </c>
    </row>
    <row r="975" spans="1:1" x14ac:dyDescent="0.25">
      <c r="A975" s="16">
        <v>0</v>
      </c>
    </row>
    <row r="976" spans="1:1" x14ac:dyDescent="0.25">
      <c r="A976" s="16">
        <v>0</v>
      </c>
    </row>
    <row r="977" spans="1:1" x14ac:dyDescent="0.25">
      <c r="A977" s="16">
        <v>0</v>
      </c>
    </row>
    <row r="978" spans="1:1" x14ac:dyDescent="0.25">
      <c r="A978" s="16">
        <v>0</v>
      </c>
    </row>
    <row r="979" spans="1:1" x14ac:dyDescent="0.25">
      <c r="A979" s="16">
        <v>0</v>
      </c>
    </row>
    <row r="980" spans="1:1" x14ac:dyDescent="0.25">
      <c r="A980" s="16">
        <v>0</v>
      </c>
    </row>
    <row r="981" spans="1:1" x14ac:dyDescent="0.25">
      <c r="A981" s="16">
        <v>0</v>
      </c>
    </row>
    <row r="982" spans="1:1" x14ac:dyDescent="0.25">
      <c r="A982" s="16">
        <v>0</v>
      </c>
    </row>
    <row r="983" spans="1:1" x14ac:dyDescent="0.25">
      <c r="A983" s="16">
        <v>0</v>
      </c>
    </row>
    <row r="984" spans="1:1" x14ac:dyDescent="0.25">
      <c r="A984" s="16">
        <v>0</v>
      </c>
    </row>
    <row r="985" spans="1:1" x14ac:dyDescent="0.25">
      <c r="A985" s="16">
        <v>0</v>
      </c>
    </row>
    <row r="986" spans="1:1" x14ac:dyDescent="0.25">
      <c r="A986" s="16">
        <v>0</v>
      </c>
    </row>
    <row r="987" spans="1:1" x14ac:dyDescent="0.25">
      <c r="A987" s="16">
        <v>0</v>
      </c>
    </row>
    <row r="988" spans="1:1" x14ac:dyDescent="0.25">
      <c r="A988" s="16">
        <v>0</v>
      </c>
    </row>
    <row r="989" spans="1:1" x14ac:dyDescent="0.25">
      <c r="A989" s="16">
        <v>0</v>
      </c>
    </row>
    <row r="990" spans="1:1" x14ac:dyDescent="0.25">
      <c r="A990" s="16">
        <v>0</v>
      </c>
    </row>
    <row r="991" spans="1:1" x14ac:dyDescent="0.25">
      <c r="A991" s="16">
        <v>0</v>
      </c>
    </row>
    <row r="992" spans="1:1" x14ac:dyDescent="0.25">
      <c r="A992" s="16">
        <v>0</v>
      </c>
    </row>
    <row r="993" spans="1:1" x14ac:dyDescent="0.25">
      <c r="A993" s="16">
        <v>0</v>
      </c>
    </row>
    <row r="994" spans="1:1" x14ac:dyDescent="0.25">
      <c r="A994" s="16">
        <v>0</v>
      </c>
    </row>
    <row r="995" spans="1:1" x14ac:dyDescent="0.25">
      <c r="A995" s="16">
        <v>0</v>
      </c>
    </row>
    <row r="996" spans="1:1" x14ac:dyDescent="0.25">
      <c r="A996" s="16">
        <v>0</v>
      </c>
    </row>
    <row r="997" spans="1:1" x14ac:dyDescent="0.25">
      <c r="A997" s="16">
        <v>0</v>
      </c>
    </row>
    <row r="998" spans="1:1" x14ac:dyDescent="0.25">
      <c r="A998" s="16">
        <v>0</v>
      </c>
    </row>
    <row r="999" spans="1:1" x14ac:dyDescent="0.25">
      <c r="A999" s="16">
        <v>0</v>
      </c>
    </row>
    <row r="1000" spans="1:1" x14ac:dyDescent="0.25">
      <c r="A1000" s="16">
        <v>0</v>
      </c>
    </row>
  </sheetData>
  <sortState xmlns:xlrd2="http://schemas.microsoft.com/office/spreadsheetml/2017/richdata2" ref="A2:N1000">
    <sortCondition descending="1" ref="G1:G1000"/>
  </sortState>
  <conditionalFormatting sqref="C1 C2:E658 C3:C1048576">
    <cfRule type="containsText" dxfId="3" priority="113" operator="containsText" text="MID">
      <formula>NOT(ISERROR(SEARCH("MID",C1)))</formula>
    </cfRule>
    <cfRule type="containsText" dxfId="2" priority="114" operator="containsText" text="DEF">
      <formula>NOT(ISERROR(SEARCH("DEF",C1)))</formula>
    </cfRule>
    <cfRule type="containsText" dxfId="1" priority="115" operator="containsText" text="GK">
      <formula>NOT(ISERROR(SEARCH("GK",C1)))</formula>
    </cfRule>
  </conditionalFormatting>
  <conditionalFormatting sqref="C2:E658 C1 C3:C1048576">
    <cfRule type="containsText" dxfId="0" priority="112" operator="containsText" text="FWD">
      <formula>NOT(ISERROR(SEARCH("FWD",C1)))</formula>
    </cfRule>
  </conditionalFormatting>
  <conditionalFormatting sqref="E659:E1048576 E1">
    <cfRule type="colorScale" priority="116">
      <colorScale>
        <cfvo type="num" val="4"/>
        <cfvo type="num" val="7"/>
        <cfvo type="max"/>
        <color rgb="FF63BE7B"/>
        <color rgb="FFFFEB84"/>
        <color rgb="FFF8696B"/>
      </colorScale>
    </cfRule>
  </conditionalFormatting>
  <conditionalFormatting sqref="P2:P786">
    <cfRule type="colorScale" priority="36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SOLVER Sensitivity 1</vt:lpstr>
      <vt:lpstr>SOLVER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Bobby</dc:creator>
  <cp:lastModifiedBy>Bobby Mitchell</cp:lastModifiedBy>
  <dcterms:created xsi:type="dcterms:W3CDTF">2025-07-27T12:31:16Z</dcterms:created>
  <dcterms:modified xsi:type="dcterms:W3CDTF">2026-08-14T07:54:22Z</dcterms:modified>
</cp:coreProperties>
</file>