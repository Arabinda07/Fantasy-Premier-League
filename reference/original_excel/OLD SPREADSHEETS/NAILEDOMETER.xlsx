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S:\FPL\CURRENT\"/>
    </mc:Choice>
  </mc:AlternateContent>
  <xr:revisionPtr revIDLastSave="0" documentId="13_ncr:1_{7192710E-1AF5-4099-8570-06385698D830}" xr6:coauthVersionLast="36" xr6:coauthVersionMax="36" xr10:uidLastSave="{00000000-0000-0000-0000-000000000000}"/>
  <bookViews>
    <workbookView minimized="1" xWindow="0" yWindow="0" windowWidth="28800" windowHeight="14610" xr2:uid="{22C945E6-4AEC-4260-BBD6-A4D1048DECF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5" i="1"/>
  <c r="A73" i="1"/>
  <c r="A61" i="1"/>
  <c r="A99" i="1"/>
  <c r="A44" i="1"/>
  <c r="A117" i="1"/>
  <c r="A214" i="1"/>
  <c r="A403" i="1"/>
  <c r="A103" i="1"/>
  <c r="A201" i="1"/>
  <c r="A131" i="1"/>
  <c r="A217" i="1"/>
  <c r="A62" i="1"/>
  <c r="A157" i="1"/>
  <c r="A7" i="1"/>
  <c r="A234" i="1"/>
  <c r="A276" i="1"/>
  <c r="A193" i="1"/>
  <c r="A92" i="1"/>
  <c r="A313" i="1"/>
  <c r="A48" i="1"/>
  <c r="A100" i="1"/>
  <c r="A8" i="1"/>
  <c r="A413" i="1"/>
  <c r="A127" i="1"/>
  <c r="A399" i="1"/>
  <c r="A147" i="1"/>
  <c r="A115" i="1"/>
  <c r="A101" i="1"/>
  <c r="A112" i="1"/>
  <c r="A148" i="1"/>
  <c r="A207" i="1"/>
  <c r="A57" i="1"/>
  <c r="A326" i="1"/>
  <c r="A93" i="1"/>
  <c r="A107" i="1"/>
  <c r="A235" i="1"/>
  <c r="A191" i="1"/>
  <c r="A250" i="1"/>
  <c r="A303" i="1"/>
  <c r="A151" i="1"/>
  <c r="A9" i="1"/>
  <c r="A45" i="1"/>
  <c r="A401" i="1"/>
  <c r="A414" i="1"/>
  <c r="A415" i="1"/>
  <c r="A416" i="1"/>
  <c r="A417" i="1"/>
  <c r="A418" i="1"/>
  <c r="A302" i="1"/>
  <c r="A358" i="1"/>
  <c r="A221" i="1"/>
  <c r="A271" i="1"/>
  <c r="A202" i="1"/>
  <c r="A186" i="1"/>
  <c r="A116" i="1"/>
  <c r="A168" i="1"/>
  <c r="A236" i="1"/>
  <c r="A10" i="1"/>
  <c r="A89" i="1"/>
  <c r="A11" i="1"/>
  <c r="A290" i="1"/>
  <c r="A237" i="1"/>
  <c r="A398" i="1"/>
  <c r="A86" i="1"/>
  <c r="A113" i="1"/>
  <c r="A77" i="1"/>
  <c r="A83" i="1"/>
  <c r="A171" i="1"/>
  <c r="A166" i="1"/>
  <c r="A158" i="1"/>
  <c r="A12" i="1"/>
  <c r="A94" i="1"/>
  <c r="A404" i="1"/>
  <c r="A343" i="1"/>
  <c r="A155" i="1"/>
  <c r="A226" i="1"/>
  <c r="A267" i="1"/>
  <c r="A362" i="1"/>
  <c r="A122" i="1"/>
  <c r="A224" i="1"/>
  <c r="A212" i="1"/>
  <c r="A102" i="1"/>
  <c r="A66" i="1"/>
  <c r="A13" i="1"/>
  <c r="A173" i="1"/>
  <c r="A251" i="1"/>
  <c r="A149" i="1"/>
  <c r="A14" i="1"/>
  <c r="A15" i="1"/>
  <c r="A49" i="1"/>
  <c r="A195" i="1"/>
  <c r="A81" i="1"/>
  <c r="A331" i="1"/>
  <c r="A175" i="1"/>
  <c r="A274" i="1"/>
  <c r="A194" i="1"/>
  <c r="A150" i="1"/>
  <c r="A179" i="1"/>
  <c r="A419" i="1"/>
  <c r="A420" i="1"/>
  <c r="A421" i="1"/>
  <c r="A50" i="1"/>
  <c r="A366" i="1"/>
  <c r="A394" i="1"/>
  <c r="A308" i="1"/>
  <c r="A144" i="1"/>
  <c r="A258" i="1"/>
  <c r="A257" i="1"/>
  <c r="A409" i="1"/>
  <c r="A356" i="1"/>
  <c r="A307" i="1"/>
  <c r="A209" i="1"/>
  <c r="A141" i="1"/>
  <c r="A197" i="1"/>
  <c r="A304" i="1"/>
  <c r="A59" i="1"/>
  <c r="A180" i="1"/>
  <c r="A174" i="1"/>
  <c r="A16" i="1"/>
  <c r="A346" i="1"/>
  <c r="A142" i="1"/>
  <c r="A228" i="1"/>
  <c r="A218" i="1"/>
  <c r="A254" i="1"/>
  <c r="A190" i="1"/>
  <c r="A143" i="1"/>
  <c r="A215" i="1"/>
  <c r="A162" i="1"/>
  <c r="A272" i="1"/>
  <c r="A407" i="1"/>
  <c r="A17" i="1"/>
  <c r="A55" i="1"/>
  <c r="A238" i="1"/>
  <c r="A78" i="1"/>
  <c r="A18" i="1"/>
  <c r="A19" i="1"/>
  <c r="A408" i="1"/>
  <c r="A359" i="1"/>
  <c r="A176" i="1"/>
  <c r="A339" i="1"/>
  <c r="A192" i="1"/>
  <c r="A159" i="1"/>
  <c r="A239" i="1"/>
  <c r="A96" i="1"/>
  <c r="A281" i="1"/>
  <c r="A188" i="1"/>
  <c r="A206" i="1"/>
  <c r="A104" i="1"/>
  <c r="A291" i="1"/>
  <c r="A69" i="1"/>
  <c r="A292" i="1"/>
  <c r="A124" i="1"/>
  <c r="A377" i="1"/>
  <c r="A265" i="1"/>
  <c r="A248" i="1"/>
  <c r="A314" i="1"/>
  <c r="A169" i="1"/>
  <c r="A240" i="1"/>
  <c r="A280" i="1"/>
  <c r="A164" i="1"/>
  <c r="A123" i="1"/>
  <c r="A109" i="1"/>
  <c r="A266" i="1"/>
  <c r="A70" i="1"/>
  <c r="A284" i="1"/>
  <c r="A273" i="1"/>
  <c r="A252" i="1"/>
  <c r="A367" i="1"/>
  <c r="A422" i="1"/>
  <c r="A20" i="1"/>
  <c r="A385" i="1"/>
  <c r="A71" i="1"/>
  <c r="A423" i="1"/>
  <c r="A105" i="1"/>
  <c r="A229" i="1"/>
  <c r="A211" i="1"/>
  <c r="A119" i="1"/>
  <c r="A160" i="1"/>
  <c r="A46" i="1"/>
  <c r="A376" i="1"/>
  <c r="A424" i="1"/>
  <c r="A363" i="1"/>
  <c r="A386" i="1"/>
  <c r="A352" i="1"/>
  <c r="A425" i="1"/>
  <c r="A21" i="1"/>
  <c r="A380" i="1"/>
  <c r="A411" i="1"/>
  <c r="A381" i="1"/>
  <c r="A426" i="1"/>
  <c r="A22" i="1"/>
  <c r="A309" i="1"/>
  <c r="A227" i="1"/>
  <c r="A427" i="1"/>
  <c r="A428" i="1"/>
  <c r="A429" i="1"/>
  <c r="A125" i="1"/>
  <c r="A204" i="1"/>
  <c r="A154" i="1"/>
  <c r="A430" i="1"/>
  <c r="A431" i="1"/>
  <c r="A241" i="1"/>
  <c r="A242" i="1"/>
  <c r="A432" i="1"/>
  <c r="A433" i="1"/>
  <c r="A434" i="1"/>
  <c r="A300" i="1"/>
  <c r="A288" i="1"/>
  <c r="A275" i="1"/>
  <c r="A279" i="1"/>
  <c r="A341" i="1"/>
  <c r="A23" i="1"/>
  <c r="A24" i="1"/>
  <c r="A25" i="1"/>
  <c r="A337" i="1"/>
  <c r="A132" i="1"/>
  <c r="A261" i="1"/>
  <c r="A156" i="1"/>
  <c r="A128" i="1"/>
  <c r="A26" i="1"/>
  <c r="A347" i="1"/>
  <c r="A108" i="1"/>
  <c r="A134" i="1"/>
  <c r="A153" i="1"/>
  <c r="A51" i="1"/>
  <c r="A199" i="1"/>
  <c r="A27" i="1"/>
  <c r="A111" i="1"/>
  <c r="A396" i="1"/>
  <c r="A118" i="1"/>
  <c r="A47" i="1"/>
  <c r="A333" i="1"/>
  <c r="A58" i="1"/>
  <c r="A170" i="1"/>
  <c r="A90" i="1"/>
  <c r="A264" i="1"/>
  <c r="A222" i="1"/>
  <c r="A177" i="1"/>
  <c r="A135" i="1"/>
  <c r="A412" i="1"/>
  <c r="A52" i="1"/>
  <c r="A230" i="1"/>
  <c r="A277" i="1"/>
  <c r="A259" i="1"/>
  <c r="A334" i="1"/>
  <c r="A293" i="1"/>
  <c r="A167" i="1"/>
  <c r="A106" i="1"/>
  <c r="A87" i="1"/>
  <c r="A165" i="1"/>
  <c r="A402" i="1"/>
  <c r="A172" i="1"/>
  <c r="A400" i="1"/>
  <c r="A246" i="1"/>
  <c r="A231" i="1"/>
  <c r="A306" i="1"/>
  <c r="A320" i="1"/>
  <c r="A63" i="1"/>
  <c r="A145" i="1"/>
  <c r="A138" i="1"/>
  <c r="A139" i="1"/>
  <c r="A310" i="1"/>
  <c r="A360" i="1"/>
  <c r="A410" i="1"/>
  <c r="A397" i="1"/>
  <c r="A369" i="1"/>
  <c r="A270" i="1"/>
  <c r="A220" i="1"/>
  <c r="A282" i="1"/>
  <c r="A137" i="1"/>
  <c r="A278" i="1"/>
  <c r="A136" i="1"/>
  <c r="A247" i="1"/>
  <c r="A405" i="1"/>
  <c r="A82" i="1"/>
  <c r="A323" i="1"/>
  <c r="A243" i="1"/>
  <c r="A161" i="1"/>
  <c r="A435" i="1"/>
  <c r="A390" i="1"/>
  <c r="A436" i="1"/>
  <c r="A437" i="1"/>
  <c r="A336" i="1"/>
  <c r="A388" i="1"/>
  <c r="A392" i="1"/>
  <c r="A438" i="1"/>
  <c r="A181" i="1"/>
  <c r="A391" i="1"/>
  <c r="A439" i="1"/>
  <c r="A440" i="1"/>
  <c r="A441" i="1"/>
  <c r="A442" i="1"/>
  <c r="A443" i="1"/>
  <c r="A444" i="1"/>
  <c r="A95" i="1"/>
  <c r="A445" i="1"/>
  <c r="A446" i="1"/>
  <c r="A447" i="1"/>
  <c r="A448" i="1"/>
  <c r="A321" i="1"/>
  <c r="A324" i="1"/>
  <c r="A305" i="1"/>
  <c r="A283" i="1"/>
  <c r="A332" i="1"/>
  <c r="A287" i="1"/>
  <c r="A198" i="1"/>
  <c r="A361" i="1"/>
  <c r="A28" i="1"/>
  <c r="A244" i="1"/>
  <c r="A260" i="1"/>
  <c r="A449" i="1"/>
  <c r="A450" i="1"/>
  <c r="A451" i="1"/>
  <c r="A452" i="1"/>
  <c r="A364" i="1"/>
  <c r="A340" i="1"/>
  <c r="A453" i="1"/>
  <c r="A454" i="1"/>
  <c r="A455" i="1"/>
  <c r="A456" i="1"/>
  <c r="A457" i="1"/>
  <c r="A371" i="1"/>
  <c r="A317" i="1"/>
  <c r="A88" i="1"/>
  <c r="A458" i="1"/>
  <c r="A387" i="1"/>
  <c r="A84" i="1"/>
  <c r="A129" i="1"/>
  <c r="A200" i="1"/>
  <c r="A315" i="1"/>
  <c r="A459" i="1"/>
  <c r="A460" i="1"/>
  <c r="A461" i="1"/>
  <c r="A462" i="1"/>
  <c r="A203" i="1"/>
  <c r="A29" i="1"/>
  <c r="A140" i="1"/>
  <c r="A253" i="1"/>
  <c r="A185" i="1"/>
  <c r="A296" i="1"/>
  <c r="A463" i="1"/>
  <c r="A464" i="1"/>
  <c r="A189" i="1"/>
  <c r="A465" i="1"/>
  <c r="A466" i="1"/>
  <c r="A467" i="1"/>
  <c r="A182" i="1"/>
  <c r="A30" i="1"/>
  <c r="A245" i="1"/>
  <c r="A294" i="1"/>
  <c r="A205" i="1"/>
  <c r="A468" i="1"/>
  <c r="A345" i="1"/>
  <c r="A210" i="1"/>
  <c r="A469" i="1"/>
  <c r="A470" i="1"/>
  <c r="A471" i="1"/>
  <c r="A472" i="1"/>
  <c r="A473" i="1"/>
  <c r="A474" i="1"/>
  <c r="A475" i="1"/>
  <c r="A255" i="1"/>
  <c r="A353" i="1"/>
  <c r="A219" i="1"/>
  <c r="A311" i="1"/>
  <c r="A330" i="1"/>
  <c r="A163" i="1"/>
  <c r="A31" i="1"/>
  <c r="A269" i="1"/>
  <c r="A348" i="1"/>
  <c r="A32" i="1"/>
  <c r="A268" i="1"/>
  <c r="A97" i="1"/>
  <c r="A33" i="1"/>
  <c r="A74" i="1"/>
  <c r="A196" i="1"/>
  <c r="A53" i="1"/>
  <c r="A60" i="1"/>
  <c r="A213" i="1"/>
  <c r="A152" i="1"/>
  <c r="A34" i="1"/>
  <c r="A178" i="1"/>
  <c r="A35" i="1"/>
  <c r="A384" i="1"/>
  <c r="A262" i="1"/>
  <c r="A187" i="1"/>
  <c r="A110" i="1"/>
  <c r="A312" i="1"/>
  <c r="A36" i="1"/>
  <c r="A338" i="1"/>
  <c r="A225" i="1"/>
  <c r="A67" i="1"/>
  <c r="A249" i="1"/>
  <c r="A37" i="1"/>
  <c r="A91" i="1"/>
  <c r="A68" i="1"/>
  <c r="A393" i="1"/>
  <c r="A351" i="1"/>
  <c r="A316" i="1"/>
  <c r="A216" i="1"/>
  <c r="A476" i="1"/>
  <c r="A80" i="1"/>
  <c r="A368" i="1"/>
  <c r="A54" i="1"/>
  <c r="A286" i="1"/>
  <c r="A232" i="1"/>
  <c r="A285" i="1"/>
  <c r="A183" i="1"/>
  <c r="A373" i="1"/>
  <c r="A477" i="1"/>
  <c r="A301" i="1"/>
  <c r="A478" i="1"/>
  <c r="A479" i="1"/>
  <c r="A480" i="1"/>
  <c r="A481" i="1"/>
  <c r="A370" i="1"/>
  <c r="A378" i="1"/>
  <c r="A38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354" i="1"/>
  <c r="A497" i="1"/>
  <c r="A498" i="1"/>
  <c r="A499" i="1"/>
  <c r="A263" i="1"/>
  <c r="A256" i="1"/>
  <c r="A350" i="1"/>
  <c r="A318" i="1"/>
  <c r="A335" i="1"/>
  <c r="A395" i="1"/>
  <c r="A500" i="1"/>
  <c r="A501" i="1"/>
  <c r="A208" i="1"/>
  <c r="A56" i="1"/>
  <c r="A72" i="1"/>
  <c r="A98" i="1"/>
  <c r="A328" i="1"/>
  <c r="A298" i="1"/>
  <c r="A406" i="1"/>
  <c r="A325" i="1"/>
  <c r="A319" i="1"/>
  <c r="A329" i="1"/>
  <c r="A289" i="1"/>
  <c r="A502" i="1"/>
  <c r="A375" i="1"/>
  <c r="A295" i="1"/>
  <c r="A379" i="1"/>
  <c r="A503" i="1"/>
  <c r="A504" i="1"/>
  <c r="A505" i="1"/>
  <c r="A506" i="1"/>
  <c r="A507" i="1"/>
  <c r="A508" i="1"/>
  <c r="A509" i="1"/>
  <c r="A510" i="1"/>
  <c r="A511" i="1"/>
  <c r="A512" i="1"/>
  <c r="A513" i="1"/>
  <c r="A120" i="1"/>
  <c r="A126" i="1"/>
  <c r="A514" i="1"/>
  <c r="A515" i="1"/>
  <c r="A516" i="1"/>
  <c r="A517" i="1"/>
  <c r="A146" i="1"/>
  <c r="A223" i="1"/>
  <c r="A518" i="1"/>
  <c r="A297" i="1"/>
  <c r="A519" i="1"/>
  <c r="A520" i="1"/>
  <c r="A521" i="1"/>
  <c r="A299" i="1"/>
  <c r="A522" i="1"/>
  <c r="A355" i="1"/>
  <c r="A372" i="1"/>
  <c r="A523" i="1"/>
  <c r="A524" i="1"/>
  <c r="A525" i="1"/>
  <c r="A382" i="1"/>
  <c r="A526" i="1"/>
  <c r="A527" i="1"/>
  <c r="A528" i="1"/>
  <c r="A529" i="1"/>
  <c r="A530" i="1"/>
  <c r="A531" i="1"/>
  <c r="A365" i="1"/>
  <c r="A532" i="1"/>
  <c r="A533" i="1"/>
  <c r="A534" i="1"/>
  <c r="A535" i="1"/>
  <c r="A536" i="1"/>
  <c r="A344" i="1"/>
  <c r="A537" i="1"/>
  <c r="A538" i="1"/>
  <c r="A342" i="1"/>
  <c r="A539" i="1"/>
  <c r="A540" i="1"/>
  <c r="A541" i="1"/>
  <c r="A542" i="1"/>
  <c r="A543" i="1"/>
  <c r="A349" i="1"/>
  <c r="A544" i="1"/>
  <c r="A545" i="1"/>
  <c r="A85" i="1"/>
  <c r="A130" i="1"/>
  <c r="A42" i="1"/>
  <c r="A43" i="1"/>
  <c r="A357" i="1"/>
  <c r="A383" i="1"/>
  <c r="A546" i="1"/>
  <c r="A547" i="1"/>
  <c r="A389" i="1"/>
  <c r="A548" i="1"/>
  <c r="A549" i="1"/>
  <c r="A550" i="1"/>
  <c r="A551" i="1"/>
  <c r="A121" i="1"/>
  <c r="A133" i="1"/>
  <c r="A39" i="1"/>
  <c r="A114" i="1"/>
  <c r="A552" i="1"/>
  <c r="A76" i="1"/>
  <c r="A553" i="1"/>
  <c r="A554" i="1"/>
  <c r="A555" i="1"/>
  <c r="A322" i="1"/>
  <c r="A556" i="1"/>
  <c r="A184" i="1"/>
  <c r="A40" i="1"/>
  <c r="A64" i="1"/>
  <c r="A233" i="1"/>
  <c r="A327" i="1"/>
  <c r="A79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41" i="1"/>
  <c r="A374" i="1"/>
  <c r="A1000" i="1"/>
  <c r="A65" i="1"/>
  <c r="A1" i="1" l="1"/>
  <c r="W1" i="1" l="1"/>
  <c r="N90" i="1" l="1"/>
  <c r="O90" i="1" s="1"/>
  <c r="N214" i="1"/>
  <c r="O214" i="1" s="1"/>
  <c r="K103" i="1"/>
  <c r="K482" i="1"/>
  <c r="K5" i="1"/>
  <c r="K86" i="1"/>
  <c r="K173" i="1"/>
  <c r="K273" i="1"/>
  <c r="K162" i="1"/>
  <c r="K377" i="1"/>
  <c r="K627" i="1"/>
  <c r="K451" i="1"/>
  <c r="K951" i="1"/>
  <c r="K895" i="1"/>
  <c r="K391" i="1"/>
  <c r="K522" i="1"/>
  <c r="K433" i="1"/>
  <c r="K418" i="1"/>
  <c r="K457" i="1"/>
  <c r="K788" i="1"/>
  <c r="K676" i="1"/>
  <c r="K613" i="1"/>
  <c r="K441" i="1"/>
  <c r="K872" i="1"/>
  <c r="K886" i="1"/>
  <c r="K625" i="1"/>
  <c r="K612" i="1"/>
  <c r="K596" i="1"/>
  <c r="K580" i="1"/>
  <c r="K573" i="1"/>
  <c r="K531" i="1"/>
  <c r="K257" i="1"/>
  <c r="K569" i="1"/>
  <c r="K565" i="1"/>
  <c r="K559" i="1"/>
  <c r="K327" i="1"/>
  <c r="K982" i="1"/>
  <c r="K974" i="1"/>
  <c r="K968" i="1"/>
  <c r="K850" i="1"/>
  <c r="K128" i="1"/>
  <c r="K543" i="1"/>
  <c r="K961" i="1"/>
  <c r="K885" i="1"/>
  <c r="K944" i="1"/>
  <c r="K906" i="1"/>
  <c r="K827" i="1"/>
  <c r="K928" i="1"/>
  <c r="K546" i="1"/>
  <c r="K43" i="1"/>
  <c r="K874" i="1"/>
  <c r="K262" i="1"/>
  <c r="K196" i="1"/>
  <c r="K387" i="1"/>
  <c r="K466" i="1"/>
  <c r="K181" i="1"/>
  <c r="K395" i="1"/>
  <c r="K145" i="1"/>
  <c r="K281" i="1"/>
  <c r="K125" i="1"/>
  <c r="K232" i="1"/>
  <c r="K123" i="1"/>
  <c r="K344" i="1"/>
  <c r="K945" i="1"/>
  <c r="K756" i="1"/>
  <c r="K692" i="1"/>
  <c r="N644" i="1"/>
  <c r="O644" i="1" s="1"/>
  <c r="K644" i="1"/>
  <c r="K597" i="1"/>
  <c r="K13" i="1"/>
  <c r="K241" i="1"/>
  <c r="K908" i="1"/>
  <c r="K939" i="1"/>
  <c r="K932" i="1"/>
  <c r="K91" i="1"/>
  <c r="K167" i="1"/>
  <c r="K875" i="1"/>
  <c r="K802" i="1"/>
  <c r="K786" i="1"/>
  <c r="K770" i="1"/>
  <c r="K754" i="1"/>
  <c r="K738" i="1"/>
  <c r="K722" i="1"/>
  <c r="K706" i="1"/>
  <c r="K690" i="1"/>
  <c r="K674" i="1"/>
  <c r="K658" i="1"/>
  <c r="K642" i="1"/>
  <c r="K626" i="1"/>
  <c r="K516" i="1"/>
  <c r="K545" i="1"/>
  <c r="K506" i="1"/>
  <c r="K141" i="1"/>
  <c r="K994" i="1"/>
  <c r="K981" i="1"/>
  <c r="K368" i="1"/>
  <c r="K967" i="1"/>
  <c r="K285" i="1"/>
  <c r="K4" i="1"/>
  <c r="K159" i="1"/>
  <c r="K898" i="1"/>
  <c r="K249" i="1"/>
  <c r="K520" i="1"/>
  <c r="N820" i="1"/>
  <c r="O820" i="1" s="1"/>
  <c r="K820" i="1"/>
  <c r="K938" i="1"/>
  <c r="K884" i="1"/>
  <c r="K927" i="1"/>
  <c r="K921" i="1"/>
  <c r="K880" i="1"/>
  <c r="K871" i="1"/>
  <c r="K14" i="1"/>
  <c r="K2" i="1"/>
  <c r="K428" i="1"/>
  <c r="K65" i="1"/>
  <c r="K61" i="1"/>
  <c r="K352" i="1"/>
  <c r="K69" i="1"/>
  <c r="K63" i="1"/>
  <c r="K3" i="1"/>
  <c r="K611" i="1"/>
  <c r="K937" i="1"/>
  <c r="K926" i="1"/>
  <c r="K87" i="1"/>
  <c r="K469" i="1"/>
  <c r="K811" i="1"/>
  <c r="K161" i="1"/>
  <c r="K472" i="1"/>
  <c r="K572" i="1"/>
  <c r="K801" i="1"/>
  <c r="K753" i="1"/>
  <c r="K673" i="1"/>
  <c r="K610" i="1"/>
  <c r="K290" i="1"/>
  <c r="K980" i="1"/>
  <c r="K953" i="1"/>
  <c r="K551" i="1"/>
  <c r="K272" i="1"/>
  <c r="K280" i="1"/>
  <c r="K480" i="1"/>
  <c r="K301" i="1"/>
  <c r="K595" i="1"/>
  <c r="K800" i="1"/>
  <c r="K784" i="1"/>
  <c r="K768" i="1"/>
  <c r="K752" i="1"/>
  <c r="K736" i="1"/>
  <c r="K720" i="1"/>
  <c r="K704" i="1"/>
  <c r="K688" i="1"/>
  <c r="K672" i="1"/>
  <c r="K656" i="1"/>
  <c r="K640" i="1"/>
  <c r="K340" i="1"/>
  <c r="K289" i="1"/>
  <c r="K609" i="1"/>
  <c r="K593" i="1"/>
  <c r="K577" i="1"/>
  <c r="K454" i="1"/>
  <c r="K29" i="1"/>
  <c r="K461" i="1"/>
  <c r="K15" i="1"/>
  <c r="K507" i="1"/>
  <c r="K557" i="1"/>
  <c r="K233" i="1"/>
  <c r="K979" i="1"/>
  <c r="K973" i="1"/>
  <c r="K120" i="1"/>
  <c r="K843" i="1"/>
  <c r="K534" i="1"/>
  <c r="K830" i="1"/>
  <c r="K959" i="1"/>
  <c r="K535" i="1"/>
  <c r="K817" i="1"/>
  <c r="K887" i="1"/>
  <c r="K936" i="1"/>
  <c r="K925" i="1"/>
  <c r="K383" i="1"/>
  <c r="K225" i="1"/>
  <c r="K860" i="1"/>
  <c r="K822" i="1"/>
  <c r="K247" i="1"/>
  <c r="K92" i="1"/>
  <c r="K154" i="1"/>
  <c r="K151" i="1"/>
  <c r="K25" i="1"/>
  <c r="K234" i="1"/>
  <c r="K57" i="1"/>
  <c r="K467" i="1"/>
  <c r="K579" i="1"/>
  <c r="K924" i="1"/>
  <c r="K105" i="1"/>
  <c r="K133" i="1"/>
  <c r="K960" i="1"/>
  <c r="K31" i="1"/>
  <c r="K751" i="1"/>
  <c r="K687" i="1"/>
  <c r="K639" i="1"/>
  <c r="K608" i="1"/>
  <c r="K444" i="1"/>
  <c r="K853" i="1"/>
  <c r="K375" i="1"/>
  <c r="K40" i="1"/>
  <c r="K899" i="1"/>
  <c r="K846" i="1"/>
  <c r="K84" i="1"/>
  <c r="K892" i="1"/>
  <c r="K24" i="1"/>
  <c r="K891" i="1"/>
  <c r="K943" i="1"/>
  <c r="K935" i="1"/>
  <c r="K931" i="1"/>
  <c r="K547" i="1"/>
  <c r="K259" i="1"/>
  <c r="K917" i="1"/>
  <c r="K813" i="1"/>
  <c r="K888" i="1"/>
  <c r="K384" i="1"/>
  <c r="K325" i="1"/>
  <c r="K250" i="1"/>
  <c r="K379" i="1"/>
  <c r="K8" i="1"/>
  <c r="K803" i="1"/>
  <c r="K152" i="1"/>
  <c r="K918" i="1"/>
  <c r="K769" i="1"/>
  <c r="K705" i="1"/>
  <c r="K641" i="1"/>
  <c r="K594" i="1"/>
  <c r="K878" i="1"/>
  <c r="K993" i="1"/>
  <c r="K318" i="1"/>
  <c r="K256" i="1"/>
  <c r="K42" i="1"/>
  <c r="K767" i="1"/>
  <c r="K703" i="1"/>
  <c r="K592" i="1"/>
  <c r="K826" i="1"/>
  <c r="K992" i="1"/>
  <c r="K76" i="1"/>
  <c r="K798" i="1"/>
  <c r="N750" i="1"/>
  <c r="O750" i="1" s="1"/>
  <c r="K750" i="1"/>
  <c r="K718" i="1"/>
  <c r="K702" i="1"/>
  <c r="K686" i="1"/>
  <c r="K654" i="1"/>
  <c r="K638" i="1"/>
  <c r="K213" i="1"/>
  <c r="K607" i="1"/>
  <c r="K1000" i="1"/>
  <c r="K338" i="1"/>
  <c r="K807" i="1"/>
  <c r="K510" i="1"/>
  <c r="K808" i="1"/>
  <c r="K266" i="1"/>
  <c r="K552" i="1"/>
  <c r="K966" i="1"/>
  <c r="K474" i="1"/>
  <c r="K372" i="1"/>
  <c r="K107" i="1"/>
  <c r="K136" i="1"/>
  <c r="K536" i="1"/>
  <c r="K228" i="1"/>
  <c r="K550" i="1"/>
  <c r="K548" i="1"/>
  <c r="K78" i="1"/>
  <c r="K357" i="1"/>
  <c r="N916" i="1"/>
  <c r="O916" i="1" s="1"/>
  <c r="K916" i="1"/>
  <c r="K825" i="1"/>
  <c r="K443" i="1"/>
  <c r="K491" i="1"/>
  <c r="K47" i="1"/>
  <c r="K216" i="1"/>
  <c r="K411" i="1"/>
  <c r="K376" i="1"/>
  <c r="K342" i="1"/>
  <c r="K404" i="1"/>
  <c r="K787" i="1"/>
  <c r="K508" i="1"/>
  <c r="K865" i="1"/>
  <c r="K737" i="1"/>
  <c r="K689" i="1"/>
  <c r="K657" i="1"/>
  <c r="K330" i="1"/>
  <c r="K138" i="1"/>
  <c r="K511" i="1"/>
  <c r="K553" i="1"/>
  <c r="K276" i="1"/>
  <c r="K920" i="1"/>
  <c r="K783" i="1"/>
  <c r="K719" i="1"/>
  <c r="K671" i="1"/>
  <c r="K624" i="1"/>
  <c r="K538" i="1"/>
  <c r="K319" i="1"/>
  <c r="K439" i="1"/>
  <c r="K782" i="1"/>
  <c r="K766" i="1"/>
  <c r="K734" i="1"/>
  <c r="K670" i="1"/>
  <c r="K623" i="1"/>
  <c r="K591" i="1"/>
  <c r="K539" i="1"/>
  <c r="K304" i="1"/>
  <c r="K79" i="1"/>
  <c r="K797" i="1"/>
  <c r="K781" i="1"/>
  <c r="K765" i="1"/>
  <c r="K749" i="1"/>
  <c r="K733" i="1"/>
  <c r="K717" i="1"/>
  <c r="K701" i="1"/>
  <c r="K685" i="1"/>
  <c r="K669" i="1"/>
  <c r="K653" i="1"/>
  <c r="K637" i="1"/>
  <c r="K809" i="1"/>
  <c r="K622" i="1"/>
  <c r="K606" i="1"/>
  <c r="K590" i="1"/>
  <c r="K12" i="1"/>
  <c r="K998" i="1"/>
  <c r="K129" i="1"/>
  <c r="K896" i="1"/>
  <c r="K568" i="1"/>
  <c r="K509" i="1"/>
  <c r="K512" i="1"/>
  <c r="K64" i="1"/>
  <c r="K184" i="1"/>
  <c r="K972" i="1"/>
  <c r="K965" i="1"/>
  <c r="K293" i="1"/>
  <c r="N222" i="1"/>
  <c r="O222" i="1" s="1"/>
  <c r="K222" i="1"/>
  <c r="K85" i="1"/>
  <c r="K958" i="1"/>
  <c r="K952" i="1"/>
  <c r="K948" i="1"/>
  <c r="K432" i="1"/>
  <c r="K533" i="1"/>
  <c r="K146" i="1"/>
  <c r="K82" i="1"/>
  <c r="K313" i="1"/>
  <c r="K842" i="1"/>
  <c r="K523" i="1"/>
  <c r="K513" i="1"/>
  <c r="K144" i="1"/>
  <c r="K137" i="1"/>
  <c r="K218" i="1"/>
  <c r="K419" i="1"/>
  <c r="K174" i="1"/>
  <c r="K265" i="1"/>
  <c r="K95" i="1"/>
  <c r="K326" i="1"/>
  <c r="K771" i="1"/>
  <c r="K72" i="1"/>
  <c r="K99" i="1"/>
  <c r="K724" i="1"/>
  <c r="K581" i="1"/>
  <c r="K39" i="1"/>
  <c r="K868" i="1"/>
  <c r="K785" i="1"/>
  <c r="K721" i="1"/>
  <c r="K407" i="1"/>
  <c r="K578" i="1"/>
  <c r="K558" i="1"/>
  <c r="K484" i="1"/>
  <c r="K528" i="1"/>
  <c r="K799" i="1"/>
  <c r="K735" i="1"/>
  <c r="K655" i="1"/>
  <c r="K400" i="1"/>
  <c r="K464" i="1"/>
  <c r="K796" i="1"/>
  <c r="K780" i="1"/>
  <c r="K764" i="1"/>
  <c r="K748" i="1"/>
  <c r="K732" i="1"/>
  <c r="K716" i="1"/>
  <c r="K700" i="1"/>
  <c r="K684" i="1"/>
  <c r="K668" i="1"/>
  <c r="K652" i="1"/>
  <c r="K636" i="1"/>
  <c r="K381" i="1"/>
  <c r="K621" i="1"/>
  <c r="K605" i="1"/>
  <c r="K589" i="1"/>
  <c r="K576" i="1"/>
  <c r="K279" i="1"/>
  <c r="K486" i="1"/>
  <c r="K540" i="1"/>
  <c r="K818" i="1"/>
  <c r="K564" i="1"/>
  <c r="K362" i="1"/>
  <c r="K991" i="1"/>
  <c r="K556" i="1"/>
  <c r="K114" i="1"/>
  <c r="K964" i="1"/>
  <c r="K258" i="1"/>
  <c r="K530" i="1"/>
  <c r="K907" i="1"/>
  <c r="K882" i="1"/>
  <c r="K894" i="1"/>
  <c r="K947" i="1"/>
  <c r="K910" i="1"/>
  <c r="K355" i="1"/>
  <c r="K900" i="1"/>
  <c r="K223" i="1"/>
  <c r="K919" i="1"/>
  <c r="K839" i="1"/>
  <c r="K854" i="1"/>
  <c r="K89" i="1"/>
  <c r="K471" i="1"/>
  <c r="K442" i="1"/>
  <c r="K303" i="1"/>
  <c r="K316" i="1"/>
  <c r="K449" i="1"/>
  <c r="K96" i="1"/>
  <c r="K139" i="1"/>
  <c r="K755" i="1"/>
  <c r="K562" i="1"/>
  <c r="K500" i="1"/>
  <c r="K772" i="1"/>
  <c r="K660" i="1"/>
  <c r="K999" i="1"/>
  <c r="K335" i="1"/>
  <c r="K255" i="1"/>
  <c r="K795" i="1"/>
  <c r="K779" i="1"/>
  <c r="K763" i="1"/>
  <c r="K747" i="1"/>
  <c r="K731" i="1"/>
  <c r="K715" i="1"/>
  <c r="K699" i="1"/>
  <c r="K683" i="1"/>
  <c r="K667" i="1"/>
  <c r="K651" i="1"/>
  <c r="K635" i="1"/>
  <c r="K414" i="1"/>
  <c r="K620" i="1"/>
  <c r="K604" i="1"/>
  <c r="K588" i="1"/>
  <c r="K575" i="1"/>
  <c r="K94" i="1"/>
  <c r="K571" i="1"/>
  <c r="K365" i="1"/>
  <c r="K913" i="1"/>
  <c r="K563" i="1"/>
  <c r="K56" i="1"/>
  <c r="K990" i="1"/>
  <c r="K978" i="1"/>
  <c r="K347" i="1"/>
  <c r="K816" i="1"/>
  <c r="K297" i="1"/>
  <c r="K862" i="1"/>
  <c r="K815" i="1"/>
  <c r="K863" i="1"/>
  <c r="K237" i="1"/>
  <c r="K942" i="1"/>
  <c r="K903" i="1"/>
  <c r="K844" i="1"/>
  <c r="K502" i="1"/>
  <c r="K382" i="1"/>
  <c r="K915" i="1"/>
  <c r="K517" i="1"/>
  <c r="K155" i="1"/>
  <c r="K37" i="1"/>
  <c r="K473" i="1"/>
  <c r="K217" i="1"/>
  <c r="K101" i="1"/>
  <c r="K430" i="1"/>
  <c r="K73" i="1"/>
  <c r="K102" i="1"/>
  <c r="K739" i="1"/>
  <c r="K406" i="1"/>
  <c r="K840" i="1"/>
  <c r="K740" i="1"/>
  <c r="K858" i="1"/>
  <c r="K828" i="1"/>
  <c r="K983" i="1"/>
  <c r="K100" i="1"/>
  <c r="K121" i="1"/>
  <c r="K889" i="1"/>
  <c r="K298" i="1"/>
  <c r="K794" i="1"/>
  <c r="K963" i="1"/>
  <c r="K409" i="1"/>
  <c r="K532" i="1"/>
  <c r="K912" i="1"/>
  <c r="K957" i="1"/>
  <c r="K529" i="1"/>
  <c r="K941" i="1"/>
  <c r="K405" i="1"/>
  <c r="K371" i="1"/>
  <c r="K373" i="1"/>
  <c r="K914" i="1"/>
  <c r="K488" i="1"/>
  <c r="K204" i="1"/>
  <c r="K179" i="1"/>
  <c r="K341" i="1"/>
  <c r="K345" i="1"/>
  <c r="K16" i="1"/>
  <c r="K460" i="1"/>
  <c r="K336" i="1"/>
  <c r="K104" i="1"/>
  <c r="K207" i="1"/>
  <c r="K487" i="1"/>
  <c r="K333" i="1"/>
  <c r="K26" i="1"/>
  <c r="K183" i="1"/>
  <c r="K111" i="1"/>
  <c r="K231" i="1"/>
  <c r="K468" i="1"/>
  <c r="K170" i="1"/>
  <c r="K812" i="1"/>
  <c r="K367" i="1"/>
  <c r="K422" i="1"/>
  <c r="K131" i="1"/>
  <c r="K7" i="1"/>
  <c r="K518" i="1"/>
  <c r="K723" i="1"/>
  <c r="K989" i="1"/>
  <c r="K483" i="1"/>
  <c r="K396" i="1"/>
  <c r="K561" i="1"/>
  <c r="K448" i="1"/>
  <c r="K988" i="1"/>
  <c r="K977" i="1"/>
  <c r="K33" i="1"/>
  <c r="K421" i="1"/>
  <c r="K317" i="1"/>
  <c r="K527" i="1"/>
  <c r="K909" i="1"/>
  <c r="K463" i="1"/>
  <c r="K893" i="1"/>
  <c r="K946" i="1"/>
  <c r="K940" i="1"/>
  <c r="K130" i="1"/>
  <c r="K389" i="1"/>
  <c r="K478" i="1"/>
  <c r="K521" i="1"/>
  <c r="K873" i="1"/>
  <c r="K883" i="1"/>
  <c r="K260" i="1"/>
  <c r="K203" i="1"/>
  <c r="K32" i="1"/>
  <c r="K199" i="1"/>
  <c r="K186" i="1"/>
  <c r="K445" i="1"/>
  <c r="K707" i="1"/>
  <c r="K322" i="1"/>
  <c r="K904" i="1"/>
  <c r="K761" i="1"/>
  <c r="K681" i="1"/>
  <c r="K618" i="1"/>
  <c r="K821" i="1"/>
  <c r="K760" i="1"/>
  <c r="K712" i="1"/>
  <c r="K664" i="1"/>
  <c r="K870" i="1"/>
  <c r="K601" i="1"/>
  <c r="K374" i="1"/>
  <c r="K505" i="1"/>
  <c r="K349" i="1"/>
  <c r="K295" i="1"/>
  <c r="K997" i="1"/>
  <c r="K987" i="1"/>
  <c r="K976" i="1"/>
  <c r="K901" i="1"/>
  <c r="K283" i="1"/>
  <c r="K876" i="1"/>
  <c r="K34" i="1"/>
  <c r="K956" i="1"/>
  <c r="K823" i="1"/>
  <c r="K238" i="1"/>
  <c r="K934" i="1"/>
  <c r="K503" i="1"/>
  <c r="K923" i="1"/>
  <c r="K226" i="1"/>
  <c r="K311" i="1"/>
  <c r="K378" i="1"/>
  <c r="K831" i="1"/>
  <c r="K230" i="1"/>
  <c r="K834" i="1"/>
  <c r="K465" i="1"/>
  <c r="K35" i="1"/>
  <c r="K189" i="1"/>
  <c r="K526" i="1"/>
  <c r="K691" i="1"/>
  <c r="K897" i="1"/>
  <c r="K829" i="1"/>
  <c r="K793" i="1"/>
  <c r="K745" i="1"/>
  <c r="K713" i="1"/>
  <c r="K649" i="1"/>
  <c r="K602" i="1"/>
  <c r="K456" i="1"/>
  <c r="K849" i="1"/>
  <c r="K792" i="1"/>
  <c r="K744" i="1"/>
  <c r="K696" i="1"/>
  <c r="K648" i="1"/>
  <c r="K632" i="1"/>
  <c r="K585" i="1"/>
  <c r="K847" i="1"/>
  <c r="K791" i="1"/>
  <c r="K743" i="1"/>
  <c r="K647" i="1"/>
  <c r="K890" i="1"/>
  <c r="K856" i="1"/>
  <c r="K453" i="1"/>
  <c r="K810" i="1"/>
  <c r="K88" i="1"/>
  <c r="K524" i="1"/>
  <c r="K933" i="1"/>
  <c r="K930" i="1"/>
  <c r="K922" i="1"/>
  <c r="K879" i="1"/>
  <c r="K126" i="1"/>
  <c r="K113" i="1"/>
  <c r="K172" i="1"/>
  <c r="K343" i="1"/>
  <c r="K194" i="1"/>
  <c r="K308" i="1"/>
  <c r="K437" i="1"/>
  <c r="K182" i="1"/>
  <c r="K401" i="1"/>
  <c r="K675" i="1"/>
  <c r="K386" i="1"/>
  <c r="K525" i="1"/>
  <c r="K804" i="1"/>
  <c r="K708" i="1"/>
  <c r="K628" i="1"/>
  <c r="K98" i="1"/>
  <c r="N370" i="1"/>
  <c r="O370" i="1" s="1"/>
  <c r="K370" i="1"/>
  <c r="K470" i="1"/>
  <c r="K877" i="1"/>
  <c r="K902" i="1"/>
  <c r="K778" i="1"/>
  <c r="K762" i="1"/>
  <c r="K746" i="1"/>
  <c r="K730" i="1"/>
  <c r="K714" i="1"/>
  <c r="K698" i="1"/>
  <c r="K682" i="1"/>
  <c r="K666" i="1"/>
  <c r="K650" i="1"/>
  <c r="K634" i="1"/>
  <c r="K106" i="1"/>
  <c r="K619" i="1"/>
  <c r="K603" i="1"/>
  <c r="K587" i="1"/>
  <c r="K574" i="1"/>
  <c r="K519" i="1"/>
  <c r="K394" i="1"/>
  <c r="K866" i="1"/>
  <c r="K544" i="1"/>
  <c r="K541" i="1"/>
  <c r="K504" i="1"/>
  <c r="K560" i="1"/>
  <c r="K996" i="1"/>
  <c r="K986" i="1"/>
  <c r="K555" i="1"/>
  <c r="K971" i="1"/>
  <c r="K60" i="1"/>
  <c r="K806" i="1"/>
  <c r="K790" i="1"/>
  <c r="K774" i="1"/>
  <c r="K758" i="1"/>
  <c r="K742" i="1"/>
  <c r="K726" i="1"/>
  <c r="K710" i="1"/>
  <c r="K694" i="1"/>
  <c r="K678" i="1"/>
  <c r="K662" i="1"/>
  <c r="K646" i="1"/>
  <c r="K630" i="1"/>
  <c r="K867" i="1"/>
  <c r="K615" i="1"/>
  <c r="K599" i="1"/>
  <c r="K583" i="1"/>
  <c r="K41" i="1"/>
  <c r="K299" i="1"/>
  <c r="K570" i="1"/>
  <c r="K819" i="1"/>
  <c r="K567" i="1"/>
  <c r="K329" i="1"/>
  <c r="K995" i="1"/>
  <c r="K985" i="1"/>
  <c r="K975" i="1"/>
  <c r="K970" i="1"/>
  <c r="K841" i="1"/>
  <c r="K489" i="1"/>
  <c r="K537" i="1"/>
  <c r="K80" i="1"/>
  <c r="K254" i="1"/>
  <c r="K950" i="1"/>
  <c r="K402" i="1"/>
  <c r="K549" i="1"/>
  <c r="K286" i="1"/>
  <c r="K911" i="1"/>
  <c r="K832" i="1"/>
  <c r="K251" i="1"/>
  <c r="K287" i="1"/>
  <c r="K814" i="1"/>
  <c r="K277" i="1"/>
  <c r="K824" i="1"/>
  <c r="K115" i="1"/>
  <c r="K93" i="1"/>
  <c r="K435" i="1"/>
  <c r="K197" i="1"/>
  <c r="K291" i="1"/>
  <c r="K475" i="1"/>
  <c r="K659" i="1"/>
  <c r="K52" i="1"/>
  <c r="K55" i="1"/>
  <c r="K777" i="1"/>
  <c r="K729" i="1"/>
  <c r="K697" i="1"/>
  <c r="K665" i="1"/>
  <c r="K633" i="1"/>
  <c r="K459" i="1"/>
  <c r="K586" i="1"/>
  <c r="K905" i="1"/>
  <c r="K776" i="1"/>
  <c r="K728" i="1"/>
  <c r="K680" i="1"/>
  <c r="K617" i="1"/>
  <c r="K864" i="1"/>
  <c r="K775" i="1"/>
  <c r="K759" i="1"/>
  <c r="K727" i="1"/>
  <c r="K711" i="1"/>
  <c r="K695" i="1"/>
  <c r="K679" i="1"/>
  <c r="K663" i="1"/>
  <c r="K631" i="1"/>
  <c r="K208" i="1"/>
  <c r="K616" i="1"/>
  <c r="K600" i="1"/>
  <c r="K584" i="1"/>
  <c r="K851" i="1"/>
  <c r="K490" i="1"/>
  <c r="K805" i="1"/>
  <c r="K789" i="1"/>
  <c r="K773" i="1"/>
  <c r="K757" i="1"/>
  <c r="K741" i="1"/>
  <c r="K725" i="1"/>
  <c r="K709" i="1"/>
  <c r="K693" i="1"/>
  <c r="K677" i="1"/>
  <c r="K661" i="1"/>
  <c r="K645" i="1"/>
  <c r="K629" i="1"/>
  <c r="K869" i="1"/>
  <c r="K614" i="1"/>
  <c r="K598" i="1"/>
  <c r="K582" i="1"/>
  <c r="K479" i="1"/>
  <c r="K855" i="1"/>
  <c r="K857" i="1"/>
  <c r="K833" i="1"/>
  <c r="K566" i="1"/>
  <c r="K328" i="1"/>
  <c r="K393" i="1"/>
  <c r="K984" i="1"/>
  <c r="K554" i="1"/>
  <c r="K969" i="1"/>
  <c r="K271" i="1"/>
  <c r="N323" i="1"/>
  <c r="O323" i="1" s="1"/>
  <c r="K323" i="1"/>
  <c r="K542" i="1"/>
  <c r="K962" i="1"/>
  <c r="K949" i="1"/>
  <c r="K292" i="1"/>
  <c r="K881" i="1"/>
  <c r="K852" i="1"/>
  <c r="K929" i="1"/>
  <c r="K845" i="1"/>
  <c r="K175" i="1"/>
  <c r="K859" i="1"/>
  <c r="K54" i="1"/>
  <c r="K838" i="1"/>
  <c r="K220" i="1"/>
  <c r="K205" i="1"/>
  <c r="K302" i="1"/>
  <c r="K77" i="1"/>
  <c r="K431" i="1"/>
  <c r="K49" i="1"/>
  <c r="K643" i="1"/>
  <c r="K515" i="1"/>
  <c r="K127" i="1"/>
  <c r="K153" i="1"/>
  <c r="K837" i="1"/>
  <c r="K476" i="1"/>
  <c r="K415" i="1"/>
  <c r="K215" i="1"/>
  <c r="K314" i="1"/>
  <c r="K492" i="1"/>
  <c r="K206" i="1"/>
  <c r="K264" i="1"/>
  <c r="K71" i="1"/>
  <c r="K494" i="1"/>
  <c r="K436" i="1"/>
  <c r="K150" i="1"/>
  <c r="K306" i="1"/>
  <c r="K438" i="1"/>
  <c r="K403" i="1"/>
  <c r="K350" i="1"/>
  <c r="K117" i="1"/>
  <c r="K240" i="1"/>
  <c r="K331" i="1"/>
  <c r="K118" i="1"/>
  <c r="K124" i="1"/>
  <c r="K288" i="1"/>
  <c r="K210" i="1"/>
  <c r="K358" i="1"/>
  <c r="K143" i="1"/>
  <c r="K385" i="1"/>
  <c r="K346" i="1"/>
  <c r="K244" i="1"/>
  <c r="K200" i="1"/>
  <c r="K224" i="1"/>
  <c r="K140" i="1"/>
  <c r="K22" i="1"/>
  <c r="K354" i="1"/>
  <c r="K485" i="1"/>
  <c r="K424" i="1"/>
  <c r="K201" i="1"/>
  <c r="K397" i="1"/>
  <c r="K284" i="1"/>
  <c r="K53" i="1"/>
  <c r="K270" i="1"/>
  <c r="K455" i="1"/>
  <c r="K148" i="1"/>
  <c r="K90" i="1"/>
  <c r="K296" i="1"/>
  <c r="K848" i="1"/>
  <c r="K477" i="1"/>
  <c r="K46" i="1"/>
  <c r="K446" i="1"/>
  <c r="K332" i="1"/>
  <c r="K353" i="1"/>
  <c r="K496" i="1"/>
  <c r="K261" i="1"/>
  <c r="K252" i="1"/>
  <c r="K278" i="1"/>
  <c r="K176" i="1"/>
  <c r="K337" i="1"/>
  <c r="K27" i="1"/>
  <c r="K59" i="1"/>
  <c r="K420" i="1"/>
  <c r="K360" i="1"/>
  <c r="K268" i="1"/>
  <c r="K269" i="1"/>
  <c r="K458" i="1"/>
  <c r="K11" i="1"/>
  <c r="K9" i="1"/>
  <c r="K390" i="1"/>
  <c r="K211" i="1"/>
  <c r="K267" i="1"/>
  <c r="K413" i="1"/>
  <c r="K48" i="1"/>
  <c r="K81" i="1"/>
  <c r="K50" i="1"/>
  <c r="K188" i="1"/>
  <c r="K214" i="1"/>
  <c r="K235" i="1"/>
  <c r="K109" i="1"/>
  <c r="K209" i="1"/>
  <c r="K75" i="1"/>
  <c r="K307" i="1"/>
  <c r="K187" i="1"/>
  <c r="K134" i="1"/>
  <c r="K348" i="1"/>
  <c r="K408" i="1"/>
  <c r="K110" i="1"/>
  <c r="K219" i="1"/>
  <c r="K359" i="1"/>
  <c r="K6" i="1"/>
  <c r="K132" i="1"/>
  <c r="K392" i="1"/>
  <c r="K83" i="1"/>
  <c r="K163" i="1"/>
  <c r="K398" i="1"/>
  <c r="K363" i="1"/>
  <c r="K21" i="1"/>
  <c r="K156" i="1"/>
  <c r="K315" i="1"/>
  <c r="K180" i="1"/>
  <c r="K334" i="1"/>
  <c r="K450" i="1"/>
  <c r="K324" i="1"/>
  <c r="K135" i="1"/>
  <c r="K17" i="1"/>
  <c r="K248" i="1"/>
  <c r="K36" i="1"/>
  <c r="K493" i="1"/>
  <c r="K168" i="1"/>
  <c r="K158" i="1"/>
  <c r="K423" i="1"/>
  <c r="K74" i="1"/>
  <c r="K410" i="1"/>
  <c r="K309" i="1"/>
  <c r="K282" i="1"/>
  <c r="K236" i="1"/>
  <c r="K399" i="1"/>
  <c r="K195" i="1"/>
  <c r="K320" i="1"/>
  <c r="K169" i="1"/>
  <c r="K192" i="1"/>
  <c r="K452" i="1"/>
  <c r="K275" i="1"/>
  <c r="K171" i="1"/>
  <c r="K177" i="1"/>
  <c r="K122" i="1"/>
  <c r="K242" i="1"/>
  <c r="K274" i="1"/>
  <c r="K51" i="1"/>
  <c r="K116" i="1"/>
  <c r="K263" i="1"/>
  <c r="K440" i="1"/>
  <c r="K97" i="1"/>
  <c r="K227" i="1"/>
  <c r="K481" i="1"/>
  <c r="K112" i="1"/>
  <c r="K202" i="1"/>
  <c r="K147" i="1"/>
  <c r="K23" i="1"/>
  <c r="K28" i="1"/>
  <c r="K190" i="1"/>
  <c r="K501" i="1"/>
  <c r="K157" i="1"/>
  <c r="K835" i="1"/>
  <c r="K380" i="1"/>
  <c r="K45" i="1"/>
  <c r="K18" i="1"/>
  <c r="K119" i="1"/>
  <c r="K321" i="1"/>
  <c r="K185" i="1"/>
  <c r="K356" i="1"/>
  <c r="K30" i="1"/>
  <c r="K417" i="1"/>
  <c r="K388" i="1"/>
  <c r="K426" i="1"/>
  <c r="K10" i="1"/>
  <c r="K108" i="1"/>
  <c r="K499" i="1"/>
  <c r="K212" i="1"/>
  <c r="K253" i="1"/>
  <c r="K221" i="1"/>
  <c r="K166" i="1"/>
  <c r="K294" i="1"/>
  <c r="K245" i="1"/>
  <c r="K20" i="1"/>
  <c r="K229" i="1"/>
  <c r="K495" i="1"/>
  <c r="K861" i="1"/>
  <c r="K160" i="1"/>
  <c r="K310" i="1"/>
  <c r="K447" i="1"/>
  <c r="K165" i="1"/>
  <c r="K497" i="1"/>
  <c r="K246" i="1"/>
  <c r="K243" i="1"/>
  <c r="K514" i="1"/>
  <c r="K339" i="1"/>
  <c r="K498" i="1"/>
  <c r="K427" i="1"/>
  <c r="K364" i="1"/>
  <c r="K62" i="1"/>
  <c r="K70" i="1"/>
  <c r="K164" i="1"/>
  <c r="K366" i="1"/>
  <c r="K369" i="1"/>
  <c r="K425" i="1"/>
  <c r="K191" i="1"/>
  <c r="K429" i="1"/>
  <c r="K351" i="1"/>
  <c r="K66" i="1"/>
  <c r="K239" i="1"/>
  <c r="K416" i="1"/>
  <c r="K142" i="1"/>
  <c r="K19" i="1"/>
  <c r="K462" i="1"/>
  <c r="K67" i="1"/>
  <c r="K198" i="1"/>
  <c r="K836" i="1"/>
  <c r="K38" i="1"/>
  <c r="K434" i="1"/>
  <c r="K68" i="1"/>
  <c r="K361" i="1"/>
  <c r="K305" i="1"/>
  <c r="K58" i="1"/>
  <c r="K149" i="1"/>
  <c r="K412" i="1"/>
  <c r="K300" i="1"/>
  <c r="K193" i="1"/>
  <c r="K178" i="1"/>
  <c r="K44" i="1"/>
  <c r="N531" i="1"/>
  <c r="O531" i="1" s="1"/>
  <c r="N512" i="1"/>
  <c r="O512" i="1" s="1"/>
  <c r="N728" i="1"/>
  <c r="O728" i="1" s="1"/>
  <c r="N664" i="1"/>
  <c r="O664" i="1" s="1"/>
  <c r="N585" i="1"/>
  <c r="O585" i="1" s="1"/>
  <c r="N295" i="1"/>
  <c r="O295" i="1" s="1"/>
  <c r="N283" i="1"/>
  <c r="O283" i="1" s="1"/>
  <c r="N238" i="1"/>
  <c r="O238" i="1" s="1"/>
  <c r="N503" i="1"/>
  <c r="O503" i="1" s="1"/>
  <c r="N226" i="1"/>
  <c r="O226" i="1" s="1"/>
  <c r="N230" i="1"/>
  <c r="O230" i="1" s="1"/>
  <c r="N189" i="1"/>
  <c r="O189" i="1" s="1"/>
  <c r="N150" i="1"/>
  <c r="O150" i="1" s="1"/>
  <c r="N9" i="1"/>
  <c r="O9" i="1" s="1"/>
  <c r="N253" i="1"/>
  <c r="O253" i="1" s="1"/>
  <c r="N424" i="1"/>
  <c r="O424" i="1" s="1"/>
  <c r="N350" i="1"/>
  <c r="O350" i="1" s="1"/>
  <c r="N240" i="1"/>
  <c r="O240" i="1" s="1"/>
  <c r="N45" i="1"/>
  <c r="O45" i="1" s="1"/>
  <c r="N791" i="1"/>
  <c r="O791" i="1" s="1"/>
  <c r="N775" i="1"/>
  <c r="O775" i="1" s="1"/>
  <c r="N743" i="1"/>
  <c r="O743" i="1" s="1"/>
  <c r="N727" i="1"/>
  <c r="O727" i="1" s="1"/>
  <c r="N711" i="1"/>
  <c r="O711" i="1" s="1"/>
  <c r="N695" i="1"/>
  <c r="O695" i="1" s="1"/>
  <c r="N679" i="1"/>
  <c r="O679" i="1" s="1"/>
  <c r="N663" i="1"/>
  <c r="O663" i="1" s="1"/>
  <c r="N647" i="1"/>
  <c r="O647" i="1" s="1"/>
  <c r="N631" i="1"/>
  <c r="O631" i="1" s="1"/>
  <c r="N208" i="1"/>
  <c r="O208" i="1" s="1"/>
  <c r="N616" i="1"/>
  <c r="O616" i="1" s="1"/>
  <c r="N600" i="1"/>
  <c r="O600" i="1" s="1"/>
  <c r="N584" i="1"/>
  <c r="O584" i="1" s="1"/>
  <c r="N851" i="1"/>
  <c r="O851" i="1" s="1"/>
  <c r="N490" i="1"/>
  <c r="O490" i="1" s="1"/>
  <c r="N840" i="1"/>
  <c r="O840" i="1" s="1"/>
  <c r="N541" i="1"/>
  <c r="O541" i="1" s="1"/>
  <c r="N504" i="1"/>
  <c r="O504" i="1" s="1"/>
  <c r="N560" i="1"/>
  <c r="O560" i="1" s="1"/>
  <c r="N996" i="1"/>
  <c r="O996" i="1" s="1"/>
  <c r="N986" i="1"/>
  <c r="O986" i="1" s="1"/>
  <c r="N555" i="1"/>
  <c r="O555" i="1" s="1"/>
  <c r="N971" i="1"/>
  <c r="O971" i="1" s="1"/>
  <c r="N60" i="1"/>
  <c r="O60" i="1" s="1"/>
  <c r="N52" i="1"/>
  <c r="O52" i="1" s="1"/>
  <c r="N890" i="1"/>
  <c r="O890" i="1" s="1"/>
  <c r="N856" i="1"/>
  <c r="O856" i="1" s="1"/>
  <c r="N453" i="1"/>
  <c r="O453" i="1" s="1"/>
  <c r="N810" i="1"/>
  <c r="O810" i="1" s="1"/>
  <c r="N88" i="1"/>
  <c r="O88" i="1" s="1"/>
  <c r="N524" i="1"/>
  <c r="O524" i="1" s="1"/>
  <c r="N933" i="1"/>
  <c r="O933" i="1" s="1"/>
  <c r="N930" i="1"/>
  <c r="O930" i="1" s="1"/>
  <c r="N922" i="1"/>
  <c r="O922" i="1" s="1"/>
  <c r="N879" i="1"/>
  <c r="O879" i="1" s="1"/>
  <c r="N126" i="1"/>
  <c r="O126" i="1" s="1"/>
  <c r="N113" i="1"/>
  <c r="O113" i="1" s="1"/>
  <c r="N172" i="1"/>
  <c r="O172" i="1" s="1"/>
  <c r="N343" i="1"/>
  <c r="O343" i="1" s="1"/>
  <c r="N194" i="1"/>
  <c r="O194" i="1" s="1"/>
  <c r="N308" i="1"/>
  <c r="O308" i="1" s="1"/>
  <c r="N396" i="1"/>
  <c r="O396" i="1" s="1"/>
  <c r="N437" i="1"/>
  <c r="O437" i="1" s="1"/>
  <c r="N182" i="1"/>
  <c r="O182" i="1" s="1"/>
  <c r="N401" i="1"/>
  <c r="O401" i="1" s="1"/>
  <c r="N321" i="1"/>
  <c r="O321" i="1" s="1"/>
  <c r="N200" i="1"/>
  <c r="O200" i="1" s="1"/>
  <c r="N420" i="1"/>
  <c r="O420" i="1" s="1"/>
  <c r="N195" i="1"/>
  <c r="O195" i="1" s="1"/>
  <c r="N359" i="1"/>
  <c r="O359" i="1" s="1"/>
  <c r="N224" i="1"/>
  <c r="O224" i="1" s="1"/>
  <c r="N481" i="1"/>
  <c r="O481" i="1" s="1"/>
  <c r="N353" i="1"/>
  <c r="O353" i="1" s="1"/>
  <c r="N209" i="1"/>
  <c r="O209" i="1" s="1"/>
  <c r="N495" i="1"/>
  <c r="O495" i="1" s="1"/>
  <c r="N62" i="1"/>
  <c r="O62" i="1" s="1"/>
  <c r="N140" i="1"/>
  <c r="O140" i="1" s="1"/>
  <c r="N18" i="1"/>
  <c r="O18" i="1" s="1"/>
  <c r="N53" i="1"/>
  <c r="O53" i="1" s="1"/>
  <c r="N482" i="1"/>
  <c r="O482" i="1" s="1"/>
  <c r="N806" i="1"/>
  <c r="O806" i="1" s="1"/>
  <c r="N790" i="1"/>
  <c r="O790" i="1" s="1"/>
  <c r="N774" i="1"/>
  <c r="O774" i="1" s="1"/>
  <c r="N758" i="1"/>
  <c r="O758" i="1" s="1"/>
  <c r="N742" i="1"/>
  <c r="O742" i="1" s="1"/>
  <c r="N726" i="1"/>
  <c r="O726" i="1" s="1"/>
  <c r="N710" i="1"/>
  <c r="O710" i="1" s="1"/>
  <c r="N694" i="1"/>
  <c r="O694" i="1" s="1"/>
  <c r="N678" i="1"/>
  <c r="O678" i="1" s="1"/>
  <c r="N662" i="1"/>
  <c r="O662" i="1" s="1"/>
  <c r="N646" i="1"/>
  <c r="O646" i="1" s="1"/>
  <c r="N630" i="1"/>
  <c r="O630" i="1" s="1"/>
  <c r="N867" i="1"/>
  <c r="O867" i="1" s="1"/>
  <c r="N615" i="1"/>
  <c r="O615" i="1" s="1"/>
  <c r="N599" i="1"/>
  <c r="O599" i="1" s="1"/>
  <c r="N583" i="1"/>
  <c r="O583" i="1" s="1"/>
  <c r="N41" i="1"/>
  <c r="O41" i="1" s="1"/>
  <c r="N299" i="1"/>
  <c r="O299" i="1" s="1"/>
  <c r="N570" i="1"/>
  <c r="O570" i="1" s="1"/>
  <c r="N819" i="1"/>
  <c r="O819" i="1" s="1"/>
  <c r="N567" i="1"/>
  <c r="O567" i="1" s="1"/>
  <c r="N329" i="1"/>
  <c r="O329" i="1" s="1"/>
  <c r="N995" i="1"/>
  <c r="O995" i="1" s="1"/>
  <c r="N985" i="1"/>
  <c r="O985" i="1" s="1"/>
  <c r="N975" i="1"/>
  <c r="O975" i="1" s="1"/>
  <c r="N970" i="1"/>
  <c r="O970" i="1" s="1"/>
  <c r="N841" i="1"/>
  <c r="O841" i="1" s="1"/>
  <c r="N489" i="1"/>
  <c r="O489" i="1" s="1"/>
  <c r="N537" i="1"/>
  <c r="O537" i="1" s="1"/>
  <c r="N80" i="1"/>
  <c r="O80" i="1" s="1"/>
  <c r="N254" i="1"/>
  <c r="O254" i="1" s="1"/>
  <c r="N950" i="1"/>
  <c r="O950" i="1" s="1"/>
  <c r="N402" i="1"/>
  <c r="O402" i="1" s="1"/>
  <c r="N549" i="1"/>
  <c r="O549" i="1" s="1"/>
  <c r="N286" i="1"/>
  <c r="O286" i="1" s="1"/>
  <c r="N911" i="1"/>
  <c r="O911" i="1" s="1"/>
  <c r="N832" i="1"/>
  <c r="O832" i="1" s="1"/>
  <c r="N251" i="1"/>
  <c r="O251" i="1" s="1"/>
  <c r="N287" i="1"/>
  <c r="O287" i="1" s="1"/>
  <c r="N814" i="1"/>
  <c r="O814" i="1" s="1"/>
  <c r="N277" i="1"/>
  <c r="O277" i="1" s="1"/>
  <c r="N824" i="1"/>
  <c r="O824" i="1" s="1"/>
  <c r="N115" i="1"/>
  <c r="O115" i="1" s="1"/>
  <c r="N93" i="1"/>
  <c r="O93" i="1" s="1"/>
  <c r="N435" i="1"/>
  <c r="O435" i="1" s="1"/>
  <c r="N197" i="1"/>
  <c r="O197" i="1" s="1"/>
  <c r="N291" i="1"/>
  <c r="O291" i="1" s="1"/>
  <c r="N475" i="1"/>
  <c r="O475" i="1" s="1"/>
  <c r="N472" i="1"/>
  <c r="O472" i="1" s="1"/>
  <c r="N284" i="1"/>
  <c r="O284" i="1" s="1"/>
  <c r="N364" i="1"/>
  <c r="O364" i="1" s="1"/>
  <c r="N165" i="1"/>
  <c r="O165" i="1" s="1"/>
  <c r="N427" i="1"/>
  <c r="O427" i="1" s="1"/>
  <c r="N315" i="1"/>
  <c r="O315" i="1" s="1"/>
  <c r="N296" i="1"/>
  <c r="O296" i="1" s="1"/>
  <c r="N848" i="1"/>
  <c r="O848" i="1" s="1"/>
  <c r="N334" i="1"/>
  <c r="O334" i="1" s="1"/>
  <c r="N227" i="1"/>
  <c r="O227" i="1" s="1"/>
  <c r="N248" i="1"/>
  <c r="O248" i="1" s="1"/>
  <c r="N477" i="1"/>
  <c r="O477" i="1" s="1"/>
  <c r="N434" i="1"/>
  <c r="O434" i="1" s="1"/>
  <c r="N351" i="1"/>
  <c r="O351" i="1" s="1"/>
  <c r="N354" i="1"/>
  <c r="O354" i="1" s="1"/>
  <c r="N870" i="1"/>
  <c r="O870" i="1" s="1"/>
  <c r="N901" i="1"/>
  <c r="O901" i="1" s="1"/>
  <c r="N50" i="1"/>
  <c r="O50" i="1" s="1"/>
  <c r="N759" i="1"/>
  <c r="O759" i="1" s="1"/>
  <c r="N761" i="1"/>
  <c r="O761" i="1" s="1"/>
  <c r="N681" i="1"/>
  <c r="O681" i="1" s="1"/>
  <c r="N459" i="1"/>
  <c r="O459" i="1" s="1"/>
  <c r="N561" i="1"/>
  <c r="O561" i="1" s="1"/>
  <c r="N317" i="1"/>
  <c r="O317" i="1" s="1"/>
  <c r="N946" i="1"/>
  <c r="O946" i="1" s="1"/>
  <c r="N389" i="1"/>
  <c r="O389" i="1" s="1"/>
  <c r="N873" i="1"/>
  <c r="O873" i="1" s="1"/>
  <c r="N199" i="1"/>
  <c r="O199" i="1" s="1"/>
  <c r="N153" i="1"/>
  <c r="O153" i="1" s="1"/>
  <c r="N46" i="1"/>
  <c r="O46" i="1" s="1"/>
  <c r="N163" i="1"/>
  <c r="O163" i="1" s="1"/>
  <c r="N680" i="1"/>
  <c r="O680" i="1" s="1"/>
  <c r="N374" i="1"/>
  <c r="O374" i="1" s="1"/>
  <c r="N876" i="1"/>
  <c r="O876" i="1" s="1"/>
  <c r="N934" i="1"/>
  <c r="O934" i="1" s="1"/>
  <c r="N311" i="1"/>
  <c r="O311" i="1" s="1"/>
  <c r="N465" i="1"/>
  <c r="O465" i="1" s="1"/>
  <c r="N391" i="1"/>
  <c r="O391" i="1" s="1"/>
  <c r="N438" i="1"/>
  <c r="O438" i="1" s="1"/>
  <c r="N522" i="1"/>
  <c r="O522" i="1" s="1"/>
  <c r="N346" i="1"/>
  <c r="O346" i="1" s="1"/>
  <c r="N744" i="1"/>
  <c r="O744" i="1" s="1"/>
  <c r="N632" i="1"/>
  <c r="O632" i="1" s="1"/>
  <c r="N997" i="1"/>
  <c r="O997" i="1" s="1"/>
  <c r="N945" i="1"/>
  <c r="O945" i="1" s="1"/>
  <c r="N831" i="1"/>
  <c r="O831" i="1" s="1"/>
  <c r="N526" i="1"/>
  <c r="O526" i="1" s="1"/>
  <c r="N403" i="1"/>
  <c r="O403" i="1" s="1"/>
  <c r="N793" i="1"/>
  <c r="O793" i="1" s="1"/>
  <c r="N697" i="1"/>
  <c r="O697" i="1" s="1"/>
  <c r="N649" i="1"/>
  <c r="O649" i="1" s="1"/>
  <c r="N586" i="1"/>
  <c r="O586" i="1" s="1"/>
  <c r="N905" i="1"/>
  <c r="O905" i="1" s="1"/>
  <c r="N448" i="1"/>
  <c r="O448" i="1" s="1"/>
  <c r="N909" i="1"/>
  <c r="O909" i="1" s="1"/>
  <c r="N940" i="1"/>
  <c r="O940" i="1" s="1"/>
  <c r="N865" i="1"/>
  <c r="O865" i="1" s="1"/>
  <c r="N203" i="1"/>
  <c r="O203" i="1" s="1"/>
  <c r="N458" i="1"/>
  <c r="O458" i="1" s="1"/>
  <c r="N278" i="1"/>
  <c r="O278" i="1" s="1"/>
  <c r="N268" i="1"/>
  <c r="O268" i="1" s="1"/>
  <c r="N476" i="1"/>
  <c r="O476" i="1" s="1"/>
  <c r="N776" i="1"/>
  <c r="O776" i="1" s="1"/>
  <c r="N648" i="1"/>
  <c r="O648" i="1" s="1"/>
  <c r="N349" i="1"/>
  <c r="O349" i="1" s="1"/>
  <c r="N823" i="1"/>
  <c r="O823" i="1" s="1"/>
  <c r="N185" i="1"/>
  <c r="O185" i="1" s="1"/>
  <c r="N745" i="1"/>
  <c r="O745" i="1" s="1"/>
  <c r="N602" i="1"/>
  <c r="O602" i="1" s="1"/>
  <c r="N849" i="1"/>
  <c r="O849" i="1" s="1"/>
  <c r="N988" i="1"/>
  <c r="O988" i="1" s="1"/>
  <c r="N527" i="1"/>
  <c r="O527" i="1" s="1"/>
  <c r="N130" i="1"/>
  <c r="O130" i="1" s="1"/>
  <c r="N883" i="1"/>
  <c r="O883" i="1" s="1"/>
  <c r="N32" i="1"/>
  <c r="O32" i="1" s="1"/>
  <c r="N127" i="1"/>
  <c r="O127" i="1" s="1"/>
  <c r="N288" i="1"/>
  <c r="O288" i="1" s="1"/>
  <c r="N397" i="1"/>
  <c r="O397" i="1" s="1"/>
  <c r="N307" i="1"/>
  <c r="O307" i="1" s="1"/>
  <c r="N712" i="1"/>
  <c r="O712" i="1" s="1"/>
  <c r="N505" i="1"/>
  <c r="O505" i="1" s="1"/>
  <c r="N386" i="1"/>
  <c r="O386" i="1" s="1"/>
  <c r="N834" i="1"/>
  <c r="O834" i="1" s="1"/>
  <c r="N760" i="1"/>
  <c r="O760" i="1" s="1"/>
  <c r="N696" i="1"/>
  <c r="O696" i="1" s="1"/>
  <c r="N601" i="1"/>
  <c r="O601" i="1" s="1"/>
  <c r="N864" i="1"/>
  <c r="O864" i="1" s="1"/>
  <c r="N976" i="1"/>
  <c r="O976" i="1" s="1"/>
  <c r="N34" i="1"/>
  <c r="O34" i="1" s="1"/>
  <c r="N923" i="1"/>
  <c r="O923" i="1" s="1"/>
  <c r="N378" i="1"/>
  <c r="O378" i="1" s="1"/>
  <c r="N35" i="1"/>
  <c r="O35" i="1" s="1"/>
  <c r="N117" i="1"/>
  <c r="O117" i="1" s="1"/>
  <c r="N713" i="1"/>
  <c r="O713" i="1" s="1"/>
  <c r="N618" i="1"/>
  <c r="O618" i="1" s="1"/>
  <c r="N829" i="1"/>
  <c r="O829" i="1" s="1"/>
  <c r="N33" i="1"/>
  <c r="O33" i="1" s="1"/>
  <c r="N893" i="1"/>
  <c r="O893" i="1" s="1"/>
  <c r="N521" i="1"/>
  <c r="O521" i="1" s="1"/>
  <c r="N260" i="1"/>
  <c r="O260" i="1" s="1"/>
  <c r="N186" i="1"/>
  <c r="O186" i="1" s="1"/>
  <c r="N132" i="1"/>
  <c r="O132" i="1" s="1"/>
  <c r="N59" i="1"/>
  <c r="O59" i="1" s="1"/>
  <c r="N112" i="1"/>
  <c r="O112" i="1" s="1"/>
  <c r="N252" i="1"/>
  <c r="O252" i="1" s="1"/>
  <c r="N792" i="1"/>
  <c r="O792" i="1" s="1"/>
  <c r="N617" i="1"/>
  <c r="O617" i="1" s="1"/>
  <c r="N847" i="1"/>
  <c r="O847" i="1" s="1"/>
  <c r="N987" i="1"/>
  <c r="O987" i="1" s="1"/>
  <c r="N956" i="1"/>
  <c r="O956" i="1" s="1"/>
  <c r="N306" i="1"/>
  <c r="O306" i="1" s="1"/>
  <c r="N665" i="1"/>
  <c r="O665" i="1" s="1"/>
  <c r="N821" i="1"/>
  <c r="O821" i="1" s="1"/>
  <c r="N977" i="1"/>
  <c r="O977" i="1" s="1"/>
  <c r="N463" i="1"/>
  <c r="O463" i="1" s="1"/>
  <c r="N478" i="1"/>
  <c r="O478" i="1" s="1"/>
  <c r="N445" i="1"/>
  <c r="O445" i="1" s="1"/>
  <c r="N837" i="1"/>
  <c r="O837" i="1" s="1"/>
  <c r="N777" i="1"/>
  <c r="O777" i="1" s="1"/>
  <c r="N729" i="1"/>
  <c r="O729" i="1" s="1"/>
  <c r="N633" i="1"/>
  <c r="O633" i="1" s="1"/>
  <c r="N456" i="1"/>
  <c r="O456" i="1" s="1"/>
  <c r="N421" i="1"/>
  <c r="O421" i="1" s="1"/>
  <c r="N795" i="1"/>
  <c r="O795" i="1" s="1"/>
  <c r="N779" i="1"/>
  <c r="O779" i="1" s="1"/>
  <c r="N763" i="1"/>
  <c r="O763" i="1" s="1"/>
  <c r="N747" i="1"/>
  <c r="O747" i="1" s="1"/>
  <c r="N731" i="1"/>
  <c r="O731" i="1" s="1"/>
  <c r="N715" i="1"/>
  <c r="O715" i="1" s="1"/>
  <c r="N699" i="1"/>
  <c r="O699" i="1" s="1"/>
  <c r="N683" i="1"/>
  <c r="O683" i="1" s="1"/>
  <c r="N667" i="1"/>
  <c r="O667" i="1" s="1"/>
  <c r="N651" i="1"/>
  <c r="O651" i="1" s="1"/>
  <c r="N635" i="1"/>
  <c r="O635" i="1" s="1"/>
  <c r="N414" i="1"/>
  <c r="O414" i="1" s="1"/>
  <c r="N620" i="1"/>
  <c r="O620" i="1" s="1"/>
  <c r="N604" i="1"/>
  <c r="O604" i="1" s="1"/>
  <c r="N588" i="1"/>
  <c r="O588" i="1" s="1"/>
  <c r="N575" i="1"/>
  <c r="O575" i="1" s="1"/>
  <c r="N94" i="1"/>
  <c r="O94" i="1" s="1"/>
  <c r="N571" i="1"/>
  <c r="O571" i="1" s="1"/>
  <c r="N365" i="1"/>
  <c r="O365" i="1" s="1"/>
  <c r="N913" i="1"/>
  <c r="O913" i="1" s="1"/>
  <c r="N563" i="1"/>
  <c r="O563" i="1" s="1"/>
  <c r="N56" i="1"/>
  <c r="O56" i="1" s="1"/>
  <c r="N990" i="1"/>
  <c r="O990" i="1" s="1"/>
  <c r="N978" i="1"/>
  <c r="O978" i="1" s="1"/>
  <c r="N347" i="1"/>
  <c r="O347" i="1" s="1"/>
  <c r="N816" i="1"/>
  <c r="O816" i="1" s="1"/>
  <c r="N297" i="1"/>
  <c r="O297" i="1" s="1"/>
  <c r="N862" i="1"/>
  <c r="O862" i="1" s="1"/>
  <c r="N815" i="1"/>
  <c r="O815" i="1" s="1"/>
  <c r="N515" i="1"/>
  <c r="O515" i="1" s="1"/>
  <c r="N863" i="1"/>
  <c r="O863" i="1" s="1"/>
  <c r="N237" i="1"/>
  <c r="O237" i="1" s="1"/>
  <c r="N942" i="1"/>
  <c r="O942" i="1" s="1"/>
  <c r="N903" i="1"/>
  <c r="O903" i="1" s="1"/>
  <c r="N844" i="1"/>
  <c r="O844" i="1" s="1"/>
  <c r="N502" i="1"/>
  <c r="O502" i="1" s="1"/>
  <c r="N382" i="1"/>
  <c r="O382" i="1" s="1"/>
  <c r="N915" i="1"/>
  <c r="O915" i="1" s="1"/>
  <c r="N517" i="1"/>
  <c r="O517" i="1" s="1"/>
  <c r="N155" i="1"/>
  <c r="O155" i="1" s="1"/>
  <c r="N37" i="1"/>
  <c r="O37" i="1" s="1"/>
  <c r="N473" i="1"/>
  <c r="O473" i="1" s="1"/>
  <c r="N217" i="1"/>
  <c r="O217" i="1" s="1"/>
  <c r="N101" i="1"/>
  <c r="O101" i="1" s="1"/>
  <c r="N430" i="1"/>
  <c r="O430" i="1" s="1"/>
  <c r="N73" i="1"/>
  <c r="O73" i="1" s="1"/>
  <c r="N102" i="1"/>
  <c r="O102" i="1" s="1"/>
  <c r="N324" i="1"/>
  <c r="O324" i="1" s="1"/>
  <c r="N67" i="1"/>
  <c r="O67" i="1" s="1"/>
  <c r="N229" i="1"/>
  <c r="O229" i="1" s="1"/>
  <c r="N246" i="1"/>
  <c r="O246" i="1" s="1"/>
  <c r="N436" i="1"/>
  <c r="O436" i="1" s="1"/>
  <c r="N19" i="1"/>
  <c r="O19" i="1" s="1"/>
  <c r="N198" i="1"/>
  <c r="O198" i="1" s="1"/>
  <c r="N861" i="1"/>
  <c r="O861" i="1" s="1"/>
  <c r="N836" i="1"/>
  <c r="O836" i="1" s="1"/>
  <c r="N36" i="1"/>
  <c r="O36" i="1" s="1"/>
  <c r="N38" i="1"/>
  <c r="O38" i="1" s="1"/>
  <c r="N135" i="1"/>
  <c r="O135" i="1" s="1"/>
  <c r="N188" i="1"/>
  <c r="O188" i="1" s="1"/>
  <c r="N27" i="1"/>
  <c r="O27" i="1" s="1"/>
  <c r="N485" i="1"/>
  <c r="O485" i="1" s="1"/>
  <c r="N869" i="1"/>
  <c r="O869" i="1" s="1"/>
  <c r="N804" i="1"/>
  <c r="O804" i="1" s="1"/>
  <c r="N788" i="1"/>
  <c r="O788" i="1" s="1"/>
  <c r="N772" i="1"/>
  <c r="O772" i="1" s="1"/>
  <c r="N756" i="1"/>
  <c r="O756" i="1" s="1"/>
  <c r="N740" i="1"/>
  <c r="O740" i="1" s="1"/>
  <c r="N724" i="1"/>
  <c r="O724" i="1" s="1"/>
  <c r="N708" i="1"/>
  <c r="O708" i="1" s="1"/>
  <c r="N692" i="1"/>
  <c r="O692" i="1" s="1"/>
  <c r="N676" i="1"/>
  <c r="O676" i="1" s="1"/>
  <c r="N660" i="1"/>
  <c r="O660" i="1" s="1"/>
  <c r="N858" i="1"/>
  <c r="O858" i="1" s="1"/>
  <c r="N613" i="1"/>
  <c r="O613" i="1" s="1"/>
  <c r="N597" i="1"/>
  <c r="O597" i="1" s="1"/>
  <c r="N581" i="1"/>
  <c r="O581" i="1" s="1"/>
  <c r="N572" i="1"/>
  <c r="O572" i="1" s="1"/>
  <c r="N13" i="1"/>
  <c r="O13" i="1" s="1"/>
  <c r="N828" i="1"/>
  <c r="O828" i="1" s="1"/>
  <c r="N98" i="1"/>
  <c r="O98" i="1" s="1"/>
  <c r="N441" i="1"/>
  <c r="O441" i="1" s="1"/>
  <c r="N241" i="1"/>
  <c r="O241" i="1" s="1"/>
  <c r="N983" i="1"/>
  <c r="O983" i="1" s="1"/>
  <c r="N335" i="1"/>
  <c r="O335" i="1" s="1"/>
  <c r="N39" i="1"/>
  <c r="O39" i="1" s="1"/>
  <c r="N100" i="1"/>
  <c r="O100" i="1" s="1"/>
  <c r="N908" i="1"/>
  <c r="O908" i="1" s="1"/>
  <c r="N872" i="1"/>
  <c r="O872" i="1" s="1"/>
  <c r="N470" i="1"/>
  <c r="O470" i="1" s="1"/>
  <c r="N121" i="1"/>
  <c r="O121" i="1" s="1"/>
  <c r="N939" i="1"/>
  <c r="O939" i="1" s="1"/>
  <c r="N932" i="1"/>
  <c r="O932" i="1" s="1"/>
  <c r="N877" i="1"/>
  <c r="O877" i="1" s="1"/>
  <c r="N868" i="1"/>
  <c r="O868" i="1" s="1"/>
  <c r="N889" i="1"/>
  <c r="O889" i="1" s="1"/>
  <c r="N91" i="1"/>
  <c r="O91" i="1" s="1"/>
  <c r="N902" i="1"/>
  <c r="O902" i="1" s="1"/>
  <c r="N886" i="1"/>
  <c r="O886" i="1" s="1"/>
  <c r="N167" i="1"/>
  <c r="O167" i="1" s="1"/>
  <c r="N500" i="1"/>
  <c r="O500" i="1" s="1"/>
  <c r="N298" i="1"/>
  <c r="O298" i="1" s="1"/>
  <c r="N875" i="1"/>
  <c r="O875" i="1" s="1"/>
  <c r="N255" i="1"/>
  <c r="O255" i="1" s="1"/>
  <c r="N239" i="1"/>
  <c r="O239" i="1" s="1"/>
  <c r="N390" i="1"/>
  <c r="O390" i="1" s="1"/>
  <c r="N210" i="1"/>
  <c r="O210" i="1" s="1"/>
  <c r="N211" i="1"/>
  <c r="O211" i="1" s="1"/>
  <c r="N30" i="1"/>
  <c r="O30" i="1" s="1"/>
  <c r="N267" i="1"/>
  <c r="O267" i="1" s="1"/>
  <c r="N413" i="1"/>
  <c r="O413" i="1" s="1"/>
  <c r="N48" i="1"/>
  <c r="O48" i="1" s="1"/>
  <c r="N273" i="1"/>
  <c r="O273" i="1" s="1"/>
  <c r="N166" i="1"/>
  <c r="O166" i="1" s="1"/>
  <c r="N450" i="1"/>
  <c r="O450" i="1" s="1"/>
  <c r="N275" i="1"/>
  <c r="O275" i="1" s="1"/>
  <c r="N51" i="1"/>
  <c r="O51" i="1" s="1"/>
  <c r="N66" i="1"/>
  <c r="O66" i="1" s="1"/>
  <c r="N109" i="1"/>
  <c r="O109" i="1" s="1"/>
  <c r="N457" i="1"/>
  <c r="O457" i="1" s="1"/>
  <c r="N81" i="1"/>
  <c r="O81" i="1" s="1"/>
  <c r="N739" i="1"/>
  <c r="O739" i="1" s="1"/>
  <c r="N614" i="1"/>
  <c r="O614" i="1" s="1"/>
  <c r="N328" i="1"/>
  <c r="O328" i="1" s="1"/>
  <c r="N483" i="1"/>
  <c r="O483" i="1" s="1"/>
  <c r="N68" i="1"/>
  <c r="O68" i="1" s="1"/>
  <c r="N803" i="1"/>
  <c r="O803" i="1" s="1"/>
  <c r="N787" i="1"/>
  <c r="O787" i="1" s="1"/>
  <c r="N771" i="1"/>
  <c r="O771" i="1" s="1"/>
  <c r="N755" i="1"/>
  <c r="O755" i="1" s="1"/>
  <c r="N723" i="1"/>
  <c r="O723" i="1" s="1"/>
  <c r="N707" i="1"/>
  <c r="O707" i="1" s="1"/>
  <c r="N675" i="1"/>
  <c r="O675" i="1" s="1"/>
  <c r="N659" i="1"/>
  <c r="O659" i="1" s="1"/>
  <c r="N643" i="1"/>
  <c r="O643" i="1" s="1"/>
  <c r="N627" i="1"/>
  <c r="O627" i="1" s="1"/>
  <c r="N625" i="1"/>
  <c r="O625" i="1" s="1"/>
  <c r="N612" i="1"/>
  <c r="O612" i="1" s="1"/>
  <c r="N580" i="1"/>
  <c r="O580" i="1" s="1"/>
  <c r="N573" i="1"/>
  <c r="O573" i="1" s="1"/>
  <c r="N257" i="1"/>
  <c r="O257" i="1" s="1"/>
  <c r="N569" i="1"/>
  <c r="O569" i="1" s="1"/>
  <c r="N565" i="1"/>
  <c r="O565" i="1" s="1"/>
  <c r="N559" i="1"/>
  <c r="O559" i="1" s="1"/>
  <c r="N327" i="1"/>
  <c r="O327" i="1" s="1"/>
  <c r="N982" i="1"/>
  <c r="O982" i="1" s="1"/>
  <c r="N974" i="1"/>
  <c r="O974" i="1" s="1"/>
  <c r="N968" i="1"/>
  <c r="O968" i="1" s="1"/>
  <c r="N850" i="1"/>
  <c r="O850" i="1" s="1"/>
  <c r="N128" i="1"/>
  <c r="O128" i="1" s="1"/>
  <c r="N543" i="1"/>
  <c r="O543" i="1" s="1"/>
  <c r="N961" i="1"/>
  <c r="O961" i="1" s="1"/>
  <c r="N885" i="1"/>
  <c r="O885" i="1" s="1"/>
  <c r="N944" i="1"/>
  <c r="O944" i="1" s="1"/>
  <c r="N827" i="1"/>
  <c r="O827" i="1" s="1"/>
  <c r="N928" i="1"/>
  <c r="O928" i="1" s="1"/>
  <c r="N546" i="1"/>
  <c r="O546" i="1" s="1"/>
  <c r="N43" i="1"/>
  <c r="O43" i="1" s="1"/>
  <c r="N874" i="1"/>
  <c r="O874" i="1" s="1"/>
  <c r="N262" i="1"/>
  <c r="O262" i="1" s="1"/>
  <c r="N196" i="1"/>
  <c r="O196" i="1" s="1"/>
  <c r="N387" i="1"/>
  <c r="O387" i="1" s="1"/>
  <c r="N466" i="1"/>
  <c r="O466" i="1" s="1"/>
  <c r="N181" i="1"/>
  <c r="O181" i="1" s="1"/>
  <c r="N395" i="1"/>
  <c r="O395" i="1" s="1"/>
  <c r="N281" i="1"/>
  <c r="O281" i="1" s="1"/>
  <c r="N125" i="1"/>
  <c r="O125" i="1" s="1"/>
  <c r="N232" i="1"/>
  <c r="O232" i="1" s="1"/>
  <c r="N123" i="1"/>
  <c r="O123" i="1" s="1"/>
  <c r="N219" i="1"/>
  <c r="O219" i="1" s="1"/>
  <c r="N58" i="1"/>
  <c r="O58" i="1" s="1"/>
  <c r="N71" i="1"/>
  <c r="O71" i="1" s="1"/>
  <c r="N134" i="1"/>
  <c r="O134" i="1" s="1"/>
  <c r="N124" i="1"/>
  <c r="O124" i="1" s="1"/>
  <c r="N440" i="1"/>
  <c r="O440" i="1" s="1"/>
  <c r="N363" i="1"/>
  <c r="O363" i="1" s="1"/>
  <c r="N348" i="1"/>
  <c r="O348" i="1" s="1"/>
  <c r="N5" i="1"/>
  <c r="O5" i="1" s="1"/>
  <c r="N408" i="1"/>
  <c r="O408" i="1" s="1"/>
  <c r="N110" i="1"/>
  <c r="O110" i="1" s="1"/>
  <c r="N377" i="1"/>
  <c r="O377" i="1" s="1"/>
  <c r="N691" i="1"/>
  <c r="O691" i="1" s="1"/>
  <c r="N725" i="1"/>
  <c r="O725" i="1" s="1"/>
  <c r="N645" i="1"/>
  <c r="O645" i="1" s="1"/>
  <c r="N833" i="1"/>
  <c r="O833" i="1" s="1"/>
  <c r="N845" i="1"/>
  <c r="O845" i="1" s="1"/>
  <c r="N220" i="1"/>
  <c r="O220" i="1" s="1"/>
  <c r="N431" i="1"/>
  <c r="O431" i="1" s="1"/>
  <c r="N358" i="1"/>
  <c r="O358" i="1" s="1"/>
  <c r="N380" i="1"/>
  <c r="O380" i="1" s="1"/>
  <c r="N802" i="1"/>
  <c r="O802" i="1" s="1"/>
  <c r="N674" i="1"/>
  <c r="O674" i="1" s="1"/>
  <c r="N595" i="1"/>
  <c r="O595" i="1" s="1"/>
  <c r="N152" i="1"/>
  <c r="O152" i="1" s="1"/>
  <c r="N545" i="1"/>
  <c r="O545" i="1" s="1"/>
  <c r="N981" i="1"/>
  <c r="O981" i="1" s="1"/>
  <c r="N368" i="1"/>
  <c r="O368" i="1" s="1"/>
  <c r="N967" i="1"/>
  <c r="O967" i="1" s="1"/>
  <c r="N285" i="1"/>
  <c r="O285" i="1" s="1"/>
  <c r="N4" i="1"/>
  <c r="O4" i="1" s="1"/>
  <c r="N159" i="1"/>
  <c r="O159" i="1" s="1"/>
  <c r="N898" i="1"/>
  <c r="O898" i="1" s="1"/>
  <c r="N249" i="1"/>
  <c r="O249" i="1" s="1"/>
  <c r="N520" i="1"/>
  <c r="O520" i="1" s="1"/>
  <c r="N938" i="1"/>
  <c r="O938" i="1" s="1"/>
  <c r="N884" i="1"/>
  <c r="O884" i="1" s="1"/>
  <c r="N927" i="1"/>
  <c r="O927" i="1" s="1"/>
  <c r="N921" i="1"/>
  <c r="O921" i="1" s="1"/>
  <c r="N880" i="1"/>
  <c r="O880" i="1" s="1"/>
  <c r="N871" i="1"/>
  <c r="O871" i="1" s="1"/>
  <c r="N14" i="1"/>
  <c r="O14" i="1" s="1"/>
  <c r="N2" i="1"/>
  <c r="O2" i="1" s="1"/>
  <c r="N428" i="1"/>
  <c r="O428" i="1" s="1"/>
  <c r="N65" i="1"/>
  <c r="O65" i="1" s="1"/>
  <c r="N61" i="1"/>
  <c r="O61" i="1" s="1"/>
  <c r="N352" i="1"/>
  <c r="O352" i="1" s="1"/>
  <c r="N69" i="1"/>
  <c r="O69" i="1" s="1"/>
  <c r="N63" i="1"/>
  <c r="O63" i="1" s="1"/>
  <c r="N3" i="1"/>
  <c r="O3" i="1" s="1"/>
  <c r="N105" i="1"/>
  <c r="O105" i="1" s="1"/>
  <c r="N97" i="1"/>
  <c r="O97" i="1" s="1"/>
  <c r="N494" i="1"/>
  <c r="O494" i="1" s="1"/>
  <c r="N417" i="1"/>
  <c r="O417" i="1" s="1"/>
  <c r="N162" i="1"/>
  <c r="O162" i="1" s="1"/>
  <c r="N269" i="1"/>
  <c r="O269" i="1" s="1"/>
  <c r="N156" i="1"/>
  <c r="O156" i="1" s="1"/>
  <c r="N83" i="1"/>
  <c r="O83" i="1" s="1"/>
  <c r="N160" i="1"/>
  <c r="O160" i="1" s="1"/>
  <c r="N187" i="1"/>
  <c r="O187" i="1" s="1"/>
  <c r="N244" i="1"/>
  <c r="O244" i="1" s="1"/>
  <c r="N243" i="1"/>
  <c r="O243" i="1" s="1"/>
  <c r="N11" i="1"/>
  <c r="O11" i="1" s="1"/>
  <c r="N835" i="1"/>
  <c r="O835" i="1" s="1"/>
  <c r="N22" i="1"/>
  <c r="O22" i="1" s="1"/>
  <c r="N690" i="1"/>
  <c r="O690" i="1" s="1"/>
  <c r="N906" i="1"/>
  <c r="O906" i="1" s="1"/>
  <c r="N506" i="1"/>
  <c r="O506" i="1" s="1"/>
  <c r="N801" i="1"/>
  <c r="O801" i="1" s="1"/>
  <c r="N673" i="1"/>
  <c r="O673" i="1" s="1"/>
  <c r="N407" i="1"/>
  <c r="O407" i="1" s="1"/>
  <c r="N290" i="1"/>
  <c r="O290" i="1" s="1"/>
  <c r="N980" i="1"/>
  <c r="O980" i="1" s="1"/>
  <c r="N953" i="1"/>
  <c r="O953" i="1" s="1"/>
  <c r="N926" i="1"/>
  <c r="O926" i="1" s="1"/>
  <c r="N87" i="1"/>
  <c r="O87" i="1" s="1"/>
  <c r="N480" i="1"/>
  <c r="O480" i="1" s="1"/>
  <c r="N309" i="1"/>
  <c r="O309" i="1" s="1"/>
  <c r="N741" i="1"/>
  <c r="O741" i="1" s="1"/>
  <c r="N677" i="1"/>
  <c r="O677" i="1" s="1"/>
  <c r="N855" i="1"/>
  <c r="O855" i="1" s="1"/>
  <c r="N984" i="1"/>
  <c r="O984" i="1" s="1"/>
  <c r="N962" i="1"/>
  <c r="O962" i="1" s="1"/>
  <c r="N949" i="1"/>
  <c r="O949" i="1" s="1"/>
  <c r="N904" i="1"/>
  <c r="O904" i="1" s="1"/>
  <c r="N77" i="1"/>
  <c r="O77" i="1" s="1"/>
  <c r="N176" i="1"/>
  <c r="O176" i="1" s="1"/>
  <c r="N191" i="1"/>
  <c r="O191" i="1" s="1"/>
  <c r="N754" i="1"/>
  <c r="O754" i="1" s="1"/>
  <c r="N611" i="1"/>
  <c r="O611" i="1" s="1"/>
  <c r="N508" i="1"/>
  <c r="O508" i="1" s="1"/>
  <c r="N737" i="1"/>
  <c r="O737" i="1" s="1"/>
  <c r="N689" i="1"/>
  <c r="O689" i="1" s="1"/>
  <c r="N641" i="1"/>
  <c r="O641" i="1" s="1"/>
  <c r="N594" i="1"/>
  <c r="O594" i="1" s="1"/>
  <c r="N878" i="1"/>
  <c r="O878" i="1" s="1"/>
  <c r="N558" i="1"/>
  <c r="O558" i="1" s="1"/>
  <c r="N553" i="1"/>
  <c r="O553" i="1" s="1"/>
  <c r="N318" i="1"/>
  <c r="O318" i="1" s="1"/>
  <c r="N276" i="1"/>
  <c r="O276" i="1" s="1"/>
  <c r="N551" i="1"/>
  <c r="O551" i="1" s="1"/>
  <c r="N272" i="1"/>
  <c r="O272" i="1" s="1"/>
  <c r="N42" i="1"/>
  <c r="O42" i="1" s="1"/>
  <c r="N31" i="1"/>
  <c r="O31" i="1" s="1"/>
  <c r="N811" i="1"/>
  <c r="O811" i="1" s="1"/>
  <c r="N161" i="1"/>
  <c r="O161" i="1" s="1"/>
  <c r="N55" i="1"/>
  <c r="O55" i="1" s="1"/>
  <c r="N301" i="1"/>
  <c r="O301" i="1" s="1"/>
  <c r="N215" i="1"/>
  <c r="O215" i="1" s="1"/>
  <c r="N412" i="1"/>
  <c r="O412" i="1" s="1"/>
  <c r="N423" i="1"/>
  <c r="O423" i="1" s="1"/>
  <c r="N385" i="1"/>
  <c r="O385" i="1" s="1"/>
  <c r="N410" i="1"/>
  <c r="O410" i="1" s="1"/>
  <c r="N496" i="1"/>
  <c r="O496" i="1" s="1"/>
  <c r="N282" i="1"/>
  <c r="O282" i="1" s="1"/>
  <c r="N800" i="1"/>
  <c r="O800" i="1" s="1"/>
  <c r="N704" i="1"/>
  <c r="O704" i="1" s="1"/>
  <c r="N289" i="1"/>
  <c r="O289" i="1" s="1"/>
  <c r="N461" i="1"/>
  <c r="O461" i="1" s="1"/>
  <c r="N233" i="1"/>
  <c r="O233" i="1" s="1"/>
  <c r="N843" i="1"/>
  <c r="O843" i="1" s="1"/>
  <c r="N535" i="1"/>
  <c r="O535" i="1" s="1"/>
  <c r="N895" i="1"/>
  <c r="O895" i="1" s="1"/>
  <c r="N860" i="1"/>
  <c r="O860" i="1" s="1"/>
  <c r="N151" i="1"/>
  <c r="O151" i="1" s="1"/>
  <c r="N57" i="1"/>
  <c r="O57" i="1" s="1"/>
  <c r="N332" i="1"/>
  <c r="O332" i="1" s="1"/>
  <c r="N261" i="1"/>
  <c r="O261" i="1" s="1"/>
  <c r="N416" i="1"/>
  <c r="O416" i="1" s="1"/>
  <c r="N177" i="1"/>
  <c r="O177" i="1" s="1"/>
  <c r="N122" i="1"/>
  <c r="O122" i="1" s="1"/>
  <c r="N149" i="1"/>
  <c r="O149" i="1" s="1"/>
  <c r="N462" i="1"/>
  <c r="O462" i="1" s="1"/>
  <c r="N274" i="1"/>
  <c r="O274" i="1" s="1"/>
  <c r="N270" i="1"/>
  <c r="O270" i="1" s="1"/>
  <c r="N75" i="1"/>
  <c r="O75" i="1" s="1"/>
  <c r="N447" i="1"/>
  <c r="O447" i="1" s="1"/>
  <c r="N757" i="1"/>
  <c r="O757" i="1" s="1"/>
  <c r="N693" i="1"/>
  <c r="O693" i="1" s="1"/>
  <c r="N629" i="1"/>
  <c r="O629" i="1" s="1"/>
  <c r="N479" i="1"/>
  <c r="O479" i="1" s="1"/>
  <c r="N393" i="1"/>
  <c r="O393" i="1" s="1"/>
  <c r="N542" i="1"/>
  <c r="O542" i="1" s="1"/>
  <c r="N292" i="1"/>
  <c r="O292" i="1" s="1"/>
  <c r="N859" i="1"/>
  <c r="O859" i="1" s="1"/>
  <c r="N205" i="1"/>
  <c r="O205" i="1" s="1"/>
  <c r="N147" i="1"/>
  <c r="O147" i="1" s="1"/>
  <c r="N118" i="1"/>
  <c r="O118" i="1" s="1"/>
  <c r="N168" i="1"/>
  <c r="O168" i="1" s="1"/>
  <c r="N770" i="1"/>
  <c r="O770" i="1" s="1"/>
  <c r="N626" i="1"/>
  <c r="O626" i="1" s="1"/>
  <c r="N141" i="1"/>
  <c r="O141" i="1" s="1"/>
  <c r="N753" i="1"/>
  <c r="O753" i="1" s="1"/>
  <c r="N138" i="1"/>
  <c r="O138" i="1" s="1"/>
  <c r="N784" i="1"/>
  <c r="O784" i="1" s="1"/>
  <c r="N736" i="1"/>
  <c r="O736" i="1" s="1"/>
  <c r="N672" i="1"/>
  <c r="O672" i="1" s="1"/>
  <c r="N640" i="1"/>
  <c r="O640" i="1" s="1"/>
  <c r="N577" i="1"/>
  <c r="O577" i="1" s="1"/>
  <c r="N15" i="1"/>
  <c r="O15" i="1" s="1"/>
  <c r="N973" i="1"/>
  <c r="O973" i="1" s="1"/>
  <c r="N383" i="1"/>
  <c r="O383" i="1" s="1"/>
  <c r="N799" i="1"/>
  <c r="O799" i="1" s="1"/>
  <c r="N783" i="1"/>
  <c r="O783" i="1" s="1"/>
  <c r="N767" i="1"/>
  <c r="O767" i="1" s="1"/>
  <c r="N751" i="1"/>
  <c r="O751" i="1" s="1"/>
  <c r="N735" i="1"/>
  <c r="O735" i="1" s="1"/>
  <c r="N719" i="1"/>
  <c r="O719" i="1" s="1"/>
  <c r="N703" i="1"/>
  <c r="O703" i="1" s="1"/>
  <c r="N687" i="1"/>
  <c r="O687" i="1" s="1"/>
  <c r="N671" i="1"/>
  <c r="O671" i="1" s="1"/>
  <c r="N655" i="1"/>
  <c r="O655" i="1" s="1"/>
  <c r="N400" i="1"/>
  <c r="O400" i="1" s="1"/>
  <c r="N624" i="1"/>
  <c r="O624" i="1" s="1"/>
  <c r="N608" i="1"/>
  <c r="O608" i="1" s="1"/>
  <c r="N592" i="1"/>
  <c r="O592" i="1" s="1"/>
  <c r="N444" i="1"/>
  <c r="O444" i="1" s="1"/>
  <c r="N853" i="1"/>
  <c r="O853" i="1" s="1"/>
  <c r="N538" i="1"/>
  <c r="O538" i="1" s="1"/>
  <c r="N826" i="1"/>
  <c r="O826" i="1" s="1"/>
  <c r="N464" i="1"/>
  <c r="O464" i="1" s="1"/>
  <c r="N375" i="1"/>
  <c r="O375" i="1" s="1"/>
  <c r="N319" i="1"/>
  <c r="O319" i="1" s="1"/>
  <c r="N992" i="1"/>
  <c r="O992" i="1" s="1"/>
  <c r="N40" i="1"/>
  <c r="O40" i="1" s="1"/>
  <c r="N76" i="1"/>
  <c r="O76" i="1" s="1"/>
  <c r="N899" i="1"/>
  <c r="O899" i="1" s="1"/>
  <c r="N439" i="1"/>
  <c r="O439" i="1" s="1"/>
  <c r="N846" i="1"/>
  <c r="O846" i="1" s="1"/>
  <c r="N84" i="1"/>
  <c r="O84" i="1" s="1"/>
  <c r="N892" i="1"/>
  <c r="O892" i="1" s="1"/>
  <c r="N24" i="1"/>
  <c r="O24" i="1" s="1"/>
  <c r="N891" i="1"/>
  <c r="O891" i="1" s="1"/>
  <c r="N943" i="1"/>
  <c r="O943" i="1" s="1"/>
  <c r="N935" i="1"/>
  <c r="O935" i="1" s="1"/>
  <c r="N931" i="1"/>
  <c r="O931" i="1" s="1"/>
  <c r="N547" i="1"/>
  <c r="O547" i="1" s="1"/>
  <c r="N259" i="1"/>
  <c r="O259" i="1" s="1"/>
  <c r="N917" i="1"/>
  <c r="O917" i="1" s="1"/>
  <c r="N813" i="1"/>
  <c r="O813" i="1" s="1"/>
  <c r="N525" i="1"/>
  <c r="O525" i="1" s="1"/>
  <c r="N384" i="1"/>
  <c r="O384" i="1" s="1"/>
  <c r="N325" i="1"/>
  <c r="O325" i="1" s="1"/>
  <c r="N250" i="1"/>
  <c r="O250" i="1" s="1"/>
  <c r="N379" i="1"/>
  <c r="O379" i="1" s="1"/>
  <c r="N8" i="1"/>
  <c r="O8" i="1" s="1"/>
  <c r="N17" i="1"/>
  <c r="O17" i="1" s="1"/>
  <c r="N23" i="1"/>
  <c r="O23" i="1" s="1"/>
  <c r="N493" i="1"/>
  <c r="O493" i="1" s="1"/>
  <c r="N28" i="1"/>
  <c r="O28" i="1" s="1"/>
  <c r="N190" i="1"/>
  <c r="O190" i="1" s="1"/>
  <c r="N193" i="1"/>
  <c r="O193" i="1" s="1"/>
  <c r="N501" i="1"/>
  <c r="O501" i="1" s="1"/>
  <c r="N331" i="1"/>
  <c r="O331" i="1" s="1"/>
  <c r="N498" i="1"/>
  <c r="O498" i="1" s="1"/>
  <c r="N157" i="1"/>
  <c r="O157" i="1" s="1"/>
  <c r="N399" i="1"/>
  <c r="O399" i="1" s="1"/>
  <c r="N201" i="1"/>
  <c r="O201" i="1" s="1"/>
  <c r="N180" i="1"/>
  <c r="O180" i="1" s="1"/>
  <c r="N320" i="1"/>
  <c r="O320" i="1" s="1"/>
  <c r="N221" i="1"/>
  <c r="O221" i="1" s="1"/>
  <c r="N639" i="1"/>
  <c r="O639" i="1" s="1"/>
  <c r="N888" i="1"/>
  <c r="O888" i="1" s="1"/>
  <c r="N773" i="1"/>
  <c r="O773" i="1" s="1"/>
  <c r="N598" i="1"/>
  <c r="O598" i="1" s="1"/>
  <c r="N969" i="1"/>
  <c r="O969" i="1" s="1"/>
  <c r="N852" i="1"/>
  <c r="O852" i="1" s="1"/>
  <c r="N838" i="1"/>
  <c r="O838" i="1" s="1"/>
  <c r="N398" i="1"/>
  <c r="O398" i="1" s="1"/>
  <c r="N103" i="1"/>
  <c r="O103" i="1" s="1"/>
  <c r="N738" i="1"/>
  <c r="O738" i="1" s="1"/>
  <c r="N658" i="1"/>
  <c r="O658" i="1" s="1"/>
  <c r="N705" i="1"/>
  <c r="O705" i="1" s="1"/>
  <c r="N718" i="1"/>
  <c r="O718" i="1" s="1"/>
  <c r="N702" i="1"/>
  <c r="O702" i="1" s="1"/>
  <c r="N654" i="1"/>
  <c r="O654" i="1" s="1"/>
  <c r="N213" i="1"/>
  <c r="O213" i="1" s="1"/>
  <c r="N591" i="1"/>
  <c r="O591" i="1" s="1"/>
  <c r="N539" i="1"/>
  <c r="O539" i="1" s="1"/>
  <c r="N79" i="1"/>
  <c r="O79" i="1" s="1"/>
  <c r="N474" i="1"/>
  <c r="O474" i="1" s="1"/>
  <c r="N136" i="1"/>
  <c r="O136" i="1" s="1"/>
  <c r="N491" i="1"/>
  <c r="O491" i="1" s="1"/>
  <c r="N628" i="1"/>
  <c r="O628" i="1" s="1"/>
  <c r="N661" i="1"/>
  <c r="O661" i="1" s="1"/>
  <c r="N857" i="1"/>
  <c r="O857" i="1" s="1"/>
  <c r="N271" i="1"/>
  <c r="O271" i="1" s="1"/>
  <c r="N929" i="1"/>
  <c r="O929" i="1" s="1"/>
  <c r="N54" i="1"/>
  <c r="O54" i="1" s="1"/>
  <c r="N49" i="1"/>
  <c r="O49" i="1" s="1"/>
  <c r="N337" i="1"/>
  <c r="O337" i="1" s="1"/>
  <c r="N451" i="1"/>
  <c r="O451" i="1" s="1"/>
  <c r="N786" i="1"/>
  <c r="O786" i="1" s="1"/>
  <c r="N706" i="1"/>
  <c r="O706" i="1" s="1"/>
  <c r="N642" i="1"/>
  <c r="O642" i="1" s="1"/>
  <c r="N579" i="1"/>
  <c r="O579" i="1" s="1"/>
  <c r="N994" i="1"/>
  <c r="O994" i="1" s="1"/>
  <c r="N785" i="1"/>
  <c r="O785" i="1" s="1"/>
  <c r="N721" i="1"/>
  <c r="O721" i="1" s="1"/>
  <c r="N657" i="1"/>
  <c r="O657" i="1" s="1"/>
  <c r="N330" i="1"/>
  <c r="O330" i="1" s="1"/>
  <c r="N610" i="1"/>
  <c r="O610" i="1" s="1"/>
  <c r="N578" i="1"/>
  <c r="O578" i="1" s="1"/>
  <c r="N511" i="1"/>
  <c r="O511" i="1" s="1"/>
  <c r="N993" i="1"/>
  <c r="O993" i="1" s="1"/>
  <c r="N133" i="1"/>
  <c r="O133" i="1" s="1"/>
  <c r="N484" i="1"/>
  <c r="O484" i="1" s="1"/>
  <c r="N960" i="1"/>
  <c r="O960" i="1" s="1"/>
  <c r="N256" i="1"/>
  <c r="O256" i="1" s="1"/>
  <c r="N937" i="1"/>
  <c r="O937" i="1" s="1"/>
  <c r="N920" i="1"/>
  <c r="O920" i="1" s="1"/>
  <c r="N528" i="1"/>
  <c r="O528" i="1" s="1"/>
  <c r="N469" i="1"/>
  <c r="O469" i="1" s="1"/>
  <c r="N280" i="1"/>
  <c r="O280" i="1" s="1"/>
  <c r="N169" i="1"/>
  <c r="O169" i="1" s="1"/>
  <c r="N314" i="1"/>
  <c r="O314" i="1" s="1"/>
  <c r="N158" i="1"/>
  <c r="O158" i="1" s="1"/>
  <c r="N86" i="1"/>
  <c r="O86" i="1" s="1"/>
  <c r="N74" i="1"/>
  <c r="O74" i="1" s="1"/>
  <c r="N356" i="1"/>
  <c r="O356" i="1" s="1"/>
  <c r="N455" i="1"/>
  <c r="O455" i="1" s="1"/>
  <c r="N752" i="1"/>
  <c r="O752" i="1" s="1"/>
  <c r="N688" i="1"/>
  <c r="O688" i="1" s="1"/>
  <c r="N609" i="1"/>
  <c r="O609" i="1" s="1"/>
  <c r="N29" i="1"/>
  <c r="O29" i="1" s="1"/>
  <c r="N557" i="1"/>
  <c r="O557" i="1" s="1"/>
  <c r="N120" i="1"/>
  <c r="O120" i="1" s="1"/>
  <c r="N830" i="1"/>
  <c r="O830" i="1" s="1"/>
  <c r="N817" i="1"/>
  <c r="O817" i="1" s="1"/>
  <c r="N936" i="1"/>
  <c r="O936" i="1" s="1"/>
  <c r="N225" i="1"/>
  <c r="O225" i="1" s="1"/>
  <c r="N247" i="1"/>
  <c r="O247" i="1" s="1"/>
  <c r="N92" i="1"/>
  <c r="O92" i="1" s="1"/>
  <c r="N154" i="1"/>
  <c r="O154" i="1" s="1"/>
  <c r="N234" i="1"/>
  <c r="O234" i="1" s="1"/>
  <c r="N361" i="1"/>
  <c r="O361" i="1" s="1"/>
  <c r="N242" i="1"/>
  <c r="O242" i="1" s="1"/>
  <c r="N766" i="1"/>
  <c r="O766" i="1" s="1"/>
  <c r="N670" i="1"/>
  <c r="O670" i="1" s="1"/>
  <c r="N607" i="1"/>
  <c r="O607" i="1" s="1"/>
  <c r="N338" i="1"/>
  <c r="O338" i="1" s="1"/>
  <c r="N807" i="1"/>
  <c r="O807" i="1" s="1"/>
  <c r="N808" i="1"/>
  <c r="O808" i="1" s="1"/>
  <c r="N552" i="1"/>
  <c r="O552" i="1" s="1"/>
  <c r="N372" i="1"/>
  <c r="O372" i="1" s="1"/>
  <c r="N536" i="1"/>
  <c r="O536" i="1" s="1"/>
  <c r="N550" i="1"/>
  <c r="O550" i="1" s="1"/>
  <c r="N78" i="1"/>
  <c r="O78" i="1" s="1"/>
  <c r="N357" i="1"/>
  <c r="O357" i="1" s="1"/>
  <c r="N443" i="1"/>
  <c r="O443" i="1" s="1"/>
  <c r="N216" i="1"/>
  <c r="O216" i="1" s="1"/>
  <c r="N411" i="1"/>
  <c r="O411" i="1" s="1"/>
  <c r="N342" i="1"/>
  <c r="O342" i="1" s="1"/>
  <c r="N404" i="1"/>
  <c r="O404" i="1" s="1"/>
  <c r="N415" i="1"/>
  <c r="O415" i="1" s="1"/>
  <c r="N192" i="1"/>
  <c r="O192" i="1" s="1"/>
  <c r="N173" i="1"/>
  <c r="O173" i="1" s="1"/>
  <c r="N10" i="1"/>
  <c r="O10" i="1" s="1"/>
  <c r="N514" i="1"/>
  <c r="O514" i="1" s="1"/>
  <c r="N108" i="1"/>
  <c r="O108" i="1" s="1"/>
  <c r="N499" i="1"/>
  <c r="O499" i="1" s="1"/>
  <c r="N305" i="1"/>
  <c r="O305" i="1" s="1"/>
  <c r="N143" i="1"/>
  <c r="O143" i="1" s="1"/>
  <c r="N452" i="1"/>
  <c r="O452" i="1" s="1"/>
  <c r="N264" i="1"/>
  <c r="O264" i="1" s="1"/>
  <c r="N212" i="1"/>
  <c r="O212" i="1" s="1"/>
  <c r="N44" i="1"/>
  <c r="O44" i="1" s="1"/>
  <c r="N300" i="1"/>
  <c r="O300" i="1" s="1"/>
  <c r="N64" i="1"/>
  <c r="O64" i="1" s="1"/>
  <c r="N184" i="1"/>
  <c r="O184" i="1" s="1"/>
  <c r="N972" i="1"/>
  <c r="O972" i="1" s="1"/>
  <c r="N965" i="1"/>
  <c r="O965" i="1" s="1"/>
  <c r="N293" i="1"/>
  <c r="O293" i="1" s="1"/>
  <c r="N85" i="1"/>
  <c r="O85" i="1" s="1"/>
  <c r="N958" i="1"/>
  <c r="O958" i="1" s="1"/>
  <c r="N952" i="1"/>
  <c r="O952" i="1" s="1"/>
  <c r="N948" i="1"/>
  <c r="O948" i="1" s="1"/>
  <c r="N432" i="1"/>
  <c r="O432" i="1" s="1"/>
  <c r="N533" i="1"/>
  <c r="O533" i="1" s="1"/>
  <c r="N146" i="1"/>
  <c r="O146" i="1" s="1"/>
  <c r="N82" i="1"/>
  <c r="O82" i="1" s="1"/>
  <c r="N313" i="1"/>
  <c r="O313" i="1" s="1"/>
  <c r="N842" i="1"/>
  <c r="O842" i="1" s="1"/>
  <c r="N523" i="1"/>
  <c r="O523" i="1" s="1"/>
  <c r="N99" i="1"/>
  <c r="O99" i="1" s="1"/>
  <c r="N513" i="1"/>
  <c r="O513" i="1" s="1"/>
  <c r="N144" i="1"/>
  <c r="O144" i="1" s="1"/>
  <c r="N137" i="1"/>
  <c r="O137" i="1" s="1"/>
  <c r="N218" i="1"/>
  <c r="O218" i="1" s="1"/>
  <c r="N419" i="1"/>
  <c r="O419" i="1" s="1"/>
  <c r="N174" i="1"/>
  <c r="O174" i="1" s="1"/>
  <c r="N265" i="1"/>
  <c r="O265" i="1" s="1"/>
  <c r="N95" i="1"/>
  <c r="O95" i="1" s="1"/>
  <c r="N326" i="1"/>
  <c r="O326" i="1" s="1"/>
  <c r="N206" i="1"/>
  <c r="O206" i="1" s="1"/>
  <c r="N148" i="1"/>
  <c r="O148" i="1" s="1"/>
  <c r="N418" i="1"/>
  <c r="O418" i="1" s="1"/>
  <c r="N21" i="1"/>
  <c r="O21" i="1" s="1"/>
  <c r="N245" i="1"/>
  <c r="O245" i="1" s="1"/>
  <c r="N119" i="1"/>
  <c r="O119" i="1" s="1"/>
  <c r="N360" i="1"/>
  <c r="O360" i="1" s="1"/>
  <c r="N310" i="1"/>
  <c r="O310" i="1" s="1"/>
  <c r="N171" i="1"/>
  <c r="O171" i="1" s="1"/>
  <c r="N6" i="1"/>
  <c r="O6" i="1" s="1"/>
  <c r="N202" i="1"/>
  <c r="O202" i="1" s="1"/>
  <c r="N429" i="1"/>
  <c r="O429" i="1" s="1"/>
  <c r="N596" i="1"/>
  <c r="O596" i="1" s="1"/>
  <c r="N145" i="1"/>
  <c r="O145" i="1" s="1"/>
  <c r="N805" i="1"/>
  <c r="O805" i="1" s="1"/>
  <c r="N709" i="1"/>
  <c r="O709" i="1" s="1"/>
  <c r="N582" i="1"/>
  <c r="O582" i="1" s="1"/>
  <c r="N566" i="1"/>
  <c r="O566" i="1" s="1"/>
  <c r="N554" i="1"/>
  <c r="O554" i="1" s="1"/>
  <c r="N881" i="1"/>
  <c r="O881" i="1" s="1"/>
  <c r="N175" i="1"/>
  <c r="O175" i="1" s="1"/>
  <c r="N302" i="1"/>
  <c r="O302" i="1" s="1"/>
  <c r="N235" i="1"/>
  <c r="O235" i="1" s="1"/>
  <c r="N20" i="1"/>
  <c r="O20" i="1" s="1"/>
  <c r="N722" i="1"/>
  <c r="O722" i="1" s="1"/>
  <c r="N344" i="1"/>
  <c r="O344" i="1" s="1"/>
  <c r="N516" i="1"/>
  <c r="O516" i="1" s="1"/>
  <c r="N769" i="1"/>
  <c r="O769" i="1" s="1"/>
  <c r="N72" i="1"/>
  <c r="O72" i="1" s="1"/>
  <c r="N768" i="1"/>
  <c r="O768" i="1" s="1"/>
  <c r="N720" i="1"/>
  <c r="O720" i="1" s="1"/>
  <c r="N656" i="1"/>
  <c r="O656" i="1" s="1"/>
  <c r="N340" i="1"/>
  <c r="O340" i="1" s="1"/>
  <c r="N593" i="1"/>
  <c r="O593" i="1" s="1"/>
  <c r="N454" i="1"/>
  <c r="O454" i="1" s="1"/>
  <c r="N507" i="1"/>
  <c r="O507" i="1" s="1"/>
  <c r="N979" i="1"/>
  <c r="O979" i="1" s="1"/>
  <c r="N534" i="1"/>
  <c r="O534" i="1" s="1"/>
  <c r="N959" i="1"/>
  <c r="O959" i="1" s="1"/>
  <c r="N887" i="1"/>
  <c r="O887" i="1" s="1"/>
  <c r="N925" i="1"/>
  <c r="O925" i="1" s="1"/>
  <c r="N822" i="1"/>
  <c r="O822" i="1" s="1"/>
  <c r="N25" i="1"/>
  <c r="O25" i="1" s="1"/>
  <c r="N467" i="1"/>
  <c r="O467" i="1" s="1"/>
  <c r="N178" i="1"/>
  <c r="O178" i="1" s="1"/>
  <c r="N798" i="1"/>
  <c r="O798" i="1" s="1"/>
  <c r="N734" i="1"/>
  <c r="O734" i="1" s="1"/>
  <c r="N686" i="1"/>
  <c r="O686" i="1" s="1"/>
  <c r="N638" i="1"/>
  <c r="O638" i="1" s="1"/>
  <c r="N623" i="1"/>
  <c r="O623" i="1" s="1"/>
  <c r="N1000" i="1"/>
  <c r="O1000" i="1" s="1"/>
  <c r="N304" i="1"/>
  <c r="O304" i="1" s="1"/>
  <c r="N510" i="1"/>
  <c r="O510" i="1" s="1"/>
  <c r="N266" i="1"/>
  <c r="O266" i="1" s="1"/>
  <c r="N966" i="1"/>
  <c r="O966" i="1" s="1"/>
  <c r="N107" i="1"/>
  <c r="O107" i="1" s="1"/>
  <c r="N228" i="1"/>
  <c r="O228" i="1" s="1"/>
  <c r="N548" i="1"/>
  <c r="O548" i="1" s="1"/>
  <c r="N924" i="1"/>
  <c r="O924" i="1" s="1"/>
  <c r="N825" i="1"/>
  <c r="O825" i="1" s="1"/>
  <c r="N47" i="1"/>
  <c r="O47" i="1" s="1"/>
  <c r="N376" i="1"/>
  <c r="O376" i="1" s="1"/>
  <c r="N426" i="1"/>
  <c r="O426" i="1" s="1"/>
  <c r="N797" i="1"/>
  <c r="O797" i="1" s="1"/>
  <c r="N781" i="1"/>
  <c r="O781" i="1" s="1"/>
  <c r="N765" i="1"/>
  <c r="O765" i="1" s="1"/>
  <c r="N749" i="1"/>
  <c r="O749" i="1" s="1"/>
  <c r="N733" i="1"/>
  <c r="O733" i="1" s="1"/>
  <c r="N717" i="1"/>
  <c r="O717" i="1" s="1"/>
  <c r="N701" i="1"/>
  <c r="O701" i="1" s="1"/>
  <c r="N685" i="1"/>
  <c r="O685" i="1" s="1"/>
  <c r="N669" i="1"/>
  <c r="O669" i="1" s="1"/>
  <c r="N653" i="1"/>
  <c r="O653" i="1" s="1"/>
  <c r="N637" i="1"/>
  <c r="O637" i="1" s="1"/>
  <c r="N809" i="1"/>
  <c r="O809" i="1" s="1"/>
  <c r="N622" i="1"/>
  <c r="O622" i="1" s="1"/>
  <c r="N606" i="1"/>
  <c r="O606" i="1" s="1"/>
  <c r="N590" i="1"/>
  <c r="O590" i="1" s="1"/>
  <c r="N12" i="1"/>
  <c r="O12" i="1" s="1"/>
  <c r="N998" i="1"/>
  <c r="O998" i="1" s="1"/>
  <c r="N129" i="1"/>
  <c r="O129" i="1" s="1"/>
  <c r="N896" i="1"/>
  <c r="O896" i="1" s="1"/>
  <c r="N568" i="1"/>
  <c r="O568" i="1" s="1"/>
  <c r="N509" i="1"/>
  <c r="O509" i="1" s="1"/>
  <c r="N796" i="1"/>
  <c r="O796" i="1" s="1"/>
  <c r="N780" i="1"/>
  <c r="O780" i="1" s="1"/>
  <c r="N764" i="1"/>
  <c r="O764" i="1" s="1"/>
  <c r="N748" i="1"/>
  <c r="O748" i="1" s="1"/>
  <c r="N732" i="1"/>
  <c r="O732" i="1" s="1"/>
  <c r="N716" i="1"/>
  <c r="O716" i="1" s="1"/>
  <c r="N700" i="1"/>
  <c r="O700" i="1" s="1"/>
  <c r="N684" i="1"/>
  <c r="O684" i="1" s="1"/>
  <c r="N668" i="1"/>
  <c r="O668" i="1" s="1"/>
  <c r="N652" i="1"/>
  <c r="O652" i="1" s="1"/>
  <c r="N636" i="1"/>
  <c r="O636" i="1" s="1"/>
  <c r="N381" i="1"/>
  <c r="O381" i="1" s="1"/>
  <c r="N621" i="1"/>
  <c r="O621" i="1" s="1"/>
  <c r="N605" i="1"/>
  <c r="O605" i="1" s="1"/>
  <c r="N589" i="1"/>
  <c r="O589" i="1" s="1"/>
  <c r="N576" i="1"/>
  <c r="O576" i="1" s="1"/>
  <c r="N279" i="1"/>
  <c r="O279" i="1" s="1"/>
  <c r="N486" i="1"/>
  <c r="O486" i="1" s="1"/>
  <c r="N540" i="1"/>
  <c r="O540" i="1" s="1"/>
  <c r="N818" i="1"/>
  <c r="O818" i="1" s="1"/>
  <c r="N564" i="1"/>
  <c r="O564" i="1" s="1"/>
  <c r="N362" i="1"/>
  <c r="O362" i="1" s="1"/>
  <c r="N991" i="1"/>
  <c r="O991" i="1" s="1"/>
  <c r="N556" i="1"/>
  <c r="O556" i="1" s="1"/>
  <c r="N114" i="1"/>
  <c r="O114" i="1" s="1"/>
  <c r="N964" i="1"/>
  <c r="O964" i="1" s="1"/>
  <c r="N258" i="1"/>
  <c r="O258" i="1" s="1"/>
  <c r="N530" i="1"/>
  <c r="O530" i="1" s="1"/>
  <c r="N907" i="1"/>
  <c r="O907" i="1" s="1"/>
  <c r="N882" i="1"/>
  <c r="O882" i="1" s="1"/>
  <c r="N894" i="1"/>
  <c r="O894" i="1" s="1"/>
  <c r="N947" i="1"/>
  <c r="O947" i="1" s="1"/>
  <c r="N910" i="1"/>
  <c r="O910" i="1" s="1"/>
  <c r="N355" i="1"/>
  <c r="O355" i="1" s="1"/>
  <c r="N900" i="1"/>
  <c r="O900" i="1" s="1"/>
  <c r="N223" i="1"/>
  <c r="O223" i="1" s="1"/>
  <c r="N919" i="1"/>
  <c r="O919" i="1" s="1"/>
  <c r="N839" i="1"/>
  <c r="O839" i="1" s="1"/>
  <c r="N854" i="1"/>
  <c r="O854" i="1" s="1"/>
  <c r="N89" i="1"/>
  <c r="O89" i="1" s="1"/>
  <c r="N471" i="1"/>
  <c r="O471" i="1" s="1"/>
  <c r="N442" i="1"/>
  <c r="O442" i="1" s="1"/>
  <c r="N303" i="1"/>
  <c r="O303" i="1" s="1"/>
  <c r="N316" i="1"/>
  <c r="O316" i="1" s="1"/>
  <c r="N449" i="1"/>
  <c r="O449" i="1" s="1"/>
  <c r="N96" i="1"/>
  <c r="O96" i="1" s="1"/>
  <c r="N139" i="1"/>
  <c r="O139" i="1" s="1"/>
  <c r="N116" i="1"/>
  <c r="O116" i="1" s="1"/>
  <c r="N497" i="1"/>
  <c r="O497" i="1" s="1"/>
  <c r="N70" i="1"/>
  <c r="O70" i="1" s="1"/>
  <c r="N446" i="1"/>
  <c r="O446" i="1" s="1"/>
  <c r="N164" i="1"/>
  <c r="O164" i="1" s="1"/>
  <c r="N388" i="1"/>
  <c r="O388" i="1" s="1"/>
  <c r="N392" i="1"/>
  <c r="O392" i="1" s="1"/>
  <c r="N294" i="1"/>
  <c r="O294" i="1" s="1"/>
  <c r="N433" i="1"/>
  <c r="O433" i="1" s="1"/>
  <c r="N366" i="1"/>
  <c r="O366" i="1" s="1"/>
  <c r="N142" i="1"/>
  <c r="O142" i="1" s="1"/>
  <c r="N236" i="1"/>
  <c r="O236" i="1" s="1"/>
  <c r="N369" i="1"/>
  <c r="O369" i="1" s="1"/>
  <c r="N425" i="1"/>
  <c r="O425" i="1" s="1"/>
  <c r="N492" i="1"/>
  <c r="O492" i="1" s="1"/>
  <c r="N999" i="1"/>
  <c r="O999" i="1" s="1"/>
  <c r="N794" i="1"/>
  <c r="O794" i="1" s="1"/>
  <c r="N778" i="1"/>
  <c r="O778" i="1" s="1"/>
  <c r="N762" i="1"/>
  <c r="O762" i="1" s="1"/>
  <c r="N746" i="1"/>
  <c r="O746" i="1" s="1"/>
  <c r="N730" i="1"/>
  <c r="O730" i="1" s="1"/>
  <c r="N714" i="1"/>
  <c r="O714" i="1" s="1"/>
  <c r="N698" i="1"/>
  <c r="O698" i="1" s="1"/>
  <c r="N682" i="1"/>
  <c r="O682" i="1" s="1"/>
  <c r="N666" i="1"/>
  <c r="O666" i="1" s="1"/>
  <c r="N650" i="1"/>
  <c r="O650" i="1" s="1"/>
  <c r="N634" i="1"/>
  <c r="O634" i="1" s="1"/>
  <c r="N106" i="1"/>
  <c r="O106" i="1" s="1"/>
  <c r="N619" i="1"/>
  <c r="O619" i="1" s="1"/>
  <c r="N603" i="1"/>
  <c r="O603" i="1" s="1"/>
  <c r="N587" i="1"/>
  <c r="O587" i="1" s="1"/>
  <c r="N574" i="1"/>
  <c r="O574" i="1" s="1"/>
  <c r="N519" i="1"/>
  <c r="O519" i="1" s="1"/>
  <c r="N394" i="1"/>
  <c r="O394" i="1" s="1"/>
  <c r="N866" i="1"/>
  <c r="O866" i="1" s="1"/>
  <c r="N544" i="1"/>
  <c r="O544" i="1" s="1"/>
  <c r="N562" i="1"/>
  <c r="O562" i="1" s="1"/>
  <c r="N406" i="1"/>
  <c r="O406" i="1" s="1"/>
  <c r="N989" i="1"/>
  <c r="O989" i="1" s="1"/>
  <c r="N322" i="1"/>
  <c r="O322" i="1" s="1"/>
  <c r="N897" i="1"/>
  <c r="O897" i="1" s="1"/>
  <c r="N963" i="1"/>
  <c r="O963" i="1" s="1"/>
  <c r="N409" i="1"/>
  <c r="O409" i="1" s="1"/>
  <c r="N532" i="1"/>
  <c r="O532" i="1" s="1"/>
  <c r="N912" i="1"/>
  <c r="O912" i="1" s="1"/>
  <c r="N957" i="1"/>
  <c r="O957" i="1" s="1"/>
  <c r="N951" i="1"/>
  <c r="O951" i="1" s="1"/>
  <c r="N529" i="1"/>
  <c r="O529" i="1" s="1"/>
  <c r="N941" i="1"/>
  <c r="O941" i="1" s="1"/>
  <c r="N405" i="1"/>
  <c r="O405" i="1" s="1"/>
  <c r="N371" i="1"/>
  <c r="O371" i="1" s="1"/>
  <c r="N373" i="1"/>
  <c r="O373" i="1" s="1"/>
  <c r="N918" i="1"/>
  <c r="O918" i="1" s="1"/>
  <c r="N914" i="1"/>
  <c r="O914" i="1" s="1"/>
  <c r="N488" i="1"/>
  <c r="O488" i="1" s="1"/>
  <c r="N204" i="1"/>
  <c r="O204" i="1" s="1"/>
  <c r="N179" i="1"/>
  <c r="O179" i="1" s="1"/>
  <c r="N341" i="1"/>
  <c r="O341" i="1" s="1"/>
  <c r="N345" i="1"/>
  <c r="O345" i="1" s="1"/>
  <c r="N16" i="1"/>
  <c r="O16" i="1" s="1"/>
  <c r="N460" i="1"/>
  <c r="O460" i="1" s="1"/>
  <c r="N336" i="1"/>
  <c r="O336" i="1" s="1"/>
  <c r="N104" i="1"/>
  <c r="O104" i="1" s="1"/>
  <c r="N207" i="1"/>
  <c r="O207" i="1" s="1"/>
  <c r="N487" i="1"/>
  <c r="O487" i="1" s="1"/>
  <c r="N333" i="1"/>
  <c r="O333" i="1" s="1"/>
  <c r="N26" i="1"/>
  <c r="O26" i="1" s="1"/>
  <c r="N183" i="1"/>
  <c r="O183" i="1" s="1"/>
  <c r="N111" i="1"/>
  <c r="O111" i="1" s="1"/>
  <c r="N231" i="1"/>
  <c r="O231" i="1" s="1"/>
  <c r="N468" i="1"/>
  <c r="O468" i="1" s="1"/>
  <c r="N170" i="1"/>
  <c r="O170" i="1" s="1"/>
  <c r="N812" i="1"/>
  <c r="O812" i="1" s="1"/>
  <c r="N367" i="1"/>
  <c r="O367" i="1" s="1"/>
  <c r="N422" i="1"/>
  <c r="O422" i="1" s="1"/>
  <c r="N131" i="1"/>
  <c r="O131" i="1" s="1"/>
  <c r="N7" i="1"/>
  <c r="O7" i="1" s="1"/>
  <c r="N789" i="1"/>
  <c r="O789" i="1" s="1"/>
  <c r="N263" i="1"/>
  <c r="O263" i="1" s="1"/>
  <c r="N782" i="1"/>
  <c r="O782" i="1" s="1"/>
  <c r="N518" i="1"/>
  <c r="O518" i="1" s="1"/>
  <c r="N339" i="1"/>
  <c r="O339" i="1" s="1"/>
  <c r="N954" i="1" l="1"/>
  <c r="O954" i="1" s="1"/>
  <c r="N955" i="1"/>
  <c r="O955" i="1" s="1"/>
  <c r="K955" i="1"/>
  <c r="K954" i="1"/>
  <c r="K312" i="1"/>
  <c r="N312" i="1"/>
  <c r="O312" i="1" s="1"/>
  <c r="I278" i="1" l="1"/>
  <c r="G242" i="1" l="1"/>
  <c r="I242" i="1" l="1"/>
  <c r="G3" i="1" l="1"/>
  <c r="I3" i="1" s="1"/>
  <c r="G4" i="1" l="1"/>
  <c r="I4" i="1" l="1"/>
  <c r="G5" i="1" l="1"/>
  <c r="I5" i="1" s="1"/>
  <c r="G94" i="1" l="1"/>
  <c r="I94" i="1" l="1"/>
  <c r="P14" i="1" l="1"/>
  <c r="Q14" i="1" s="1"/>
  <c r="P20" i="1"/>
  <c r="Q20" i="1" s="1"/>
  <c r="P208" i="1"/>
  <c r="Q208" i="1" s="1"/>
  <c r="P511" i="1"/>
  <c r="Q511" i="1" s="1"/>
  <c r="P509" i="1"/>
  <c r="Q509" i="1" s="1"/>
  <c r="P242" i="1"/>
  <c r="Q242" i="1" s="1"/>
  <c r="F242" i="1" s="1"/>
  <c r="P438" i="1"/>
  <c r="Q438" i="1" s="1"/>
  <c r="P77" i="1"/>
  <c r="Q77" i="1" s="1"/>
  <c r="P625" i="1"/>
  <c r="Q625" i="1" s="1"/>
  <c r="P282" i="1"/>
  <c r="Q282" i="1" s="1"/>
  <c r="P390" i="1"/>
  <c r="Q390" i="1" s="1"/>
  <c r="P319" i="1" l="1"/>
  <c r="Q319" i="1" s="1"/>
  <c r="P48" i="1"/>
  <c r="Q48" i="1" s="1"/>
  <c r="P337" i="1"/>
  <c r="Q337" i="1" s="1"/>
  <c r="P251" i="1"/>
  <c r="Q251" i="1" s="1"/>
  <c r="P13" i="1"/>
  <c r="Q13" i="1" s="1"/>
  <c r="P136" i="1"/>
  <c r="Q136" i="1" s="1"/>
  <c r="P280" i="1"/>
  <c r="Q280" i="1" s="1"/>
  <c r="P89" i="1"/>
  <c r="Q89" i="1" s="1"/>
  <c r="P238" i="1"/>
  <c r="Q238" i="1" s="1"/>
  <c r="P505" i="1"/>
  <c r="Q505" i="1" s="1"/>
  <c r="P501" i="1"/>
  <c r="Q501" i="1" s="1"/>
  <c r="P451" i="1"/>
  <c r="Q451" i="1" s="1"/>
  <c r="P234" i="1"/>
  <c r="Q234" i="1" s="1"/>
  <c r="P503" i="1"/>
  <c r="Q503" i="1" s="1"/>
  <c r="P8" i="1"/>
  <c r="Q8" i="1" s="1"/>
  <c r="P104" i="1"/>
  <c r="Q104" i="1" s="1"/>
  <c r="P278" i="1"/>
  <c r="Q278" i="1" s="1"/>
  <c r="P46" i="1"/>
  <c r="Q46" i="1" s="1"/>
  <c r="P773" i="1"/>
  <c r="Q773" i="1" s="1"/>
  <c r="P691" i="1"/>
  <c r="Q691" i="1" s="1"/>
  <c r="P670" i="1"/>
  <c r="Q670" i="1" s="1"/>
  <c r="P698" i="1"/>
  <c r="Q698" i="1" s="1"/>
  <c r="P723" i="1"/>
  <c r="Q723" i="1" s="1"/>
  <c r="P737" i="1"/>
  <c r="Q737" i="1" s="1"/>
  <c r="P789" i="1"/>
  <c r="Q789" i="1" s="1"/>
  <c r="P658" i="1"/>
  <c r="Q658" i="1" s="1"/>
  <c r="P726" i="1"/>
  <c r="Q726" i="1" s="1"/>
  <c r="P796" i="1"/>
  <c r="Q796" i="1" s="1"/>
  <c r="P742" i="1"/>
  <c r="Q742" i="1" s="1"/>
  <c r="P741" i="1"/>
  <c r="Q741" i="1" s="1"/>
  <c r="P774" i="1"/>
  <c r="Q774" i="1" s="1"/>
  <c r="P626" i="1"/>
  <c r="Q626" i="1" s="1"/>
  <c r="P748" i="1"/>
  <c r="Q748" i="1" s="1"/>
  <c r="P685" i="1"/>
  <c r="Q685" i="1" s="1"/>
  <c r="P682" i="1"/>
  <c r="Q682" i="1" s="1"/>
  <c r="P643" i="1"/>
  <c r="Q643" i="1" s="1"/>
  <c r="P664" i="1"/>
  <c r="Q664" i="1" s="1"/>
  <c r="P708" i="1"/>
  <c r="Q708" i="1" s="1"/>
  <c r="P639" i="1"/>
  <c r="Q639" i="1" s="1"/>
  <c r="P662" i="1"/>
  <c r="Q662" i="1" s="1"/>
  <c r="P799" i="1"/>
  <c r="Q799" i="1" s="1"/>
  <c r="P758" i="1"/>
  <c r="Q758" i="1" s="1"/>
  <c r="P725" i="1"/>
  <c r="Q725" i="1" s="1"/>
  <c r="P697" i="1"/>
  <c r="Q697" i="1" s="1"/>
  <c r="P753" i="1"/>
  <c r="Q753" i="1" s="1"/>
  <c r="P790" i="1"/>
  <c r="Q790" i="1" s="1"/>
  <c r="P654" i="1"/>
  <c r="Q654" i="1" s="1"/>
  <c r="P735" i="1"/>
  <c r="Q735" i="1" s="1"/>
  <c r="P705" i="1"/>
  <c r="Q705" i="1" s="1"/>
  <c r="P717" i="1"/>
  <c r="Q717" i="1" s="1"/>
  <c r="P690" i="1"/>
  <c r="Q690" i="1" s="1"/>
  <c r="P660" i="1"/>
  <c r="Q660" i="1" s="1"/>
  <c r="P755" i="1"/>
  <c r="Q755" i="1" s="1"/>
  <c r="P692" i="1"/>
  <c r="Q692" i="1" s="1"/>
  <c r="P772" i="1"/>
  <c r="Q772" i="1" s="1"/>
  <c r="P754" i="1"/>
  <c r="Q754" i="1" s="1"/>
  <c r="P699" i="1"/>
  <c r="Q699" i="1" s="1"/>
  <c r="P653" i="1"/>
  <c r="Q653" i="1" s="1"/>
  <c r="P667" i="1"/>
  <c r="Q667" i="1" s="1"/>
  <c r="P641" i="1"/>
  <c r="Q641" i="1" s="1"/>
  <c r="P688" i="1"/>
  <c r="Q688" i="1" s="1"/>
  <c r="P778" i="1"/>
  <c r="Q778" i="1" s="1"/>
  <c r="P711" i="1"/>
  <c r="Q711" i="1" s="1"/>
  <c r="P648" i="1"/>
  <c r="Q648" i="1" s="1"/>
  <c r="P633" i="1"/>
  <c r="Q633" i="1" s="1"/>
  <c r="P669" i="1"/>
  <c r="Q669" i="1" s="1"/>
  <c r="P656" i="1"/>
  <c r="Q656" i="1" s="1"/>
  <c r="P715" i="1"/>
  <c r="Q715" i="1" s="1"/>
  <c r="P804" i="1"/>
  <c r="Q804" i="1" s="1"/>
  <c r="P720" i="1"/>
  <c r="Q720" i="1" s="1"/>
  <c r="P701" i="1"/>
  <c r="Q701" i="1" s="1"/>
  <c r="P802" i="1"/>
  <c r="Q802" i="1" s="1"/>
  <c r="P663" i="1"/>
  <c r="Q663" i="1" s="1"/>
  <c r="P765" i="1"/>
  <c r="Q765" i="1" s="1"/>
  <c r="P768" i="1"/>
  <c r="Q768" i="1" s="1"/>
  <c r="P694" i="1"/>
  <c r="Q694" i="1" s="1"/>
  <c r="P651" i="1"/>
  <c r="Q651" i="1" s="1"/>
  <c r="P763" i="1"/>
  <c r="Q763" i="1" s="1"/>
  <c r="P784" i="1"/>
  <c r="Q784" i="1" s="1"/>
  <c r="P750" i="1"/>
  <c r="Q750" i="1" s="1"/>
  <c r="P703" i="1"/>
  <c r="Q703" i="1" s="1"/>
  <c r="P787" i="1"/>
  <c r="Q787" i="1" s="1"/>
  <c r="P681" i="1"/>
  <c r="Q681" i="1" s="1"/>
  <c r="P630" i="1"/>
  <c r="Q630" i="1" s="1"/>
  <c r="P746" i="1"/>
  <c r="Q746" i="1" s="1"/>
  <c r="P628" i="1"/>
  <c r="Q628" i="1" s="1"/>
  <c r="P806" i="1"/>
  <c r="Q806" i="1" s="1"/>
  <c r="P767" i="1"/>
  <c r="Q767" i="1" s="1"/>
  <c r="P730" i="1"/>
  <c r="Q730" i="1" s="1"/>
  <c r="P646" i="1"/>
  <c r="Q646" i="1" s="1"/>
  <c r="P719" i="1"/>
  <c r="Q719" i="1" s="1"/>
  <c r="P738" i="1"/>
  <c r="Q738" i="1" s="1"/>
  <c r="P718" i="1"/>
  <c r="Q718" i="1" s="1"/>
  <c r="P739" i="1"/>
  <c r="Q739" i="1" s="1"/>
  <c r="P791" i="1"/>
  <c r="Q791" i="1" s="1"/>
  <c r="P638" i="1"/>
  <c r="Q638" i="1" s="1"/>
  <c r="P722" i="1"/>
  <c r="Q722" i="1" s="1"/>
  <c r="P709" i="1"/>
  <c r="Q709" i="1" s="1"/>
  <c r="P684" i="1"/>
  <c r="Q684" i="1" s="1"/>
  <c r="P760" i="1"/>
  <c r="Q760" i="1" s="1"/>
  <c r="P647" i="1"/>
  <c r="Q647" i="1" s="1"/>
  <c r="P793" i="1"/>
  <c r="Q793" i="1" s="1"/>
  <c r="P775" i="1"/>
  <c r="Q775" i="1" s="1"/>
  <c r="P733" i="1"/>
  <c r="Q733" i="1" s="1"/>
  <c r="P762" i="1"/>
  <c r="Q762" i="1" s="1"/>
  <c r="P785" i="1"/>
  <c r="Q785" i="1" s="1"/>
  <c r="P771" i="1"/>
  <c r="Q771" i="1" s="1"/>
  <c r="P696" i="1"/>
  <c r="Q696" i="1" s="1"/>
  <c r="P634" i="1"/>
  <c r="Q634" i="1" s="1"/>
  <c r="P683" i="1"/>
  <c r="Q683" i="1" s="1"/>
  <c r="P757" i="1"/>
  <c r="Q757" i="1" s="1"/>
  <c r="P777" i="1"/>
  <c r="Q777" i="1" s="1"/>
  <c r="P627" i="1"/>
  <c r="Q627" i="1" s="1"/>
  <c r="P756" i="1"/>
  <c r="Q756" i="1" s="1"/>
  <c r="P693" i="1"/>
  <c r="Q693" i="1" s="1"/>
  <c r="P794" i="1"/>
  <c r="Q794" i="1" s="1"/>
  <c r="P792" i="1"/>
  <c r="Q792" i="1" s="1"/>
  <c r="P665" i="1"/>
  <c r="Q665" i="1" s="1"/>
  <c r="P780" i="1"/>
  <c r="Q780" i="1" s="1"/>
  <c r="P747" i="1"/>
  <c r="Q747" i="1" s="1"/>
  <c r="P652" i="1"/>
  <c r="Q652" i="1" s="1"/>
  <c r="P712" i="1"/>
  <c r="Q712" i="1" s="1"/>
  <c r="P749" i="1"/>
  <c r="Q749" i="1" s="1"/>
  <c r="P783" i="1"/>
  <c r="Q783" i="1" s="1"/>
  <c r="P644" i="1"/>
  <c r="Q644" i="1" s="1"/>
  <c r="P759" i="1"/>
  <c r="Q759" i="1" s="1"/>
  <c r="P672" i="1"/>
  <c r="Q672" i="1" s="1"/>
  <c r="P680" i="1"/>
  <c r="Q680" i="1" s="1"/>
  <c r="P695" i="1"/>
  <c r="Q695" i="1" s="1"/>
  <c r="P668" i="1"/>
  <c r="Q668" i="1" s="1"/>
  <c r="P671" i="1"/>
  <c r="Q671" i="1" s="1"/>
  <c r="P655" i="1"/>
  <c r="Q655" i="1" s="1"/>
  <c r="P801" i="1"/>
  <c r="Q801" i="1" s="1"/>
  <c r="P642" i="1"/>
  <c r="Q642" i="1" s="1"/>
  <c r="P678" i="1"/>
  <c r="Q678" i="1" s="1"/>
  <c r="P786" i="1"/>
  <c r="Q786" i="1" s="1"/>
  <c r="P788" i="1"/>
  <c r="Q788" i="1" s="1"/>
  <c r="P689" i="1"/>
  <c r="Q689" i="1" s="1"/>
  <c r="P635" i="1"/>
  <c r="Q635" i="1" s="1"/>
  <c r="P645" i="1"/>
  <c r="Q645" i="1" s="1"/>
  <c r="P650" i="1"/>
  <c r="Q650" i="1" s="1"/>
  <c r="P706" i="1"/>
  <c r="Q706" i="1" s="1"/>
  <c r="P745" i="1"/>
  <c r="Q745" i="1" s="1"/>
  <c r="P649" i="1"/>
  <c r="Q649" i="1" s="1"/>
  <c r="P721" i="1"/>
  <c r="Q721" i="1" s="1"/>
  <c r="P731" i="1"/>
  <c r="Q731" i="1" s="1"/>
  <c r="P675" i="1"/>
  <c r="Q675" i="1" s="1"/>
  <c r="P736" i="1"/>
  <c r="Q736" i="1" s="1"/>
  <c r="P661" i="1"/>
  <c r="Q661" i="1" s="1"/>
  <c r="P673" i="1"/>
  <c r="Q673" i="1" s="1"/>
  <c r="P744" i="1"/>
  <c r="Q744" i="1" s="1"/>
  <c r="P779" i="1"/>
  <c r="Q779" i="1" s="1"/>
  <c r="P687" i="1"/>
  <c r="Q687" i="1" s="1"/>
  <c r="P724" i="1"/>
  <c r="Q724" i="1" s="1"/>
  <c r="P781" i="1"/>
  <c r="Q781" i="1" s="1"/>
  <c r="P805" i="1"/>
  <c r="Q805" i="1" s="1"/>
  <c r="P734" i="1"/>
  <c r="Q734" i="1" s="1"/>
  <c r="P677" i="1"/>
  <c r="Q677" i="1" s="1"/>
  <c r="P727" i="1"/>
  <c r="Q727" i="1" s="1"/>
  <c r="P740" i="1"/>
  <c r="Q740" i="1" s="1"/>
  <c r="P798" i="1"/>
  <c r="Q798" i="1" s="1"/>
  <c r="P770" i="1"/>
  <c r="Q770" i="1" s="1"/>
  <c r="P666" i="1"/>
  <c r="Q666" i="1" s="1"/>
  <c r="P657" i="1"/>
  <c r="Q657" i="1" s="1"/>
  <c r="P700" i="1"/>
  <c r="Q700" i="1" s="1"/>
  <c r="P769" i="1"/>
  <c r="Q769" i="1" s="1"/>
  <c r="P766" i="1"/>
  <c r="Q766" i="1" s="1"/>
  <c r="P631" i="1"/>
  <c r="Q631" i="1" s="1"/>
  <c r="P704" i="1"/>
  <c r="Q704" i="1" s="1"/>
  <c r="P716" i="1"/>
  <c r="Q716" i="1" s="1"/>
  <c r="P729" i="1"/>
  <c r="Q729" i="1" s="1"/>
  <c r="P732" i="1"/>
  <c r="Q732" i="1" s="1"/>
  <c r="P674" i="1"/>
  <c r="Q674" i="1" s="1"/>
  <c r="P776" i="1"/>
  <c r="Q776" i="1" s="1"/>
  <c r="P637" i="1"/>
  <c r="Q637" i="1" s="1"/>
  <c r="P629" i="1"/>
  <c r="Q629" i="1" s="1"/>
  <c r="P800" i="1"/>
  <c r="Q800" i="1" s="1"/>
  <c r="P702" i="1"/>
  <c r="Q702" i="1" s="1"/>
  <c r="P679" i="1"/>
  <c r="Q679" i="1" s="1"/>
  <c r="P797" i="1"/>
  <c r="Q797" i="1" s="1"/>
  <c r="P659" i="1"/>
  <c r="Q659" i="1" s="1"/>
  <c r="P640" i="1"/>
  <c r="Q640" i="1" s="1"/>
  <c r="P707" i="1"/>
  <c r="Q707" i="1" s="1"/>
  <c r="P803" i="1"/>
  <c r="Q803" i="1" s="1"/>
  <c r="P714" i="1"/>
  <c r="Q714" i="1" s="1"/>
  <c r="P676" i="1"/>
  <c r="Q676" i="1" s="1"/>
  <c r="P764" i="1"/>
  <c r="Q764" i="1" s="1"/>
  <c r="P710" i="1"/>
  <c r="Q710" i="1" s="1"/>
  <c r="P743" i="1"/>
  <c r="Q743" i="1" s="1"/>
  <c r="P636" i="1"/>
  <c r="Q636" i="1" s="1"/>
  <c r="P761" i="1"/>
  <c r="Q761" i="1" s="1"/>
  <c r="P728" i="1"/>
  <c r="Q728" i="1" s="1"/>
  <c r="P632" i="1"/>
  <c r="Q632" i="1" s="1"/>
  <c r="P686" i="1"/>
  <c r="Q686" i="1" s="1"/>
  <c r="P795" i="1"/>
  <c r="Q795" i="1" s="1"/>
  <c r="P782" i="1"/>
  <c r="Q782" i="1" s="1"/>
  <c r="P752" i="1"/>
  <c r="Q752" i="1" s="1"/>
  <c r="P751" i="1"/>
  <c r="Q751" i="1" s="1"/>
  <c r="P713" i="1"/>
  <c r="Q713" i="1" s="1"/>
  <c r="P551" i="1"/>
  <c r="Q551" i="1" s="1"/>
  <c r="P547" i="1"/>
  <c r="Q547" i="1" s="1"/>
  <c r="P130" i="1"/>
  <c r="Q130" i="1" s="1"/>
  <c r="P574" i="1"/>
  <c r="Q574" i="1" s="1"/>
  <c r="P544" i="1"/>
  <c r="Q544" i="1" s="1"/>
  <c r="P842" i="1"/>
  <c r="Q842" i="1" s="1"/>
  <c r="P809" i="1"/>
  <c r="Q809" i="1" s="1"/>
  <c r="P869" i="1"/>
  <c r="Q869" i="1" s="1"/>
  <c r="P861" i="1"/>
  <c r="Q861" i="1" s="1"/>
  <c r="P549" i="1"/>
  <c r="Q549" i="1" s="1"/>
  <c r="P936" i="1"/>
  <c r="Q936" i="1" s="1"/>
  <c r="P545" i="1"/>
  <c r="Q545" i="1" s="1"/>
  <c r="P584" i="1"/>
  <c r="Q584" i="1" s="1"/>
  <c r="P617" i="1"/>
  <c r="Q617" i="1" s="1"/>
  <c r="P586" i="1"/>
  <c r="Q586" i="1" s="1"/>
  <c r="P603" i="1"/>
  <c r="Q603" i="1" s="1"/>
  <c r="P575" i="1"/>
  <c r="Q575" i="1" s="1"/>
  <c r="P820" i="1"/>
  <c r="Q820" i="1" s="1"/>
  <c r="P852" i="1"/>
  <c r="Q852" i="1" s="1"/>
  <c r="P607" i="1"/>
  <c r="Q607" i="1" s="1"/>
  <c r="P908" i="1"/>
  <c r="Q908" i="1" s="1"/>
  <c r="P952" i="1"/>
  <c r="Q952" i="1" s="1"/>
  <c r="P808" i="1"/>
  <c r="Q808" i="1" s="1"/>
  <c r="P878" i="1"/>
  <c r="Q878" i="1" s="1"/>
  <c r="P985" i="1"/>
  <c r="Q985" i="1" s="1"/>
  <c r="P986" i="1"/>
  <c r="Q986" i="1" s="1"/>
  <c r="P591" i="1"/>
  <c r="Q591" i="1" s="1"/>
  <c r="P854" i="1"/>
  <c r="Q854" i="1" s="1"/>
  <c r="P843" i="1"/>
  <c r="Q843" i="1" s="1"/>
  <c r="P909" i="1"/>
  <c r="Q909" i="1" s="1"/>
  <c r="P813" i="1"/>
  <c r="Q813" i="1" s="1"/>
  <c r="P855" i="1"/>
  <c r="Q855" i="1" s="1"/>
  <c r="P593" i="1"/>
  <c r="Q593" i="1" s="1"/>
  <c r="P560" i="1"/>
  <c r="Q560" i="1" s="1"/>
  <c r="P600" i="1"/>
  <c r="Q600" i="1" s="1"/>
  <c r="P884" i="1"/>
  <c r="Q884" i="1" s="1"/>
  <c r="P602" i="1"/>
  <c r="Q602" i="1" s="1"/>
  <c r="P619" i="1"/>
  <c r="Q619" i="1" s="1"/>
  <c r="P588" i="1"/>
  <c r="Q588" i="1" s="1"/>
  <c r="P559" i="1"/>
  <c r="Q559" i="1" s="1"/>
  <c r="P867" i="1"/>
  <c r="Q867" i="1" s="1"/>
  <c r="P623" i="1"/>
  <c r="Q623" i="1" s="1"/>
  <c r="P953" i="1"/>
  <c r="Q953" i="1" s="1"/>
  <c r="P822" i="1"/>
  <c r="Q822" i="1" s="1"/>
  <c r="P925" i="1"/>
  <c r="Q925" i="1" s="1"/>
  <c r="P611" i="1"/>
  <c r="Q611" i="1" s="1"/>
  <c r="P885" i="1"/>
  <c r="Q885" i="1" s="1"/>
  <c r="P915" i="1"/>
  <c r="Q915" i="1" s="1"/>
  <c r="P916" i="1"/>
  <c r="Q916" i="1" s="1"/>
  <c r="P889" i="1"/>
  <c r="Q889" i="1" s="1"/>
  <c r="P850" i="1"/>
  <c r="Q850" i="1" s="1"/>
  <c r="P844" i="1"/>
  <c r="Q844" i="1" s="1"/>
  <c r="P857" i="1"/>
  <c r="Q857" i="1" s="1"/>
  <c r="P616" i="1"/>
  <c r="Q616" i="1" s="1"/>
  <c r="P890" i="1"/>
  <c r="Q890" i="1" s="1"/>
  <c r="P618" i="1"/>
  <c r="Q618" i="1" s="1"/>
  <c r="P577" i="1"/>
  <c r="Q577" i="1" s="1"/>
  <c r="P604" i="1"/>
  <c r="Q604" i="1" s="1"/>
  <c r="P576" i="1"/>
  <c r="Q576" i="1" s="1"/>
  <c r="P874" i="1"/>
  <c r="Q874" i="1" s="1"/>
  <c r="P882" i="1"/>
  <c r="Q882" i="1" s="1"/>
  <c r="P930" i="1"/>
  <c r="Q930" i="1" s="1"/>
  <c r="P967" i="1"/>
  <c r="Q967" i="1" s="1"/>
  <c r="P984" i="1"/>
  <c r="Q984" i="1" s="1"/>
  <c r="P987" i="1"/>
  <c r="Q987" i="1" s="1"/>
  <c r="P608" i="1"/>
  <c r="Q608" i="1" s="1"/>
  <c r="P624" i="1"/>
  <c r="Q624" i="1" s="1"/>
  <c r="P558" i="1"/>
  <c r="Q558" i="1" s="1"/>
  <c r="P992" i="1"/>
  <c r="Q992" i="1" s="1"/>
  <c r="P906" i="1"/>
  <c r="Q906" i="1" s="1"/>
  <c r="P938" i="1"/>
  <c r="Q938" i="1" s="1"/>
  <c r="P941" i="1"/>
  <c r="Q941" i="1" s="1"/>
  <c r="P917" i="1"/>
  <c r="Q917" i="1" s="1"/>
  <c r="P827" i="1"/>
  <c r="Q827" i="1" s="1"/>
  <c r="P860" i="1"/>
  <c r="Q860" i="1" s="1"/>
  <c r="P870" i="1"/>
  <c r="Q870" i="1" s="1"/>
  <c r="P846" i="1"/>
  <c r="Q846" i="1" s="1"/>
  <c r="P849" i="1"/>
  <c r="Q849" i="1" s="1"/>
  <c r="P905" i="1"/>
  <c r="Q905" i="1" s="1"/>
  <c r="P838" i="1"/>
  <c r="Q838" i="1" s="1"/>
  <c r="P620" i="1"/>
  <c r="Q620" i="1" s="1"/>
  <c r="P589" i="1"/>
  <c r="Q589" i="1" s="1"/>
  <c r="P876" i="1"/>
  <c r="Q876" i="1" s="1"/>
  <c r="P935" i="1"/>
  <c r="Q935" i="1" s="1"/>
  <c r="P929" i="1"/>
  <c r="Q929" i="1" s="1"/>
  <c r="P821" i="1"/>
  <c r="Q821" i="1" s="1"/>
  <c r="P942" i="1"/>
  <c r="Q942" i="1" s="1"/>
  <c r="P598" i="1"/>
  <c r="Q598" i="1" s="1"/>
  <c r="P914" i="1"/>
  <c r="Q914" i="1" s="1"/>
  <c r="P957" i="1"/>
  <c r="Q957" i="1" s="1"/>
  <c r="P958" i="1"/>
  <c r="Q958" i="1" s="1"/>
  <c r="P944" i="1"/>
  <c r="Q944" i="1" s="1"/>
  <c r="P833" i="1"/>
  <c r="Q833" i="1" s="1"/>
  <c r="P913" i="1"/>
  <c r="Q913" i="1" s="1"/>
  <c r="P894" i="1"/>
  <c r="Q894" i="1" s="1"/>
  <c r="P871" i="1"/>
  <c r="Q871" i="1" s="1"/>
  <c r="P897" i="1"/>
  <c r="Q897" i="1" s="1"/>
  <c r="P872" i="1"/>
  <c r="Q872" i="1" s="1"/>
  <c r="P847" i="1"/>
  <c r="Q847" i="1" s="1"/>
  <c r="P955" i="1"/>
  <c r="Q955" i="1" s="1"/>
  <c r="P605" i="1"/>
  <c r="Q605" i="1" s="1"/>
  <c r="P903" i="1"/>
  <c r="Q903" i="1" s="1"/>
  <c r="P954" i="1"/>
  <c r="Q954" i="1" s="1"/>
  <c r="P816" i="1"/>
  <c r="Q816" i="1" s="1"/>
  <c r="P966" i="1"/>
  <c r="Q966" i="1" s="1"/>
  <c r="P554" i="1"/>
  <c r="Q554" i="1" s="1"/>
  <c r="P41" i="1"/>
  <c r="Q41" i="1" s="1"/>
  <c r="P989" i="1"/>
  <c r="Q989" i="1" s="1"/>
  <c r="P824" i="1"/>
  <c r="Q824" i="1" s="1"/>
  <c r="P937" i="1"/>
  <c r="Q937" i="1" s="1"/>
  <c r="P43" i="1"/>
  <c r="Q43" i="1" s="1"/>
  <c r="P919" i="1"/>
  <c r="Q919" i="1" s="1"/>
  <c r="P959" i="1"/>
  <c r="Q959" i="1" s="1"/>
  <c r="P42" i="1"/>
  <c r="Q42" i="1" s="1"/>
  <c r="P918" i="1"/>
  <c r="Q918" i="1" s="1"/>
  <c r="P921" i="1"/>
  <c r="Q921" i="1" s="1"/>
  <c r="P862" i="1"/>
  <c r="Q862" i="1" s="1"/>
  <c r="P807" i="1"/>
  <c r="Q807" i="1" s="1"/>
  <c r="P949" i="1"/>
  <c r="Q949" i="1" s="1"/>
  <c r="P851" i="1"/>
  <c r="Q851" i="1" s="1"/>
  <c r="P858" i="1"/>
  <c r="Q858" i="1" s="1"/>
  <c r="P621" i="1"/>
  <c r="Q621" i="1" s="1"/>
  <c r="P832" i="1"/>
  <c r="Q832" i="1" s="1"/>
  <c r="P968" i="1"/>
  <c r="Q968" i="1" s="1"/>
  <c r="P964" i="1"/>
  <c r="Q964" i="1" s="1"/>
  <c r="P553" i="1"/>
  <c r="Q553" i="1" s="1"/>
  <c r="P567" i="1"/>
  <c r="Q567" i="1" s="1"/>
  <c r="P902" i="1"/>
  <c r="Q902" i="1" s="1"/>
  <c r="P886" i="1"/>
  <c r="Q886" i="1" s="1"/>
  <c r="P79" i="1"/>
  <c r="Q79" i="1" s="1"/>
  <c r="P374" i="1"/>
  <c r="Q374" i="1" s="1"/>
  <c r="P956" i="1"/>
  <c r="Q956" i="1" s="1"/>
  <c r="P970" i="1"/>
  <c r="Q970" i="1" s="1"/>
  <c r="P971" i="1"/>
  <c r="Q971" i="1" s="1"/>
  <c r="P114" i="1"/>
  <c r="Q114" i="1" s="1"/>
  <c r="P121" i="1"/>
  <c r="Q121" i="1" s="1"/>
  <c r="P945" i="1"/>
  <c r="Q945" i="1" s="1"/>
  <c r="P946" i="1"/>
  <c r="Q946" i="1" s="1"/>
  <c r="P896" i="1"/>
  <c r="Q896" i="1" s="1"/>
  <c r="P923" i="1"/>
  <c r="Q923" i="1" s="1"/>
  <c r="P965" i="1"/>
  <c r="Q965" i="1" s="1"/>
  <c r="P873" i="1"/>
  <c r="Q873" i="1" s="1"/>
  <c r="P875" i="1"/>
  <c r="Q875" i="1" s="1"/>
  <c r="P826" i="1"/>
  <c r="Q826" i="1" s="1"/>
  <c r="P548" i="1"/>
  <c r="Q548" i="1" s="1"/>
  <c r="P977" i="1"/>
  <c r="Q977" i="1" s="1"/>
  <c r="P834" i="1"/>
  <c r="Q834" i="1" s="1"/>
  <c r="P981" i="1"/>
  <c r="Q981" i="1" s="1"/>
  <c r="P975" i="1"/>
  <c r="Q975" i="1" s="1"/>
  <c r="P613" i="1"/>
  <c r="Q613" i="1" s="1"/>
  <c r="P85" i="1"/>
  <c r="Q85" i="1" s="1"/>
  <c r="P556" i="1"/>
  <c r="Q556" i="1" s="1"/>
  <c r="P184" i="1"/>
  <c r="Q184" i="1" s="1"/>
  <c r="P818" i="1"/>
  <c r="Q818" i="1" s="1"/>
  <c r="P960" i="1"/>
  <c r="Q960" i="1" s="1"/>
  <c r="P961" i="1"/>
  <c r="Q961" i="1" s="1"/>
  <c r="P962" i="1"/>
  <c r="Q962" i="1" s="1"/>
  <c r="P922" i="1"/>
  <c r="Q922" i="1" s="1"/>
  <c r="P948" i="1"/>
  <c r="Q948" i="1" s="1"/>
  <c r="P940" i="1"/>
  <c r="Q940" i="1" s="1"/>
  <c r="P899" i="1"/>
  <c r="Q899" i="1" s="1"/>
  <c r="P900" i="1"/>
  <c r="Q900" i="1" s="1"/>
  <c r="P555" i="1"/>
  <c r="Q555" i="1" s="1"/>
  <c r="P998" i="1"/>
  <c r="Q998" i="1" s="1"/>
  <c r="P988" i="1"/>
  <c r="Q988" i="1" s="1"/>
  <c r="P594" i="1"/>
  <c r="Q594" i="1" s="1"/>
  <c r="P969" i="1"/>
  <c r="Q969" i="1" s="1"/>
  <c r="P892" i="1"/>
  <c r="Q892" i="1" s="1"/>
  <c r="P994" i="1"/>
  <c r="Q994" i="1" s="1"/>
  <c r="P927" i="1"/>
  <c r="Q927" i="1" s="1"/>
  <c r="P383" i="1"/>
  <c r="Q383" i="1" s="1"/>
  <c r="P552" i="1"/>
  <c r="Q552" i="1" s="1"/>
  <c r="P76" i="1"/>
  <c r="Q76" i="1" s="1"/>
  <c r="P963" i="1"/>
  <c r="Q963" i="1" s="1"/>
  <c r="P974" i="1"/>
  <c r="Q974" i="1" s="1"/>
  <c r="P991" i="1"/>
  <c r="Q991" i="1" s="1"/>
  <c r="P599" i="1"/>
  <c r="Q599" i="1" s="1"/>
  <c r="P978" i="1"/>
  <c r="Q978" i="1" s="1"/>
  <c r="P546" i="1"/>
  <c r="Q546" i="1" s="1"/>
  <c r="P562" i="1"/>
  <c r="Q562" i="1" s="1"/>
  <c r="P327" i="1"/>
  <c r="Q327" i="1" s="1"/>
  <c r="P920" i="1"/>
  <c r="Q920" i="1" s="1"/>
  <c r="P979" i="1"/>
  <c r="Q979" i="1" s="1"/>
  <c r="P980" i="1"/>
  <c r="Q980" i="1" s="1"/>
  <c r="P973" i="1"/>
  <c r="Q973" i="1" s="1"/>
  <c r="P939" i="1"/>
  <c r="Q939" i="1" s="1"/>
  <c r="P877" i="1"/>
  <c r="Q877" i="1" s="1"/>
  <c r="P950" i="1"/>
  <c r="Q950" i="1" s="1"/>
  <c r="P951" i="1"/>
  <c r="Q951" i="1" s="1"/>
  <c r="P898" i="1"/>
  <c r="Q898" i="1" s="1"/>
  <c r="P943" i="1"/>
  <c r="Q943" i="1" s="1"/>
  <c r="P592" i="1"/>
  <c r="Q592" i="1" s="1"/>
  <c r="P590" i="1"/>
  <c r="Q590" i="1" s="1"/>
  <c r="P557" i="1"/>
  <c r="Q557" i="1" s="1"/>
  <c r="P572" i="1"/>
  <c r="Q572" i="1" s="1"/>
  <c r="P828" i="1"/>
  <c r="Q828" i="1" s="1"/>
  <c r="P993" i="1"/>
  <c r="Q993" i="1" s="1"/>
  <c r="P580" i="1"/>
  <c r="Q580" i="1" s="1"/>
  <c r="P563" i="1"/>
  <c r="Q563" i="1" s="1"/>
  <c r="P976" i="1"/>
  <c r="Q976" i="1" s="1"/>
  <c r="P322" i="1"/>
  <c r="Q322" i="1" s="1"/>
  <c r="P233" i="1"/>
  <c r="Q233" i="1" s="1"/>
  <c r="P561" i="1"/>
  <c r="Q561" i="1" s="1"/>
  <c r="P596" i="1"/>
  <c r="Q596" i="1" s="1"/>
  <c r="P569" i="1"/>
  <c r="Q569" i="1" s="1"/>
  <c r="P564" i="1"/>
  <c r="Q564" i="1" s="1"/>
  <c r="P879" i="1"/>
  <c r="Q879" i="1" s="1"/>
  <c r="P880" i="1"/>
  <c r="Q880" i="1" s="1"/>
  <c r="P982" i="1"/>
  <c r="Q982" i="1" s="1"/>
  <c r="P881" i="1"/>
  <c r="Q881" i="1" s="1"/>
  <c r="P823" i="1"/>
  <c r="Q823" i="1" s="1"/>
  <c r="P997" i="1"/>
  <c r="Q997" i="1" s="1"/>
  <c r="P606" i="1"/>
  <c r="Q606" i="1" s="1"/>
  <c r="P587" i="1"/>
  <c r="Q587" i="1" s="1"/>
  <c r="P568" i="1"/>
  <c r="Q568" i="1" s="1"/>
  <c r="P579" i="1"/>
  <c r="Q579" i="1" s="1"/>
  <c r="P612" i="1"/>
  <c r="Q612" i="1" s="1"/>
  <c r="P581" i="1"/>
  <c r="Q581" i="1" s="1"/>
  <c r="P570" i="1"/>
  <c r="Q570" i="1" s="1"/>
  <c r="P931" i="1"/>
  <c r="Q931" i="1" s="1"/>
  <c r="P910" i="1"/>
  <c r="Q910" i="1" s="1"/>
  <c r="P933" i="1"/>
  <c r="Q933" i="1" s="1"/>
  <c r="P911" i="1"/>
  <c r="Q911" i="1" s="1"/>
  <c r="P883" i="1"/>
  <c r="Q883" i="1" s="1"/>
  <c r="P585" i="1"/>
  <c r="Q585" i="1" s="1"/>
  <c r="P622" i="1"/>
  <c r="Q622" i="1" s="1"/>
  <c r="P578" i="1"/>
  <c r="Q578" i="1" s="1"/>
  <c r="P595" i="1"/>
  <c r="Q595" i="1" s="1"/>
  <c r="P853" i="1"/>
  <c r="Q853" i="1" s="1"/>
  <c r="P597" i="1"/>
  <c r="Q597" i="1" s="1"/>
  <c r="P582" i="1"/>
  <c r="Q582" i="1" s="1"/>
  <c r="P583" i="1"/>
  <c r="Q583" i="1" s="1"/>
  <c r="P932" i="1"/>
  <c r="Q932" i="1" s="1"/>
  <c r="P996" i="1"/>
  <c r="Q996" i="1" s="1"/>
  <c r="P64" i="1"/>
  <c r="Q64" i="1" s="1"/>
  <c r="P566" i="1"/>
  <c r="Q566" i="1" s="1"/>
  <c r="P601" i="1"/>
  <c r="Q601" i="1" s="1"/>
  <c r="P610" i="1"/>
  <c r="Q610" i="1" s="1"/>
  <c r="P609" i="1"/>
  <c r="Q609" i="1" s="1"/>
  <c r="P848" i="1"/>
  <c r="Q848" i="1" s="1"/>
  <c r="P856" i="1"/>
  <c r="Q856" i="1" s="1"/>
  <c r="P614" i="1"/>
  <c r="Q614" i="1" s="1"/>
  <c r="P615" i="1"/>
  <c r="Q615" i="1" s="1"/>
  <c r="P571" i="1"/>
  <c r="Q571" i="1" s="1"/>
  <c r="P371" i="1"/>
  <c r="Q371" i="1" s="1"/>
  <c r="P443" i="1"/>
  <c r="Q443" i="1" s="1"/>
  <c r="P110" i="1"/>
  <c r="Q110" i="1" s="1"/>
  <c r="P448" i="1"/>
  <c r="Q448" i="1" s="1"/>
  <c r="P17" i="1"/>
  <c r="Q17" i="1" s="1"/>
  <c r="P58" i="1"/>
  <c r="Q58" i="1" s="1"/>
  <c r="P499" i="1"/>
  <c r="Q499" i="1" s="1"/>
  <c r="P212" i="1"/>
  <c r="Q212" i="1" s="1"/>
  <c r="P99" i="1"/>
  <c r="Q99" i="1" s="1"/>
  <c r="P456" i="1"/>
  <c r="Q456" i="1" s="1"/>
  <c r="P96" i="1"/>
  <c r="Q96" i="1" s="1"/>
  <c r="P498" i="1"/>
  <c r="Q498" i="1" s="1"/>
  <c r="P109" i="1"/>
  <c r="Q109" i="1" s="1"/>
  <c r="P95" i="1"/>
  <c r="Q95" i="1" s="1"/>
  <c r="P92" i="1"/>
  <c r="Q92" i="1" s="1"/>
  <c r="P432" i="1"/>
  <c r="Q432" i="1" s="1"/>
  <c r="P315" i="1"/>
  <c r="Q315" i="1" s="1"/>
  <c r="P295" i="1"/>
  <c r="Q295" i="1" s="1"/>
  <c r="P24" i="1"/>
  <c r="Q24" i="1" s="1"/>
  <c r="P421" i="1"/>
  <c r="Q421" i="1" s="1"/>
  <c r="P326" i="1"/>
  <c r="Q326" i="1" s="1"/>
  <c r="P139" i="1"/>
  <c r="Q139" i="1" s="1"/>
  <c r="P454" i="1"/>
  <c r="Q454" i="1" s="1"/>
  <c r="P166" i="1"/>
  <c r="Q166" i="1" s="1"/>
  <c r="P107" i="1"/>
  <c r="Q107" i="1" s="1"/>
  <c r="P128" i="1"/>
  <c r="Q128" i="1" s="1"/>
  <c r="P357" i="1"/>
  <c r="Q357" i="1" s="1"/>
  <c r="P144" i="1"/>
  <c r="Q144" i="1" s="1"/>
  <c r="P191" i="1"/>
  <c r="Q191" i="1" s="1"/>
  <c r="P193" i="1"/>
  <c r="Q193" i="1" s="1"/>
  <c r="P178" i="1"/>
  <c r="Q178" i="1" s="1"/>
  <c r="P50" i="1"/>
  <c r="Q50" i="1" s="1"/>
  <c r="P201" i="1"/>
  <c r="Q201" i="1" s="1"/>
  <c r="P105" i="1"/>
  <c r="Q105" i="1" s="1"/>
  <c r="P116" i="1"/>
  <c r="Q116" i="1" s="1"/>
  <c r="P377" i="1"/>
  <c r="Q377" i="1" s="1"/>
  <c r="P206" i="1"/>
  <c r="Q206" i="1" s="1"/>
  <c r="P231" i="1"/>
  <c r="Q231" i="1" s="1"/>
  <c r="P190" i="1"/>
  <c r="Q190" i="1" s="1"/>
  <c r="P519" i="1"/>
  <c r="Q519" i="1" s="1"/>
  <c r="P217" i="1"/>
  <c r="Q217" i="1" s="1"/>
  <c r="P5" i="1"/>
  <c r="Q5" i="1" s="1"/>
  <c r="F5" i="1" s="1"/>
  <c r="P318" i="1"/>
  <c r="Q318" i="1" s="1"/>
  <c r="P137" i="1"/>
  <c r="Q137" i="1" s="1"/>
  <c r="P47" i="1"/>
  <c r="Q47" i="1" s="1"/>
  <c r="P444" i="1"/>
  <c r="Q444" i="1" s="1"/>
  <c r="P3" i="1"/>
  <c r="Q3" i="1" s="1"/>
  <c r="F3" i="1" s="1"/>
  <c r="P300" i="1"/>
  <c r="Q300" i="1" s="1"/>
  <c r="P90" i="1"/>
  <c r="Q90" i="1" s="1"/>
  <c r="P75" i="1"/>
  <c r="Q75" i="1" s="1"/>
  <c r="P445" i="1"/>
  <c r="Q445" i="1" s="1"/>
  <c r="P473" i="1"/>
  <c r="Q473" i="1" s="1"/>
  <c r="P84" i="1"/>
  <c r="Q84" i="1" s="1"/>
  <c r="P228" i="1"/>
  <c r="Q228" i="1" s="1"/>
  <c r="P230" i="1"/>
  <c r="Q230" i="1" s="1"/>
  <c r="P103" i="1"/>
  <c r="Q103" i="1" s="1"/>
  <c r="P7" i="1"/>
  <c r="Q7" i="1" s="1"/>
  <c r="P289" i="1"/>
  <c r="Q289" i="1" s="1"/>
  <c r="P226" i="1"/>
  <c r="Q226" i="1" s="1"/>
  <c r="P429" i="1"/>
  <c r="Q429" i="1" s="1"/>
  <c r="P345" i="1"/>
  <c r="Q345" i="1" s="1"/>
  <c r="P30" i="1"/>
  <c r="Q30" i="1" s="1"/>
  <c r="P245" i="1"/>
  <c r="Q245" i="1" s="1"/>
  <c r="P350" i="1"/>
  <c r="Q350" i="1" s="1"/>
  <c r="P151" i="1"/>
  <c r="Q151" i="1" s="1"/>
  <c r="P250" i="1"/>
  <c r="Q250" i="1" s="1"/>
  <c r="P253" i="1"/>
  <c r="Q253" i="1" s="1"/>
  <c r="P279" i="1"/>
  <c r="Q279" i="1" s="1"/>
  <c r="P466" i="1"/>
  <c r="Q466" i="1" s="1"/>
  <c r="P508" i="1"/>
  <c r="Q508" i="1" s="1"/>
  <c r="P435" i="1"/>
  <c r="Q435" i="1" s="1"/>
  <c r="P69" i="1"/>
  <c r="Q69" i="1" s="1"/>
  <c r="P93" i="1"/>
  <c r="Q93" i="1" s="1"/>
  <c r="P442" i="1"/>
  <c r="Q442" i="1" s="1"/>
  <c r="P358" i="1"/>
  <c r="Q358" i="1" s="1"/>
  <c r="P416" i="1"/>
  <c r="Q416" i="1" s="1"/>
  <c r="P335" i="1"/>
  <c r="Q335" i="1" s="1"/>
  <c r="P155" i="1"/>
  <c r="Q155" i="1" s="1"/>
  <c r="P118" i="1"/>
  <c r="Q118" i="1" s="1"/>
  <c r="P317" i="1"/>
  <c r="Q317" i="1" s="1"/>
  <c r="P283" i="1"/>
  <c r="Q283" i="1" s="1"/>
  <c r="P218" i="1"/>
  <c r="Q218" i="1" s="1"/>
  <c r="P331" i="1"/>
  <c r="Q331" i="1" s="1"/>
  <c r="P174" i="1"/>
  <c r="Q174" i="1" s="1"/>
  <c r="P408" i="1"/>
  <c r="Q408" i="1" s="1"/>
  <c r="P276" i="1"/>
  <c r="Q276" i="1" s="1"/>
  <c r="P197" i="1"/>
  <c r="Q197" i="1" s="1"/>
  <c r="P332" i="1"/>
  <c r="Q332" i="1" s="1"/>
  <c r="P254" i="1"/>
  <c r="Q254" i="1" s="1"/>
  <c r="P403" i="1"/>
  <c r="Q403" i="1" s="1"/>
  <c r="P123" i="1"/>
  <c r="Q123" i="1" s="1"/>
  <c r="P220" i="1"/>
  <c r="Q220" i="1" s="1"/>
  <c r="P119" i="1"/>
  <c r="Q119" i="1" s="1"/>
  <c r="P364" i="1"/>
  <c r="Q364" i="1" s="1"/>
  <c r="P213" i="1"/>
  <c r="Q213" i="1" s="1"/>
  <c r="P496" i="1"/>
  <c r="Q496" i="1" s="1"/>
  <c r="P171" i="1"/>
  <c r="Q171" i="1" s="1"/>
  <c r="P214" i="1"/>
  <c r="Q214" i="1" s="1"/>
  <c r="P211" i="1"/>
  <c r="Q211" i="1" s="1"/>
  <c r="P398" i="1"/>
  <c r="Q398" i="1" s="1"/>
  <c r="P359" i="1"/>
  <c r="Q359" i="1" s="1"/>
  <c r="P394" i="1"/>
  <c r="Q394" i="1" s="1"/>
  <c r="P475" i="1"/>
  <c r="Q475" i="1" s="1"/>
  <c r="P468" i="1"/>
  <c r="Q468" i="1" s="1"/>
  <c r="P459" i="1"/>
  <c r="Q459" i="1" s="1"/>
  <c r="P455" i="1"/>
  <c r="Q455" i="1" s="1"/>
  <c r="P26" i="1"/>
  <c r="Q26" i="1" s="1"/>
  <c r="P409" i="1"/>
  <c r="Q409" i="1" s="1"/>
  <c r="P199" i="1"/>
  <c r="Q199" i="1" s="1"/>
  <c r="P449" i="1"/>
  <c r="Q449" i="1" s="1"/>
  <c r="P168" i="1"/>
  <c r="Q168" i="1" s="1"/>
  <c r="P100" i="1"/>
  <c r="Q100" i="1" s="1"/>
  <c r="P243" i="1"/>
  <c r="Q243" i="1" s="1"/>
  <c r="P284" i="1"/>
  <c r="Q284" i="1" s="1"/>
  <c r="P143" i="1"/>
  <c r="Q143" i="1" s="1"/>
  <c r="P195" i="1"/>
  <c r="Q195" i="1" s="1"/>
  <c r="P324" i="1"/>
  <c r="Q324" i="1" s="1"/>
  <c r="P453" i="1"/>
  <c r="Q453" i="1" s="1"/>
  <c r="P418" i="1"/>
  <c r="Q418" i="1" s="1"/>
  <c r="P310" i="1"/>
  <c r="Q310" i="1" s="1"/>
  <c r="P6" i="1"/>
  <c r="Q6" i="1" s="1"/>
  <c r="P457" i="1"/>
  <c r="Q457" i="1" s="1"/>
  <c r="P425" i="1"/>
  <c r="Q425" i="1" s="1"/>
  <c r="P188" i="1"/>
  <c r="Q188" i="1" s="1"/>
  <c r="P147" i="1"/>
  <c r="Q147" i="1" s="1"/>
  <c r="P256" i="1"/>
  <c r="Q256" i="1" s="1"/>
  <c r="P306" i="1"/>
  <c r="Q306" i="1" s="1"/>
  <c r="P70" i="1"/>
  <c r="Q70" i="1" s="1"/>
  <c r="P428" i="1"/>
  <c r="Q428" i="1" s="1"/>
  <c r="P15" i="1"/>
  <c r="Q15" i="1" s="1"/>
  <c r="P406" i="1"/>
  <c r="Q406" i="1" s="1"/>
  <c r="P25" i="1"/>
  <c r="Q25" i="1" s="1"/>
  <c r="P131" i="1"/>
  <c r="Q131" i="1" s="1"/>
  <c r="P415" i="1"/>
  <c r="Q415" i="1" s="1"/>
  <c r="P400" i="1"/>
  <c r="Q400" i="1" s="1"/>
  <c r="P404" i="1"/>
  <c r="Q404" i="1" s="1"/>
  <c r="P235" i="1"/>
  <c r="Q235" i="1" s="1"/>
  <c r="P182" i="1"/>
  <c r="Q182" i="1" s="1"/>
  <c r="P402" i="1"/>
  <c r="Q402" i="1" s="1"/>
  <c r="P354" i="1"/>
  <c r="Q354" i="1" s="1"/>
  <c r="P470" i="1"/>
  <c r="Q470" i="1" s="1"/>
  <c r="P272" i="1"/>
  <c r="Q272" i="1" s="1"/>
  <c r="P467" i="1"/>
  <c r="Q467" i="1" s="1"/>
  <c r="P419" i="1"/>
  <c r="Q419" i="1" s="1"/>
  <c r="P115" i="1"/>
  <c r="Q115" i="1" s="1"/>
  <c r="P320" i="1"/>
  <c r="Q320" i="1" s="1"/>
  <c r="P172" i="1"/>
  <c r="Q172" i="1" s="1"/>
  <c r="P204" i="1"/>
  <c r="Q204" i="1" s="1"/>
  <c r="P148" i="1"/>
  <c r="Q148" i="1" s="1"/>
  <c r="P507" i="1"/>
  <c r="Q507" i="1" s="1"/>
  <c r="P67" i="1"/>
  <c r="Q67" i="1" s="1"/>
  <c r="P135" i="1"/>
  <c r="Q135" i="1" s="1"/>
  <c r="P209" i="1"/>
  <c r="Q209" i="1" s="1"/>
  <c r="P45" i="1"/>
  <c r="Q45" i="1" s="1"/>
  <c r="P341" i="1"/>
  <c r="Q341" i="1" s="1"/>
  <c r="P277" i="1"/>
  <c r="Q277" i="1" s="1"/>
  <c r="P4" i="1"/>
  <c r="Q4" i="1" s="1"/>
  <c r="F4" i="1" s="1"/>
  <c r="P219" i="1"/>
  <c r="Q219" i="1" s="1"/>
  <c r="P506" i="1"/>
  <c r="Q506" i="1" s="1"/>
  <c r="P198" i="1"/>
  <c r="Q198" i="1" s="1"/>
  <c r="P388" i="1"/>
  <c r="Q388" i="1" s="1"/>
  <c r="P269" i="1"/>
  <c r="Q269" i="1" s="1"/>
  <c r="P481" i="1"/>
  <c r="Q481" i="1" s="1"/>
  <c r="P487" i="1"/>
  <c r="Q487" i="1" s="1"/>
  <c r="P866" i="1"/>
  <c r="Q866" i="1" s="1"/>
  <c r="P373" i="1"/>
  <c r="Q373" i="1" s="1"/>
  <c r="P142" i="1"/>
  <c r="Q142" i="1" s="1"/>
  <c r="P249" i="1"/>
  <c r="Q249" i="1" s="1"/>
  <c r="P389" i="1"/>
  <c r="Q389" i="1" s="1"/>
  <c r="P1000" i="1"/>
  <c r="Q1000" i="1" s="1"/>
  <c r="P353" i="1"/>
  <c r="Q353" i="1" s="1"/>
  <c r="P2" i="1"/>
  <c r="Q2" i="1" s="1"/>
  <c r="P835" i="1"/>
  <c r="Q835" i="1" s="1"/>
  <c r="P348" i="1"/>
  <c r="Q348" i="1" s="1"/>
  <c r="P360" i="1"/>
  <c r="Q360" i="1" s="1"/>
  <c r="P447" i="1"/>
  <c r="Q447" i="1" s="1"/>
  <c r="P349" i="1"/>
  <c r="Q349" i="1" s="1"/>
  <c r="P44" i="1"/>
  <c r="Q44" i="1" s="1"/>
  <c r="P439" i="1"/>
  <c r="Q439" i="1" s="1"/>
  <c r="P366" i="1"/>
  <c r="Q366" i="1" s="1"/>
  <c r="P307" i="1"/>
  <c r="Q307" i="1" s="1"/>
  <c r="P525" i="1"/>
  <c r="Q525" i="1" s="1"/>
  <c r="P426" i="1"/>
  <c r="Q426" i="1" s="1"/>
  <c r="P819" i="1"/>
  <c r="Q819" i="1" s="1"/>
  <c r="P311" i="1"/>
  <c r="Q311" i="1" s="1"/>
  <c r="P434" i="1"/>
  <c r="Q434" i="1" s="1"/>
  <c r="P120" i="1"/>
  <c r="Q120" i="1" s="1"/>
  <c r="P321" i="1"/>
  <c r="Q321" i="1" s="1"/>
  <c r="P339" i="1"/>
  <c r="Q339" i="1" s="1"/>
  <c r="P830" i="1"/>
  <c r="Q830" i="1" s="1"/>
  <c r="P476" i="1"/>
  <c r="Q476" i="1" s="1"/>
  <c r="P469" i="1"/>
  <c r="Q469" i="1" s="1"/>
  <c r="P452" i="1"/>
  <c r="Q452" i="1" s="1"/>
  <c r="P247" i="1"/>
  <c r="Q247" i="1" s="1"/>
  <c r="P154" i="1"/>
  <c r="Q154" i="1" s="1"/>
  <c r="P391" i="1"/>
  <c r="Q391" i="1" s="1"/>
  <c r="P161" i="1"/>
  <c r="Q161" i="1" s="1"/>
  <c r="P72" i="1"/>
  <c r="Q72" i="1" s="1"/>
  <c r="P346" i="1"/>
  <c r="Q346" i="1" s="1"/>
  <c r="P382" i="1"/>
  <c r="Q382" i="1" s="1"/>
  <c r="P169" i="1"/>
  <c r="Q169" i="1" s="1"/>
  <c r="P87" i="1"/>
  <c r="Q87" i="1" s="1"/>
  <c r="P36" i="1"/>
  <c r="Q36" i="1" s="1"/>
  <c r="P40" i="1"/>
  <c r="Q40" i="1" s="1"/>
  <c r="P16" i="1"/>
  <c r="Q16" i="1" s="1"/>
  <c r="P510" i="1"/>
  <c r="Q510" i="1" s="1"/>
  <c r="P465" i="1"/>
  <c r="Q465" i="1" s="1"/>
  <c r="P512" i="1"/>
  <c r="Q512" i="1" s="1"/>
  <c r="P141" i="1"/>
  <c r="Q141" i="1" s="1"/>
  <c r="P450" i="1"/>
  <c r="Q450" i="1" s="1"/>
  <c r="P529" i="1"/>
  <c r="Q529" i="1" s="1"/>
  <c r="P264" i="1"/>
  <c r="Q264" i="1" s="1"/>
  <c r="P526" i="1"/>
  <c r="Q526" i="1" s="1"/>
  <c r="P483" i="1"/>
  <c r="Q483" i="1" s="1"/>
  <c r="P362" i="1"/>
  <c r="Q362" i="1" s="1"/>
  <c r="P227" i="1"/>
  <c r="Q227" i="1" s="1"/>
  <c r="P531" i="1"/>
  <c r="Q531" i="1" s="1"/>
  <c r="P170" i="1"/>
  <c r="Q170" i="1" s="1"/>
  <c r="P460" i="1"/>
  <c r="Q460" i="1" s="1"/>
  <c r="P461" i="1"/>
  <c r="Q461" i="1" s="1"/>
  <c r="P446" i="1"/>
  <c r="Q446" i="1" s="1"/>
  <c r="P477" i="1"/>
  <c r="Q477" i="1" s="1"/>
  <c r="P893" i="1"/>
  <c r="Q893" i="1" s="1"/>
  <c r="P194" i="1"/>
  <c r="Q194" i="1" s="1"/>
  <c r="P489" i="1"/>
  <c r="Q489" i="1" s="1"/>
  <c r="P372" i="1"/>
  <c r="Q372" i="1" s="1"/>
  <c r="P522" i="1"/>
  <c r="Q522" i="1" s="1"/>
  <c r="P309" i="1"/>
  <c r="Q309" i="1" s="1"/>
  <c r="P543" i="1"/>
  <c r="Q543" i="1" s="1"/>
  <c r="P411" i="1"/>
  <c r="Q411" i="1" s="1"/>
  <c r="P221" i="1"/>
  <c r="Q221" i="1" s="1"/>
  <c r="P990" i="1"/>
  <c r="Q990" i="1" s="1"/>
  <c r="P262" i="1"/>
  <c r="Q262" i="1" s="1"/>
  <c r="P474" i="1"/>
  <c r="Q474" i="1" s="1"/>
  <c r="P146" i="1"/>
  <c r="Q146" i="1" s="1"/>
  <c r="P293" i="1"/>
  <c r="Q293" i="1" s="1"/>
  <c r="P393" i="1"/>
  <c r="Q393" i="1" s="1"/>
  <c r="P928" i="1"/>
  <c r="Q928" i="1" s="1"/>
  <c r="P539" i="1"/>
  <c r="Q539" i="1" s="1"/>
  <c r="P82" i="1"/>
  <c r="Q82" i="1" s="1"/>
  <c r="P825" i="1"/>
  <c r="Q825" i="1" s="1"/>
  <c r="P152" i="1"/>
  <c r="Q152" i="1" s="1"/>
  <c r="P463" i="1"/>
  <c r="Q463" i="1" s="1"/>
  <c r="P159" i="1"/>
  <c r="Q159" i="1" s="1"/>
  <c r="P423" i="1"/>
  <c r="Q423" i="1" s="1"/>
  <c r="P83" i="1"/>
  <c r="Q83" i="1" s="1"/>
  <c r="P55" i="1"/>
  <c r="Q55" i="1" s="1"/>
  <c r="P523" i="1"/>
  <c r="Q523" i="1" s="1"/>
  <c r="P495" i="1"/>
  <c r="Q495" i="1" s="1"/>
  <c r="P865" i="1"/>
  <c r="Q865" i="1" s="1"/>
  <c r="P156" i="1"/>
  <c r="Q156" i="1" s="1"/>
  <c r="P265" i="1"/>
  <c r="Q265" i="1" s="1"/>
  <c r="P323" i="1"/>
  <c r="Q323" i="1" s="1"/>
  <c r="P983" i="1"/>
  <c r="Q983" i="1" s="1"/>
  <c r="P183" i="1"/>
  <c r="Q183" i="1" s="1"/>
  <c r="P480" i="1"/>
  <c r="Q480" i="1" s="1"/>
  <c r="P215" i="1"/>
  <c r="Q215" i="1" s="1"/>
  <c r="P836" i="1"/>
  <c r="Q836" i="1" s="1"/>
  <c r="P497" i="1"/>
  <c r="Q497" i="1" s="1"/>
  <c r="P252" i="1"/>
  <c r="Q252" i="1" s="1"/>
  <c r="P53" i="1"/>
  <c r="Q53" i="1" s="1"/>
  <c r="P814" i="1"/>
  <c r="Q814" i="1" s="1"/>
  <c r="P149" i="1"/>
  <c r="Q149" i="1" s="1"/>
  <c r="P413" i="1"/>
  <c r="Q413" i="1" s="1"/>
  <c r="P140" i="1"/>
  <c r="Q140" i="1" s="1"/>
  <c r="P173" i="1"/>
  <c r="Q173" i="1" s="1"/>
  <c r="P399" i="1"/>
  <c r="Q399" i="1" s="1"/>
  <c r="P433" i="1"/>
  <c r="Q433" i="1" s="1"/>
  <c r="P493" i="1"/>
  <c r="Q493" i="1" s="1"/>
  <c r="P947" i="1"/>
  <c r="Q947" i="1" s="1"/>
  <c r="P80" i="1"/>
  <c r="Q80" i="1" s="1"/>
  <c r="P63" i="1"/>
  <c r="Q63" i="1" s="1"/>
  <c r="P275" i="1"/>
  <c r="Q275" i="1" s="1"/>
  <c r="P157" i="1"/>
  <c r="Q157" i="1" s="1"/>
  <c r="P831" i="1"/>
  <c r="Q831" i="1" s="1"/>
  <c r="P286" i="1"/>
  <c r="Q286" i="1" s="1"/>
  <c r="P486" i="1"/>
  <c r="Q486" i="1" s="1"/>
  <c r="P138" i="1"/>
  <c r="Q138" i="1" s="1"/>
  <c r="P482" i="1"/>
  <c r="Q482" i="1" s="1"/>
  <c r="P888" i="1"/>
  <c r="Q888" i="1" s="1"/>
  <c r="P56" i="1"/>
  <c r="Q56" i="1" s="1"/>
  <c r="P343" i="1"/>
  <c r="Q343" i="1" s="1"/>
  <c r="P158" i="1"/>
  <c r="Q158" i="1" s="1"/>
  <c r="P537" i="1"/>
  <c r="Q537" i="1" s="1"/>
  <c r="P328" i="1"/>
  <c r="Q328" i="1" s="1"/>
  <c r="P301" i="1"/>
  <c r="Q301" i="1" s="1"/>
  <c r="P340" i="1"/>
  <c r="Q340" i="1" s="1"/>
  <c r="P342" i="1"/>
  <c r="Q342" i="1" s="1"/>
  <c r="P355" i="1"/>
  <c r="Q355" i="1" s="1"/>
  <c r="P176" i="1"/>
  <c r="Q176" i="1" s="1"/>
  <c r="P185" i="1"/>
  <c r="Q185" i="1" s="1"/>
  <c r="P427" i="1"/>
  <c r="Q427" i="1" s="1"/>
  <c r="P181" i="1"/>
  <c r="Q181" i="1" s="1"/>
  <c r="P22" i="1"/>
  <c r="Q22" i="1" s="1"/>
  <c r="P887" i="1"/>
  <c r="Q887" i="1" s="1"/>
  <c r="P500" i="1"/>
  <c r="Q500" i="1" s="1"/>
  <c r="P424" i="1"/>
  <c r="Q424" i="1" s="1"/>
  <c r="P298" i="1"/>
  <c r="Q298" i="1" s="1"/>
  <c r="P294" i="1"/>
  <c r="Q294" i="1" s="1"/>
  <c r="P153" i="1"/>
  <c r="Q153" i="1" s="1"/>
  <c r="P532" i="1"/>
  <c r="Q532" i="1" s="1"/>
  <c r="P385" i="1"/>
  <c r="Q385" i="1" s="1"/>
  <c r="P387" i="1"/>
  <c r="Q387" i="1" s="1"/>
  <c r="P395" i="1"/>
  <c r="Q395" i="1" s="1"/>
  <c r="P840" i="1"/>
  <c r="Q840" i="1" s="1"/>
  <c r="P203" i="1"/>
  <c r="Q203" i="1" s="1"/>
  <c r="P29" i="1"/>
  <c r="Q29" i="1" s="1"/>
  <c r="P516" i="1"/>
  <c r="Q516" i="1" s="1"/>
  <c r="P268" i="1"/>
  <c r="Q268" i="1" s="1"/>
  <c r="P812" i="1"/>
  <c r="Q812" i="1" s="1"/>
  <c r="P287" i="1"/>
  <c r="Q287" i="1" s="1"/>
  <c r="P379" i="1"/>
  <c r="Q379" i="1" s="1"/>
  <c r="P542" i="1"/>
  <c r="Q542" i="1" s="1"/>
  <c r="P533" i="1"/>
  <c r="Q533" i="1" s="1"/>
  <c r="P23" i="1"/>
  <c r="Q23" i="1" s="1"/>
  <c r="P541" i="1"/>
  <c r="Q541" i="1" s="1"/>
  <c r="P236" i="1"/>
  <c r="Q236" i="1" s="1"/>
  <c r="P338" i="1"/>
  <c r="Q338" i="1" s="1"/>
  <c r="P891" i="1"/>
  <c r="Q891" i="1" s="1"/>
  <c r="P271" i="1"/>
  <c r="Q271" i="1" s="1"/>
  <c r="P9" i="1"/>
  <c r="Q9" i="1" s="1"/>
  <c r="P375" i="1"/>
  <c r="Q375" i="1" s="1"/>
  <c r="P98" i="1"/>
  <c r="Q98" i="1" s="1"/>
  <c r="P187" i="1"/>
  <c r="Q187" i="1" s="1"/>
  <c r="P167" i="1"/>
  <c r="Q167" i="1" s="1"/>
  <c r="P367" i="1"/>
  <c r="Q367" i="1" s="1"/>
  <c r="P422" i="1"/>
  <c r="Q422" i="1" s="1"/>
  <c r="P237" i="1"/>
  <c r="Q237" i="1" s="1"/>
  <c r="P31" i="1"/>
  <c r="Q31" i="1" s="1"/>
  <c r="P414" i="1"/>
  <c r="Q414" i="1" s="1"/>
  <c r="P241" i="1"/>
  <c r="Q241" i="1" s="1"/>
  <c r="P845" i="1"/>
  <c r="Q845" i="1" s="1"/>
  <c r="P479" i="1"/>
  <c r="Q479" i="1" s="1"/>
  <c r="P257" i="1"/>
  <c r="Q257" i="1" s="1"/>
  <c r="P255" i="1"/>
  <c r="Q255" i="1" s="1"/>
  <c r="P926" i="1"/>
  <c r="Q926" i="1" s="1"/>
  <c r="P225" i="1"/>
  <c r="Q225" i="1" s="1"/>
  <c r="P266" i="1"/>
  <c r="Q266" i="1" s="1"/>
  <c r="P162" i="1"/>
  <c r="Q162" i="1" s="1"/>
  <c r="P325" i="1"/>
  <c r="Q325" i="1" s="1"/>
  <c r="P240" i="1"/>
  <c r="Q240" i="1" s="1"/>
  <c r="P94" i="1"/>
  <c r="Q94" i="1" s="1"/>
  <c r="F94" i="1" s="1"/>
  <c r="P517" i="1"/>
  <c r="Q517" i="1" s="1"/>
  <c r="P527" i="1"/>
  <c r="Q527" i="1" s="1"/>
  <c r="P528" i="1"/>
  <c r="Q528" i="1" s="1"/>
  <c r="P431" i="1"/>
  <c r="Q431" i="1" s="1"/>
  <c r="P352" i="1"/>
  <c r="Q352" i="1" s="1"/>
  <c r="P504" i="1"/>
  <c r="Q504" i="1" s="1"/>
  <c r="P368" i="1"/>
  <c r="Q368" i="1" s="1"/>
  <c r="P829" i="1"/>
  <c r="Q829" i="1" s="1"/>
  <c r="P101" i="1"/>
  <c r="Q101" i="1" s="1"/>
  <c r="P281" i="1"/>
  <c r="Q281" i="1" s="1"/>
  <c r="P308" i="1"/>
  <c r="Q308" i="1" s="1"/>
  <c r="P868" i="1"/>
  <c r="Q868" i="1" s="1"/>
  <c r="P378" i="1"/>
  <c r="Q378" i="1" s="1"/>
  <c r="P260" i="1"/>
  <c r="Q260" i="1" s="1"/>
  <c r="P65" i="1"/>
  <c r="Q65" i="1" s="1"/>
  <c r="P132" i="1"/>
  <c r="Q132" i="1" s="1"/>
  <c r="P397" i="1"/>
  <c r="Q397" i="1" s="1"/>
  <c r="P52" i="1"/>
  <c r="Q52" i="1" s="1"/>
  <c r="P32" i="1"/>
  <c r="Q32" i="1" s="1"/>
  <c r="P837" i="1"/>
  <c r="Q837" i="1" s="1"/>
  <c r="P440" i="1"/>
  <c r="Q440" i="1" s="1"/>
  <c r="P244" i="1"/>
  <c r="Q244" i="1" s="1"/>
  <c r="P530" i="1"/>
  <c r="Q530" i="1" s="1"/>
  <c r="P314" i="1"/>
  <c r="Q314" i="1" s="1"/>
  <c r="P145" i="1"/>
  <c r="Q145" i="1" s="1"/>
  <c r="P839" i="1"/>
  <c r="Q839" i="1" s="1"/>
  <c r="P312" i="1"/>
  <c r="Q312" i="1" s="1"/>
  <c r="P49" i="1"/>
  <c r="Q49" i="1" s="1"/>
  <c r="P258" i="1"/>
  <c r="Q258" i="1" s="1"/>
  <c r="P106" i="1"/>
  <c r="Q106" i="1" s="1"/>
  <c r="P912" i="1"/>
  <c r="Q912" i="1" s="1"/>
  <c r="P316" i="1"/>
  <c r="Q316" i="1" s="1"/>
  <c r="P485" i="1"/>
  <c r="Q485" i="1" s="1"/>
  <c r="P502" i="1"/>
  <c r="Q502" i="1" s="1"/>
  <c r="P57" i="1"/>
  <c r="Q57" i="1" s="1"/>
  <c r="P12" i="1"/>
  <c r="Q12" i="1" s="1"/>
  <c r="P102" i="1"/>
  <c r="Q102" i="1" s="1"/>
  <c r="P380" i="1"/>
  <c r="Q380" i="1" s="1"/>
  <c r="P108" i="1"/>
  <c r="Q108" i="1" s="1"/>
  <c r="P164" i="1"/>
  <c r="Q164" i="1" s="1"/>
  <c r="P302" i="1"/>
  <c r="Q302" i="1" s="1"/>
  <c r="P177" i="1"/>
  <c r="Q177" i="1" s="1"/>
  <c r="P239" i="1"/>
  <c r="Q239" i="1" s="1"/>
  <c r="P274" i="1"/>
  <c r="Q274" i="1" s="1"/>
  <c r="P117" i="1"/>
  <c r="Q117" i="1" s="1"/>
  <c r="P97" i="1"/>
  <c r="Q97" i="1" s="1"/>
  <c r="P859" i="1"/>
  <c r="Q859" i="1" s="1"/>
  <c r="P111" i="1"/>
  <c r="Q111" i="1" s="1"/>
  <c r="P150" i="1"/>
  <c r="Q150" i="1" s="1"/>
  <c r="P329" i="1"/>
  <c r="Q329" i="1" s="1"/>
  <c r="P10" i="1"/>
  <c r="Q10" i="1" s="1"/>
  <c r="P270" i="1"/>
  <c r="Q270" i="1" s="1"/>
  <c r="P520" i="1"/>
  <c r="Q520" i="1" s="1"/>
  <c r="P550" i="1"/>
  <c r="Q550" i="1" s="1"/>
  <c r="P34" i="1"/>
  <c r="Q34" i="1" s="1"/>
  <c r="P163" i="1"/>
  <c r="Q163" i="1" s="1"/>
  <c r="P811" i="1"/>
  <c r="Q811" i="1" s="1"/>
  <c r="P484" i="1"/>
  <c r="Q484" i="1" s="1"/>
  <c r="P196" i="1"/>
  <c r="Q196" i="1" s="1"/>
  <c r="P73" i="1"/>
  <c r="Q73" i="1" s="1"/>
  <c r="P347" i="1"/>
  <c r="Q347" i="1" s="1"/>
  <c r="P907" i="1"/>
  <c r="Q907" i="1" s="1"/>
  <c r="P492" i="1"/>
  <c r="Q492" i="1" s="1"/>
  <c r="P259" i="1"/>
  <c r="Q259" i="1" s="1"/>
  <c r="P62" i="1"/>
  <c r="Q62" i="1" s="1"/>
  <c r="P288" i="1"/>
  <c r="Q288" i="1" s="1"/>
  <c r="P333" i="1"/>
  <c r="Q333" i="1" s="1"/>
  <c r="P261" i="1"/>
  <c r="Q261" i="1" s="1"/>
  <c r="P200" i="1"/>
  <c r="Q200" i="1" s="1"/>
  <c r="P129" i="1"/>
  <c r="Q129" i="1" s="1"/>
  <c r="P901" i="1"/>
  <c r="Q901" i="1" s="1"/>
  <c r="P490" i="1"/>
  <c r="Q490" i="1" s="1"/>
  <c r="P165" i="1"/>
  <c r="Q165" i="1" s="1"/>
  <c r="P205" i="1"/>
  <c r="Q205" i="1" s="1"/>
  <c r="P38" i="1"/>
  <c r="Q38" i="1" s="1"/>
  <c r="P863" i="1"/>
  <c r="Q863" i="1" s="1"/>
  <c r="P441" i="1"/>
  <c r="Q441" i="1" s="1"/>
  <c r="P21" i="1"/>
  <c r="Q21" i="1" s="1"/>
  <c r="P91" i="1"/>
  <c r="Q91" i="1" s="1"/>
  <c r="P995" i="1"/>
  <c r="Q995" i="1" s="1"/>
  <c r="P291" i="1"/>
  <c r="Q291" i="1" s="1"/>
  <c r="P292" i="1"/>
  <c r="Q292" i="1" s="1"/>
  <c r="P179" i="1"/>
  <c r="Q179" i="1" s="1"/>
  <c r="P133" i="1"/>
  <c r="Q133" i="1" s="1"/>
  <c r="P37" i="1"/>
  <c r="Q37" i="1" s="1"/>
  <c r="P895" i="1"/>
  <c r="Q895" i="1" s="1"/>
  <c r="P263" i="1"/>
  <c r="Q263" i="1" s="1"/>
  <c r="P538" i="1"/>
  <c r="Q538" i="1" s="1"/>
  <c r="P232" i="1"/>
  <c r="Q232" i="1" s="1"/>
  <c r="P202" i="1"/>
  <c r="Q202" i="1" s="1"/>
  <c r="P33" i="1"/>
  <c r="Q33" i="1" s="1"/>
  <c r="P934" i="1"/>
  <c r="Q934" i="1" s="1"/>
  <c r="P462" i="1"/>
  <c r="Q462" i="1" s="1"/>
  <c r="P18" i="1"/>
  <c r="Q18" i="1" s="1"/>
  <c r="P229" i="1"/>
  <c r="Q229" i="1" s="1"/>
  <c r="P810" i="1"/>
  <c r="Q810" i="1" s="1"/>
  <c r="P68" i="1"/>
  <c r="Q68" i="1" s="1"/>
  <c r="P86" i="1"/>
  <c r="Q86" i="1" s="1"/>
  <c r="P112" i="1"/>
  <c r="Q112" i="1" s="1"/>
  <c r="P478" i="1"/>
  <c r="Q478" i="1" s="1"/>
  <c r="P27" i="1"/>
  <c r="Q27" i="1" s="1"/>
  <c r="P216" i="1"/>
  <c r="Q216" i="1" s="1"/>
  <c r="P815" i="1"/>
  <c r="Q815" i="1" s="1"/>
  <c r="P267" i="1"/>
  <c r="Q267" i="1" s="1"/>
  <c r="P361" i="1"/>
  <c r="Q361" i="1" s="1"/>
  <c r="P471" i="1"/>
  <c r="Q471" i="1" s="1"/>
  <c r="P405" i="1"/>
  <c r="Q405" i="1" s="1"/>
  <c r="P305" i="1"/>
  <c r="Q305" i="1" s="1"/>
  <c r="P344" i="1"/>
  <c r="Q344" i="1" s="1"/>
  <c r="P376" i="1"/>
  <c r="Q376" i="1" s="1"/>
  <c r="P420" i="1"/>
  <c r="Q420" i="1" s="1"/>
  <c r="P412" i="1"/>
  <c r="Q412" i="1" s="1"/>
  <c r="P534" i="1"/>
  <c r="Q534" i="1" s="1"/>
  <c r="P999" i="1"/>
  <c r="Q999" i="1" s="1"/>
  <c r="P330" i="1"/>
  <c r="Q330" i="1" s="1"/>
  <c r="P273" i="1"/>
  <c r="Q273" i="1" s="1"/>
  <c r="P491" i="1"/>
  <c r="Q491" i="1" s="1"/>
  <c r="P904" i="1"/>
  <c r="Q904" i="1" s="1"/>
  <c r="P573" i="1"/>
  <c r="Q573" i="1" s="1"/>
  <c r="P60" i="1"/>
  <c r="Q60" i="1" s="1"/>
  <c r="P430" i="1"/>
  <c r="Q430" i="1" s="1"/>
  <c r="P66" i="1"/>
  <c r="Q66" i="1" s="1"/>
  <c r="P299" i="1"/>
  <c r="Q299" i="1" s="1"/>
  <c r="P540" i="1"/>
  <c r="Q540" i="1" s="1"/>
  <c r="P464" i="1"/>
  <c r="Q464" i="1" s="1"/>
  <c r="P134" i="1"/>
  <c r="Q134" i="1" s="1"/>
  <c r="P124" i="1"/>
  <c r="Q124" i="1" s="1"/>
  <c r="P410" i="1"/>
  <c r="Q410" i="1" s="1"/>
  <c r="P297" i="1"/>
  <c r="Q297" i="1" s="1"/>
  <c r="P924" i="1"/>
  <c r="Q924" i="1" s="1"/>
  <c r="P54" i="1"/>
  <c r="Q54" i="1" s="1"/>
  <c r="P518" i="1"/>
  <c r="Q518" i="1" s="1"/>
  <c r="P336" i="1"/>
  <c r="Q336" i="1" s="1"/>
  <c r="P113" i="1"/>
  <c r="Q113" i="1" s="1"/>
  <c r="P417" i="1"/>
  <c r="Q417" i="1" s="1"/>
  <c r="P458" i="1"/>
  <c r="Q458" i="1" s="1"/>
  <c r="P88" i="1"/>
  <c r="Q88" i="1" s="1"/>
  <c r="P81" i="1"/>
  <c r="Q81" i="1" s="1"/>
  <c r="P175" i="1"/>
  <c r="Q175" i="1" s="1"/>
  <c r="P59" i="1"/>
  <c r="Q59" i="1" s="1"/>
  <c r="P126" i="1"/>
  <c r="Q126" i="1" s="1"/>
  <c r="P536" i="1"/>
  <c r="Q536" i="1" s="1"/>
  <c r="P223" i="1"/>
  <c r="Q223" i="1" s="1"/>
  <c r="P71" i="1"/>
  <c r="Q71" i="1" s="1"/>
  <c r="P351" i="1"/>
  <c r="Q351" i="1" s="1"/>
  <c r="P817" i="1"/>
  <c r="Q817" i="1" s="1"/>
  <c r="P11" i="1"/>
  <c r="Q11" i="1" s="1"/>
  <c r="P972" i="1"/>
  <c r="Q972" i="1" s="1"/>
  <c r="P35" i="1"/>
  <c r="Q35" i="1" s="1"/>
  <c r="P125" i="1"/>
  <c r="Q125" i="1" s="1"/>
  <c r="P61" i="1"/>
  <c r="Q61" i="1" s="1"/>
  <c r="P381" i="1"/>
  <c r="Q381" i="1" s="1"/>
  <c r="P210" i="1"/>
  <c r="Q210" i="1" s="1"/>
  <c r="P303" i="1"/>
  <c r="Q303" i="1" s="1"/>
  <c r="P437" i="1"/>
  <c r="Q437" i="1" s="1"/>
  <c r="P401" i="1"/>
  <c r="Q401" i="1" s="1"/>
  <c r="P436" i="1"/>
  <c r="Q436" i="1" s="1"/>
  <c r="P356" i="1"/>
  <c r="Q356" i="1" s="1"/>
  <c r="P192" i="1"/>
  <c r="Q192" i="1" s="1"/>
  <c r="P386" i="1"/>
  <c r="Q386" i="1" s="1"/>
  <c r="P370" i="1"/>
  <c r="Q370" i="1" s="1"/>
  <c r="P472" i="1"/>
  <c r="Q472" i="1" s="1"/>
  <c r="P51" i="1"/>
  <c r="Q51" i="1" s="1"/>
  <c r="P384" i="1"/>
  <c r="Q384" i="1" s="1"/>
  <c r="P841" i="1"/>
  <c r="Q841" i="1" s="1"/>
  <c r="P224" i="1"/>
  <c r="Q224" i="1" s="1"/>
  <c r="P513" i="1"/>
  <c r="Q513" i="1" s="1"/>
  <c r="P514" i="1"/>
  <c r="Q514" i="1" s="1"/>
  <c r="P524" i="1"/>
  <c r="Q524" i="1" s="1"/>
  <c r="P186" i="1"/>
  <c r="Q186" i="1" s="1"/>
  <c r="P248" i="1"/>
  <c r="Q248" i="1" s="1"/>
  <c r="P189" i="1"/>
  <c r="Q189" i="1" s="1"/>
  <c r="P78" i="1"/>
  <c r="Q78" i="1" s="1"/>
  <c r="P180" i="1"/>
  <c r="Q180" i="1" s="1"/>
  <c r="P396" i="1"/>
  <c r="Q396" i="1" s="1"/>
  <c r="P488" i="1"/>
  <c r="Q488" i="1" s="1"/>
  <c r="P535" i="1"/>
  <c r="Q535" i="1" s="1"/>
  <c r="P392" i="1"/>
  <c r="Q392" i="1" s="1"/>
  <c r="P290" i="1"/>
  <c r="Q290" i="1" s="1"/>
  <c r="P521" i="1"/>
  <c r="Q521" i="1" s="1"/>
  <c r="P296" i="1"/>
  <c r="Q296" i="1" s="1"/>
  <c r="P19" i="1"/>
  <c r="Q19" i="1" s="1"/>
  <c r="P207" i="1"/>
  <c r="Q207" i="1" s="1"/>
  <c r="P127" i="1"/>
  <c r="Q127" i="1" s="1"/>
  <c r="P369" i="1"/>
  <c r="Q369" i="1" s="1"/>
  <c r="P365" i="1"/>
  <c r="Q365" i="1" s="1"/>
  <c r="P407" i="1"/>
  <c r="Q407" i="1" s="1"/>
  <c r="P313" i="1"/>
  <c r="Q313" i="1" s="1"/>
  <c r="P334" i="1"/>
  <c r="Q334" i="1" s="1"/>
  <c r="P515" i="1"/>
  <c r="Q515" i="1" s="1"/>
  <c r="P222" i="1"/>
  <c r="Q222" i="1" s="1"/>
  <c r="P160" i="1"/>
  <c r="Q160" i="1" s="1"/>
  <c r="P246" i="1"/>
  <c r="Q246" i="1" s="1"/>
  <c r="P122" i="1"/>
  <c r="Q122" i="1" s="1"/>
  <c r="P494" i="1"/>
  <c r="Q494" i="1" s="1"/>
  <c r="P864" i="1"/>
  <c r="Q864" i="1" s="1"/>
  <c r="P74" i="1"/>
  <c r="Q74" i="1" s="1"/>
  <c r="P39" i="1"/>
  <c r="Q39" i="1" s="1"/>
  <c r="P363" i="1"/>
  <c r="Q363" i="1" s="1"/>
  <c r="P285" i="1"/>
  <c r="Q285" i="1" s="1"/>
  <c r="P565" i="1"/>
  <c r="Q565" i="1" s="1"/>
  <c r="P304" i="1"/>
  <c r="Q304" i="1" s="1"/>
  <c r="P28" i="1"/>
  <c r="Q28" i="1" s="1"/>
  <c r="B399" i="1" l="1"/>
  <c r="C976" i="1"/>
  <c r="C922" i="1"/>
  <c r="B175" i="1"/>
  <c r="C413" i="1"/>
  <c r="D148" i="1"/>
  <c r="C967" i="1"/>
  <c r="B612" i="1"/>
  <c r="D156" i="1"/>
  <c r="C242" i="1"/>
  <c r="D672" i="1"/>
  <c r="C320" i="1"/>
  <c r="B380" i="1"/>
  <c r="C624" i="1"/>
  <c r="C500" i="1"/>
  <c r="C514" i="1"/>
  <c r="D818" i="1"/>
  <c r="C497" i="1"/>
  <c r="D128" i="1"/>
  <c r="B999" i="1"/>
  <c r="B798" i="1"/>
  <c r="D12" i="1"/>
  <c r="C149" i="1"/>
  <c r="B363" i="1"/>
  <c r="D220" i="1"/>
  <c r="C671" i="1"/>
  <c r="C838" i="1"/>
  <c r="B170" i="1"/>
  <c r="B709" i="1"/>
  <c r="B940" i="1"/>
  <c r="C291" i="1"/>
  <c r="D398" i="1"/>
  <c r="B744" i="1"/>
  <c r="B634" i="1"/>
  <c r="B79" i="1"/>
  <c r="D464" i="1"/>
  <c r="B637" i="1"/>
  <c r="B636" i="1"/>
  <c r="D685" i="1"/>
  <c r="C304" i="1"/>
  <c r="D23" i="1"/>
  <c r="C70" i="1"/>
  <c r="B540" i="1"/>
  <c r="D771" i="1"/>
  <c r="C917" i="1"/>
  <c r="D944" i="1"/>
  <c r="D949" i="1"/>
  <c r="D82" i="1"/>
  <c r="D132" i="1"/>
  <c r="D289" i="1"/>
  <c r="D612" i="1"/>
  <c r="B402" i="1"/>
  <c r="C46" i="1"/>
  <c r="B472" i="1"/>
  <c r="D883" i="1"/>
  <c r="D84" i="1"/>
  <c r="C495" i="1"/>
  <c r="B688" i="1"/>
  <c r="D422" i="1"/>
  <c r="C42" i="1"/>
  <c r="B723" i="1"/>
  <c r="D32" i="1"/>
  <c r="B631" i="1"/>
  <c r="C740" i="1"/>
  <c r="D960" i="1"/>
  <c r="D337" i="1"/>
  <c r="C877" i="1"/>
  <c r="D555" i="1"/>
  <c r="C990" i="1"/>
  <c r="C662" i="1"/>
  <c r="B262" i="1"/>
  <c r="C748" i="1"/>
  <c r="D763" i="1"/>
  <c r="D182" i="1"/>
  <c r="B428" i="1"/>
  <c r="B613" i="1"/>
  <c r="B563" i="1"/>
  <c r="C177" i="1"/>
  <c r="C261" i="1"/>
  <c r="C995" i="1"/>
  <c r="D602" i="1"/>
  <c r="C88" i="1"/>
  <c r="D461" i="1"/>
  <c r="C17" i="1"/>
  <c r="D107" i="1"/>
  <c r="C699" i="1"/>
  <c r="C222" i="1"/>
  <c r="B466" i="1"/>
  <c r="C910" i="1"/>
  <c r="C455" i="1"/>
  <c r="D223" i="1"/>
  <c r="C259" i="1"/>
  <c r="C35" i="1"/>
  <c r="B863" i="1"/>
  <c r="C235" i="1"/>
  <c r="D262" i="1"/>
  <c r="C233" i="1"/>
  <c r="B110" i="1"/>
  <c r="B866" i="1"/>
  <c r="B725" i="1"/>
  <c r="C610" i="1"/>
  <c r="C131" i="1"/>
  <c r="D827" i="1"/>
  <c r="D331" i="1"/>
  <c r="B979" i="1"/>
  <c r="D681" i="1"/>
  <c r="C298" i="1"/>
  <c r="B990" i="1"/>
  <c r="C613" i="1"/>
  <c r="C795" i="1"/>
  <c r="C275" i="1"/>
  <c r="B290" i="1"/>
  <c r="C29" i="1"/>
  <c r="D727" i="1"/>
  <c r="C535" i="1"/>
  <c r="B340" i="1"/>
  <c r="D77" i="1"/>
  <c r="D175" i="1"/>
  <c r="D989" i="1"/>
  <c r="B312" i="1"/>
  <c r="C772" i="1"/>
  <c r="D699" i="1"/>
  <c r="D73" i="1"/>
  <c r="B715" i="1"/>
  <c r="C951" i="1"/>
  <c r="D468" i="1"/>
  <c r="D280" i="1"/>
  <c r="C596" i="1"/>
  <c r="B617" i="1"/>
  <c r="B354" i="1"/>
  <c r="B846" i="1"/>
  <c r="B527" i="1"/>
  <c r="B741" i="1"/>
  <c r="B987" i="1"/>
  <c r="D926" i="1"/>
  <c r="B18" i="1"/>
  <c r="B38" i="1"/>
  <c r="B430" i="1"/>
  <c r="C567" i="1"/>
  <c r="D480" i="1"/>
  <c r="C509" i="1"/>
  <c r="D194" i="1"/>
  <c r="C778" i="1"/>
  <c r="D798" i="1"/>
  <c r="B327" i="1"/>
  <c r="D93" i="1"/>
  <c r="D707" i="1"/>
  <c r="D124" i="1"/>
  <c r="C560" i="1"/>
  <c r="B807" i="1"/>
  <c r="C246" i="1"/>
  <c r="B478" i="1"/>
  <c r="D506" i="1"/>
  <c r="B927" i="1"/>
  <c r="B928" i="1"/>
  <c r="D566" i="1"/>
  <c r="D656" i="1"/>
  <c r="B505" i="1"/>
  <c r="C539" i="1"/>
  <c r="D894" i="1"/>
  <c r="D59" i="1"/>
  <c r="C305" i="1"/>
  <c r="D772" i="1"/>
  <c r="C903" i="1"/>
  <c r="D630" i="1"/>
  <c r="C620" i="1"/>
  <c r="B244" i="1"/>
  <c r="B421" i="1"/>
  <c r="C633" i="1"/>
  <c r="D129" i="1"/>
  <c r="C502" i="1"/>
  <c r="B172" i="1"/>
  <c r="D821" i="1"/>
  <c r="B977" i="1"/>
  <c r="C308" i="1"/>
  <c r="C407" i="1"/>
  <c r="B555" i="1"/>
  <c r="D153" i="1"/>
  <c r="D712" i="1"/>
  <c r="D730" i="1"/>
  <c r="B190" i="1"/>
  <c r="D199" i="1"/>
  <c r="C317" i="1"/>
  <c r="C336" i="1"/>
  <c r="D69" i="1"/>
  <c r="D110" i="1"/>
  <c r="B452" i="1"/>
  <c r="C219" i="1"/>
  <c r="C170" i="1"/>
  <c r="C419" i="1"/>
  <c r="C579" i="1"/>
  <c r="C134" i="1"/>
  <c r="C675" i="1"/>
  <c r="C175" i="1"/>
  <c r="B916" i="1"/>
  <c r="B507" i="1"/>
  <c r="D880" i="1"/>
  <c r="C488" i="1"/>
  <c r="B473" i="1"/>
  <c r="C350" i="1"/>
  <c r="D295" i="1"/>
  <c r="D519" i="1"/>
  <c r="B862" i="1"/>
  <c r="C946" i="1"/>
  <c r="B501" i="1"/>
  <c r="D123" i="1"/>
  <c r="B40" i="1"/>
  <c r="B639" i="1"/>
  <c r="B730" i="1"/>
  <c r="C782" i="1"/>
  <c r="B25" i="1"/>
  <c r="C840" i="1"/>
  <c r="C44" i="1"/>
  <c r="D414" i="1"/>
  <c r="B873" i="1"/>
  <c r="C422" i="1"/>
  <c r="C300" i="1"/>
  <c r="B952" i="1"/>
  <c r="C107" i="1"/>
  <c r="C955" i="1"/>
  <c r="C19" i="1"/>
  <c r="C996" i="1"/>
  <c r="D666" i="1"/>
  <c r="D119" i="1"/>
  <c r="D683" i="1"/>
  <c r="D424" i="1"/>
  <c r="C249" i="1"/>
  <c r="C74" i="1"/>
  <c r="C962" i="1"/>
  <c r="D396" i="1"/>
  <c r="D527" i="1"/>
  <c r="B349" i="1"/>
  <c r="B246" i="1"/>
  <c r="B37" i="1"/>
  <c r="B422" i="1"/>
  <c r="B748" i="1"/>
  <c r="B158" i="1"/>
  <c r="B243" i="1"/>
  <c r="D6" i="1"/>
  <c r="C469" i="1"/>
  <c r="D915" i="1"/>
  <c r="C387" i="1"/>
  <c r="C819" i="1"/>
  <c r="D643" i="1"/>
  <c r="D477" i="1"/>
  <c r="B626" i="1"/>
  <c r="B16" i="1"/>
  <c r="B495" i="1"/>
  <c r="B810" i="1"/>
  <c r="D281" i="1"/>
  <c r="C960" i="1"/>
  <c r="D997" i="1"/>
  <c r="D692" i="1"/>
  <c r="D597" i="1"/>
  <c r="C630" i="1"/>
  <c r="B818" i="1"/>
  <c r="B552" i="1"/>
  <c r="C474" i="1"/>
  <c r="C193" i="1"/>
  <c r="B496" i="1"/>
  <c r="B517" i="1"/>
  <c r="C530" i="1"/>
  <c r="B926" i="1"/>
  <c r="B611" i="1"/>
  <c r="B359" i="1"/>
  <c r="C517" i="1"/>
  <c r="D738" i="1"/>
  <c r="C402" i="1"/>
  <c r="B455" i="1"/>
  <c r="B191" i="1"/>
  <c r="D909" i="1"/>
  <c r="B526" i="1"/>
  <c r="B391" i="1"/>
  <c r="C256" i="1"/>
  <c r="D562" i="1"/>
  <c r="C665" i="1"/>
  <c r="C674" i="1"/>
  <c r="D60" i="1"/>
  <c r="B166" i="1"/>
  <c r="D471" i="1"/>
  <c r="D340" i="1"/>
  <c r="C625" i="1"/>
  <c r="C80" i="1"/>
  <c r="C979" i="1"/>
  <c r="B936" i="1"/>
  <c r="C343" i="1"/>
  <c r="C435" i="1"/>
  <c r="D39" i="1"/>
  <c r="C47" i="1"/>
  <c r="C322" i="1"/>
  <c r="C339" i="1"/>
  <c r="B357" i="1"/>
  <c r="B610" i="1"/>
  <c r="D906" i="1"/>
  <c r="B337" i="1"/>
  <c r="B4" i="1"/>
  <c r="C534" i="1"/>
  <c r="B911" i="1"/>
  <c r="C875" i="1"/>
  <c r="B132" i="1"/>
  <c r="D350" i="1"/>
  <c r="B656" i="1"/>
  <c r="B578" i="1"/>
  <c r="B127" i="1"/>
  <c r="B879" i="1"/>
  <c r="D581" i="1"/>
  <c r="B520" i="1"/>
  <c r="D973" i="1"/>
  <c r="C841" i="1"/>
  <c r="D314" i="1"/>
  <c r="D200" i="1"/>
  <c r="B550" i="1"/>
  <c r="C133" i="1"/>
  <c r="D261" i="1"/>
  <c r="C713" i="1"/>
  <c r="C543" i="1"/>
  <c r="B63" i="1"/>
  <c r="C238" i="1"/>
  <c r="B536" i="1"/>
  <c r="B548" i="1"/>
  <c r="C420" i="1"/>
  <c r="C822" i="1"/>
  <c r="D441" i="1"/>
  <c r="D752" i="1"/>
  <c r="B19" i="1"/>
  <c r="C507" i="1"/>
  <c r="D54" i="1"/>
  <c r="D611" i="1"/>
  <c r="C635" i="1"/>
  <c r="D935" i="1"/>
  <c r="B93" i="1"/>
  <c r="C947" i="1"/>
  <c r="D876" i="1"/>
  <c r="D419" i="1"/>
  <c r="C190" i="1"/>
  <c r="D729" i="1"/>
  <c r="C428" i="1"/>
  <c r="D749" i="1"/>
  <c r="D875" i="1"/>
  <c r="D526" i="1"/>
  <c r="B167" i="1"/>
  <c r="C15" i="1"/>
  <c r="C459" i="1"/>
  <c r="D546" i="1"/>
  <c r="D168" i="1"/>
  <c r="B492" i="1"/>
  <c r="D796" i="1"/>
  <c r="D367" i="1"/>
  <c r="D667" i="1"/>
  <c r="B248" i="1"/>
  <c r="B635" i="1"/>
  <c r="B603" i="1"/>
  <c r="C870" i="1"/>
  <c r="D814" i="1"/>
  <c r="C893" i="1"/>
  <c r="B307" i="1"/>
  <c r="C676" i="1"/>
  <c r="B498" i="1"/>
  <c r="D439" i="1"/>
  <c r="C708" i="1"/>
  <c r="D299" i="1"/>
  <c r="C777" i="1"/>
  <c r="B439" i="1"/>
  <c r="D703" i="1"/>
  <c r="B827" i="1"/>
  <c r="B658" i="1"/>
  <c r="C762" i="1"/>
  <c r="D651" i="1"/>
  <c r="D5" i="1"/>
  <c r="D927" i="1"/>
  <c r="D243" i="1"/>
  <c r="B508" i="1"/>
  <c r="B949" i="1"/>
  <c r="D42" i="1"/>
  <c r="C43" i="1"/>
  <c r="C188" i="1"/>
  <c r="B279" i="1"/>
  <c r="C425" i="1"/>
  <c r="B703" i="1"/>
  <c r="C891" i="1"/>
  <c r="C761" i="1"/>
  <c r="B847" i="1"/>
  <c r="B193" i="1"/>
  <c r="D318" i="1"/>
  <c r="C616" i="1"/>
  <c r="D462" i="1"/>
  <c r="C816" i="1"/>
  <c r="B607" i="1"/>
  <c r="D111" i="1"/>
  <c r="C614" i="1"/>
  <c r="B728" i="1"/>
  <c r="B985" i="1"/>
  <c r="D188" i="1"/>
  <c r="D811" i="1"/>
  <c r="D162" i="1"/>
  <c r="C956" i="1"/>
  <c r="D319" i="1"/>
  <c r="C103" i="1"/>
  <c r="B802" i="1"/>
  <c r="D139" i="1"/>
  <c r="C449" i="1"/>
  <c r="C448" i="1"/>
  <c r="D583" i="1"/>
  <c r="D509" i="1"/>
  <c r="D294" i="1"/>
  <c r="D720" i="1"/>
  <c r="B344" i="1"/>
  <c r="C79" i="1"/>
  <c r="B740" i="1"/>
  <c r="B596" i="1"/>
  <c r="B981" i="1"/>
  <c r="D582" i="1"/>
  <c r="C229" i="1"/>
  <c r="B48" i="1"/>
  <c r="D674" i="1"/>
  <c r="D254" i="1"/>
  <c r="D67" i="1"/>
  <c r="D781" i="1"/>
  <c r="C10" i="1"/>
  <c r="C524" i="1"/>
  <c r="D196" i="1"/>
  <c r="B929" i="1"/>
  <c r="C96" i="1"/>
  <c r="C27" i="1"/>
  <c r="D101" i="1"/>
  <c r="C570" i="1"/>
  <c r="B213" i="1"/>
  <c r="D689" i="1"/>
  <c r="B599" i="1"/>
  <c r="C198" i="1"/>
  <c r="D415" i="1"/>
  <c r="B812" i="1"/>
  <c r="C450" i="1"/>
  <c r="C218" i="1"/>
  <c r="D850" i="1"/>
  <c r="C58" i="1"/>
  <c r="C597" i="1"/>
  <c r="C874" i="1"/>
  <c r="D57" i="1"/>
  <c r="C234" i="1"/>
  <c r="D382" i="1"/>
  <c r="D202" i="1"/>
  <c r="C760" i="1"/>
  <c r="B165" i="1"/>
  <c r="C333" i="1"/>
  <c r="C945" i="1"/>
  <c r="C329" i="1"/>
  <c r="D253" i="1"/>
  <c r="B530" i="1"/>
  <c r="D851" i="1"/>
  <c r="C549" i="1"/>
  <c r="D779" i="1"/>
  <c r="D882" i="1"/>
  <c r="B117" i="1"/>
  <c r="C145" i="1"/>
  <c r="C964" i="1"/>
  <c r="B925" i="1"/>
  <c r="D999" i="1"/>
  <c r="D637" i="1"/>
  <c r="B486" i="1"/>
  <c r="B247" i="1"/>
  <c r="B755" i="1"/>
  <c r="D11" i="1"/>
  <c r="B571" i="1"/>
  <c r="C240" i="1"/>
  <c r="C213" i="1"/>
  <c r="D516" i="1"/>
  <c r="C607" i="1"/>
  <c r="B178" i="1"/>
  <c r="D881" i="1"/>
  <c r="B699" i="1"/>
  <c r="B560" i="1"/>
  <c r="D29" i="1"/>
  <c r="D118" i="1"/>
  <c r="B910" i="1"/>
  <c r="D884" i="1"/>
  <c r="C591" i="1"/>
  <c r="D981" i="1"/>
  <c r="D170" i="1"/>
  <c r="B70" i="1"/>
  <c r="B796" i="1"/>
  <c r="B837" i="1"/>
  <c r="C709" i="1"/>
  <c r="C416" i="1"/>
  <c r="C351" i="1"/>
  <c r="C583" i="1"/>
  <c r="C446" i="1"/>
  <c r="B964" i="1"/>
  <c r="D896" i="1"/>
  <c r="C302" i="1"/>
  <c r="D88" i="1"/>
  <c r="B535" i="1"/>
  <c r="D994" i="1"/>
  <c r="B220" i="1"/>
  <c r="C847" i="1"/>
  <c r="D231" i="1"/>
  <c r="C863" i="1"/>
  <c r="B451" i="1"/>
  <c r="D127" i="1"/>
  <c r="D98" i="1"/>
  <c r="B221" i="1"/>
  <c r="B245" i="1"/>
  <c r="C174" i="1"/>
  <c r="C764" i="1"/>
  <c r="C677" i="1"/>
  <c r="C104" i="1"/>
  <c r="B394" i="1"/>
  <c r="D213" i="1"/>
  <c r="C983" i="1"/>
  <c r="D806" i="1"/>
  <c r="C397" i="1"/>
  <c r="B961" i="1"/>
  <c r="B291" i="1"/>
  <c r="B94" i="1"/>
  <c r="D891" i="1"/>
  <c r="D940" i="1"/>
  <c r="D322" i="1"/>
  <c r="D706" i="1"/>
  <c r="D452" i="1"/>
  <c r="B215" i="1"/>
  <c r="D320" i="1"/>
  <c r="B742" i="1"/>
  <c r="B768" i="1"/>
  <c r="B756" i="1"/>
  <c r="D388" i="1"/>
  <c r="C659" i="1"/>
  <c r="C650" i="1"/>
  <c r="B973" i="1"/>
  <c r="B306" i="1"/>
  <c r="C344" i="1"/>
  <c r="C745" i="1"/>
  <c r="B832" i="1"/>
  <c r="B338" i="1"/>
  <c r="B601" i="1"/>
  <c r="B24" i="1"/>
  <c r="C548" i="1"/>
  <c r="B319" i="1"/>
  <c r="B800" i="1"/>
  <c r="B435" i="1"/>
  <c r="C963" i="1"/>
  <c r="B760" i="1"/>
  <c r="D158" i="1"/>
  <c r="B598" i="1"/>
  <c r="C691" i="1"/>
  <c r="D25" i="1"/>
  <c r="C918" i="1"/>
  <c r="D401" i="1"/>
  <c r="B523" i="1"/>
  <c r="B856" i="1"/>
  <c r="D405" i="1"/>
  <c r="D728" i="1"/>
  <c r="D90" i="1"/>
  <c r="D662" i="1"/>
  <c r="C521" i="1"/>
  <c r="D467" i="1"/>
  <c r="D71" i="1"/>
  <c r="C313" i="1"/>
  <c r="C156" i="1"/>
  <c r="C506" i="1"/>
  <c r="D679" i="1"/>
  <c r="B58" i="1"/>
  <c r="B850" i="1"/>
  <c r="D645" i="1"/>
  <c r="D421" i="1"/>
  <c r="C209" i="1"/>
  <c r="B848" i="1"/>
  <c r="D531" i="1"/>
  <c r="C405" i="1"/>
  <c r="C258" i="1"/>
  <c r="B700" i="1"/>
  <c r="C66" i="1"/>
  <c r="D776" i="1"/>
  <c r="C749" i="1"/>
  <c r="C294" i="1"/>
  <c r="C399" i="1"/>
  <c r="D954" i="1"/>
  <c r="C443" i="1"/>
  <c r="D152" i="1"/>
  <c r="B254" i="1"/>
  <c r="B689" i="1"/>
  <c r="C52" i="1"/>
  <c r="D242" i="1"/>
  <c r="D624" i="1"/>
  <c r="C849" i="1"/>
  <c r="C436" i="1"/>
  <c r="D147" i="1"/>
  <c r="D952" i="1"/>
  <c r="C364" i="1"/>
  <c r="D846" i="1"/>
  <c r="C359" i="1"/>
  <c r="D165" i="1"/>
  <c r="D266" i="1"/>
  <c r="B404" i="1"/>
  <c r="C335" i="1"/>
  <c r="C606" i="1"/>
  <c r="D277" i="1"/>
  <c r="C812" i="1"/>
  <c r="D431" i="1"/>
  <c r="D576" i="1"/>
  <c r="C341" i="1"/>
  <c r="D78" i="1"/>
  <c r="B133" i="1"/>
  <c r="C49" i="1"/>
  <c r="C518" i="1"/>
  <c r="C22" i="1"/>
  <c r="D402" i="1"/>
  <c r="B470" i="1"/>
  <c r="D358" i="1"/>
  <c r="B481" i="1"/>
  <c r="C146" i="1"/>
  <c r="D219" i="1"/>
  <c r="D797" i="1"/>
  <c r="C884" i="1"/>
  <c r="D173" i="1"/>
  <c r="D345" i="1"/>
  <c r="C861" i="1"/>
  <c r="B825" i="1"/>
  <c r="D725" i="1"/>
  <c r="D404" i="1"/>
  <c r="C882" i="1"/>
  <c r="C442" i="1"/>
  <c r="B805" i="1"/>
  <c r="C4" i="1"/>
  <c r="C178" i="1"/>
  <c r="C934" i="1"/>
  <c r="D68" i="1"/>
  <c r="D605" i="1"/>
  <c r="B217" i="1"/>
  <c r="B30" i="1"/>
  <c r="C493" i="1"/>
  <c r="B888" i="1"/>
  <c r="B159" i="1"/>
  <c r="C615" i="1"/>
  <c r="B78" i="1"/>
  <c r="C901" i="1"/>
  <c r="C686" i="1"/>
  <c r="D732" i="1"/>
  <c r="B653" i="1"/>
  <c r="B835" i="1"/>
  <c r="B471" i="1"/>
  <c r="C803" i="1"/>
  <c r="C700" i="1"/>
  <c r="D218" i="1"/>
  <c r="C127" i="1"/>
  <c r="B2" i="1"/>
  <c r="C406" i="1"/>
  <c r="C715" i="1"/>
  <c r="C139" i="1"/>
  <c r="C852" i="1"/>
  <c r="D709" i="1"/>
  <c r="D144" i="1"/>
  <c r="C189" i="1"/>
  <c r="B45" i="1"/>
  <c r="C7" i="1"/>
  <c r="B106" i="1"/>
  <c r="B27" i="1"/>
  <c r="D976" i="1"/>
  <c r="D842" i="1"/>
  <c r="C286" i="1"/>
  <c r="B840" i="1"/>
  <c r="C879" i="1"/>
  <c r="C639" i="1"/>
  <c r="C541" i="1"/>
  <c r="D370" i="1"/>
  <c r="B364" i="1"/>
  <c r="C21" i="1"/>
  <c r="C418" i="1"/>
  <c r="B456" i="1"/>
  <c r="B644" i="1"/>
  <c r="B648" i="1"/>
  <c r="D179" i="1"/>
  <c r="B313" i="1"/>
  <c r="D174" i="1"/>
  <c r="C853" i="1"/>
  <c r="D573" i="1"/>
  <c r="D390" i="1"/>
  <c r="C727" i="1"/>
  <c r="D517" i="1"/>
  <c r="C754" i="1"/>
  <c r="D561" i="1"/>
  <c r="B763" i="1"/>
  <c r="C965" i="1"/>
  <c r="D765" i="1"/>
  <c r="C499" i="1"/>
  <c r="D126" i="1"/>
  <c r="D7" i="1"/>
  <c r="C644" i="1"/>
  <c r="D91" i="1"/>
  <c r="C608" i="1"/>
  <c r="D426" i="1"/>
  <c r="C122" i="1"/>
  <c r="B84" i="1"/>
  <c r="B442" i="1"/>
  <c r="C552" i="1"/>
  <c r="C386" i="1"/>
  <c r="B732" i="1"/>
  <c r="B237" i="1"/>
  <c r="D484" i="1"/>
  <c r="D830" i="1"/>
  <c r="B820" i="1"/>
  <c r="D403" i="1"/>
  <c r="B672" i="1"/>
  <c r="B751" i="1"/>
  <c r="D993" i="1"/>
  <c r="D18" i="1"/>
  <c r="C482" i="1"/>
  <c r="B841" i="1"/>
  <c r="B119" i="1"/>
  <c r="C295" i="1"/>
  <c r="D886" i="1"/>
  <c r="D389" i="1"/>
  <c r="D995" i="1"/>
  <c r="B143" i="1"/>
  <c r="D693" i="1"/>
  <c r="D652" i="1"/>
  <c r="D92" i="1"/>
  <c r="B623" i="1"/>
  <c r="C109" i="1"/>
  <c r="D348" i="1"/>
  <c r="B304" i="1"/>
  <c r="D149" i="1"/>
  <c r="B139" i="1"/>
  <c r="D288" i="1"/>
  <c r="C5" i="1"/>
  <c r="D641" i="1"/>
  <c r="D921" i="1"/>
  <c r="B51" i="1"/>
  <c r="B532" i="1"/>
  <c r="C508" i="1"/>
  <c r="B461" i="1"/>
  <c r="C464" i="1"/>
  <c r="C695" i="1"/>
  <c r="C121" i="1"/>
  <c r="C678" i="1"/>
  <c r="D214" i="1"/>
  <c r="D817" i="1"/>
  <c r="B339" i="1"/>
  <c r="C183" i="1"/>
  <c r="B897" i="1"/>
  <c r="B328" i="1"/>
  <c r="B667" i="1"/>
  <c r="C303" i="1"/>
  <c r="C498" i="1"/>
  <c r="D951" i="1"/>
  <c r="B994" i="1"/>
  <c r="D63" i="1"/>
  <c r="B512" i="1"/>
  <c r="C391" i="1"/>
  <c r="C56" i="1"/>
  <c r="B325" i="1"/>
  <c r="B592" i="1"/>
  <c r="C919" i="1"/>
  <c r="B288" i="1"/>
  <c r="C501" i="1"/>
  <c r="B335" i="1"/>
  <c r="D356" i="1"/>
  <c r="B401" i="1"/>
  <c r="D201" i="1"/>
  <c r="C664" i="1"/>
  <c r="C232" i="1"/>
  <c r="D482" i="1"/>
  <c r="C176" i="1"/>
  <c r="C380" i="1"/>
  <c r="B92" i="1"/>
  <c r="B300" i="1"/>
  <c r="C94" i="1"/>
  <c r="B111" i="1"/>
  <c r="B652" i="1"/>
  <c r="B184" i="1"/>
  <c r="C287" i="1"/>
  <c r="C952" i="1"/>
  <c r="C289" i="1"/>
  <c r="D211" i="1"/>
  <c r="D860" i="1"/>
  <c r="C253" i="1"/>
  <c r="D998" i="1"/>
  <c r="D719" i="1"/>
  <c r="C165" i="1"/>
  <c r="B681" i="1"/>
  <c r="D660" i="1"/>
  <c r="B664" i="1"/>
  <c r="D565" i="1"/>
  <c r="B29" i="1"/>
  <c r="B915" i="1"/>
  <c r="D571" i="1"/>
  <c r="C631" i="1"/>
  <c r="D81" i="1"/>
  <c r="C545" i="1"/>
  <c r="C958" i="1"/>
  <c r="B216" i="1"/>
  <c r="B490" i="1"/>
  <c r="C421" i="1"/>
  <c r="D943" i="1"/>
  <c r="B371" i="1"/>
  <c r="D449" i="1"/>
  <c r="C463" i="1"/>
  <c r="C921" i="1"/>
  <c r="C483" i="1"/>
  <c r="C931" i="1"/>
  <c r="B112" i="1"/>
  <c r="C790" i="1"/>
  <c r="D992" i="1"/>
  <c r="D491" i="1"/>
  <c r="C201" i="1"/>
  <c r="D270" i="1"/>
  <c r="C704" i="1"/>
  <c r="C649" i="1"/>
  <c r="B109" i="1"/>
  <c r="C123" i="1"/>
  <c r="C366" i="1"/>
  <c r="D961" i="1"/>
  <c r="D413" i="1"/>
  <c r="B138" i="1"/>
  <c r="C808" i="1"/>
  <c r="B36" i="1"/>
  <c r="C196" i="1"/>
  <c r="C578" i="1"/>
  <c r="D393" i="1"/>
  <c r="C605" i="1"/>
  <c r="B544" i="1"/>
  <c r="C169" i="1"/>
  <c r="C236" i="1"/>
  <c r="C828" i="1"/>
  <c r="D498" i="1"/>
  <c r="C864" i="1"/>
  <c r="D544" i="1"/>
  <c r="B971" i="1"/>
  <c r="D44" i="1"/>
  <c r="B562" i="1"/>
  <c r="D265" i="1"/>
  <c r="C824" i="1"/>
  <c r="D360" i="1"/>
  <c r="C316" i="1"/>
  <c r="C611" i="1"/>
  <c r="D535" i="1"/>
  <c r="C290" i="1"/>
  <c r="B128" i="1"/>
  <c r="B176" i="1"/>
  <c r="B561" i="1"/>
  <c r="B711" i="1"/>
  <c r="D448" i="1"/>
  <c r="D436" i="1"/>
  <c r="B545" i="1"/>
  <c r="B310" i="1"/>
  <c r="D85" i="1"/>
  <c r="D557" i="1"/>
  <c r="B398" i="1"/>
  <c r="C99" i="1"/>
  <c r="D166" i="1"/>
  <c r="C401" i="1"/>
  <c r="B718" i="1"/>
  <c r="B426" i="1"/>
  <c r="B65" i="1"/>
  <c r="C564" i="1"/>
  <c r="C766" i="1"/>
  <c r="B334" i="1"/>
  <c r="D208" i="1"/>
  <c r="B670" i="1"/>
  <c r="C911" i="1"/>
  <c r="B502" i="1"/>
  <c r="C688" i="1"/>
  <c r="C8" i="1"/>
  <c r="D578" i="1"/>
  <c r="C467" i="1"/>
  <c r="C55" i="1"/>
  <c r="C634" i="1"/>
  <c r="B180" i="1"/>
  <c r="C936" i="1"/>
  <c r="B978" i="1"/>
  <c r="B258" i="1"/>
  <c r="C430" i="1"/>
  <c r="C470" i="1"/>
  <c r="D751" i="1"/>
  <c r="B13" i="1"/>
  <c r="B935" i="1"/>
  <c r="B124" i="1"/>
  <c r="C978" i="1"/>
  <c r="B76" i="1"/>
  <c r="C468" i="1"/>
  <c r="B98" i="1"/>
  <c r="C944" i="1"/>
  <c r="B705" i="1"/>
  <c r="D373" i="1"/>
  <c r="B854" i="1"/>
  <c r="C486" i="1"/>
  <c r="D665" i="1"/>
  <c r="C466" i="1"/>
  <c r="B86" i="1"/>
  <c r="C798" i="1"/>
  <c r="C690" i="1"/>
  <c r="B491" i="1"/>
  <c r="C93" i="1"/>
  <c r="B368" i="1"/>
  <c r="D83" i="1"/>
  <c r="B912" i="1"/>
  <c r="B534" i="1"/>
  <c r="C679" i="1"/>
  <c r="C602" i="1"/>
  <c r="D206" i="1"/>
  <c r="D856" i="1"/>
  <c r="C689" i="1"/>
  <c r="D710" i="1"/>
  <c r="D185" i="1"/>
  <c r="C939" i="1"/>
  <c r="C444" i="1"/>
  <c r="D560" i="1"/>
  <c r="D742" i="1"/>
  <c r="D442" i="1"/>
  <c r="B506" i="1"/>
  <c r="C125" i="1"/>
  <c r="C994" i="1"/>
  <c r="C220" i="1"/>
  <c r="C369" i="1"/>
  <c r="B905" i="1"/>
  <c r="D677" i="1"/>
  <c r="D762" i="1"/>
  <c r="B433" i="1"/>
  <c r="D406" i="1"/>
  <c r="B286" i="1"/>
  <c r="C32" i="1"/>
  <c r="B687" i="1"/>
  <c r="B937" i="1"/>
  <c r="B276" i="1"/>
  <c r="B152" i="1"/>
  <c r="C195" i="1"/>
  <c r="D485" i="1"/>
  <c r="C394" i="1"/>
  <c r="D649" i="1"/>
  <c r="C831" i="1"/>
  <c r="D844" i="1"/>
  <c r="B917" i="1"/>
  <c r="B341" i="1"/>
  <c r="B568" i="1"/>
  <c r="B95" i="1"/>
  <c r="D466" i="1"/>
  <c r="D606" i="1"/>
  <c r="D950" i="1"/>
  <c r="C130" i="1"/>
  <c r="B522" i="1"/>
  <c r="B261" i="1"/>
  <c r="B778" i="1"/>
  <c r="C307" i="1"/>
  <c r="B384" i="1"/>
  <c r="B620" i="1"/>
  <c r="C998" i="1"/>
  <c r="D866" i="1"/>
  <c r="B708" i="1"/>
  <c r="B908" i="1"/>
  <c r="B33" i="1"/>
  <c r="C461" i="1"/>
  <c r="C904" i="1"/>
  <c r="C118" i="1"/>
  <c r="D145" i="1"/>
  <c r="C272" i="1"/>
  <c r="B788" i="1"/>
  <c r="B586" i="1"/>
  <c r="C968" i="1"/>
  <c r="B858" i="1"/>
  <c r="C533" i="1"/>
  <c r="C929" i="1"/>
  <c r="C523" i="1"/>
  <c r="C150" i="1"/>
  <c r="C817" i="1"/>
  <c r="C586" i="1"/>
  <c r="B214" i="1"/>
  <c r="D941" i="1"/>
  <c r="D577" i="1"/>
  <c r="C878" i="1"/>
  <c r="D615" i="1"/>
  <c r="C900" i="1"/>
  <c r="C292" i="1"/>
  <c r="D130" i="1"/>
  <c r="D177" i="1"/>
  <c r="B880" i="1"/>
  <c r="C160" i="1"/>
  <c r="C776" i="1"/>
  <c r="B904" i="1"/>
  <c r="B875" i="1"/>
  <c r="C453" i="1"/>
  <c r="B801" i="1"/>
  <c r="D97" i="1"/>
  <c r="B240" i="1"/>
  <c r="D963" i="1"/>
  <c r="D758" i="1"/>
  <c r="D10" i="1"/>
  <c r="D642" i="1"/>
  <c r="B702" i="1"/>
  <c r="D232" i="1"/>
  <c r="C779" i="1"/>
  <c r="B21" i="1"/>
  <c r="D869" i="1"/>
  <c r="D670" i="1"/>
  <c r="D723" i="1"/>
  <c r="B374" i="1"/>
  <c r="B68" i="1"/>
  <c r="B859" i="1"/>
  <c r="B315" i="1"/>
  <c r="C217" i="1"/>
  <c r="C804" i="1"/>
  <c r="B169" i="1"/>
  <c r="C167" i="1"/>
  <c r="C111" i="1"/>
  <c r="B54" i="1"/>
  <c r="C986" i="1"/>
  <c r="B746" i="1"/>
  <c r="B140" i="1"/>
  <c r="D803" i="1"/>
  <c r="C977" i="1"/>
  <c r="B297" i="1"/>
  <c r="B616" i="1"/>
  <c r="B877" i="1"/>
  <c r="C794" i="1"/>
  <c r="B250" i="1"/>
  <c r="B789" i="1"/>
  <c r="B42" i="1"/>
  <c r="D864" i="1"/>
  <c r="B321" i="1"/>
  <c r="C228" i="1"/>
  <c r="B449" i="1"/>
  <c r="C544" i="1"/>
  <c r="C860" i="1"/>
  <c r="B424" i="1"/>
  <c r="D3" i="1"/>
  <c r="D609" i="1"/>
  <c r="C555" i="1"/>
  <c r="B219" i="1"/>
  <c r="D191" i="1"/>
  <c r="D682" i="1"/>
  <c r="C6" i="1"/>
  <c r="D13" i="1"/>
  <c r="B970" i="1"/>
  <c r="D478" i="1"/>
  <c r="B72" i="1"/>
  <c r="C719" i="1"/>
  <c r="D247" i="1"/>
  <c r="C25" i="1"/>
  <c r="B267" i="1"/>
  <c r="D472" i="1"/>
  <c r="C932" i="1"/>
  <c r="B108" i="1"/>
  <c r="C92" i="1"/>
  <c r="C623" i="1"/>
  <c r="D800" i="1"/>
  <c r="D661" i="1"/>
  <c r="D889" i="1"/>
  <c r="B43" i="1"/>
  <c r="C810" i="1"/>
  <c r="B772" i="1"/>
  <c r="D429" i="1"/>
  <c r="D311" i="1"/>
  <c r="D181" i="1"/>
  <c r="C34" i="1"/>
  <c r="C925" i="1"/>
  <c r="B982" i="1"/>
  <c r="C226" i="1"/>
  <c r="B737" i="1"/>
  <c r="D913" i="1"/>
  <c r="D495" i="1"/>
  <c r="D655" i="1"/>
  <c r="B817" i="1"/>
  <c r="B575" i="1"/>
  <c r="D530" i="1"/>
  <c r="D74" i="1"/>
  <c r="D504" i="1"/>
  <c r="C720" i="1"/>
  <c r="C434" i="1"/>
  <c r="D172" i="1"/>
  <c r="B88" i="1"/>
  <c r="C737" i="1"/>
  <c r="C738" i="1"/>
  <c r="B547" i="1"/>
  <c r="B115" i="1"/>
  <c r="B958" i="1"/>
  <c r="B629" i="1"/>
  <c r="C155" i="1"/>
  <c r="C153" i="1"/>
  <c r="B202" i="1"/>
  <c r="B504" i="1"/>
  <c r="D784" i="1"/>
  <c r="B943" i="1"/>
  <c r="D774" i="1"/>
  <c r="D676" i="1"/>
  <c r="B429" i="1"/>
  <c r="C106" i="1"/>
  <c r="B878" i="1"/>
  <c r="B330" i="1"/>
  <c r="D463" i="1"/>
  <c r="B529" i="1"/>
  <c r="D341" i="1"/>
  <c r="D867" i="1"/>
  <c r="D587" i="1"/>
  <c r="B458" i="1"/>
  <c r="B62" i="1"/>
  <c r="C285" i="1"/>
  <c r="D733" i="1"/>
  <c r="C45" i="1"/>
  <c r="B194" i="1"/>
  <c r="B764" i="1"/>
  <c r="D89" i="1"/>
  <c r="B251" i="1"/>
  <c r="D790" i="1"/>
  <c r="B160" i="1"/>
  <c r="C769" i="1"/>
  <c r="D934" i="1"/>
  <c r="D100" i="1"/>
  <c r="D65" i="1"/>
  <c r="B587" i="1"/>
  <c r="C360" i="1"/>
  <c r="C260" i="1"/>
  <c r="C796" i="1"/>
  <c r="C726" i="1"/>
  <c r="B7" i="1"/>
  <c r="C28" i="1"/>
  <c r="C310" i="1"/>
  <c r="B816" i="1"/>
  <c r="C984" i="1"/>
  <c r="D327" i="1"/>
  <c r="B806" i="1"/>
  <c r="C412" i="1"/>
  <c r="C770" i="1"/>
  <c r="D321" i="1"/>
  <c r="D268" i="1"/>
  <c r="D942" i="1"/>
  <c r="C348" i="1"/>
  <c r="D824" i="1"/>
  <c r="C248" i="1"/>
  <c r="C31" i="1"/>
  <c r="D638" i="1"/>
  <c r="D336" i="1"/>
  <c r="B41" i="1"/>
  <c r="D250" i="1"/>
  <c r="C60" i="1"/>
  <c r="D862" i="1"/>
  <c r="B342" i="1"/>
  <c r="B150" i="1"/>
  <c r="C266" i="1"/>
  <c r="B602" i="1"/>
  <c r="D568" i="1"/>
  <c r="D438" i="1"/>
  <c r="C115" i="1"/>
  <c r="D735" i="1"/>
  <c r="C462" i="1"/>
  <c r="B256" i="1"/>
  <c r="D114" i="1"/>
  <c r="C63" i="1"/>
  <c r="C714" i="1"/>
  <c r="B558" i="1"/>
  <c r="D297" i="1"/>
  <c r="D458" i="1"/>
  <c r="B444" i="1"/>
  <c r="C914" i="1"/>
  <c r="B66" i="1"/>
  <c r="C661" i="1"/>
  <c r="D632" i="1"/>
  <c r="D16" i="1"/>
  <c r="D924" i="1"/>
  <c r="C269" i="1"/>
  <c r="B573" i="1"/>
  <c r="C487" i="1"/>
  <c r="D138" i="1"/>
  <c r="B438" i="1"/>
  <c r="D521" i="1"/>
  <c r="D514" i="1"/>
  <c r="B790" i="1"/>
  <c r="C472" i="1"/>
  <c r="B44" i="1"/>
  <c r="B934" i="1"/>
  <c r="B298" i="1"/>
  <c r="C9" i="1"/>
  <c r="C328" i="1"/>
  <c r="B787" i="1"/>
  <c r="D663" i="1"/>
  <c r="D591" i="1"/>
  <c r="B305" i="1"/>
  <c r="B436" i="1"/>
  <c r="C400" i="1"/>
  <c r="B345" i="1"/>
  <c r="B921" i="1"/>
  <c r="B753" i="1"/>
  <c r="D416" i="1"/>
  <c r="D743" i="1"/>
  <c r="B959" i="1"/>
  <c r="D494" i="1"/>
  <c r="D744" i="1"/>
  <c r="D551" i="1"/>
  <c r="C721" i="1"/>
  <c r="C152" i="1"/>
  <c r="D931" i="1"/>
  <c r="D859" i="1"/>
  <c r="B821" i="1"/>
  <c r="D717" i="1"/>
  <c r="D351" i="1"/>
  <c r="C907" i="1"/>
  <c r="B641" i="1"/>
  <c r="B122" i="1"/>
  <c r="B630" i="1"/>
  <c r="D508" i="1"/>
  <c r="B941" i="1"/>
  <c r="C447" i="1"/>
  <c r="B431" i="1"/>
  <c r="B453" i="1"/>
  <c r="D411" i="1"/>
  <c r="B900" i="1"/>
  <c r="B679" i="1"/>
  <c r="B49" i="1"/>
  <c r="D275" i="1"/>
  <c r="B71" i="1"/>
  <c r="C701" i="1"/>
  <c r="B241" i="1"/>
  <c r="D184" i="1"/>
  <c r="B116" i="1"/>
  <c r="C845" i="1"/>
  <c r="D38" i="1"/>
  <c r="D590" i="1"/>
  <c r="C566" i="1"/>
  <c r="B868" i="1"/>
  <c r="D257" i="1"/>
  <c r="B590" i="1"/>
  <c r="D2" i="1"/>
  <c r="D900" i="1"/>
  <c r="B814" i="1"/>
  <c r="C897" i="1"/>
  <c r="C204" i="1"/>
  <c r="C792" i="1"/>
  <c r="C569" i="1"/>
  <c r="C223" i="1"/>
  <c r="B791" i="1"/>
  <c r="B777" i="1"/>
  <c r="B554" i="1"/>
  <c r="B980" i="1"/>
  <c r="C271" i="1"/>
  <c r="C924" i="1"/>
  <c r="B901" i="1"/>
  <c r="C3" i="1"/>
  <c r="D239" i="1"/>
  <c r="D610" i="1"/>
  <c r="D160" i="1"/>
  <c r="D785" i="1"/>
  <c r="C515" i="1"/>
  <c r="D43" i="1"/>
  <c r="D754" i="1"/>
  <c r="C788" i="1"/>
  <c r="B162" i="1"/>
  <c r="D996" i="1"/>
  <c r="C281" i="1"/>
  <c r="B179" i="1"/>
  <c r="D608" i="1"/>
  <c r="C836" i="1"/>
  <c r="C274" i="1"/>
  <c r="B930" i="1"/>
  <c r="B278" i="1"/>
  <c r="D835" i="1"/>
  <c r="B378" i="1"/>
  <c r="D4" i="1"/>
  <c r="D646" i="1"/>
  <c r="C985" i="1"/>
  <c r="B614" i="1"/>
  <c r="B302" i="1"/>
  <c r="B192" i="1"/>
  <c r="D919" i="1"/>
  <c r="C227" i="1"/>
  <c r="D31" i="1"/>
  <c r="C846" i="1"/>
  <c r="D290" i="1"/>
  <c r="B346" i="1"/>
  <c r="C767" i="1"/>
  <c r="D680" i="1"/>
  <c r="D807" i="1"/>
  <c r="C128" i="1"/>
  <c r="C255" i="1"/>
  <c r="B129" i="1"/>
  <c r="C992" i="1"/>
  <c r="C489" i="1"/>
  <c r="D534" i="1"/>
  <c r="D871" i="1"/>
  <c r="D917" i="1"/>
  <c r="B186" i="1"/>
  <c r="D831" i="1"/>
  <c r="C673" i="1"/>
  <c r="C330" i="1"/>
  <c r="C39" i="1"/>
  <c r="D34" i="1"/>
  <c r="B10" i="1"/>
  <c r="D349" i="1"/>
  <c r="B407" i="1"/>
  <c r="C651" i="1"/>
  <c r="D333" i="1"/>
  <c r="D888" i="1"/>
  <c r="D982" i="1"/>
  <c r="D668" i="1"/>
  <c r="C692" i="1"/>
  <c r="B161" i="1"/>
  <c r="C137" i="1"/>
  <c r="B289" i="1"/>
  <c r="C353" i="1"/>
  <c r="B395" i="1"/>
  <c r="B783" i="1"/>
  <c r="C830" i="1"/>
  <c r="B781" i="1"/>
  <c r="C179" i="1"/>
  <c r="C916" i="1"/>
  <c r="B11" i="1"/>
  <c r="C926" i="1"/>
  <c r="C379" i="1"/>
  <c r="D427" i="1"/>
  <c r="D764" i="1"/>
  <c r="C680" i="1"/>
  <c r="B324" i="1"/>
  <c r="D793" i="1"/>
  <c r="B887" i="1"/>
  <c r="D446" i="1"/>
  <c r="D352" i="1"/>
  <c r="D121" i="1"/>
  <c r="D334" i="1"/>
  <c r="D481" i="1"/>
  <c r="C270" i="1"/>
  <c r="C114" i="1"/>
  <c r="B489" i="1"/>
  <c r="D53" i="1"/>
  <c r="C663" i="1"/>
  <c r="D688" i="1"/>
  <c r="D631" i="1"/>
  <c r="C314" i="1"/>
  <c r="D496" i="1"/>
  <c r="B460" i="1"/>
  <c r="D306" i="1"/>
  <c r="D654" i="1"/>
  <c r="C972" i="1"/>
  <c r="B553" i="1"/>
  <c r="B483" i="1"/>
  <c r="C441" i="1"/>
  <c r="B388" i="1"/>
  <c r="D874" i="1"/>
  <c r="C410" i="1"/>
  <c r="D640" i="1"/>
  <c r="D593" i="1"/>
  <c r="B292" i="1"/>
  <c r="C800" i="1"/>
  <c r="D117" i="1"/>
  <c r="C969" i="1"/>
  <c r="C585" i="1"/>
  <c r="B12" i="1"/>
  <c r="D724" i="1"/>
  <c r="C551" i="1"/>
  <c r="C550" i="1"/>
  <c r="C806" i="1"/>
  <c r="D209" i="1"/>
  <c r="D898" i="1"/>
  <c r="C529" i="1"/>
  <c r="B222" i="1"/>
  <c r="B920" i="1"/>
  <c r="B608" i="1"/>
  <c r="C729" i="1"/>
  <c r="D548" i="1"/>
  <c r="B26" i="1"/>
  <c r="D304" i="1"/>
  <c r="C876" i="1"/>
  <c r="C51" i="1"/>
  <c r="C581" i="1"/>
  <c r="D180" i="1"/>
  <c r="D353" i="1"/>
  <c r="B735" i="1"/>
  <c r="C381" i="1"/>
  <c r="D826" i="1"/>
  <c r="B201" i="1"/>
  <c r="C520" i="1"/>
  <c r="B314" i="1"/>
  <c r="B475" i="1"/>
  <c r="B704" i="1"/>
  <c r="D497" i="1"/>
  <c r="C510" i="1"/>
  <c r="D570" i="1"/>
  <c r="C557" i="1"/>
  <c r="D279" i="1"/>
  <c r="D237" i="1"/>
  <c r="C707" i="1"/>
  <c r="B182" i="1"/>
  <c r="D164" i="1"/>
  <c r="B963" i="1"/>
  <c r="B358" i="1"/>
  <c r="C53" i="1"/>
  <c r="C883" i="1"/>
  <c r="D246" i="1"/>
  <c r="B210" i="1"/>
  <c r="C711" i="1"/>
  <c r="C116" i="1"/>
  <c r="C315" i="1"/>
  <c r="C603" i="1"/>
  <c r="C725" i="1"/>
  <c r="C312" i="1"/>
  <c r="B467" i="1"/>
  <c r="C775" i="1"/>
  <c r="D387" i="1"/>
  <c r="D215" i="1"/>
  <c r="D962" i="1"/>
  <c r="C627" i="1"/>
  <c r="C494" i="1"/>
  <c r="C791" i="1"/>
  <c r="C279" i="1"/>
  <c r="D146" i="1"/>
  <c r="D697" i="1"/>
  <c r="D154" i="1"/>
  <c r="B437" i="1"/>
  <c r="B253" i="1"/>
  <c r="B295" i="1"/>
  <c r="D251" i="1"/>
  <c r="D788" i="1"/>
  <c r="B962" i="1"/>
  <c r="C221" i="1"/>
  <c r="B348" i="1"/>
  <c r="B208" i="1"/>
  <c r="B90" i="1"/>
  <c r="D686" i="1"/>
  <c r="B239" i="1"/>
  <c r="C230" i="1"/>
  <c r="D335" i="1"/>
  <c r="B565" i="1"/>
  <c r="B724" i="1"/>
  <c r="B187" i="1"/>
  <c r="C966" i="1"/>
  <c r="D970" i="1"/>
  <c r="D746" i="1"/>
  <c r="B842" i="1"/>
  <c r="D79" i="1"/>
  <c r="C105" i="1"/>
  <c r="B50" i="1"/>
  <c r="D434" i="1"/>
  <c r="D52" i="1"/>
  <c r="D828" i="1"/>
  <c r="B950" i="1"/>
  <c r="D225" i="1"/>
  <c r="D238" i="1"/>
  <c r="B830" i="1"/>
  <c r="D486" i="1"/>
  <c r="D437" i="1"/>
  <c r="C11" i="1"/>
  <c r="D574" i="1"/>
  <c r="C681" i="1"/>
  <c r="C687" i="1"/>
  <c r="B457" i="1"/>
  <c r="B107" i="1"/>
  <c r="B691" i="1"/>
  <c r="B907" i="1"/>
  <c r="B694" i="1"/>
  <c r="B252" i="1"/>
  <c r="B450" i="1"/>
  <c r="C805" i="1"/>
  <c r="C411" i="1"/>
  <c r="B31" i="1"/>
  <c r="D747" i="1"/>
  <c r="C604" i="1"/>
  <c r="D734" i="1"/>
  <c r="C696" i="1"/>
  <c r="C82" i="1"/>
  <c r="B786" i="1"/>
  <c r="D233" i="1"/>
  <c r="B83" i="1"/>
  <c r="B53" i="1"/>
  <c r="C377" i="1"/>
  <c r="B375" i="1"/>
  <c r="C862" i="1"/>
  <c r="D948" i="1"/>
  <c r="B513" i="1"/>
  <c r="C75" i="1"/>
  <c r="C144" i="1"/>
  <c r="B657" i="1"/>
  <c r="D847" i="1"/>
  <c r="B784" i="1"/>
  <c r="C682" i="1"/>
  <c r="D978" i="1"/>
  <c r="B988" i="1"/>
  <c r="B263" i="1"/>
  <c r="D600" i="1"/>
  <c r="C739" i="1"/>
  <c r="B677" i="1"/>
  <c r="D361" i="1"/>
  <c r="D966" i="1"/>
  <c r="D384" i="1"/>
  <c r="B960" i="1"/>
  <c r="C277" i="1"/>
  <c r="D159" i="1"/>
  <c r="D301" i="1"/>
  <c r="C743" i="1"/>
  <c r="D766" i="1"/>
  <c r="C857" i="1"/>
  <c r="D533" i="1"/>
  <c r="B809" i="1"/>
  <c r="C424" i="1"/>
  <c r="D143" i="1"/>
  <c r="B844" i="1"/>
  <c r="D967" i="1"/>
  <c r="B543" i="1"/>
  <c r="D469" i="1"/>
  <c r="C637" i="1"/>
  <c r="D933" i="1"/>
  <c r="B589" i="1"/>
  <c r="C617" i="1"/>
  <c r="B684" i="1"/>
  <c r="D659" i="1"/>
  <c r="D705" i="1"/>
  <c r="D925" i="1"/>
  <c r="C427" i="1"/>
  <c r="B769" i="1"/>
  <c r="D453" i="1"/>
  <c r="B275" i="1"/>
  <c r="C102" i="1"/>
  <c r="B707" i="1"/>
  <c r="B55" i="1"/>
  <c r="B477" i="1"/>
  <c r="D140" i="1"/>
  <c r="B883" i="1"/>
  <c r="D547" i="1"/>
  <c r="B923" i="1"/>
  <c r="B662" i="1"/>
  <c r="C296" i="1"/>
  <c r="B857" i="1"/>
  <c r="B872" i="1"/>
  <c r="B3" i="1"/>
  <c r="B406" i="1"/>
  <c r="D748" i="1"/>
  <c r="D379" i="1"/>
  <c r="C147" i="1"/>
  <c r="D258" i="1"/>
  <c r="C208" i="1"/>
  <c r="C694" i="1"/>
  <c r="B605" i="1"/>
  <c r="B986" i="1"/>
  <c r="D109" i="1"/>
  <c r="C154" i="1"/>
  <c r="C896" i="1"/>
  <c r="D309" i="1"/>
  <c r="D879" i="1"/>
  <c r="D956" i="1"/>
  <c r="D244" i="1"/>
  <c r="D489" i="1"/>
  <c r="B232" i="1"/>
  <c r="D512" i="1"/>
  <c r="D62" i="1"/>
  <c r="B164" i="1"/>
  <c r="D596" i="1"/>
  <c r="D325" i="1"/>
  <c r="D229" i="1"/>
  <c r="C284" i="1"/>
  <c r="B627" i="1"/>
  <c r="B521" i="1"/>
  <c r="D282" i="1"/>
  <c r="B955" i="1"/>
  <c r="D241" i="1"/>
  <c r="B909" i="1"/>
  <c r="C212" i="1"/>
  <c r="C641" i="1"/>
  <c r="B287" i="1"/>
  <c r="B154" i="1"/>
  <c r="B871" i="1"/>
  <c r="B233" i="1"/>
  <c r="B549" i="1"/>
  <c r="B776" i="1"/>
  <c r="C358" i="1"/>
  <c r="C151" i="1"/>
  <c r="D812" i="1"/>
  <c r="D848" i="1"/>
  <c r="B749" i="1"/>
  <c r="D932" i="1"/>
  <c r="B686" i="1"/>
  <c r="B701" i="1"/>
  <c r="B218" i="1"/>
  <c r="D627" i="1"/>
  <c r="C185" i="1"/>
  <c r="C388" i="1"/>
  <c r="D267" i="1"/>
  <c r="B332" i="1"/>
  <c r="D499" i="1"/>
  <c r="C865" i="1"/>
  <c r="D684" i="1"/>
  <c r="B89" i="1"/>
  <c r="B350" i="1"/>
  <c r="D647" i="1"/>
  <c r="C588" i="1"/>
  <c r="B181" i="1"/>
  <c r="D507" i="1"/>
  <c r="C33" i="1"/>
  <c r="C345" i="1"/>
  <c r="B418" i="1"/>
  <c r="C730" i="1"/>
  <c r="B767" i="1"/>
  <c r="D338" i="1"/>
  <c r="D755" i="1"/>
  <c r="C593" i="1"/>
  <c r="C742" i="1"/>
  <c r="D21" i="1"/>
  <c r="C479" i="1"/>
  <c r="D312" i="1"/>
  <c r="D354" i="1"/>
  <c r="C683" i="1"/>
  <c r="C148" i="1"/>
  <c r="C647" i="1"/>
  <c r="D929" i="1"/>
  <c r="C142" i="1"/>
  <c r="D28" i="1"/>
  <c r="B347" i="1"/>
  <c r="C299" i="1"/>
  <c r="C855" i="1"/>
  <c r="C503" i="1"/>
  <c r="B403" i="1"/>
  <c r="C872" i="1"/>
  <c r="C981" i="1"/>
  <c r="B105" i="1"/>
  <c r="C332" i="1"/>
  <c r="D207" i="1"/>
  <c r="D125" i="1"/>
  <c r="D272" i="1"/>
  <c r="C763" i="1"/>
  <c r="B542" i="1"/>
  <c r="D96" i="1"/>
  <c r="D959" i="1"/>
  <c r="D392" i="1"/>
  <c r="B855" i="1"/>
  <c r="B145" i="1"/>
  <c r="C164" i="1"/>
  <c r="C325" i="1"/>
  <c r="D22" i="1"/>
  <c r="B666" i="1"/>
  <c r="B765" i="1"/>
  <c r="C132" i="1"/>
  <c r="B34" i="1"/>
  <c r="D212" i="1"/>
  <c r="C409" i="1"/>
  <c r="B17" i="1"/>
  <c r="B893" i="1"/>
  <c r="B317" i="1"/>
  <c r="D501" i="1"/>
  <c r="B975" i="1"/>
  <c r="C24" i="1"/>
  <c r="B695" i="1"/>
  <c r="D792" i="1"/>
  <c r="C117" i="1"/>
  <c r="B494" i="1"/>
  <c r="D216" i="1"/>
  <c r="D112" i="1"/>
  <c r="C712" i="1"/>
  <c r="C752" i="1"/>
  <c r="B156" i="1"/>
  <c r="C476" i="1"/>
  <c r="B206" i="1"/>
  <c r="B890" i="1"/>
  <c r="C866" i="1"/>
  <c r="D636" i="1"/>
  <c r="B947" i="1"/>
  <c r="C898" i="1"/>
  <c r="B797" i="1"/>
  <c r="B212" i="1"/>
  <c r="D528" i="1"/>
  <c r="D791" i="1"/>
  <c r="C197" i="1"/>
  <c r="C892" i="1"/>
  <c r="C180" i="1"/>
  <c r="D990" i="1"/>
  <c r="B519" i="1"/>
  <c r="D323" i="1"/>
  <c r="D760" i="1"/>
  <c r="B412" i="1"/>
  <c r="C971" i="1"/>
  <c r="D94" i="1"/>
  <c r="D985" i="1"/>
  <c r="D957" i="1"/>
  <c r="B564" i="1"/>
  <c r="C902" i="1"/>
  <c r="C909" i="1"/>
  <c r="B953" i="1"/>
  <c r="B537" i="1"/>
  <c r="B500" i="1"/>
  <c r="C786" i="1"/>
  <c r="C280" i="1"/>
  <c r="B281" i="1"/>
  <c r="B211" i="1"/>
  <c r="B685" i="1"/>
  <c r="B318" i="1"/>
  <c r="B200" i="1"/>
  <c r="C531" i="1"/>
  <c r="B372" i="1"/>
  <c r="D837" i="1"/>
  <c r="B356" i="1"/>
  <c r="C326" i="1"/>
  <c r="B396" i="1"/>
  <c r="C210" i="1"/>
  <c r="D178" i="1"/>
  <c r="D713" i="1"/>
  <c r="D669" i="1"/>
  <c r="B582" i="1"/>
  <c r="D855" i="1"/>
  <c r="B972" i="1"/>
  <c r="B577" i="1"/>
  <c r="B698" i="1"/>
  <c r="B773" i="1"/>
  <c r="D575" i="1"/>
  <c r="B585" i="1"/>
  <c r="B174" i="1"/>
  <c r="B56" i="1"/>
  <c r="D273" i="1"/>
  <c r="D843" i="1"/>
  <c r="D190" i="1"/>
  <c r="D205" i="1"/>
  <c r="B141" i="1"/>
  <c r="C537" i="1"/>
  <c r="B377" i="1"/>
  <c r="D515" i="1"/>
  <c r="C580" i="1"/>
  <c r="D598" i="1"/>
  <c r="C559" i="1"/>
  <c r="B738" i="1"/>
  <c r="B60" i="1"/>
  <c r="B945" i="1"/>
  <c r="B518" i="1"/>
  <c r="B954" i="1"/>
  <c r="B484" i="1"/>
  <c r="C112" i="1"/>
  <c r="B579" i="1"/>
  <c r="B443" i="1"/>
  <c r="B157" i="1"/>
  <c r="D505" i="1"/>
  <c r="B69" i="1"/>
  <c r="D235" i="1"/>
  <c r="B454" i="1"/>
  <c r="D633" i="1"/>
  <c r="D300" i="1"/>
  <c r="D928" i="1"/>
  <c r="D955" i="1"/>
  <c r="C140" i="1"/>
  <c r="B67" i="1"/>
  <c r="C404" i="1"/>
  <c r="C584" i="1"/>
  <c r="D120" i="1"/>
  <c r="B618" i="1"/>
  <c r="B301" i="1"/>
  <c r="D72" i="1"/>
  <c r="C331" i="1"/>
  <c r="B899" i="1"/>
  <c r="B39" i="1"/>
  <c r="D326" i="1"/>
  <c r="B845" i="1"/>
  <c r="D161" i="1"/>
  <c r="D317" i="1"/>
  <c r="C842" i="1"/>
  <c r="C268" i="1"/>
  <c r="B822" i="1"/>
  <c r="B134" i="1"/>
  <c r="B163" i="1"/>
  <c r="B974" i="1"/>
  <c r="B997" i="1"/>
  <c r="C194" i="1"/>
  <c r="D878" i="1"/>
  <c r="D376" i="1"/>
  <c r="D339" i="1"/>
  <c r="C245" i="1"/>
  <c r="B853" i="1"/>
  <c r="B676" i="1"/>
  <c r="D473" i="1"/>
  <c r="C935" i="1"/>
  <c r="C126" i="1"/>
  <c r="D975" i="1"/>
  <c r="B259" i="1"/>
  <c r="D740" i="1"/>
  <c r="C797" i="1"/>
  <c r="B734" i="1"/>
  <c r="C980" i="1"/>
  <c r="C166" i="1"/>
  <c r="C192" i="1"/>
  <c r="B416" i="1"/>
  <c r="C988" i="1"/>
  <c r="C881" i="1"/>
  <c r="D274" i="1"/>
  <c r="C371" i="1"/>
  <c r="D307" i="1"/>
  <c r="B861" i="1"/>
  <c r="B588" i="1"/>
  <c r="B546" i="1"/>
  <c r="D820" i="1"/>
  <c r="D86" i="1"/>
  <c r="D553" i="1"/>
  <c r="D296" i="1"/>
  <c r="D588" i="1"/>
  <c r="D916" i="1"/>
  <c r="B729" i="1"/>
  <c r="D558" i="1"/>
  <c r="B268" i="1"/>
  <c r="D567" i="1"/>
  <c r="B493" i="1"/>
  <c r="D19" i="1"/>
  <c r="C927" i="1"/>
  <c r="C703" i="1"/>
  <c r="D412" i="1"/>
  <c r="C755" i="1"/>
  <c r="C851" i="1"/>
  <c r="D845" i="1"/>
  <c r="C815" i="1"/>
  <c r="D701" i="1"/>
  <c r="D285" i="1"/>
  <c r="B766" i="1"/>
  <c r="D474" i="1"/>
  <c r="B149" i="1"/>
  <c r="D650" i="1"/>
  <c r="C363" i="1"/>
  <c r="B47" i="1"/>
  <c r="D904" i="1"/>
  <c r="C577" i="1"/>
  <c r="B322" i="1"/>
  <c r="C716" i="1"/>
  <c r="C829" i="1"/>
  <c r="C940" i="1"/>
  <c r="B515" i="1"/>
  <c r="B559" i="1"/>
  <c r="D584" i="1"/>
  <c r="B683" i="1"/>
  <c r="D937" i="1"/>
  <c r="D537" i="1"/>
  <c r="B389" i="1"/>
  <c r="C346" i="1"/>
  <c r="B834" i="1"/>
  <c r="B780" i="1"/>
  <c r="D648" i="1"/>
  <c r="B761" i="1"/>
  <c r="D36" i="1"/>
  <c r="C820" i="1"/>
  <c r="D550" i="1"/>
  <c r="D395" i="1"/>
  <c r="D552" i="1"/>
  <c r="C267" i="1"/>
  <c r="D750" i="1"/>
  <c r="D714" i="1"/>
  <c r="C356" i="1"/>
  <c r="B967" i="1"/>
  <c r="D753" i="1"/>
  <c r="C395" i="1"/>
  <c r="B984" i="1"/>
  <c r="C61" i="1"/>
  <c r="B539" i="1"/>
  <c r="D890" i="1"/>
  <c r="D226" i="1"/>
  <c r="C20" i="1"/>
  <c r="D715" i="1"/>
  <c r="B795" i="1"/>
  <c r="D249" i="1"/>
  <c r="D969" i="1"/>
  <c r="C556" i="1"/>
  <c r="C655" i="1"/>
  <c r="D770" i="1"/>
  <c r="D56" i="1"/>
  <c r="B282" i="1"/>
  <c r="B235" i="1"/>
  <c r="B231" i="1"/>
  <c r="B82" i="1"/>
  <c r="B420" i="1"/>
  <c r="D230" i="1"/>
  <c r="D386" i="1"/>
  <c r="B931" i="1"/>
  <c r="D737" i="1"/>
  <c r="D622" i="1"/>
  <c r="B101" i="1"/>
  <c r="C97" i="1"/>
  <c r="D50" i="1"/>
  <c r="D520" i="1"/>
  <c r="C835" i="1"/>
  <c r="C793" i="1"/>
  <c r="D690" i="1"/>
  <c r="C484" i="1"/>
  <c r="B682" i="1"/>
  <c r="B566" i="1"/>
  <c r="D716" i="1"/>
  <c r="B913" i="1"/>
  <c r="C666" i="1"/>
  <c r="B747" i="1"/>
  <c r="C456" i="1"/>
  <c r="B533" i="1"/>
  <c r="B743" i="1"/>
  <c r="C859" i="1"/>
  <c r="D513" i="1"/>
  <c r="D625" i="1"/>
  <c r="D594" i="1"/>
  <c r="B177" i="1"/>
  <c r="B938" i="1"/>
  <c r="C563" i="1"/>
  <c r="B487" i="1"/>
  <c r="B851" i="1"/>
  <c r="D443" i="1"/>
  <c r="D346" i="1"/>
  <c r="C244" i="1"/>
  <c r="C1000" i="1"/>
  <c r="B151" i="1"/>
  <c r="C937" i="1"/>
  <c r="C970" i="1"/>
  <c r="C355" i="1"/>
  <c r="B992" i="1"/>
  <c r="C338" i="1"/>
  <c r="D885" i="1"/>
  <c r="B774" i="1"/>
  <c r="C757" i="1"/>
  <c r="C574" i="1"/>
  <c r="C276" i="1"/>
  <c r="D745" i="1"/>
  <c r="B91" i="1"/>
  <c r="B229" i="1"/>
  <c r="C191" i="1"/>
  <c r="B303" i="1"/>
  <c r="C30" i="1"/>
  <c r="D137" i="1"/>
  <c r="B427" i="1"/>
  <c r="B136" i="1"/>
  <c r="B445" i="1"/>
  <c r="C301" i="1"/>
  <c r="C928" i="1"/>
  <c r="D809" i="1"/>
  <c r="C370" i="1"/>
  <c r="C656" i="1"/>
  <c r="B425" i="1"/>
  <c r="C997" i="1"/>
  <c r="B373" i="1"/>
  <c r="C40" i="1"/>
  <c r="B205" i="1"/>
  <c r="C999" i="1"/>
  <c r="D658" i="1"/>
  <c r="D245" i="1"/>
  <c r="B87" i="1"/>
  <c r="C159" i="1"/>
  <c r="B104" i="1"/>
  <c r="D61" i="1"/>
  <c r="B757" i="1"/>
  <c r="C83" i="1"/>
  <c r="D810" i="1"/>
  <c r="B655" i="1"/>
  <c r="D523" i="1"/>
  <c r="C652" i="1"/>
  <c r="D399" i="1"/>
  <c r="B511" i="1"/>
  <c r="B595" i="1"/>
  <c r="B265" i="1"/>
  <c r="C784" i="1"/>
  <c r="C576" i="1"/>
  <c r="D364" i="1"/>
  <c r="D629" i="1"/>
  <c r="C732" i="1"/>
  <c r="B604" i="1"/>
  <c r="C252" i="1"/>
  <c r="C698" i="1"/>
  <c r="B998" i="1"/>
  <c r="C168" i="1"/>
  <c r="C993" i="1"/>
  <c r="B710" i="1"/>
  <c r="C645" i="1"/>
  <c r="D589" i="1"/>
  <c r="C389" i="1"/>
  <c r="C398" i="1"/>
  <c r="C619" i="1"/>
  <c r="D49" i="1"/>
  <c r="C923" i="1"/>
  <c r="C942" i="1"/>
  <c r="D786" i="1"/>
  <c r="D947" i="1"/>
  <c r="C751" i="1"/>
  <c r="C157" i="1"/>
  <c r="D409" i="1"/>
  <c r="C905" i="1"/>
  <c r="C354" i="1"/>
  <c r="D914" i="1"/>
  <c r="C327" i="1"/>
  <c r="D718" i="1"/>
  <c r="B228" i="1"/>
  <c r="D451" i="1"/>
  <c r="B308" i="1"/>
  <c r="B52" i="1"/>
  <c r="D479" i="1"/>
  <c r="B465" i="1"/>
  <c r="C110" i="1"/>
  <c r="D236" i="1"/>
  <c r="D203" i="1"/>
  <c r="D601" i="1"/>
  <c r="D259" i="1"/>
  <c r="B440" i="1"/>
  <c r="B352" i="1"/>
  <c r="D739" i="1"/>
  <c r="B448" i="1"/>
  <c r="B209" i="1"/>
  <c r="C297" i="1"/>
  <c r="B257" i="1"/>
  <c r="B397" i="1"/>
  <c r="B386" i="1"/>
  <c r="B727" i="1"/>
  <c r="D169" i="1"/>
  <c r="D103" i="1"/>
  <c r="D487" i="1"/>
  <c r="C254" i="1"/>
  <c r="B35" i="1"/>
  <c r="C283" i="1"/>
  <c r="B956" i="1"/>
  <c r="C938" i="1"/>
  <c r="D778" i="1"/>
  <c r="B81" i="1"/>
  <c r="B114" i="1"/>
  <c r="B775" i="1"/>
  <c r="D483" i="1"/>
  <c r="B14" i="1"/>
  <c r="C262" i="1"/>
  <c r="B100" i="1"/>
  <c r="B274" i="1"/>
  <c r="D75" i="1"/>
  <c r="B852" i="1"/>
  <c r="C382" i="1"/>
  <c r="C485" i="1"/>
  <c r="D378" i="1"/>
  <c r="B392" i="1"/>
  <c r="C214" i="1"/>
  <c r="C930" i="1"/>
  <c r="B671" i="1"/>
  <c r="B895" i="1"/>
  <c r="D687" i="1"/>
  <c r="D911" i="1"/>
  <c r="C867" i="1"/>
  <c r="D66" i="1"/>
  <c r="C848" i="1"/>
  <c r="C638" i="1"/>
  <c r="C439" i="1"/>
  <c r="D987" i="1"/>
  <c r="C622" i="1"/>
  <c r="D556" i="1"/>
  <c r="D115" i="1"/>
  <c r="D731" i="1"/>
  <c r="D35" i="1"/>
  <c r="C799" i="1"/>
  <c r="C787" i="1"/>
  <c r="D444" i="1"/>
  <c r="B661" i="1"/>
  <c r="B752" i="1"/>
  <c r="C171" i="1"/>
  <c r="D374" i="1"/>
  <c r="D965" i="1"/>
  <c r="C856" i="1"/>
  <c r="B96" i="1"/>
  <c r="D524" i="1"/>
  <c r="D673" i="1"/>
  <c r="C241" i="1"/>
  <c r="C457" i="1"/>
  <c r="C432" i="1"/>
  <c r="C562" i="1"/>
  <c r="D365" i="1"/>
  <c r="B126" i="1"/>
  <c r="D595" i="1"/>
  <c r="C2" i="1"/>
  <c r="D865" i="1"/>
  <c r="B906" i="1"/>
  <c r="B103" i="1"/>
  <c r="C231" i="1"/>
  <c r="C89" i="1"/>
  <c r="D286" i="1"/>
  <c r="C86" i="1"/>
  <c r="D171" i="1"/>
  <c r="C67" i="1"/>
  <c r="B898" i="1"/>
  <c r="C618" i="1"/>
  <c r="C525" i="1"/>
  <c r="D603" i="1"/>
  <c r="C454" i="1"/>
  <c r="D357" i="1"/>
  <c r="C440" i="1"/>
  <c r="D492" i="1"/>
  <c r="C113" i="1"/>
  <c r="B556" i="1"/>
  <c r="B754" i="1"/>
  <c r="B919" i="1"/>
  <c r="B663" i="1"/>
  <c r="C953" i="1"/>
  <c r="C162" i="1"/>
  <c r="B405" i="1"/>
  <c r="C225" i="1"/>
  <c r="C378" i="1"/>
  <c r="C717" i="1"/>
  <c r="D291" i="1"/>
  <c r="B606" i="1"/>
  <c r="B20" i="1"/>
  <c r="C215" i="1"/>
  <c r="C18" i="1"/>
  <c r="B538" i="1"/>
  <c r="C323" i="1"/>
  <c r="D971" i="1"/>
  <c r="C496" i="1"/>
  <c r="D407" i="1"/>
  <c r="C13" i="1"/>
  <c r="B838" i="1"/>
  <c r="D432" i="1"/>
  <c r="D283" i="1"/>
  <c r="B294" i="1"/>
  <c r="B376" i="1"/>
  <c r="B135" i="1"/>
  <c r="C202" i="1"/>
  <c r="C100" i="1"/>
  <c r="D607" i="1"/>
  <c r="C138" i="1"/>
  <c r="D189" i="1"/>
  <c r="D972" i="1"/>
  <c r="D264" i="1"/>
  <c r="D302" i="1"/>
  <c r="C101" i="1"/>
  <c r="D585" i="1"/>
  <c r="C372" i="1"/>
  <c r="B59" i="1"/>
  <c r="B514" i="1"/>
  <c r="B293" i="1"/>
  <c r="B996" i="1"/>
  <c r="B476" i="1"/>
  <c r="B393" i="1"/>
  <c r="D95" i="1"/>
  <c r="B831" i="1"/>
  <c r="C324" i="1"/>
  <c r="C342" i="1"/>
  <c r="D767" i="1"/>
  <c r="D167" i="1"/>
  <c r="C906" i="1"/>
  <c r="C143" i="1"/>
  <c r="B153" i="1"/>
  <c r="B640" i="1"/>
  <c r="D24" i="1"/>
  <c r="B721" i="1"/>
  <c r="D204" i="1"/>
  <c r="B762" i="1"/>
  <c r="C885" i="1"/>
  <c r="C975" i="1"/>
  <c r="B525" i="1"/>
  <c r="D465" i="1"/>
  <c r="B793" i="1"/>
  <c r="D518" i="1"/>
  <c r="B665" i="1"/>
  <c r="D839" i="1"/>
  <c r="B482" i="1"/>
  <c r="B75" i="1"/>
  <c r="C912" i="1"/>
  <c r="C589" i="1"/>
  <c r="D721" i="1"/>
  <c r="D522" i="1"/>
  <c r="B716" i="1"/>
  <c r="B225" i="1"/>
  <c r="C415" i="1"/>
  <c r="C141" i="1"/>
  <c r="D37" i="1"/>
  <c r="D391" i="1"/>
  <c r="B362" i="1"/>
  <c r="B882" i="1"/>
  <c r="D46" i="1"/>
  <c r="B6" i="1"/>
  <c r="C974" i="1"/>
  <c r="C163" i="1"/>
  <c r="D381" i="1"/>
  <c r="C868" i="1"/>
  <c r="D895" i="1"/>
  <c r="B983" i="1"/>
  <c r="B860" i="1"/>
  <c r="B799" i="1"/>
  <c r="C14" i="1"/>
  <c r="B446" i="1"/>
  <c r="C658" i="1"/>
  <c r="C306" i="1"/>
  <c r="C783" i="1"/>
  <c r="B815" i="1"/>
  <c r="C626" i="1"/>
  <c r="D55" i="1"/>
  <c r="B903" i="1"/>
  <c r="C899" i="1"/>
  <c r="B9" i="1"/>
  <c r="C239" i="1"/>
  <c r="C753" i="1"/>
  <c r="C827" i="1"/>
  <c r="C362" i="1"/>
  <c r="C768" i="1"/>
  <c r="C129" i="1"/>
  <c r="C844" i="1"/>
  <c r="B939" i="1"/>
  <c r="D192" i="1"/>
  <c r="D620" i="1"/>
  <c r="C68" i="1"/>
  <c r="C643" i="1"/>
  <c r="C765" i="1"/>
  <c r="C69" i="1"/>
  <c r="B570" i="1"/>
  <c r="D628" i="1"/>
  <c r="D782" i="1"/>
  <c r="B409" i="1"/>
  <c r="B865" i="1"/>
  <c r="B770" i="1"/>
  <c r="D825" i="1"/>
  <c r="B260" i="1"/>
  <c r="C536" i="1"/>
  <c r="B474" i="1"/>
  <c r="D853" i="1"/>
  <c r="D40" i="1"/>
  <c r="D545" i="1"/>
  <c r="D447" i="1"/>
  <c r="D700" i="1"/>
  <c r="D980" i="1"/>
  <c r="D861" i="1"/>
  <c r="D968" i="1"/>
  <c r="B183" i="1"/>
  <c r="D958" i="1"/>
  <c r="B584" i="1"/>
  <c r="D657" i="1"/>
  <c r="C538" i="1"/>
  <c r="B270" i="1"/>
  <c r="C376" i="1"/>
  <c r="C54" i="1"/>
  <c r="C672" i="1"/>
  <c r="B889" i="1"/>
  <c r="C728" i="1"/>
  <c r="B884" i="1"/>
  <c r="C826" i="1"/>
  <c r="B881" i="1"/>
  <c r="B320" i="1"/>
  <c r="C957" i="1"/>
  <c r="D613" i="1"/>
  <c r="B625" i="1"/>
  <c r="C426" i="1"/>
  <c r="B782" i="1"/>
  <c r="B836" i="1"/>
  <c r="B750" i="1"/>
  <c r="B643" i="1"/>
  <c r="B113" i="1"/>
  <c r="D664" i="1"/>
  <c r="B121" i="1"/>
  <c r="D417" i="1"/>
  <c r="D445" i="1"/>
  <c r="C458" i="1"/>
  <c r="C833" i="1"/>
  <c r="B269" i="1"/>
  <c r="B690" i="1"/>
  <c r="D983" i="1"/>
  <c r="D493" i="1"/>
  <c r="C273" i="1"/>
  <c r="D113" i="1"/>
  <c r="D849" i="1"/>
  <c r="D460" i="1"/>
  <c r="D939" i="1"/>
  <c r="B485" i="1"/>
  <c r="B419" i="1"/>
  <c r="C834" i="1"/>
  <c r="C908" i="1"/>
  <c r="B381" i="1"/>
  <c r="D151" i="1"/>
  <c r="C452" i="1"/>
  <c r="B365" i="1"/>
  <c r="C807" i="1"/>
  <c r="C773" i="1"/>
  <c r="D653" i="1"/>
  <c r="C76" i="1"/>
  <c r="D305" i="1"/>
  <c r="B296" i="1"/>
  <c r="D440" i="1"/>
  <c r="B441" i="1"/>
  <c r="C941" i="1"/>
  <c r="B57" i="1"/>
  <c r="D470" i="1"/>
  <c r="C657" i="1"/>
  <c r="D626" i="1"/>
  <c r="D104" i="1"/>
  <c r="B722" i="1"/>
  <c r="C403" i="1"/>
  <c r="B839" i="1"/>
  <c r="C465" i="1"/>
  <c r="D691" i="1"/>
  <c r="C361" i="1"/>
  <c r="D430" i="1"/>
  <c r="D476" i="1"/>
  <c r="C81" i="1"/>
  <c r="D30" i="1"/>
  <c r="D303" i="1"/>
  <c r="D804" i="1"/>
  <c r="C85" i="1"/>
  <c r="D70" i="1"/>
  <c r="C334" i="1"/>
  <c r="D457" i="1"/>
  <c r="B719" i="1"/>
  <c r="D780" i="1"/>
  <c r="B120" i="1"/>
  <c r="B944" i="1"/>
  <c r="D227" i="1"/>
  <c r="D271" i="1"/>
  <c r="D564" i="1"/>
  <c r="C37" i="1"/>
  <c r="D702" i="1"/>
  <c r="D385" i="1"/>
  <c r="C723" i="1"/>
  <c r="D186" i="1"/>
  <c r="B46" i="1"/>
  <c r="B733" i="1"/>
  <c r="C920" i="1"/>
  <c r="C492" i="1"/>
  <c r="B234" i="1"/>
  <c r="B102" i="1"/>
  <c r="D106" i="1"/>
  <c r="C337" i="1"/>
  <c r="C943" i="1"/>
  <c r="D902" i="1"/>
  <c r="B739" i="1"/>
  <c r="D256" i="1"/>
  <c r="B615" i="1"/>
  <c r="C478" i="1"/>
  <c r="D420" i="1"/>
  <c r="D435" i="1"/>
  <c r="C445" i="1"/>
  <c r="C199" i="1"/>
  <c r="D877" i="1"/>
  <c r="D892" i="1"/>
  <c r="C368" i="1"/>
  <c r="B480" i="1"/>
  <c r="C135" i="1"/>
  <c r="D816" i="1"/>
  <c r="C668" i="1"/>
  <c r="C750" i="1"/>
  <c r="C374" i="1"/>
  <c r="C785" i="1"/>
  <c r="D912" i="1"/>
  <c r="C612" i="1"/>
  <c r="C522" i="1"/>
  <c r="B204" i="1"/>
  <c r="B382" i="1"/>
  <c r="C636" i="1"/>
  <c r="D572" i="1"/>
  <c r="C390" i="1"/>
  <c r="B712" i="1"/>
  <c r="D808" i="1"/>
  <c r="D425" i="1"/>
  <c r="D711" i="1"/>
  <c r="C527" i="1"/>
  <c r="D635" i="1"/>
  <c r="B674" i="1"/>
  <c r="D726" i="1"/>
  <c r="D315" i="1"/>
  <c r="B171" i="1"/>
  <c r="D150" i="1"/>
  <c r="B28" i="1"/>
  <c r="C471" i="1"/>
  <c r="C722" i="1"/>
  <c r="C119" i="1"/>
  <c r="D899" i="1"/>
  <c r="B745" i="1"/>
  <c r="D543" i="1"/>
  <c r="D799" i="1"/>
  <c r="C187" i="1"/>
  <c r="C98" i="1"/>
  <c r="C646" i="1"/>
  <c r="B914" i="1"/>
  <c r="B726" i="1"/>
  <c r="D131" i="1"/>
  <c r="D475" i="1"/>
  <c r="C367" i="1"/>
  <c r="C693" i="1"/>
  <c r="B891" i="1"/>
  <c r="C64" i="1"/>
  <c r="D801" i="1"/>
  <c r="D616" i="1"/>
  <c r="B503" i="1"/>
  <c r="C237" i="1"/>
  <c r="C516" i="1"/>
  <c r="C243" i="1"/>
  <c r="B131" i="1"/>
  <c r="D986" i="1"/>
  <c r="B197" i="1"/>
  <c r="B355" i="1"/>
  <c r="B326" i="1"/>
  <c r="B277" i="1"/>
  <c r="C50" i="1"/>
  <c r="B823" i="1"/>
  <c r="C136" i="1"/>
  <c r="C982" i="1"/>
  <c r="B885" i="1"/>
  <c r="C880" i="1"/>
  <c r="B459" i="1"/>
  <c r="C216" i="1"/>
  <c r="D671" i="1"/>
  <c r="C642" i="1"/>
  <c r="C319" i="1"/>
  <c r="B969" i="1"/>
  <c r="C894" i="1"/>
  <c r="B811" i="1"/>
  <c r="D815" i="1"/>
  <c r="D887" i="1"/>
  <c r="B142" i="1"/>
  <c r="D197" i="1"/>
  <c r="D813" i="1"/>
  <c r="D310" i="1"/>
  <c r="B946" i="1"/>
  <c r="B771" i="1"/>
  <c r="B567" i="1"/>
  <c r="D187" i="1"/>
  <c r="B361" i="1"/>
  <c r="D408" i="1"/>
  <c r="D1000" i="1"/>
  <c r="B224" i="1"/>
  <c r="B673" i="1"/>
  <c r="B196" i="1"/>
  <c r="C933" i="1"/>
  <c r="C582" i="1"/>
  <c r="D45" i="1"/>
  <c r="C375" i="1"/>
  <c r="C513" i="1"/>
  <c r="B323" i="1"/>
  <c r="D298" i="1"/>
  <c r="D87" i="1"/>
  <c r="B651" i="1"/>
  <c r="D977" i="1"/>
  <c r="D554" i="1"/>
  <c r="C311" i="1"/>
  <c r="C598" i="1"/>
  <c r="D135" i="1"/>
  <c r="B572" i="1"/>
  <c r="C869" i="1"/>
  <c r="D840" i="1"/>
  <c r="C640" i="1"/>
  <c r="B660" i="1"/>
  <c r="C573" i="1"/>
  <c r="C889" i="1"/>
  <c r="B137" i="1"/>
  <c r="B195" i="1"/>
  <c r="B717" i="1"/>
  <c r="C546" i="1"/>
  <c r="D377" i="1"/>
  <c r="D105" i="1"/>
  <c r="B813" i="1"/>
  <c r="C124" i="1"/>
  <c r="B462" i="1"/>
  <c r="B168" i="1"/>
  <c r="B118" i="1"/>
  <c r="C505" i="1"/>
  <c r="B273" i="1"/>
  <c r="D368" i="1"/>
  <c r="D863" i="1"/>
  <c r="D511" i="1"/>
  <c r="C747" i="1"/>
  <c r="D872" i="1"/>
  <c r="C547" i="1"/>
  <c r="C108" i="1"/>
  <c r="D488" i="1"/>
  <c r="D769" i="1"/>
  <c r="D984" i="1"/>
  <c r="C886" i="1"/>
  <c r="D538" i="1"/>
  <c r="D193" i="1"/>
  <c r="D870" i="1"/>
  <c r="D342" i="1"/>
  <c r="B488" i="1"/>
  <c r="D910" i="1"/>
  <c r="B285" i="1"/>
  <c r="B706" i="1"/>
  <c r="B280" i="1"/>
  <c r="B843" i="1"/>
  <c r="C718" i="1"/>
  <c r="D644" i="1"/>
  <c r="C206" i="1"/>
  <c r="B255" i="1"/>
  <c r="B271" i="1"/>
  <c r="D490" i="1"/>
  <c r="D58" i="1"/>
  <c r="D375" i="1"/>
  <c r="C62" i="1"/>
  <c r="B622" i="1"/>
  <c r="B965" i="1"/>
  <c r="B464" i="1"/>
  <c r="D756" i="1"/>
  <c r="D308" i="1"/>
  <c r="D41" i="1"/>
  <c r="D868" i="1"/>
  <c r="D122" i="1"/>
  <c r="B516" i="1"/>
  <c r="C408" i="1"/>
  <c r="D15" i="1"/>
  <c r="D276" i="1"/>
  <c r="B387" i="1"/>
  <c r="C702" i="1"/>
  <c r="C813" i="1"/>
  <c r="D155" i="1"/>
  <c r="D450" i="1"/>
  <c r="B693" i="1"/>
  <c r="D228" i="1"/>
  <c r="B155" i="1"/>
  <c r="D579" i="1"/>
  <c r="B995" i="1"/>
  <c r="B130" i="1"/>
  <c r="D343" i="1"/>
  <c r="C628" i="1"/>
  <c r="D328" i="1"/>
  <c r="B32" i="1"/>
  <c r="D397" i="1"/>
  <c r="C392" i="1"/>
  <c r="D617" i="1"/>
  <c r="B804" i="1"/>
  <c r="B976" i="1"/>
  <c r="D775" i="1"/>
  <c r="C987" i="1"/>
  <c r="D614" i="1"/>
  <c r="D675" i="1"/>
  <c r="C780" i="1"/>
  <c r="B390" i="1"/>
  <c r="B284" i="1"/>
  <c r="B918" i="1"/>
  <c r="D549" i="1"/>
  <c r="C801" i="1"/>
  <c r="B892" i="1"/>
  <c r="C858" i="1"/>
  <c r="C973" i="1"/>
  <c r="C989" i="1"/>
  <c r="C895" i="1"/>
  <c r="C873" i="1"/>
  <c r="B932" i="1"/>
  <c r="C211" i="1"/>
  <c r="B329" i="1"/>
  <c r="C511" i="1"/>
  <c r="D456" i="1"/>
  <c r="B924" i="1"/>
  <c r="D540" i="1"/>
  <c r="C837" i="1"/>
  <c r="C26" i="1"/>
  <c r="C832" i="1"/>
  <c r="C181" i="1"/>
  <c r="C72" i="1"/>
  <c r="D260" i="1"/>
  <c r="B933" i="1"/>
  <c r="D51" i="1"/>
  <c r="D157" i="1"/>
  <c r="C512" i="1"/>
  <c r="D380" i="1"/>
  <c r="B557" i="1"/>
  <c r="B649" i="1"/>
  <c r="C670" i="1"/>
  <c r="C735" i="1"/>
  <c r="B902" i="1"/>
  <c r="B569" i="1"/>
  <c r="D240" i="1"/>
  <c r="D347" i="1"/>
  <c r="D344" i="1"/>
  <c r="D252" i="1"/>
  <c r="B829" i="1"/>
  <c r="B370" i="1"/>
  <c r="B61" i="1"/>
  <c r="D759" i="1"/>
  <c r="B316" i="1"/>
  <c r="D293" i="1"/>
  <c r="B353" i="1"/>
  <c r="C526" i="1"/>
  <c r="B876" i="1"/>
  <c r="B479" i="1"/>
  <c r="D459" i="1"/>
  <c r="D433" i="1"/>
  <c r="B414" i="1"/>
  <c r="D988" i="1"/>
  <c r="C205" i="1"/>
  <c r="B621" i="1"/>
  <c r="B417" i="1"/>
  <c r="D222" i="1"/>
  <c r="D47" i="1"/>
  <c r="B591" i="1"/>
  <c r="B759" i="1"/>
  <c r="D224" i="1"/>
  <c r="C802" i="1"/>
  <c r="D76" i="1"/>
  <c r="D621" i="1"/>
  <c r="B144" i="1"/>
  <c r="C629" i="1"/>
  <c r="B432" i="1"/>
  <c r="D418" i="1"/>
  <c r="C429" i="1"/>
  <c r="B22" i="1"/>
  <c r="D324" i="1"/>
  <c r="C349" i="1"/>
  <c r="D923" i="1"/>
  <c r="C41" i="1"/>
  <c r="D761" i="1"/>
  <c r="C572" i="1"/>
  <c r="B713" i="1"/>
  <c r="C182" i="1"/>
  <c r="C71" i="1"/>
  <c r="D696" i="1"/>
  <c r="C38" i="1"/>
  <c r="B272" i="1"/>
  <c r="B366" i="1"/>
  <c r="B230" i="1"/>
  <c r="B408" i="1"/>
  <c r="D834" i="1"/>
  <c r="B379" i="1"/>
  <c r="B720" i="1"/>
  <c r="D542" i="1"/>
  <c r="C357" i="1"/>
  <c r="D897" i="1"/>
  <c r="C321" i="1"/>
  <c r="D539" i="1"/>
  <c r="D269" i="1"/>
  <c r="B203" i="1"/>
  <c r="B99" i="1"/>
  <c r="B632" i="1"/>
  <c r="D953" i="1"/>
  <c r="C491" i="1"/>
  <c r="C224" i="1"/>
  <c r="C200" i="1"/>
  <c r="D134" i="1"/>
  <c r="D198" i="1"/>
  <c r="C705" i="1"/>
  <c r="C480" i="1"/>
  <c r="B410" i="1"/>
  <c r="B1000" i="1"/>
  <c r="C437" i="1"/>
  <c r="C660" i="1"/>
  <c r="B619" i="1"/>
  <c r="C871" i="1"/>
  <c r="C263" i="1"/>
  <c r="D502" i="1"/>
  <c r="B73" i="1"/>
  <c r="B646" i="1"/>
  <c r="C59" i="1"/>
  <c r="B15" i="1"/>
  <c r="B600" i="1"/>
  <c r="B824" i="1"/>
  <c r="B207" i="1"/>
  <c r="B645" i="1"/>
  <c r="C250" i="1"/>
  <c r="C648" i="1"/>
  <c r="D920" i="1"/>
  <c r="B413" i="1"/>
  <c r="B638" i="1"/>
  <c r="D248" i="1"/>
  <c r="B731" i="1"/>
  <c r="C756" i="1"/>
  <c r="C542" i="1"/>
  <c r="D136" i="1"/>
  <c r="D708" i="1"/>
  <c r="D580" i="1"/>
  <c r="B779" i="1"/>
  <c r="D9" i="1"/>
  <c r="B654" i="1"/>
  <c r="C961" i="1"/>
  <c r="D532" i="1"/>
  <c r="D794" i="1"/>
  <c r="D559" i="1"/>
  <c r="D195" i="1"/>
  <c r="B80" i="1"/>
  <c r="B236" i="1"/>
  <c r="C23" i="1"/>
  <c r="C278" i="1"/>
  <c r="D371" i="1"/>
  <c r="C913" i="1"/>
  <c r="C91" i="1"/>
  <c r="B594" i="1"/>
  <c r="D893" i="1"/>
  <c r="C744" i="1"/>
  <c r="B551" i="1"/>
  <c r="D383" i="1"/>
  <c r="D14" i="1"/>
  <c r="B609" i="1"/>
  <c r="D362" i="1"/>
  <c r="D394" i="1"/>
  <c r="B447" i="1"/>
  <c r="C654" i="1"/>
  <c r="C540" i="1"/>
  <c r="C293" i="1"/>
  <c r="D694" i="1"/>
  <c r="B692" i="1"/>
  <c r="C684" i="1"/>
  <c r="D329" i="1"/>
  <c r="B951" i="1"/>
  <c r="B922" i="1"/>
  <c r="B226" i="1"/>
  <c r="B668" i="1"/>
  <c r="D905" i="1"/>
  <c r="D854" i="1"/>
  <c r="D907" i="1"/>
  <c r="D974" i="1"/>
  <c r="B957" i="1"/>
  <c r="D372" i="1"/>
  <c r="C48" i="1"/>
  <c r="B469" i="1"/>
  <c r="C854" i="1"/>
  <c r="B74" i="1"/>
  <c r="B803" i="1"/>
  <c r="D586" i="1"/>
  <c r="D99" i="1"/>
  <c r="B886" i="1"/>
  <c r="C36" i="1"/>
  <c r="D836" i="1"/>
  <c r="B85" i="1"/>
  <c r="B227" i="1"/>
  <c r="C257" i="1"/>
  <c r="D102" i="1"/>
  <c r="C669" i="1"/>
  <c r="D359" i="1"/>
  <c r="D33" i="1"/>
  <c r="D639" i="1"/>
  <c r="D777" i="1"/>
  <c r="B5" i="1"/>
  <c r="D946" i="1"/>
  <c r="B808" i="1"/>
  <c r="C890" i="1"/>
  <c r="D841" i="1"/>
  <c r="C12" i="1"/>
  <c r="B497" i="1"/>
  <c r="C600" i="1"/>
  <c r="C706" i="1"/>
  <c r="D569" i="1"/>
  <c r="B238" i="1"/>
  <c r="B869" i="1"/>
  <c r="D787" i="1"/>
  <c r="C991" i="1"/>
  <c r="D221" i="1"/>
  <c r="B678" i="1"/>
  <c r="D284" i="1"/>
  <c r="B647" i="1"/>
  <c r="C949" i="1"/>
  <c r="B264" i="1"/>
  <c r="B819" i="1"/>
  <c r="C746" i="1"/>
  <c r="B411" i="1"/>
  <c r="B331" i="1"/>
  <c r="C347" i="1"/>
  <c r="D423" i="1"/>
  <c r="C340" i="1"/>
  <c r="C264" i="1"/>
  <c r="B242" i="1"/>
  <c r="B125" i="1"/>
  <c r="D20" i="1"/>
  <c r="C592" i="1"/>
  <c r="D819" i="1"/>
  <c r="C823" i="1"/>
  <c r="D234" i="1"/>
  <c r="B580" i="1"/>
  <c r="D316" i="1"/>
  <c r="B894" i="1"/>
  <c r="C384" i="1"/>
  <c r="C632" i="1"/>
  <c r="D400" i="1"/>
  <c r="C653" i="1"/>
  <c r="D255" i="1"/>
  <c r="C352" i="1"/>
  <c r="B147" i="1"/>
  <c r="D455" i="1"/>
  <c r="C365" i="1"/>
  <c r="C490" i="1"/>
  <c r="D217" i="1"/>
  <c r="D141" i="1"/>
  <c r="C438" i="1"/>
  <c r="D8" i="1"/>
  <c r="C475" i="1"/>
  <c r="D757" i="1"/>
  <c r="B581" i="1"/>
  <c r="C288" i="1"/>
  <c r="B993" i="1"/>
  <c r="C915" i="1"/>
  <c r="C172" i="1"/>
  <c r="B77" i="1"/>
  <c r="D838" i="1"/>
  <c r="C814" i="1"/>
  <c r="C565" i="1"/>
  <c r="C839" i="1"/>
  <c r="D278" i="1"/>
  <c r="B148" i="1"/>
  <c r="D918" i="1"/>
  <c r="B198" i="1"/>
  <c r="D108" i="1"/>
  <c r="B360" i="1"/>
  <c r="D263" i="1"/>
  <c r="D783" i="1"/>
  <c r="B336" i="1"/>
  <c r="D503" i="1"/>
  <c r="D510" i="1"/>
  <c r="B576" i="1"/>
  <c r="C265" i="1"/>
  <c r="D292" i="1"/>
  <c r="D789" i="1"/>
  <c r="D618" i="1"/>
  <c r="C184" i="1"/>
  <c r="C396" i="1"/>
  <c r="D964" i="1"/>
  <c r="C685" i="1"/>
  <c r="B423" i="1"/>
  <c r="D736" i="1"/>
  <c r="B989" i="1"/>
  <c r="B509" i="1"/>
  <c r="C781" i="1"/>
  <c r="B23" i="1"/>
  <c r="C460" i="1"/>
  <c r="D355" i="1"/>
  <c r="C431" i="1"/>
  <c r="B283" i="1"/>
  <c r="C73" i="1"/>
  <c r="B758" i="1"/>
  <c r="B633" i="1"/>
  <c r="D930" i="1"/>
  <c r="D525" i="1"/>
  <c r="B828" i="1"/>
  <c r="B696" i="1"/>
  <c r="D410" i="1"/>
  <c r="B870" i="1"/>
  <c r="B367" i="1"/>
  <c r="B541" i="1"/>
  <c r="B400" i="1"/>
  <c r="B499" i="1"/>
  <c r="C393" i="1"/>
  <c r="C554" i="1"/>
  <c r="C78" i="1"/>
  <c r="C843" i="1"/>
  <c r="C821" i="1"/>
  <c r="B642" i="1"/>
  <c r="B528" i="1"/>
  <c r="C451" i="1"/>
  <c r="C532" i="1"/>
  <c r="D133" i="1"/>
  <c r="C57" i="1"/>
  <c r="B173" i="1"/>
  <c r="B189" i="1"/>
  <c r="D142" i="1"/>
  <c r="D795" i="1"/>
  <c r="D48" i="1"/>
  <c r="C203" i="1"/>
  <c r="D773" i="1"/>
  <c r="B669" i="1"/>
  <c r="C667" i="1"/>
  <c r="B199" i="1"/>
  <c r="B333" i="1"/>
  <c r="D873" i="1"/>
  <c r="B736" i="1"/>
  <c r="C741" i="1"/>
  <c r="C417" i="1"/>
  <c r="B468" i="1"/>
  <c r="D698" i="1"/>
  <c r="C888" i="1"/>
  <c r="B524" i="1"/>
  <c r="D428" i="1"/>
  <c r="B966" i="1"/>
  <c r="D541" i="1"/>
  <c r="B369" i="1"/>
  <c r="D17" i="1"/>
  <c r="C789" i="1"/>
  <c r="C553" i="1"/>
  <c r="B415" i="1"/>
  <c r="C16" i="1"/>
  <c r="C519" i="1"/>
  <c r="C731" i="1"/>
  <c r="D210" i="1"/>
  <c r="B64" i="1"/>
  <c r="B185" i="1"/>
  <c r="B833" i="1"/>
  <c r="D619" i="1"/>
  <c r="C247" i="1"/>
  <c r="C697" i="1"/>
  <c r="C504" i="1"/>
  <c r="D80" i="1"/>
  <c r="C528" i="1"/>
  <c r="B510" i="1"/>
  <c r="D599" i="1"/>
  <c r="C282" i="1"/>
  <c r="C173" i="1"/>
  <c r="C724" i="1"/>
  <c r="C423" i="1"/>
  <c r="B531" i="1"/>
  <c r="C587" i="1"/>
  <c r="D903" i="1"/>
  <c r="D634" i="1"/>
  <c r="B650" i="1"/>
  <c r="C954" i="1"/>
  <c r="C558" i="1"/>
  <c r="B463" i="1"/>
  <c r="C383" i="1"/>
  <c r="C950" i="1"/>
  <c r="B249" i="1"/>
  <c r="C818" i="1"/>
  <c r="D116" i="1"/>
  <c r="B309" i="1"/>
  <c r="B948" i="1"/>
  <c r="B697" i="1"/>
  <c r="D852" i="1"/>
  <c r="B867" i="1"/>
  <c r="C948" i="1"/>
  <c r="C414" i="1"/>
  <c r="D858" i="1"/>
  <c r="C87" i="1"/>
  <c r="D369" i="1"/>
  <c r="D768" i="1"/>
  <c r="C621" i="1"/>
  <c r="D857" i="1"/>
  <c r="C158" i="1"/>
  <c r="C477" i="1"/>
  <c r="B864" i="1"/>
  <c r="B385" i="1"/>
  <c r="C571" i="1"/>
  <c r="B434" i="1"/>
  <c r="D176" i="1"/>
  <c r="B597" i="1"/>
  <c r="D604" i="1"/>
  <c r="B146" i="1"/>
  <c r="C959" i="1"/>
  <c r="D832" i="1"/>
  <c r="C734" i="1"/>
  <c r="C120" i="1"/>
  <c r="B351" i="1"/>
  <c r="C84" i="1"/>
  <c r="D163" i="1"/>
  <c r="C771" i="1"/>
  <c r="D695" i="1"/>
  <c r="D823" i="1"/>
  <c r="C733" i="1"/>
  <c r="C850" i="1"/>
  <c r="D704" i="1"/>
  <c r="D330" i="1"/>
  <c r="D979" i="1"/>
  <c r="C473" i="1"/>
  <c r="B299" i="1"/>
  <c r="B628" i="1"/>
  <c r="B624" i="1"/>
  <c r="B266" i="1"/>
  <c r="B343" i="1"/>
  <c r="C599" i="1"/>
  <c r="B123" i="1"/>
  <c r="B583" i="1"/>
  <c r="C207" i="1"/>
  <c r="B311" i="1"/>
  <c r="C811" i="1"/>
  <c r="C825" i="1"/>
  <c r="C609" i="1"/>
  <c r="C77" i="1"/>
  <c r="B785" i="1"/>
  <c r="D741" i="1"/>
  <c r="B792" i="1"/>
  <c r="C710" i="1"/>
  <c r="D623" i="1"/>
  <c r="B383" i="1"/>
  <c r="C575" i="1"/>
  <c r="C433" i="1"/>
  <c r="D366" i="1"/>
  <c r="C590" i="1"/>
  <c r="D64" i="1"/>
  <c r="B97" i="1"/>
  <c r="D829" i="1"/>
  <c r="B794" i="1"/>
  <c r="D922" i="1"/>
  <c r="C385" i="1"/>
  <c r="B574" i="1"/>
  <c r="B223" i="1"/>
  <c r="B714" i="1"/>
  <c r="C65" i="1"/>
  <c r="B188" i="1"/>
  <c r="D332" i="1"/>
  <c r="C887" i="1"/>
  <c r="C736" i="1"/>
  <c r="D833" i="1"/>
  <c r="B968" i="1"/>
  <c r="C95" i="1"/>
  <c r="C568" i="1"/>
  <c r="D563" i="1"/>
  <c r="D945" i="1"/>
  <c r="D313" i="1"/>
  <c r="D678" i="1"/>
  <c r="D822" i="1"/>
  <c r="B896" i="1"/>
  <c r="D26" i="1"/>
  <c r="C373" i="1"/>
  <c r="B874" i="1"/>
  <c r="B8" i="1"/>
  <c r="D991" i="1"/>
  <c r="D805" i="1"/>
  <c r="D901" i="1"/>
  <c r="C309" i="1"/>
  <c r="C774" i="1"/>
  <c r="C481" i="1"/>
  <c r="C561" i="1"/>
  <c r="B680" i="1"/>
  <c r="D287" i="1"/>
  <c r="C161" i="1"/>
  <c r="C759" i="1"/>
  <c r="D536" i="1"/>
  <c r="D500" i="1"/>
  <c r="D183" i="1"/>
  <c r="D722" i="1"/>
  <c r="D908" i="1"/>
  <c r="C809" i="1"/>
  <c r="C318" i="1"/>
  <c r="B826" i="1"/>
  <c r="C601" i="1"/>
  <c r="B675" i="1"/>
  <c r="B942" i="1"/>
  <c r="B849" i="1"/>
  <c r="D936" i="1"/>
  <c r="C90" i="1"/>
  <c r="B593" i="1"/>
  <c r="C251" i="1"/>
  <c r="C595" i="1"/>
  <c r="D529" i="1"/>
  <c r="C758" i="1"/>
  <c r="D592" i="1"/>
  <c r="B659" i="1"/>
  <c r="D363" i="1"/>
  <c r="B991" i="1"/>
  <c r="C594" i="1"/>
  <c r="D938" i="1"/>
  <c r="D802" i="1"/>
  <c r="C186" i="1"/>
  <c r="D27" i="1"/>
  <c r="D454" i="1"/>
  <c r="G511" i="1"/>
  <c r="I511" i="1" s="1"/>
  <c r="G349" i="1"/>
  <c r="I349" i="1" s="1"/>
  <c r="G279" i="1"/>
  <c r="G446" i="1"/>
  <c r="G297" i="1"/>
  <c r="I297" i="1" s="1"/>
  <c r="G296" i="1"/>
  <c r="I296" i="1" s="1"/>
  <c r="F296" i="1" s="1"/>
  <c r="G49" i="1"/>
  <c r="I49" i="1" s="1"/>
  <c r="G78" i="1"/>
  <c r="I78" i="1" s="1"/>
  <c r="G277" i="1"/>
  <c r="I277" i="1" s="1"/>
  <c r="G266" i="1"/>
  <c r="G318" i="1"/>
  <c r="G123" i="1"/>
  <c r="I123" i="1" s="1"/>
  <c r="F123" i="1" s="1"/>
  <c r="G532" i="1"/>
  <c r="I532" i="1" s="1"/>
  <c r="G156" i="1"/>
  <c r="G459" i="1"/>
  <c r="G45" i="1"/>
  <c r="I45" i="1" s="1"/>
  <c r="G241" i="1"/>
  <c r="G151" i="1"/>
  <c r="I151" i="1" s="1"/>
  <c r="G56" i="1"/>
  <c r="I56" i="1" s="1"/>
  <c r="G30" i="1"/>
  <c r="I30" i="1" s="1"/>
  <c r="G24" i="1"/>
  <c r="I24" i="1" s="1"/>
  <c r="G224" i="1"/>
  <c r="G320" i="1"/>
  <c r="G46" i="1"/>
  <c r="I46" i="1" s="1"/>
  <c r="G480" i="1"/>
  <c r="G222" i="1"/>
  <c r="G528" i="1"/>
  <c r="G58" i="1"/>
  <c r="I58" i="1" s="1"/>
  <c r="G276" i="1"/>
  <c r="G339" i="1"/>
  <c r="I339" i="1" s="1"/>
  <c r="G109" i="1"/>
  <c r="I109" i="1" s="1"/>
  <c r="F109" i="1" s="1"/>
  <c r="G393" i="1"/>
  <c r="I393" i="1" s="1"/>
  <c r="G251" i="1"/>
  <c r="I251" i="1" s="1"/>
  <c r="F251" i="1" s="1"/>
  <c r="G289" i="1"/>
  <c r="I289" i="1" s="1"/>
  <c r="G420" i="1"/>
  <c r="I420" i="1" s="1"/>
  <c r="G284" i="1"/>
  <c r="G112" i="1"/>
  <c r="G301" i="1"/>
  <c r="G530" i="1"/>
  <c r="I530" i="1" s="1"/>
  <c r="G178" i="1"/>
  <c r="I178" i="1" s="1"/>
  <c r="F178" i="1" s="1"/>
  <c r="G118" i="1"/>
  <c r="I118" i="1" s="1"/>
  <c r="F118" i="1" s="1"/>
  <c r="G379" i="1"/>
  <c r="G269" i="1"/>
  <c r="I269" i="1" s="1"/>
  <c r="F269" i="1" s="1"/>
  <c r="G329" i="1"/>
  <c r="I329" i="1" s="1"/>
  <c r="G126" i="1"/>
  <c r="G384" i="1"/>
  <c r="G236" i="1"/>
  <c r="I236" i="1" s="1"/>
  <c r="G137" i="1"/>
  <c r="G299" i="1"/>
  <c r="G216" i="1"/>
  <c r="G314" i="1"/>
  <c r="I314" i="1" s="1"/>
  <c r="G60" i="1"/>
  <c r="G355" i="1"/>
  <c r="G540" i="1"/>
  <c r="I540" i="1" s="1"/>
  <c r="F540" i="1" s="1"/>
  <c r="G286" i="1"/>
  <c r="I286" i="1" s="1"/>
  <c r="F286" i="1" s="1"/>
  <c r="G508" i="1"/>
  <c r="G122" i="1"/>
  <c r="I122" i="1" s="1"/>
  <c r="G195" i="1"/>
  <c r="G483" i="1"/>
  <c r="I483" i="1" s="1"/>
  <c r="G517" i="1"/>
  <c r="I517" i="1" s="1"/>
  <c r="G240" i="1"/>
  <c r="G273" i="1"/>
  <c r="G73" i="1"/>
  <c r="G194" i="1"/>
  <c r="I194" i="1" s="1"/>
  <c r="G343" i="1"/>
  <c r="I343" i="1" s="1"/>
  <c r="G332" i="1"/>
  <c r="I332" i="1" s="1"/>
  <c r="F332" i="1" s="1"/>
  <c r="G204" i="1"/>
  <c r="I204" i="1" s="1"/>
  <c r="G509" i="1"/>
  <c r="I509" i="1" s="1"/>
  <c r="G399" i="1"/>
  <c r="I399" i="1" s="1"/>
  <c r="F399" i="1" s="1"/>
  <c r="G290" i="1"/>
  <c r="I290" i="1" s="1"/>
  <c r="F290" i="1" s="1"/>
  <c r="G207" i="1"/>
  <c r="I207" i="1" s="1"/>
  <c r="G237" i="1"/>
  <c r="I237" i="1" s="1"/>
  <c r="F237" i="1" s="1"/>
  <c r="G477" i="1"/>
  <c r="I477" i="1" s="1"/>
  <c r="G262" i="1"/>
  <c r="G97" i="1"/>
  <c r="G427" i="1"/>
  <c r="G32" i="1"/>
  <c r="I32" i="1" s="1"/>
  <c r="G110" i="1"/>
  <c r="I110" i="1" s="1"/>
  <c r="G144" i="1"/>
  <c r="G249" i="1"/>
  <c r="I249" i="1" s="1"/>
  <c r="G372" i="1"/>
  <c r="G221" i="1"/>
  <c r="I221" i="1" s="1"/>
  <c r="G267" i="1"/>
  <c r="G336" i="1"/>
  <c r="I336" i="1" s="1"/>
  <c r="F336" i="1" s="1"/>
  <c r="G84" i="1"/>
  <c r="I84" i="1" s="1"/>
  <c r="F84" i="1" s="1"/>
  <c r="G408" i="1"/>
  <c r="G104" i="1"/>
  <c r="G16" i="1"/>
  <c r="G65" i="1"/>
  <c r="I65" i="1" s="1"/>
  <c r="G90" i="1"/>
  <c r="I90" i="1" s="1"/>
  <c r="G412" i="1"/>
  <c r="G232" i="1"/>
  <c r="I232" i="1" s="1"/>
  <c r="G181" i="1"/>
  <c r="I181" i="1" s="1"/>
  <c r="G2" i="1"/>
  <c r="I2" i="1" s="1"/>
  <c r="F2" i="1" s="1"/>
  <c r="G539" i="1"/>
  <c r="G502" i="1"/>
  <c r="G319" i="1"/>
  <c r="I319" i="1" s="1"/>
  <c r="G168" i="1"/>
  <c r="G215" i="1"/>
  <c r="I215" i="1" s="1"/>
  <c r="G119" i="1"/>
  <c r="G448" i="1"/>
  <c r="I448" i="1" s="1"/>
  <c r="G205" i="1"/>
  <c r="I205" i="1" s="1"/>
  <c r="F205" i="1" s="1"/>
  <c r="G307" i="1"/>
  <c r="G102" i="1"/>
  <c r="I102" i="1" s="1"/>
  <c r="G426" i="1"/>
  <c r="G243" i="1"/>
  <c r="I243" i="1" s="1"/>
  <c r="F243" i="1" s="1"/>
  <c r="G387" i="1"/>
  <c r="G456" i="1"/>
  <c r="I456" i="1" s="1"/>
  <c r="F456" i="1" s="1"/>
  <c r="G431" i="1"/>
  <c r="I431" i="1" s="1"/>
  <c r="F431" i="1" s="1"/>
  <c r="G53" i="1"/>
  <c r="I53" i="1" s="1"/>
  <c r="G520" i="1"/>
  <c r="I520" i="1" s="1"/>
  <c r="G391" i="1"/>
  <c r="G482" i="1"/>
  <c r="I482" i="1" s="1"/>
  <c r="G75" i="1"/>
  <c r="I75" i="1" s="1"/>
  <c r="G287" i="1"/>
  <c r="G223" i="1"/>
  <c r="I223" i="1" s="1"/>
  <c r="F223" i="1" s="1"/>
  <c r="G313" i="1"/>
  <c r="G331" i="1"/>
  <c r="I331" i="1" s="1"/>
  <c r="F331" i="1" s="1"/>
  <c r="G474" i="1"/>
  <c r="G334" i="1"/>
  <c r="G348" i="1"/>
  <c r="I348" i="1" s="1"/>
  <c r="G377" i="1"/>
  <c r="G275" i="1"/>
  <c r="I275" i="1" s="1"/>
  <c r="G363" i="1"/>
  <c r="I363" i="1" s="1"/>
  <c r="G285" i="1"/>
  <c r="I285" i="1" s="1"/>
  <c r="G449" i="1"/>
  <c r="I449" i="1" s="1"/>
  <c r="F449" i="1" s="1"/>
  <c r="G423" i="1"/>
  <c r="G501" i="1"/>
  <c r="I501" i="1" s="1"/>
  <c r="G33" i="1"/>
  <c r="I33" i="1" s="1"/>
  <c r="G445" i="1"/>
  <c r="I445" i="1" s="1"/>
  <c r="G521" i="1"/>
  <c r="I521" i="1" s="1"/>
  <c r="G537" i="1"/>
  <c r="I537" i="1" s="1"/>
  <c r="G487" i="1"/>
  <c r="I487" i="1" s="1"/>
  <c r="G514" i="1"/>
  <c r="G197" i="1"/>
  <c r="I197" i="1" s="1"/>
  <c r="G330" i="1"/>
  <c r="G35" i="1"/>
  <c r="G492" i="1"/>
  <c r="I492" i="1" s="1"/>
  <c r="G362" i="1"/>
  <c r="G324" i="1"/>
  <c r="I324" i="1" s="1"/>
  <c r="G465" i="1"/>
  <c r="I465" i="1" s="1"/>
  <c r="F465" i="1" s="1"/>
  <c r="G543" i="1"/>
  <c r="G385" i="1"/>
  <c r="G488" i="1"/>
  <c r="I488" i="1" s="1"/>
  <c r="F488" i="1" s="1"/>
  <c r="G239" i="1"/>
  <c r="G235" i="1"/>
  <c r="I235" i="1" s="1"/>
  <c r="F235" i="1" s="1"/>
  <c r="G174" i="1"/>
  <c r="I174" i="1" s="1"/>
  <c r="F174" i="1" s="1"/>
  <c r="G253" i="1"/>
  <c r="G504" i="1"/>
  <c r="I504" i="1" s="1"/>
  <c r="G317" i="1"/>
  <c r="G306" i="1"/>
  <c r="G107" i="1"/>
  <c r="G228" i="1"/>
  <c r="G298" i="1"/>
  <c r="G466" i="1"/>
  <c r="I466" i="1" s="1"/>
  <c r="G98" i="1"/>
  <c r="G345" i="1"/>
  <c r="G177" i="1"/>
  <c r="I177" i="1" s="1"/>
  <c r="G141" i="1"/>
  <c r="I141" i="1" s="1"/>
  <c r="G421" i="1"/>
  <c r="G263" i="1"/>
  <c r="I263" i="1" s="1"/>
  <c r="F263" i="1" s="1"/>
  <c r="G93" i="1"/>
  <c r="I93" i="1" s="1"/>
  <c r="F93" i="1" s="1"/>
  <c r="G182" i="1"/>
  <c r="G516" i="1"/>
  <c r="G364" i="1"/>
  <c r="G524" i="1"/>
  <c r="I524" i="1" s="1"/>
  <c r="G180" i="1"/>
  <c r="I180" i="1" s="1"/>
  <c r="G171" i="1"/>
  <c r="G155" i="1"/>
  <c r="G278" i="1"/>
  <c r="F278" i="1" s="1"/>
  <c r="G81" i="1"/>
  <c r="I81" i="1" s="1"/>
  <c r="G505" i="1"/>
  <c r="I505" i="1" s="1"/>
  <c r="F505" i="1" s="1"/>
  <c r="G27" i="1"/>
  <c r="I27" i="1" s="1"/>
  <c r="G245" i="1"/>
  <c r="I245" i="1" s="1"/>
  <c r="F245" i="1" s="1"/>
  <c r="G115" i="1"/>
  <c r="G274" i="1"/>
  <c r="I274" i="1" s="1"/>
  <c r="F274" i="1" s="1"/>
  <c r="G26" i="1"/>
  <c r="G490" i="1"/>
  <c r="I490" i="1" s="1"/>
  <c r="F490" i="1" s="1"/>
  <c r="G44" i="1"/>
  <c r="G139" i="1"/>
  <c r="I139" i="1" s="1"/>
  <c r="G230" i="1"/>
  <c r="G193" i="1"/>
  <c r="I193" i="1" s="1"/>
  <c r="F193" i="1" s="1"/>
  <c r="G295" i="1"/>
  <c r="G321" i="1"/>
  <c r="I321" i="1" s="1"/>
  <c r="G142" i="1"/>
  <c r="I142" i="1" s="1"/>
  <c r="F142" i="1" s="1"/>
  <c r="G218" i="1"/>
  <c r="G288" i="1"/>
  <c r="G417" i="1"/>
  <c r="G496" i="1"/>
  <c r="G34" i="1"/>
  <c r="G152" i="1"/>
  <c r="G125" i="1"/>
  <c r="G337" i="1"/>
  <c r="G499" i="1"/>
  <c r="G89" i="1"/>
  <c r="G458" i="1"/>
  <c r="G575" i="1"/>
  <c r="I575" i="1" s="1"/>
  <c r="G638" i="1"/>
  <c r="I638" i="1" s="1"/>
  <c r="G750" i="1"/>
  <c r="I750" i="1" s="1"/>
  <c r="G977" i="1"/>
  <c r="I977" i="1" s="1"/>
  <c r="G844" i="1"/>
  <c r="I844" i="1" s="1"/>
  <c r="G917" i="1"/>
  <c r="I917" i="1" s="1"/>
  <c r="G630" i="1"/>
  <c r="G762" i="1"/>
  <c r="I762" i="1" s="1"/>
  <c r="F762" i="1" s="1"/>
  <c r="G580" i="1"/>
  <c r="G736" i="1"/>
  <c r="I736" i="1" s="1"/>
  <c r="F736" i="1" s="1"/>
  <c r="G940" i="1"/>
  <c r="G851" i="1"/>
  <c r="I851" i="1" s="1"/>
  <c r="G128" i="1"/>
  <c r="G975" i="1"/>
  <c r="I975" i="1" s="1"/>
  <c r="G639" i="1"/>
  <c r="I639" i="1" s="1"/>
  <c r="G376" i="1"/>
  <c r="G259" i="1"/>
  <c r="I259" i="1" s="1"/>
  <c r="G964" i="1"/>
  <c r="G803" i="1"/>
  <c r="G963" i="1"/>
  <c r="G436" i="1"/>
  <c r="G675" i="1"/>
  <c r="I675" i="1" s="1"/>
  <c r="G969" i="1"/>
  <c r="G238" i="1"/>
  <c r="G953" i="1"/>
  <c r="G507" i="1"/>
  <c r="I507" i="1" s="1"/>
  <c r="F507" i="1" s="1"/>
  <c r="G55" i="1"/>
  <c r="G657" i="1"/>
  <c r="G359" i="1"/>
  <c r="I359" i="1" s="1"/>
  <c r="F359" i="1" s="1"/>
  <c r="G106" i="1"/>
  <c r="I106" i="1" s="1"/>
  <c r="G293" i="1"/>
  <c r="G495" i="1"/>
  <c r="G186" i="1"/>
  <c r="I186" i="1" s="1"/>
  <c r="F186" i="1" s="1"/>
  <c r="G468" i="1"/>
  <c r="I468" i="1" s="1"/>
  <c r="G601" i="1"/>
  <c r="I601" i="1" s="1"/>
  <c r="G437" i="1"/>
  <c r="G878" i="1"/>
  <c r="G849" i="1"/>
  <c r="G441" i="1"/>
  <c r="G798" i="1"/>
  <c r="G47" i="1"/>
  <c r="G545" i="1"/>
  <c r="G87" i="1"/>
  <c r="I87" i="1" s="1"/>
  <c r="G172" i="1"/>
  <c r="I172" i="1" s="1"/>
  <c r="G503" i="1"/>
  <c r="I503" i="1" s="1"/>
  <c r="F503" i="1" s="1"/>
  <c r="G467" i="1"/>
  <c r="I467" i="1" s="1"/>
  <c r="G323" i="1"/>
  <c r="I323" i="1" s="1"/>
  <c r="F323" i="1" s="1"/>
  <c r="G59" i="1"/>
  <c r="G351" i="1"/>
  <c r="G966" i="1"/>
  <c r="I966" i="1" s="1"/>
  <c r="F966" i="1" s="1"/>
  <c r="G472" i="1"/>
  <c r="I472" i="1" s="1"/>
  <c r="G28" i="1"/>
  <c r="G80" i="1"/>
  <c r="I80" i="1" s="1"/>
  <c r="G91" i="1"/>
  <c r="I91" i="1" s="1"/>
  <c r="F91" i="1" s="1"/>
  <c r="G974" i="1"/>
  <c r="I974" i="1" s="1"/>
  <c r="G220" i="1"/>
  <c r="I220" i="1" s="1"/>
  <c r="G519" i="1"/>
  <c r="G489" i="1"/>
  <c r="G959" i="1"/>
  <c r="I959" i="1" s="1"/>
  <c r="G132" i="1"/>
  <c r="I132" i="1" s="1"/>
  <c r="F132" i="1" s="1"/>
  <c r="G342" i="1"/>
  <c r="G820" i="1"/>
  <c r="I820" i="1" s="1"/>
  <c r="G254" i="1"/>
  <c r="I254" i="1" s="1"/>
  <c r="G422" i="1"/>
  <c r="G748" i="1"/>
  <c r="I748" i="1" s="1"/>
  <c r="G258" i="1"/>
  <c r="G105" i="1"/>
  <c r="G50" i="1"/>
  <c r="I50" i="1" s="1"/>
  <c r="G160" i="1"/>
  <c r="I160" i="1" s="1"/>
  <c r="F160" i="1" s="1"/>
  <c r="G454" i="1"/>
  <c r="I454" i="1" s="1"/>
  <c r="F454" i="1" s="1"/>
  <c r="G11" i="1"/>
  <c r="G804" i="1"/>
  <c r="G354" i="1"/>
  <c r="G523" i="1"/>
  <c r="G666" i="1"/>
  <c r="G352" i="1"/>
  <c r="I352" i="1" s="1"/>
  <c r="F352" i="1" s="1"/>
  <c r="G189" i="1"/>
  <c r="I189" i="1" s="1"/>
  <c r="F189" i="1" s="1"/>
  <c r="G10" i="1"/>
  <c r="G121" i="1"/>
  <c r="G869" i="1"/>
  <c r="G428" i="1"/>
  <c r="G760" i="1"/>
  <c r="I760" i="1" s="1"/>
  <c r="G789" i="1"/>
  <c r="I789" i="1" s="1"/>
  <c r="G419" i="1"/>
  <c r="I419" i="1" s="1"/>
  <c r="G371" i="1"/>
  <c r="G169" i="1"/>
  <c r="I169" i="1" s="1"/>
  <c r="F169" i="1" s="1"/>
  <c r="G604" i="1"/>
  <c r="I604" i="1" s="1"/>
  <c r="F604" i="1" s="1"/>
  <c r="G784" i="1"/>
  <c r="G682" i="1"/>
  <c r="G52" i="1"/>
  <c r="I52" i="1" s="1"/>
  <c r="G20" i="1"/>
  <c r="G401" i="1"/>
  <c r="I401" i="1" s="1"/>
  <c r="F401" i="1" s="1"/>
  <c r="G312" i="1"/>
  <c r="G196" i="1"/>
  <c r="I196" i="1" s="1"/>
  <c r="G83" i="1"/>
  <c r="G39" i="1"/>
  <c r="I39" i="1" s="1"/>
  <c r="G370" i="1"/>
  <c r="I370" i="1" s="1"/>
  <c r="G225" i="1"/>
  <c r="I225" i="1" s="1"/>
  <c r="F225" i="1" s="1"/>
  <c r="G809" i="1"/>
  <c r="I809" i="1" s="1"/>
  <c r="G541" i="1"/>
  <c r="I541" i="1" s="1"/>
  <c r="G14" i="1"/>
  <c r="I14" i="1" s="1"/>
  <c r="G265" i="1"/>
  <c r="I265" i="1" s="1"/>
  <c r="F265" i="1" s="1"/>
  <c r="G874" i="1"/>
  <c r="G76" i="1"/>
  <c r="I76" i="1" s="1"/>
  <c r="F76" i="1" s="1"/>
  <c r="G120" i="1"/>
  <c r="I120" i="1" s="1"/>
  <c r="G451" i="1"/>
  <c r="I451" i="1" s="1"/>
  <c r="F451" i="1" s="1"/>
  <c r="G257" i="1"/>
  <c r="G823" i="1"/>
  <c r="I823" i="1" s="1"/>
  <c r="F823" i="1" s="1"/>
  <c r="G96" i="1"/>
  <c r="G396" i="1"/>
  <c r="I396" i="1" s="1"/>
  <c r="G435" i="1"/>
  <c r="I435" i="1" s="1"/>
  <c r="G256" i="1"/>
  <c r="I256" i="1" s="1"/>
  <c r="G625" i="1"/>
  <c r="I625" i="1" s="1"/>
  <c r="G310" i="1"/>
  <c r="G469" i="1"/>
  <c r="I469" i="1" s="1"/>
  <c r="F469" i="1" s="1"/>
  <c r="G460" i="1"/>
  <c r="I460" i="1" s="1"/>
  <c r="G632" i="1"/>
  <c r="I632" i="1" s="1"/>
  <c r="G361" i="1"/>
  <c r="I361" i="1" s="1"/>
  <c r="F361" i="1" s="1"/>
  <c r="G61" i="1"/>
  <c r="I61" i="1" s="1"/>
  <c r="F61" i="1" s="1"/>
  <c r="G518" i="1"/>
  <c r="I518" i="1" s="1"/>
  <c r="G260" i="1"/>
  <c r="G213" i="1"/>
  <c r="G870" i="1"/>
  <c r="I870" i="1" s="1"/>
  <c r="G655" i="1"/>
  <c r="G305" i="1"/>
  <c r="G607" i="1"/>
  <c r="I607" i="1" s="1"/>
  <c r="F607" i="1" s="1"/>
  <c r="G743" i="1"/>
  <c r="G546" i="1"/>
  <c r="G272" i="1"/>
  <c r="I272" i="1" s="1"/>
  <c r="G365" i="1"/>
  <c r="I365" i="1" s="1"/>
  <c r="F365" i="1" s="1"/>
  <c r="G199" i="1"/>
  <c r="G72" i="1"/>
  <c r="G943" i="1"/>
  <c r="I943" i="1" s="1"/>
  <c r="F943" i="1" s="1"/>
  <c r="G527" i="1"/>
  <c r="G190" i="1"/>
  <c r="I190" i="1" s="1"/>
  <c r="G902" i="1"/>
  <c r="I902" i="1" s="1"/>
  <c r="F902" i="1" s="1"/>
  <c r="G291" i="1"/>
  <c r="G113" i="1"/>
  <c r="G621" i="1"/>
  <c r="I621" i="1" s="1"/>
  <c r="G281" i="1"/>
  <c r="G64" i="1"/>
  <c r="G535" i="1"/>
  <c r="I535" i="1" s="1"/>
  <c r="G788" i="1"/>
  <c r="I788" i="1" s="1"/>
  <c r="G734" i="1"/>
  <c r="I734" i="1" s="1"/>
  <c r="G660" i="1"/>
  <c r="I660" i="1" s="1"/>
  <c r="G515" i="1"/>
  <c r="I515" i="1" s="1"/>
  <c r="F515" i="1" s="1"/>
  <c r="G373" i="1"/>
  <c r="G513" i="1"/>
  <c r="G497" i="1"/>
  <c r="I497" i="1" s="1"/>
  <c r="G588" i="1"/>
  <c r="I588" i="1" s="1"/>
  <c r="F588" i="1" s="1"/>
  <c r="G479" i="1"/>
  <c r="G67" i="1"/>
  <c r="G366" i="1"/>
  <c r="G175" i="1"/>
  <c r="G23" i="1"/>
  <c r="G179" i="1"/>
  <c r="G13" i="1"/>
  <c r="I13" i="1" s="1"/>
  <c r="G69" i="1"/>
  <c r="G398" i="1"/>
  <c r="G512" i="1"/>
  <c r="G640" i="1"/>
  <c r="I640" i="1" s="1"/>
  <c r="G206" i="1"/>
  <c r="I206" i="1" s="1"/>
  <c r="G542" i="1"/>
  <c r="G210" i="1"/>
  <c r="I210" i="1" s="1"/>
  <c r="G229" i="1"/>
  <c r="G864" i="1"/>
  <c r="I864" i="1" s="1"/>
  <c r="F864" i="1" s="1"/>
  <c r="G699" i="1"/>
  <c r="I699" i="1" s="1"/>
  <c r="G837" i="1"/>
  <c r="I837" i="1" s="1"/>
  <c r="G360" i="1"/>
  <c r="I360" i="1" s="1"/>
  <c r="G325" i="1"/>
  <c r="G37" i="1"/>
  <c r="G536" i="1"/>
  <c r="G231" i="1"/>
  <c r="I231" i="1" s="1"/>
  <c r="F231" i="1" s="1"/>
  <c r="G12" i="1"/>
  <c r="I12" i="1" s="1"/>
  <c r="F12" i="1" s="1"/>
  <c r="G71" i="1"/>
  <c r="I71" i="1" s="1"/>
  <c r="G17" i="1"/>
  <c r="G347" i="1"/>
  <c r="G411" i="1"/>
  <c r="I411" i="1" s="1"/>
  <c r="G687" i="1"/>
  <c r="I687" i="1" s="1"/>
  <c r="G641" i="1"/>
  <c r="I641" i="1" s="1"/>
  <c r="G824" i="1"/>
  <c r="I824" i="1" s="1"/>
  <c r="F824" i="1" s="1"/>
  <c r="G392" i="1"/>
  <c r="I392" i="1" s="1"/>
  <c r="G754" i="1"/>
  <c r="G597" i="1"/>
  <c r="G346" i="1"/>
  <c r="I346" i="1" s="1"/>
  <c r="G793" i="1"/>
  <c r="I793" i="1" s="1"/>
  <c r="G816" i="1"/>
  <c r="I816" i="1" s="1"/>
  <c r="G500" i="1"/>
  <c r="G382" i="1"/>
  <c r="G135" i="1"/>
  <c r="I135" i="1" s="1"/>
  <c r="G303" i="1"/>
  <c r="G378" i="1"/>
  <c r="I378" i="1" s="1"/>
  <c r="G402" i="1"/>
  <c r="G444" i="1"/>
  <c r="G711" i="1"/>
  <c r="I711" i="1" s="1"/>
  <c r="G708" i="1"/>
  <c r="I708" i="1" s="1"/>
  <c r="G758" i="1"/>
  <c r="G885" i="1"/>
  <c r="G475" i="1"/>
  <c r="G453" i="1"/>
  <c r="I453" i="1" s="1"/>
  <c r="G131" i="1"/>
  <c r="I131" i="1" s="1"/>
  <c r="G62" i="1"/>
  <c r="G752" i="1"/>
  <c r="G463" i="1"/>
  <c r="I463" i="1" s="1"/>
  <c r="G457" i="1"/>
  <c r="G533" i="1"/>
  <c r="G594" i="1"/>
  <c r="G746" i="1"/>
  <c r="G416" i="1"/>
  <c r="G86" i="1"/>
  <c r="G681" i="1"/>
  <c r="G82" i="1"/>
  <c r="I82" i="1" s="1"/>
  <c r="G311" i="1"/>
  <c r="I311" i="1" s="1"/>
  <c r="G882" i="1"/>
  <c r="I882" i="1" s="1"/>
  <c r="F882" i="1" s="1"/>
  <c r="G447" i="1"/>
  <c r="G643" i="1"/>
  <c r="G198" i="1"/>
  <c r="I198" i="1" s="1"/>
  <c r="G609" i="1"/>
  <c r="G66" i="1"/>
  <c r="I66" i="1" s="1"/>
  <c r="G63" i="1"/>
  <c r="G173" i="1"/>
  <c r="G390" i="1"/>
  <c r="I390" i="1" s="1"/>
  <c r="F390" i="1" s="1"/>
  <c r="G208" i="1"/>
  <c r="G486" i="1"/>
  <c r="G191" i="1"/>
  <c r="G261" i="1"/>
  <c r="G149" i="1"/>
  <c r="G38" i="1"/>
  <c r="I38" i="1" s="1"/>
  <c r="G369" i="1"/>
  <c r="I369" i="1" s="1"/>
  <c r="G211" i="1"/>
  <c r="I211" i="1" s="1"/>
  <c r="F211" i="1" s="1"/>
  <c r="G165" i="1"/>
  <c r="G338" i="1"/>
  <c r="G187" i="1"/>
  <c r="G25" i="1"/>
  <c r="G404" i="1"/>
  <c r="G375" i="1"/>
  <c r="I375" i="1" s="1"/>
  <c r="F375" i="1" s="1"/>
  <c r="G117" i="1"/>
  <c r="G433" i="1"/>
  <c r="G140" i="1"/>
  <c r="G183" i="1"/>
  <c r="I183" i="1" s="1"/>
  <c r="G386" i="1"/>
  <c r="G143" i="1"/>
  <c r="G134" i="1"/>
  <c r="G464" i="1"/>
  <c r="I464" i="1" s="1"/>
  <c r="G214" i="1"/>
  <c r="G455" i="1"/>
  <c r="G136" i="1"/>
  <c r="I136" i="1" s="1"/>
  <c r="G234" i="1"/>
  <c r="G406" i="1"/>
  <c r="G146" i="1"/>
  <c r="I146" i="1" s="1"/>
  <c r="F146" i="1" s="1"/>
  <c r="G958" i="1"/>
  <c r="G613" i="1"/>
  <c r="I613" i="1" s="1"/>
  <c r="G924" i="1"/>
  <c r="I924" i="1" s="1"/>
  <c r="G70" i="1"/>
  <c r="G510" i="1"/>
  <c r="I510" i="1" s="1"/>
  <c r="G538" i="1"/>
  <c r="I538" i="1" s="1"/>
  <c r="G473" i="1"/>
  <c r="I473" i="1" s="1"/>
  <c r="F473" i="1" s="1"/>
  <c r="G405" i="1"/>
  <c r="G470" i="1"/>
  <c r="G494" i="1"/>
  <c r="G7" i="1"/>
  <c r="I7" i="1" s="1"/>
  <c r="G19" i="1"/>
  <c r="G810" i="1"/>
  <c r="G858" i="1"/>
  <c r="I858" i="1" s="1"/>
  <c r="G315" i="1"/>
  <c r="G440" i="1"/>
  <c r="G430" i="1"/>
  <c r="I430" i="1" s="1"/>
  <c r="G159" i="1"/>
  <c r="I159" i="1" s="1"/>
  <c r="F159" i="1" s="1"/>
  <c r="G493" i="1"/>
  <c r="G154" i="1"/>
  <c r="I154" i="1" s="1"/>
  <c r="G350" i="1"/>
  <c r="G264" i="1"/>
  <c r="I264" i="1" s="1"/>
  <c r="G443" i="1"/>
  <c r="G731" i="1"/>
  <c r="I731" i="1" s="1"/>
  <c r="G913" i="1"/>
  <c r="I913" i="1" s="1"/>
  <c r="G628" i="1"/>
  <c r="G850" i="1"/>
  <c r="I850" i="1" s="1"/>
  <c r="G807" i="1"/>
  <c r="I807" i="1" s="1"/>
  <c r="F807" i="1" s="1"/>
  <c r="G739" i="1"/>
  <c r="G226" i="1"/>
  <c r="G642" i="1"/>
  <c r="I642" i="1" s="1"/>
  <c r="F642" i="1" s="1"/>
  <c r="G987" i="1"/>
  <c r="I987" i="1" s="1"/>
  <c r="F987" i="1" s="1"/>
  <c r="G962" i="1"/>
  <c r="G556" i="1"/>
  <c r="I556" i="1" s="1"/>
  <c r="G981" i="1"/>
  <c r="G914" i="1"/>
  <c r="I914" i="1" s="1"/>
  <c r="G907" i="1"/>
  <c r="I907" i="1" s="1"/>
  <c r="F907" i="1" s="1"/>
  <c r="G589" i="1"/>
  <c r="I589" i="1" s="1"/>
  <c r="G590" i="1"/>
  <c r="I590" i="1" s="1"/>
  <c r="G909" i="1"/>
  <c r="I909" i="1" s="1"/>
  <c r="G976" i="1"/>
  <c r="G658" i="1"/>
  <c r="I658" i="1" s="1"/>
  <c r="F658" i="1" s="1"/>
  <c r="G602" i="1"/>
  <c r="G867" i="1"/>
  <c r="I867" i="1" s="1"/>
  <c r="G683" i="1"/>
  <c r="G724" i="1"/>
  <c r="I724" i="1" s="1"/>
  <c r="G563" i="1"/>
  <c r="I563" i="1" s="1"/>
  <c r="G984" i="1"/>
  <c r="I984" i="1" s="1"/>
  <c r="G890" i="1"/>
  <c r="I890" i="1" s="1"/>
  <c r="G481" i="1"/>
  <c r="I481" i="1" s="1"/>
  <c r="G872" i="1"/>
  <c r="G910" i="1"/>
  <c r="G753" i="1"/>
  <c r="I753" i="1" s="1"/>
  <c r="G710" i="1"/>
  <c r="I710" i="1" s="1"/>
  <c r="F710" i="1" s="1"/>
  <c r="G960" i="1"/>
  <c r="I960" i="1" s="1"/>
  <c r="F960" i="1" s="1"/>
  <c r="G680" i="1"/>
  <c r="G756" i="1"/>
  <c r="G935" i="1"/>
  <c r="I935" i="1" s="1"/>
  <c r="F935" i="1" s="1"/>
  <c r="G978" i="1"/>
  <c r="G785" i="1"/>
  <c r="I785" i="1" s="1"/>
  <c r="G766" i="1"/>
  <c r="I766" i="1" s="1"/>
  <c r="G937" i="1"/>
  <c r="I937" i="1" s="1"/>
  <c r="F937" i="1" s="1"/>
  <c r="G341" i="1"/>
  <c r="I341" i="1" s="1"/>
  <c r="G818" i="1"/>
  <c r="I818" i="1" s="1"/>
  <c r="G552" i="1"/>
  <c r="I552" i="1" s="1"/>
  <c r="F552" i="1" s="1"/>
  <c r="G626" i="1"/>
  <c r="G854" i="1"/>
  <c r="G732" i="1"/>
  <c r="G950" i="1"/>
  <c r="G998" i="1"/>
  <c r="I998" i="1" s="1"/>
  <c r="F998" i="1" s="1"/>
  <c r="G381" i="1"/>
  <c r="G892" i="1"/>
  <c r="I892" i="1" s="1"/>
  <c r="G576" i="1"/>
  <c r="I576" i="1" s="1"/>
  <c r="G645" i="1"/>
  <c r="G571" i="1"/>
  <c r="G889" i="1"/>
  <c r="G653" i="1"/>
  <c r="I653" i="1" s="1"/>
  <c r="F653" i="1" s="1"/>
  <c r="G704" i="1"/>
  <c r="I704" i="1" s="1"/>
  <c r="F704" i="1" s="1"/>
  <c r="G915" i="1"/>
  <c r="I915" i="1" s="1"/>
  <c r="F915" i="1" s="1"/>
  <c r="G705" i="1"/>
  <c r="I705" i="1" s="1"/>
  <c r="F705" i="1" s="1"/>
  <c r="G779" i="1"/>
  <c r="I779" i="1" s="1"/>
  <c r="G852" i="1"/>
  <c r="G631" i="1"/>
  <c r="I631" i="1" s="1"/>
  <c r="F631" i="1" s="1"/>
  <c r="G579" i="1"/>
  <c r="I579" i="1" s="1"/>
  <c r="G667" i="1"/>
  <c r="I667" i="1" s="1"/>
  <c r="F667" i="1" s="1"/>
  <c r="G592" i="1"/>
  <c r="G591" i="1"/>
  <c r="I591" i="1" s="1"/>
  <c r="G573" i="1"/>
  <c r="I573" i="1" s="1"/>
  <c r="F573" i="1" s="1"/>
  <c r="G866" i="1"/>
  <c r="I866" i="1" s="1"/>
  <c r="G701" i="1"/>
  <c r="I701" i="1" s="1"/>
  <c r="G814" i="1"/>
  <c r="G614" i="1"/>
  <c r="I614" i="1" s="1"/>
  <c r="G652" i="1"/>
  <c r="I652" i="1" s="1"/>
  <c r="G558" i="1"/>
  <c r="G747" i="1"/>
  <c r="I747" i="1" s="1"/>
  <c r="G647" i="1"/>
  <c r="I647" i="1" s="1"/>
  <c r="F647" i="1" s="1"/>
  <c r="G677" i="1"/>
  <c r="G848" i="1"/>
  <c r="I848" i="1" s="1"/>
  <c r="G988" i="1"/>
  <c r="I988" i="1" s="1"/>
  <c r="G714" i="1"/>
  <c r="G553" i="1"/>
  <c r="G942" i="1"/>
  <c r="G763" i="1"/>
  <c r="G928" i="1"/>
  <c r="G554" i="1"/>
  <c r="I554" i="1" s="1"/>
  <c r="F554" i="1" s="1"/>
  <c r="G862" i="1"/>
  <c r="G931" i="1"/>
  <c r="I931" i="1" s="1"/>
  <c r="F931" i="1" s="1"/>
  <c r="G668" i="1"/>
  <c r="I668" i="1" s="1"/>
  <c r="G713" i="1"/>
  <c r="G476" i="1"/>
  <c r="I476" i="1" s="1"/>
  <c r="F476" i="1" s="1"/>
  <c r="G679" i="1"/>
  <c r="I679" i="1" s="1"/>
  <c r="F679" i="1" s="1"/>
  <c r="G916" i="1"/>
  <c r="G715" i="1"/>
  <c r="I715" i="1" s="1"/>
  <c r="F715" i="1" s="1"/>
  <c r="G735" i="1"/>
  <c r="I735" i="1" s="1"/>
  <c r="F735" i="1" s="1"/>
  <c r="G108" i="1"/>
  <c r="I108" i="1" s="1"/>
  <c r="G696" i="1"/>
  <c r="G616" i="1"/>
  <c r="I616" i="1" s="1"/>
  <c r="G853" i="1"/>
  <c r="I853" i="1" s="1"/>
  <c r="G629" i="1"/>
  <c r="G569" i="1"/>
  <c r="G662" i="1"/>
  <c r="I662" i="1" s="1"/>
  <c r="G129" i="1"/>
  <c r="I129" i="1" s="1"/>
  <c r="F129" i="1" s="1"/>
  <c r="G993" i="1"/>
  <c r="I993" i="1" s="1"/>
  <c r="F993" i="1" s="1"/>
  <c r="G618" i="1"/>
  <c r="I618" i="1" s="1"/>
  <c r="G768" i="1"/>
  <c r="I768" i="1" s="1"/>
  <c r="F768" i="1" s="1"/>
  <c r="G15" i="1"/>
  <c r="I15" i="1" s="1"/>
  <c r="G669" i="1"/>
  <c r="I669" i="1" s="1"/>
  <c r="G383" i="1"/>
  <c r="I383" i="1" s="1"/>
  <c r="G693" i="1"/>
  <c r="I693" i="1" s="1"/>
  <c r="G778" i="1"/>
  <c r="G745" i="1"/>
  <c r="I745" i="1" s="1"/>
  <c r="F745" i="1" s="1"/>
  <c r="G403" i="1"/>
  <c r="G407" i="1"/>
  <c r="G600" i="1"/>
  <c r="G781" i="1"/>
  <c r="G562" i="1"/>
  <c r="I562" i="1" s="1"/>
  <c r="G780" i="1"/>
  <c r="I780" i="1" s="1"/>
  <c r="G649" i="1"/>
  <c r="I649" i="1" s="1"/>
  <c r="G783" i="1"/>
  <c r="I783" i="1" s="1"/>
  <c r="L247" i="1"/>
  <c r="M247" i="1" s="1"/>
  <c r="L932" i="1"/>
  <c r="M932" i="1" s="1"/>
  <c r="L787" i="1"/>
  <c r="M787" i="1" s="1"/>
  <c r="L103" i="1"/>
  <c r="M103" i="1" s="1"/>
  <c r="L556" i="1"/>
  <c r="M556" i="1" s="1"/>
  <c r="L771" i="1"/>
  <c r="M771" i="1" s="1"/>
  <c r="G819" i="1"/>
  <c r="G991" i="1"/>
  <c r="I991" i="1" s="1"/>
  <c r="F991" i="1" s="1"/>
  <c r="G792" i="1"/>
  <c r="G933" i="1"/>
  <c r="I933" i="1" s="1"/>
  <c r="G707" i="1"/>
  <c r="G951" i="1"/>
  <c r="G900" i="1"/>
  <c r="I900" i="1" s="1"/>
  <c r="G929" i="1"/>
  <c r="I929" i="1" s="1"/>
  <c r="G948" i="1"/>
  <c r="I948" i="1" s="1"/>
  <c r="L413" i="1"/>
  <c r="M413" i="1" s="1"/>
  <c r="L389" i="1"/>
  <c r="M389" i="1" s="1"/>
  <c r="L717" i="1"/>
  <c r="M717" i="1" s="1"/>
  <c r="L313" i="1"/>
  <c r="M313" i="1" s="1"/>
  <c r="L915" i="1"/>
  <c r="M915" i="1" s="1"/>
  <c r="L473" i="1"/>
  <c r="M473" i="1" s="1"/>
  <c r="L964" i="1"/>
  <c r="M964" i="1" s="1"/>
  <c r="L666" i="1"/>
  <c r="M666" i="1" s="1"/>
  <c r="G794" i="1"/>
  <c r="I794" i="1" s="1"/>
  <c r="G586" i="1"/>
  <c r="L477" i="1"/>
  <c r="M477" i="1" s="1"/>
  <c r="G654" i="1"/>
  <c r="L982" i="1"/>
  <c r="M982" i="1" s="1"/>
  <c r="L337" i="1"/>
  <c r="M337" i="1" s="1"/>
  <c r="G965" i="1"/>
  <c r="I965" i="1" s="1"/>
  <c r="G309" i="1"/>
  <c r="L990" i="1"/>
  <c r="M990" i="1" s="1"/>
  <c r="L412" i="1"/>
  <c r="M412" i="1" s="1"/>
  <c r="L654" i="1"/>
  <c r="M654" i="1" s="1"/>
  <c r="G980" i="1"/>
  <c r="G726" i="1"/>
  <c r="I726" i="1" s="1"/>
  <c r="G551" i="1"/>
  <c r="G624" i="1"/>
  <c r="G938" i="1"/>
  <c r="G880" i="1"/>
  <c r="G565" i="1"/>
  <c r="I565" i="1" s="1"/>
  <c r="L647" i="1"/>
  <c r="M647" i="1" s="1"/>
  <c r="L980" i="1"/>
  <c r="M980" i="1" s="1"/>
  <c r="L333" i="1"/>
  <c r="M333" i="1" s="1"/>
  <c r="L684" i="1"/>
  <c r="M684" i="1" s="1"/>
  <c r="G860" i="1"/>
  <c r="G581" i="1"/>
  <c r="I581" i="1" s="1"/>
  <c r="G799" i="1"/>
  <c r="L91" i="1"/>
  <c r="M91" i="1" s="1"/>
  <c r="L12" i="1"/>
  <c r="M12" i="1" s="1"/>
  <c r="L284" i="1"/>
  <c r="M284" i="1" s="1"/>
  <c r="L811" i="1"/>
  <c r="M811" i="1" s="1"/>
  <c r="L714" i="1"/>
  <c r="M714" i="1" s="1"/>
  <c r="L727" i="1"/>
  <c r="M727" i="1" s="1"/>
  <c r="L614" i="1"/>
  <c r="M614" i="1" s="1"/>
  <c r="L794" i="1"/>
  <c r="M794" i="1" s="1"/>
  <c r="L84" i="1"/>
  <c r="M84" i="1" s="1"/>
  <c r="L248" i="1"/>
  <c r="M248" i="1" s="1"/>
  <c r="G868" i="1"/>
  <c r="I868" i="1" s="1"/>
  <c r="G952" i="1"/>
  <c r="I952" i="1" s="1"/>
  <c r="L95" i="1"/>
  <c r="M95" i="1" s="1"/>
  <c r="L804" i="1"/>
  <c r="M804" i="1" s="1"/>
  <c r="L21" i="1"/>
  <c r="M21" i="1" s="1"/>
  <c r="G717" i="1"/>
  <c r="G54" i="1"/>
  <c r="I54" i="1" s="1"/>
  <c r="F54" i="1" s="1"/>
  <c r="G635" i="1"/>
  <c r="I635" i="1" s="1"/>
  <c r="G806" i="1"/>
  <c r="L220" i="1"/>
  <c r="M220" i="1" s="1"/>
  <c r="L667" i="1"/>
  <c r="M667" i="1" s="1"/>
  <c r="L178" i="1"/>
  <c r="M178" i="1" s="1"/>
  <c r="L543" i="1"/>
  <c r="M543" i="1" s="1"/>
  <c r="L107" i="1"/>
  <c r="M107" i="1" s="1"/>
  <c r="L158" i="1"/>
  <c r="M158" i="1" s="1"/>
  <c r="L182" i="1"/>
  <c r="M182" i="1" s="1"/>
  <c r="G130" i="1"/>
  <c r="I130" i="1" s="1"/>
  <c r="F130" i="1" s="1"/>
  <c r="G808" i="1"/>
  <c r="G836" i="1"/>
  <c r="I836" i="1" s="1"/>
  <c r="F836" i="1" s="1"/>
  <c r="L732" i="1"/>
  <c r="M732" i="1" s="1"/>
  <c r="L683" i="1"/>
  <c r="M683" i="1" s="1"/>
  <c r="G498" i="1"/>
  <c r="I498" i="1" s="1"/>
  <c r="F498" i="1" s="1"/>
  <c r="G374" i="1"/>
  <c r="I374" i="1" s="1"/>
  <c r="L629" i="1"/>
  <c r="M629" i="1" s="1"/>
  <c r="G718" i="1"/>
  <c r="I718" i="1" s="1"/>
  <c r="G796" i="1"/>
  <c r="G593" i="1"/>
  <c r="I593" i="1" s="1"/>
  <c r="L70" i="1"/>
  <c r="M70" i="1" s="1"/>
  <c r="L498" i="1"/>
  <c r="M498" i="1" s="1"/>
  <c r="G721" i="1"/>
  <c r="G145" i="1"/>
  <c r="I145" i="1" s="1"/>
  <c r="F145" i="1" s="1"/>
  <c r="L374" i="1"/>
  <c r="M374" i="1" s="1"/>
  <c r="L628" i="1"/>
  <c r="M628" i="1" s="1"/>
  <c r="L582" i="1"/>
  <c r="M582" i="1" s="1"/>
  <c r="G692" i="1"/>
  <c r="G886" i="1"/>
  <c r="I886" i="1" s="1"/>
  <c r="F886" i="1" s="1"/>
  <c r="G725" i="1"/>
  <c r="G777" i="1"/>
  <c r="I777" i="1" s="1"/>
  <c r="G927" i="1"/>
  <c r="I927" i="1" s="1"/>
  <c r="F927" i="1" s="1"/>
  <c r="G757" i="1"/>
  <c r="G574" i="1"/>
  <c r="I574" i="1" s="1"/>
  <c r="L721" i="1"/>
  <c r="M721" i="1" s="1"/>
  <c r="L349" i="1"/>
  <c r="M349" i="1" s="1"/>
  <c r="L486" i="1"/>
  <c r="M486" i="1" s="1"/>
  <c r="L740" i="1"/>
  <c r="M740" i="1" s="1"/>
  <c r="L635" i="1"/>
  <c r="M635" i="1" s="1"/>
  <c r="L4" i="1"/>
  <c r="M4" i="1" s="1"/>
  <c r="E4" i="1" s="1"/>
  <c r="G821" i="1"/>
  <c r="I821" i="1" s="1"/>
  <c r="G568" i="1"/>
  <c r="I568" i="1" s="1"/>
  <c r="G774" i="1"/>
  <c r="G797" i="1"/>
  <c r="I797" i="1" s="1"/>
  <c r="G903" i="1"/>
  <c r="L329" i="1"/>
  <c r="M329" i="1" s="1"/>
  <c r="L221" i="1"/>
  <c r="M221" i="1" s="1"/>
  <c r="L622" i="1"/>
  <c r="M622" i="1" s="1"/>
  <c r="L20" i="1"/>
  <c r="M20" i="1" s="1"/>
  <c r="L29" i="1"/>
  <c r="M29" i="1" s="1"/>
  <c r="L409" i="1"/>
  <c r="M409" i="1" s="1"/>
  <c r="G842" i="1"/>
  <c r="G985" i="1"/>
  <c r="G815" i="1"/>
  <c r="L601" i="1"/>
  <c r="M601" i="1" s="1"/>
  <c r="L651" i="1"/>
  <c r="M651" i="1" s="1"/>
  <c r="L287" i="1"/>
  <c r="M287" i="1" s="1"/>
  <c r="L881" i="1"/>
  <c r="M881" i="1" s="1"/>
  <c r="L421" i="1"/>
  <c r="M421" i="1" s="1"/>
  <c r="L571" i="1"/>
  <c r="M571" i="1" s="1"/>
  <c r="L681" i="1"/>
  <c r="M681" i="1" s="1"/>
  <c r="L160" i="1"/>
  <c r="M160" i="1" s="1"/>
  <c r="L896" i="1"/>
  <c r="M896" i="1" s="1"/>
  <c r="L255" i="1"/>
  <c r="M255" i="1" s="1"/>
  <c r="L997" i="1"/>
  <c r="M997" i="1" s="1"/>
  <c r="L956" i="1"/>
  <c r="M956" i="1" s="1"/>
  <c r="L837" i="1"/>
  <c r="M837" i="1" s="1"/>
  <c r="L32" i="1"/>
  <c r="M32" i="1" s="1"/>
  <c r="L468" i="1"/>
  <c r="M468" i="1" s="1"/>
  <c r="L653" i="1"/>
  <c r="M653" i="1" s="1"/>
  <c r="L319" i="1"/>
  <c r="M319" i="1" s="1"/>
  <c r="L780" i="1"/>
  <c r="M780" i="1" s="1"/>
  <c r="L105" i="1"/>
  <c r="M105" i="1" s="1"/>
  <c r="L215" i="1"/>
  <c r="M215" i="1" s="1"/>
  <c r="L410" i="1"/>
  <c r="M410" i="1" s="1"/>
  <c r="L256" i="1"/>
  <c r="M256" i="1" s="1"/>
  <c r="L898" i="1"/>
  <c r="M898" i="1" s="1"/>
  <c r="L548" i="1"/>
  <c r="M548" i="1" s="1"/>
  <c r="L844" i="1"/>
  <c r="M844" i="1" s="1"/>
  <c r="G957" i="1"/>
  <c r="I957" i="1" s="1"/>
  <c r="L294" i="1"/>
  <c r="M294" i="1" s="1"/>
  <c r="G567" i="1"/>
  <c r="G776" i="1"/>
  <c r="I776" i="1" s="1"/>
  <c r="L138" i="1"/>
  <c r="M138" i="1" s="1"/>
  <c r="L492" i="1"/>
  <c r="M492" i="1" s="1"/>
  <c r="L331" i="1"/>
  <c r="M331" i="1" s="1"/>
  <c r="L546" i="1"/>
  <c r="M546" i="1" s="1"/>
  <c r="L128" i="1"/>
  <c r="M128" i="1" s="1"/>
  <c r="L35" i="1"/>
  <c r="M35" i="1" s="1"/>
  <c r="L276" i="1"/>
  <c r="M276" i="1" s="1"/>
  <c r="G845" i="1"/>
  <c r="I845" i="1" s="1"/>
  <c r="G918" i="1"/>
  <c r="I918" i="1" s="1"/>
  <c r="G876" i="1"/>
  <c r="I876" i="1" s="1"/>
  <c r="L943" i="1"/>
  <c r="M943" i="1" s="1"/>
  <c r="G767" i="1"/>
  <c r="I767" i="1" s="1"/>
  <c r="L13" i="1"/>
  <c r="M13" i="1" s="1"/>
  <c r="L984" i="1"/>
  <c r="M984" i="1" s="1"/>
  <c r="G926" i="1"/>
  <c r="L139" i="1"/>
  <c r="M139" i="1" s="1"/>
  <c r="L382" i="1"/>
  <c r="M382" i="1" s="1"/>
  <c r="L5" i="1"/>
  <c r="M5" i="1" s="1"/>
  <c r="E5" i="1" s="1"/>
  <c r="G716" i="1"/>
  <c r="L903" i="1"/>
  <c r="M903" i="1" s="1"/>
  <c r="L399" i="1"/>
  <c r="M399" i="1" s="1"/>
  <c r="L469" i="1"/>
  <c r="M469" i="1" s="1"/>
  <c r="G564" i="1"/>
  <c r="L567" i="1"/>
  <c r="M567" i="1" s="1"/>
  <c r="L865" i="1"/>
  <c r="M865" i="1" s="1"/>
  <c r="G992" i="1"/>
  <c r="L876" i="1"/>
  <c r="M876" i="1" s="1"/>
  <c r="L481" i="1"/>
  <c r="M481" i="1" s="1"/>
  <c r="L894" i="1"/>
  <c r="M894" i="1" s="1"/>
  <c r="L568" i="1"/>
  <c r="M568" i="1" s="1"/>
  <c r="L251" i="1"/>
  <c r="M251" i="1" s="1"/>
  <c r="G673" i="1"/>
  <c r="I673" i="1" s="1"/>
  <c r="F673" i="1" s="1"/>
  <c r="L756" i="1"/>
  <c r="M756" i="1" s="1"/>
  <c r="L120" i="1"/>
  <c r="M120" i="1" s="1"/>
  <c r="L989" i="1"/>
  <c r="M989" i="1" s="1"/>
  <c r="L507" i="1"/>
  <c r="M507" i="1" s="1"/>
  <c r="L830" i="1"/>
  <c r="M830" i="1" s="1"/>
  <c r="L716" i="1"/>
  <c r="M716" i="1" s="1"/>
  <c r="L429" i="1"/>
  <c r="M429" i="1" s="1"/>
  <c r="L676" i="1"/>
  <c r="M676" i="1" s="1"/>
  <c r="L639" i="1"/>
  <c r="M639" i="1" s="1"/>
  <c r="G901" i="1"/>
  <c r="I901" i="1" s="1"/>
  <c r="L509" i="1"/>
  <c r="M509" i="1" s="1"/>
  <c r="G859" i="1"/>
  <c r="G834" i="1"/>
  <c r="I834" i="1" s="1"/>
  <c r="L52" i="1"/>
  <c r="M52" i="1" s="1"/>
  <c r="G646" i="1"/>
  <c r="L758" i="1"/>
  <c r="M758" i="1" s="1"/>
  <c r="L144" i="1"/>
  <c r="M144" i="1" s="1"/>
  <c r="L425" i="1"/>
  <c r="M425" i="1" s="1"/>
  <c r="L151" i="1"/>
  <c r="M151" i="1" s="1"/>
  <c r="L960" i="1"/>
  <c r="M960" i="1" s="1"/>
  <c r="L415" i="1"/>
  <c r="M415" i="1" s="1"/>
  <c r="L901" i="1"/>
  <c r="M901" i="1" s="1"/>
  <c r="L97" i="1"/>
  <c r="M97" i="1" s="1"/>
  <c r="L859" i="1"/>
  <c r="M859" i="1" s="1"/>
  <c r="G855" i="1"/>
  <c r="I855" i="1" s="1"/>
  <c r="L950" i="1"/>
  <c r="M950" i="1" s="1"/>
  <c r="G570" i="1"/>
  <c r="I570" i="1" s="1"/>
  <c r="F570" i="1" s="1"/>
  <c r="L713" i="1"/>
  <c r="M713" i="1" s="1"/>
  <c r="L767" i="1"/>
  <c r="M767" i="1" s="1"/>
  <c r="L479" i="1"/>
  <c r="M479" i="1" s="1"/>
  <c r="L217" i="1"/>
  <c r="M217" i="1" s="1"/>
  <c r="L300" i="1"/>
  <c r="M300" i="1" s="1"/>
  <c r="L952" i="1"/>
  <c r="M952" i="1" s="1"/>
  <c r="L752" i="1"/>
  <c r="M752" i="1" s="1"/>
  <c r="L692" i="1"/>
  <c r="M692" i="1" s="1"/>
  <c r="G395" i="1"/>
  <c r="G603" i="1"/>
  <c r="I603" i="1" s="1"/>
  <c r="F603" i="1" s="1"/>
  <c r="G956" i="1"/>
  <c r="I956" i="1" s="1"/>
  <c r="F956" i="1" s="1"/>
  <c r="L880" i="1"/>
  <c r="M880" i="1" s="1"/>
  <c r="G670" i="1"/>
  <c r="L866" i="1"/>
  <c r="M866" i="1" s="1"/>
  <c r="L860" i="1"/>
  <c r="M860" i="1" s="1"/>
  <c r="G587" i="1"/>
  <c r="L100" i="1"/>
  <c r="M100" i="1" s="1"/>
  <c r="G828" i="1"/>
  <c r="L147" i="1"/>
  <c r="M147" i="1" s="1"/>
  <c r="G648" i="1"/>
  <c r="G491" i="1"/>
  <c r="L829" i="1"/>
  <c r="M829" i="1" s="1"/>
  <c r="G738" i="1"/>
  <c r="I738" i="1" s="1"/>
  <c r="F738" i="1" s="1"/>
  <c r="L241" i="1"/>
  <c r="M241" i="1" s="1"/>
  <c r="L764" i="1"/>
  <c r="M764" i="1" s="1"/>
  <c r="L757" i="1"/>
  <c r="M757" i="1" s="1"/>
  <c r="G582" i="1"/>
  <c r="L944" i="1"/>
  <c r="M944" i="1" s="1"/>
  <c r="G685" i="1"/>
  <c r="I685" i="1" s="1"/>
  <c r="L977" i="1"/>
  <c r="M977" i="1" s="1"/>
  <c r="L18" i="1"/>
  <c r="M18" i="1" s="1"/>
  <c r="L669" i="1"/>
  <c r="M669" i="1" s="1"/>
  <c r="L696" i="1"/>
  <c r="M696" i="1" s="1"/>
  <c r="L914" i="1"/>
  <c r="M914" i="1" s="1"/>
  <c r="E914" i="1" s="1"/>
  <c r="L736" i="1"/>
  <c r="M736" i="1" s="1"/>
  <c r="L845" i="1"/>
  <c r="M845" i="1" s="1"/>
  <c r="G856" i="1"/>
  <c r="G1000" i="1"/>
  <c r="L675" i="1"/>
  <c r="M675" i="1" s="1"/>
  <c r="G990" i="1"/>
  <c r="L587" i="1"/>
  <c r="M587" i="1" s="1"/>
  <c r="G686" i="1"/>
  <c r="I686" i="1" s="1"/>
  <c r="G111" i="1"/>
  <c r="G158" i="1"/>
  <c r="G691" i="1"/>
  <c r="G656" i="1"/>
  <c r="G831" i="1"/>
  <c r="I831" i="1" s="1"/>
  <c r="F831" i="1" s="1"/>
  <c r="G908" i="1"/>
  <c r="L181" i="1"/>
  <c r="M181" i="1" s="1"/>
  <c r="G825" i="1"/>
  <c r="I825" i="1" s="1"/>
  <c r="L345" i="1"/>
  <c r="M345" i="1" s="1"/>
  <c r="L573" i="1"/>
  <c r="M573" i="1" s="1"/>
  <c r="L615" i="1"/>
  <c r="M615" i="1" s="1"/>
  <c r="L460" i="1"/>
  <c r="M460" i="1" s="1"/>
  <c r="L390" i="1"/>
  <c r="M390" i="1" s="1"/>
  <c r="L459" i="1"/>
  <c r="M459" i="1" s="1"/>
  <c r="L166" i="1"/>
  <c r="M166" i="1" s="1"/>
  <c r="L593" i="1"/>
  <c r="M593" i="1" s="1"/>
  <c r="G583" i="1"/>
  <c r="L1000" i="1"/>
  <c r="M1000" i="1" s="1"/>
  <c r="G729" i="1"/>
  <c r="I729" i="1" s="1"/>
  <c r="G429" i="1"/>
  <c r="G961" i="1"/>
  <c r="L691" i="1"/>
  <c r="M691" i="1" s="1"/>
  <c r="G911" i="1"/>
  <c r="I911" i="1" s="1"/>
  <c r="F911" i="1" s="1"/>
  <c r="L335" i="1"/>
  <c r="M335" i="1" s="1"/>
  <c r="L268" i="1"/>
  <c r="M268" i="1" s="1"/>
  <c r="L831" i="1"/>
  <c r="M831" i="1" s="1"/>
  <c r="G894" i="1"/>
  <c r="I894" i="1" s="1"/>
  <c r="L925" i="1"/>
  <c r="M925" i="1" s="1"/>
  <c r="L900" i="1"/>
  <c r="M900" i="1" s="1"/>
  <c r="L222" i="1"/>
  <c r="M222" i="1" s="1"/>
  <c r="L3" i="1"/>
  <c r="M3" i="1" s="1"/>
  <c r="E3" i="1" s="1"/>
  <c r="L825" i="1"/>
  <c r="M825" i="1" s="1"/>
  <c r="G114" i="1"/>
  <c r="I114" i="1" s="1"/>
  <c r="F114" i="1" s="1"/>
  <c r="L796" i="1"/>
  <c r="M796" i="1" s="1"/>
  <c r="L690" i="1"/>
  <c r="M690" i="1" s="1"/>
  <c r="G200" i="1"/>
  <c r="L448" i="1"/>
  <c r="M448" i="1" s="1"/>
  <c r="L24" i="1"/>
  <c r="M24" i="1" s="1"/>
  <c r="L576" i="1"/>
  <c r="M576" i="1" s="1"/>
  <c r="L569" i="1"/>
  <c r="M569" i="1" s="1"/>
  <c r="L183" i="1"/>
  <c r="M183" i="1" s="1"/>
  <c r="L526" i="1"/>
  <c r="M526" i="1" s="1"/>
  <c r="L297" i="1"/>
  <c r="M297" i="1" s="1"/>
  <c r="E297" i="1" s="1"/>
  <c r="L697" i="1"/>
  <c r="M697" i="1" s="1"/>
  <c r="L686" i="1"/>
  <c r="M686" i="1" s="1"/>
  <c r="G690" i="1"/>
  <c r="G550" i="1"/>
  <c r="G255" i="1"/>
  <c r="L559" i="1"/>
  <c r="M559" i="1" s="1"/>
  <c r="G271" i="1"/>
  <c r="G85" i="1"/>
  <c r="L607" i="1"/>
  <c r="M607" i="1" s="1"/>
  <c r="L204" i="1"/>
  <c r="M204" i="1" s="1"/>
  <c r="G478" i="1"/>
  <c r="G41" i="1"/>
  <c r="L114" i="1"/>
  <c r="M114" i="1" s="1"/>
  <c r="L380" i="1"/>
  <c r="M380" i="1" s="1"/>
  <c r="L705" i="1"/>
  <c r="M705" i="1" s="1"/>
  <c r="L818" i="1"/>
  <c r="M818" i="1" s="1"/>
  <c r="L79" i="1"/>
  <c r="M79" i="1" s="1"/>
  <c r="L739" i="1"/>
  <c r="M739" i="1" s="1"/>
  <c r="L272" i="1"/>
  <c r="M272" i="1" s="1"/>
  <c r="L418" i="1"/>
  <c r="M418" i="1" s="1"/>
  <c r="L279" i="1"/>
  <c r="M279" i="1" s="1"/>
  <c r="L403" i="1"/>
  <c r="M403" i="1" s="1"/>
  <c r="L190" i="1"/>
  <c r="M190" i="1" s="1"/>
  <c r="L618" i="1"/>
  <c r="M618" i="1" s="1"/>
  <c r="L341" i="1"/>
  <c r="M341" i="1" s="1"/>
  <c r="G865" i="1"/>
  <c r="L156" i="1"/>
  <c r="M156" i="1" s="1"/>
  <c r="L897" i="1"/>
  <c r="M897" i="1" s="1"/>
  <c r="G795" i="1"/>
  <c r="G18" i="1"/>
  <c r="L155" i="1"/>
  <c r="M155" i="1" s="1"/>
  <c r="G252" i="1"/>
  <c r="L246" i="1"/>
  <c r="M246" i="1" s="1"/>
  <c r="L685" i="1"/>
  <c r="M685" i="1" s="1"/>
  <c r="G233" i="1"/>
  <c r="I233" i="1" s="1"/>
  <c r="L512" i="1"/>
  <c r="M512" i="1" s="1"/>
  <c r="L85" i="1"/>
  <c r="M85" i="1" s="1"/>
  <c r="L388" i="1"/>
  <c r="M388" i="1" s="1"/>
  <c r="L195" i="1"/>
  <c r="M195" i="1" s="1"/>
  <c r="L775" i="1"/>
  <c r="M775" i="1" s="1"/>
  <c r="L981" i="1"/>
  <c r="M981" i="1" s="1"/>
  <c r="L948" i="1"/>
  <c r="M948" i="1" s="1"/>
  <c r="L470" i="1"/>
  <c r="M470" i="1" s="1"/>
  <c r="L679" i="1"/>
  <c r="M679" i="1" s="1"/>
  <c r="L126" i="1"/>
  <c r="M126" i="1" s="1"/>
  <c r="L318" i="1"/>
  <c r="M318" i="1" s="1"/>
  <c r="L870" i="1"/>
  <c r="M870" i="1" s="1"/>
  <c r="L167" i="1"/>
  <c r="M167" i="1" s="1"/>
  <c r="L946" i="1"/>
  <c r="M946" i="1" s="1"/>
  <c r="L795" i="1"/>
  <c r="M795" i="1" s="1"/>
  <c r="L928" i="1"/>
  <c r="M928" i="1" s="1"/>
  <c r="L445" i="1"/>
  <c r="M445" i="1" s="1"/>
  <c r="L816" i="1"/>
  <c r="M816" i="1" s="1"/>
  <c r="L824" i="1"/>
  <c r="M824" i="1" s="1"/>
  <c r="G358" i="1"/>
  <c r="G769" i="1"/>
  <c r="L208" i="1"/>
  <c r="M208" i="1" s="1"/>
  <c r="L650" i="1"/>
  <c r="M650" i="1" s="1"/>
  <c r="L886" i="1"/>
  <c r="M886" i="1" s="1"/>
  <c r="L75" i="1"/>
  <c r="M75" i="1" s="1"/>
  <c r="L315" i="1"/>
  <c r="M315" i="1" s="1"/>
  <c r="G941" i="1"/>
  <c r="L730" i="1"/>
  <c r="M730" i="1" s="1"/>
  <c r="L123" i="1"/>
  <c r="M123" i="1" s="1"/>
  <c r="L387" i="1"/>
  <c r="M387" i="1" s="1"/>
  <c r="L561" i="1"/>
  <c r="M561" i="1" s="1"/>
  <c r="G895" i="1"/>
  <c r="I895" i="1" s="1"/>
  <c r="L513" i="1"/>
  <c r="M513" i="1" s="1"/>
  <c r="L597" i="1"/>
  <c r="M597" i="1" s="1"/>
  <c r="G622" i="1"/>
  <c r="L503" i="1"/>
  <c r="M503" i="1" s="1"/>
  <c r="L299" i="1"/>
  <c r="M299" i="1" s="1"/>
  <c r="L113" i="1"/>
  <c r="M113" i="1" s="1"/>
  <c r="L283" i="1"/>
  <c r="M283" i="1" s="1"/>
  <c r="L36" i="1"/>
  <c r="M36" i="1" s="1"/>
  <c r="G164" i="1"/>
  <c r="L480" i="1"/>
  <c r="M480" i="1" s="1"/>
  <c r="L979" i="1"/>
  <c r="M979" i="1" s="1"/>
  <c r="L322" i="1"/>
  <c r="M322" i="1" s="1"/>
  <c r="L926" i="1"/>
  <c r="M926" i="1" s="1"/>
  <c r="G719" i="1"/>
  <c r="I719" i="1" s="1"/>
  <c r="L10" i="1"/>
  <c r="M10" i="1" s="1"/>
  <c r="L941" i="1"/>
  <c r="M941" i="1" s="1"/>
  <c r="L475" i="1"/>
  <c r="M475" i="1" s="1"/>
  <c r="L954" i="1"/>
  <c r="M954" i="1" s="1"/>
  <c r="L549" i="1"/>
  <c r="M549" i="1" s="1"/>
  <c r="L738" i="1"/>
  <c r="M738" i="1" s="1"/>
  <c r="L310" i="1"/>
  <c r="M310" i="1" s="1"/>
  <c r="L895" i="1"/>
  <c r="M895" i="1" s="1"/>
  <c r="L466" i="1"/>
  <c r="M466" i="1" s="1"/>
  <c r="L234" i="1"/>
  <c r="M234" i="1" s="1"/>
  <c r="L658" i="1"/>
  <c r="M658" i="1" s="1"/>
  <c r="G661" i="1"/>
  <c r="G899" i="1"/>
  <c r="G634" i="1"/>
  <c r="I634" i="1" s="1"/>
  <c r="L86" i="1"/>
  <c r="M86" i="1" s="1"/>
  <c r="L627" i="1"/>
  <c r="M627" i="1" s="1"/>
  <c r="L719" i="1"/>
  <c r="M719" i="1" s="1"/>
  <c r="L769" i="1"/>
  <c r="M769" i="1" s="1"/>
  <c r="L957" i="1"/>
  <c r="M957" i="1" s="1"/>
  <c r="L134" i="1"/>
  <c r="M134" i="1" s="1"/>
  <c r="G703" i="1"/>
  <c r="I703" i="1" s="1"/>
  <c r="F703" i="1" s="1"/>
  <c r="L935" i="1"/>
  <c r="M935" i="1" s="1"/>
  <c r="L321" i="1"/>
  <c r="M321" i="1" s="1"/>
  <c r="L385" i="1"/>
  <c r="M385" i="1" s="1"/>
  <c r="G920" i="1"/>
  <c r="I920" i="1" s="1"/>
  <c r="F920" i="1" s="1"/>
  <c r="L553" i="1"/>
  <c r="M553" i="1" s="1"/>
  <c r="G6" i="1"/>
  <c r="G77" i="1"/>
  <c r="G983" i="1"/>
  <c r="L441" i="1"/>
  <c r="M441" i="1" s="1"/>
  <c r="L62" i="1"/>
  <c r="M62" i="1" s="1"/>
  <c r="L842" i="1"/>
  <c r="M842" i="1" s="1"/>
  <c r="L404" i="1"/>
  <c r="M404" i="1" s="1"/>
  <c r="L45" i="1"/>
  <c r="M45" i="1" s="1"/>
  <c r="L148" i="1"/>
  <c r="M148" i="1" s="1"/>
  <c r="L394" i="1"/>
  <c r="M394" i="1" s="1"/>
  <c r="G968" i="1"/>
  <c r="I968" i="1" s="1"/>
  <c r="F968" i="1" s="1"/>
  <c r="L240" i="1"/>
  <c r="M240" i="1" s="1"/>
  <c r="L136" i="1"/>
  <c r="M136" i="1" s="1"/>
  <c r="L703" i="1"/>
  <c r="M703" i="1" s="1"/>
  <c r="G827" i="1"/>
  <c r="L483" i="1"/>
  <c r="M483" i="1" s="1"/>
  <c r="L604" i="1"/>
  <c r="M604" i="1" s="1"/>
  <c r="G506" i="1"/>
  <c r="L873" i="1"/>
  <c r="M873" i="1" s="1"/>
  <c r="L879" i="1"/>
  <c r="M879" i="1" s="1"/>
  <c r="G184" i="1"/>
  <c r="L254" i="1"/>
  <c r="M254" i="1" s="1"/>
  <c r="L531" i="1"/>
  <c r="M531" i="1" s="1"/>
  <c r="L670" i="1"/>
  <c r="M670" i="1" s="1"/>
  <c r="L968" i="1"/>
  <c r="M968" i="1" s="1"/>
  <c r="L551" i="1"/>
  <c r="M551" i="1" s="1"/>
  <c r="L360" i="1"/>
  <c r="M360" i="1" s="1"/>
  <c r="L14" i="1"/>
  <c r="M14" i="1" s="1"/>
  <c r="L273" i="1"/>
  <c r="M273" i="1" s="1"/>
  <c r="L271" i="1"/>
  <c r="M271" i="1" s="1"/>
  <c r="L827" i="1"/>
  <c r="M827" i="1" s="1"/>
  <c r="L636" i="1"/>
  <c r="M636" i="1" s="1"/>
  <c r="L763" i="1"/>
  <c r="M763" i="1" s="1"/>
  <c r="L505" i="1"/>
  <c r="M505" i="1" s="1"/>
  <c r="L523" i="1"/>
  <c r="M523" i="1" s="1"/>
  <c r="G280" i="1"/>
  <c r="L31" i="1"/>
  <c r="M31" i="1" s="1"/>
  <c r="G771" i="1"/>
  <c r="I771" i="1" s="1"/>
  <c r="L843" i="1"/>
  <c r="M843" i="1" s="1"/>
  <c r="L162" i="1"/>
  <c r="M162" i="1" s="1"/>
  <c r="L214" i="1"/>
  <c r="M214" i="1" s="1"/>
  <c r="L184" i="1"/>
  <c r="M184" i="1" s="1"/>
  <c r="L396" i="1"/>
  <c r="M396" i="1" s="1"/>
  <c r="L774" i="1"/>
  <c r="M774" i="1" s="1"/>
  <c r="L485" i="1"/>
  <c r="M485" i="1" s="1"/>
  <c r="L808" i="1"/>
  <c r="M808" i="1" s="1"/>
  <c r="L197" i="1"/>
  <c r="M197" i="1" s="1"/>
  <c r="L400" i="1"/>
  <c r="M400" i="1" s="1"/>
  <c r="L393" i="1"/>
  <c r="M393" i="1" s="1"/>
  <c r="L820" i="1"/>
  <c r="M820" i="1" s="1"/>
  <c r="L405" i="1"/>
  <c r="M405" i="1" s="1"/>
  <c r="L743" i="1"/>
  <c r="M743" i="1" s="1"/>
  <c r="L648" i="1"/>
  <c r="M648" i="1" s="1"/>
  <c r="G912" i="1"/>
  <c r="I912" i="1" s="1"/>
  <c r="G934" i="1"/>
  <c r="I934" i="1" s="1"/>
  <c r="L663" i="1"/>
  <c r="M663" i="1" s="1"/>
  <c r="L450" i="1"/>
  <c r="M450" i="1" s="1"/>
  <c r="L366" i="1"/>
  <c r="M366" i="1" s="1"/>
  <c r="G946" i="1"/>
  <c r="L557" i="1"/>
  <c r="M557" i="1" s="1"/>
  <c r="G650" i="1"/>
  <c r="I650" i="1" s="1"/>
  <c r="L201" i="1"/>
  <c r="M201" i="1" s="1"/>
  <c r="L904" i="1"/>
  <c r="M904" i="1" s="1"/>
  <c r="L451" i="1"/>
  <c r="M451" i="1" s="1"/>
  <c r="G839" i="1"/>
  <c r="I839" i="1" s="1"/>
  <c r="G659" i="1"/>
  <c r="L937" i="1"/>
  <c r="M937" i="1" s="1"/>
  <c r="L83" i="1"/>
  <c r="M83" i="1" s="1"/>
  <c r="G904" i="1"/>
  <c r="G617" i="1"/>
  <c r="I617" i="1" s="1"/>
  <c r="L198" i="1"/>
  <c r="M198" i="1" s="1"/>
  <c r="G840" i="1"/>
  <c r="G921" i="1"/>
  <c r="I921" i="1" s="1"/>
  <c r="L839" i="1"/>
  <c r="M839" i="1" s="1"/>
  <c r="L165" i="1"/>
  <c r="M165" i="1" s="1"/>
  <c r="L112" i="1"/>
  <c r="M112" i="1" s="1"/>
  <c r="L314" i="1"/>
  <c r="M314" i="1" s="1"/>
  <c r="L856" i="1"/>
  <c r="M856" i="1" s="1"/>
  <c r="L510" i="1"/>
  <c r="M510" i="1" s="1"/>
  <c r="L59" i="1"/>
  <c r="M59" i="1" s="1"/>
  <c r="G665" i="1"/>
  <c r="I665" i="1" s="1"/>
  <c r="L748" i="1"/>
  <c r="M748" i="1" s="1"/>
  <c r="G728" i="1"/>
  <c r="I728" i="1" s="1"/>
  <c r="F728" i="1" s="1"/>
  <c r="L369" i="1"/>
  <c r="M369" i="1" s="1"/>
  <c r="G883" i="1"/>
  <c r="I883" i="1" s="1"/>
  <c r="G697" i="1"/>
  <c r="I697" i="1" s="1"/>
  <c r="L376" i="1"/>
  <c r="M376" i="1" s="1"/>
  <c r="G972" i="1"/>
  <c r="I972" i="1" s="1"/>
  <c r="F972" i="1" s="1"/>
  <c r="L562" i="1"/>
  <c r="M562" i="1" s="1"/>
  <c r="L111" i="1"/>
  <c r="M111" i="1" s="1"/>
  <c r="G605" i="1"/>
  <c r="I605" i="1" s="1"/>
  <c r="L854" i="1"/>
  <c r="M854" i="1" s="1"/>
  <c r="G879" i="1"/>
  <c r="L929" i="1"/>
  <c r="M929" i="1" s="1"/>
  <c r="L74" i="1"/>
  <c r="M74" i="1" s="1"/>
  <c r="L600" i="1"/>
  <c r="M600" i="1" s="1"/>
  <c r="L605" i="1"/>
  <c r="M605" i="1" s="1"/>
  <c r="L452" i="1"/>
  <c r="M452" i="1" s="1"/>
  <c r="G826" i="1"/>
  <c r="I826" i="1" s="1"/>
  <c r="L187" i="1"/>
  <c r="M187" i="1" s="1"/>
  <c r="L225" i="1"/>
  <c r="M225" i="1" s="1"/>
  <c r="L761" i="1"/>
  <c r="M761" i="1" s="1"/>
  <c r="L852" i="1"/>
  <c r="M852" i="1" s="1"/>
  <c r="L235" i="1"/>
  <c r="M235" i="1" s="1"/>
  <c r="G817" i="1"/>
  <c r="I817" i="1" s="1"/>
  <c r="L589" i="1"/>
  <c r="M589" i="1" s="1"/>
  <c r="L750" i="1"/>
  <c r="M750" i="1" s="1"/>
  <c r="L899" i="1"/>
  <c r="M899" i="1" s="1"/>
  <c r="L657" i="1"/>
  <c r="M657" i="1" s="1"/>
  <c r="L602" i="1"/>
  <c r="M602" i="1" s="1"/>
  <c r="L257" i="1"/>
  <c r="M257" i="1" s="1"/>
  <c r="L295" i="1"/>
  <c r="M295" i="1" s="1"/>
  <c r="L115" i="1"/>
  <c r="M115" i="1" s="1"/>
  <c r="L975" i="1"/>
  <c r="M975" i="1" s="1"/>
  <c r="L55" i="1"/>
  <c r="M55" i="1" s="1"/>
  <c r="L145" i="1"/>
  <c r="M145" i="1" s="1"/>
  <c r="L520" i="1"/>
  <c r="M520" i="1" s="1"/>
  <c r="L325" i="1"/>
  <c r="M325" i="1" s="1"/>
  <c r="L539" i="1"/>
  <c r="M539" i="1" s="1"/>
  <c r="L599" i="1"/>
  <c r="M599" i="1" s="1"/>
  <c r="G525" i="1"/>
  <c r="L524" i="1"/>
  <c r="M524" i="1" s="1"/>
  <c r="L8" i="1"/>
  <c r="M8" i="1" s="1"/>
  <c r="L581" i="1"/>
  <c r="M581" i="1" s="1"/>
  <c r="L620" i="1"/>
  <c r="M620" i="1" s="1"/>
  <c r="G99" i="1"/>
  <c r="L77" i="1"/>
  <c r="M77" i="1" s="1"/>
  <c r="L438" i="1"/>
  <c r="M438" i="1" s="1"/>
  <c r="L72" i="1"/>
  <c r="M72" i="1" s="1"/>
  <c r="G333" i="1"/>
  <c r="L350" i="1"/>
  <c r="M350" i="1" s="1"/>
  <c r="G203" i="1"/>
  <c r="L525" i="1"/>
  <c r="M525" i="1" s="1"/>
  <c r="L541" i="1"/>
  <c r="M541" i="1" s="1"/>
  <c r="G294" i="1"/>
  <c r="L392" i="1"/>
  <c r="M392" i="1" s="1"/>
  <c r="G270" i="1"/>
  <c r="L57" i="1"/>
  <c r="M57" i="1" s="1"/>
  <c r="G202" i="1"/>
  <c r="G162" i="1"/>
  <c r="L285" i="1"/>
  <c r="M285" i="1" s="1"/>
  <c r="G418" i="1"/>
  <c r="G244" i="1"/>
  <c r="I244" i="1" s="1"/>
  <c r="F244" i="1" s="1"/>
  <c r="G103" i="1"/>
  <c r="G432" i="1"/>
  <c r="L252" i="1"/>
  <c r="M252" i="1" s="1"/>
  <c r="G302" i="1"/>
  <c r="G415" i="1"/>
  <c r="G811" i="1"/>
  <c r="G397" i="1"/>
  <c r="L958" i="1"/>
  <c r="M958" i="1" s="1"/>
  <c r="G400" i="1"/>
  <c r="L908" i="1"/>
  <c r="M908" i="1" s="1"/>
  <c r="G176" i="1"/>
  <c r="G247" i="1"/>
  <c r="G227" i="1"/>
  <c r="L258" i="1"/>
  <c r="M258" i="1" s="1"/>
  <c r="G48" i="1"/>
  <c r="G932" i="1"/>
  <c r="I932" i="1" s="1"/>
  <c r="G727" i="1"/>
  <c r="G847" i="1"/>
  <c r="I847" i="1" s="1"/>
  <c r="L93" i="1"/>
  <c r="M93" i="1" s="1"/>
  <c r="L878" i="1"/>
  <c r="M878" i="1" s="1"/>
  <c r="G442" i="1"/>
  <c r="L765" i="1"/>
  <c r="M765" i="1" s="1"/>
  <c r="L191" i="1"/>
  <c r="M191" i="1" s="1"/>
  <c r="L646" i="1"/>
  <c r="M646" i="1" s="1"/>
  <c r="G282" i="1"/>
  <c r="G340" i="1"/>
  <c r="L206" i="1"/>
  <c r="M206" i="1" s="1"/>
  <c r="G557" i="1"/>
  <c r="I557" i="1" s="1"/>
  <c r="G547" i="1"/>
  <c r="I547" i="1" s="1"/>
  <c r="F547" i="1" s="1"/>
  <c r="G599" i="1"/>
  <c r="G887" i="1"/>
  <c r="I887" i="1" s="1"/>
  <c r="F887" i="1" s="1"/>
  <c r="G356" i="1"/>
  <c r="G676" i="1"/>
  <c r="L212" i="1"/>
  <c r="M212" i="1" s="1"/>
  <c r="G300" i="1"/>
  <c r="G877" i="1"/>
  <c r="I877" i="1" s="1"/>
  <c r="L354" i="1"/>
  <c r="M354" i="1" s="1"/>
  <c r="G970" i="1"/>
  <c r="I970" i="1" s="1"/>
  <c r="G439" i="1"/>
  <c r="G100" i="1"/>
  <c r="G633" i="1"/>
  <c r="I633" i="1" s="1"/>
  <c r="L281" i="1"/>
  <c r="M281" i="1" s="1"/>
  <c r="G304" i="1"/>
  <c r="G335" i="1"/>
  <c r="I335" i="1" s="1"/>
  <c r="L164" i="1"/>
  <c r="M164" i="1" s="1"/>
  <c r="G651" i="1"/>
  <c r="I651" i="1" s="1"/>
  <c r="G434" i="1"/>
  <c r="L431" i="1"/>
  <c r="M431" i="1" s="1"/>
  <c r="L840" i="1"/>
  <c r="M840" i="1" s="1"/>
  <c r="G425" i="1"/>
  <c r="G394" i="1"/>
  <c r="L912" i="1"/>
  <c r="M912" i="1" s="1"/>
  <c r="L847" i="1"/>
  <c r="M847" i="1" s="1"/>
  <c r="G906" i="1"/>
  <c r="I906" i="1" s="1"/>
  <c r="G584" i="1"/>
  <c r="I584" i="1" s="1"/>
  <c r="G57" i="1"/>
  <c r="G248" i="1"/>
  <c r="L784" i="1"/>
  <c r="M784" i="1" s="1"/>
  <c r="G413" i="1"/>
  <c r="G192" i="1"/>
  <c r="G166" i="1"/>
  <c r="L965" i="1"/>
  <c r="M965" i="1" s="1"/>
  <c r="E965" i="1" s="1"/>
  <c r="G138" i="1"/>
  <c r="G219" i="1"/>
  <c r="G127" i="1"/>
  <c r="G170" i="1"/>
  <c r="L490" i="1"/>
  <c r="M490" i="1" s="1"/>
  <c r="L560" i="1"/>
  <c r="M560" i="1" s="1"/>
  <c r="G438" i="1"/>
  <c r="G188" i="1"/>
  <c r="G409" i="1"/>
  <c r="G147" i="1"/>
  <c r="G388" i="1"/>
  <c r="L521" i="1"/>
  <c r="M521" i="1" s="1"/>
  <c r="G822" i="1"/>
  <c r="G846" i="1"/>
  <c r="I846" i="1" s="1"/>
  <c r="G742" i="1"/>
  <c r="I742" i="1" s="1"/>
  <c r="G730" i="1"/>
  <c r="I730" i="1" s="1"/>
  <c r="F730" i="1" s="1"/>
  <c r="G955" i="1"/>
  <c r="I955" i="1" s="1"/>
  <c r="G922" i="1"/>
  <c r="G702" i="1"/>
  <c r="I702" i="1" s="1"/>
  <c r="F702" i="1" s="1"/>
  <c r="G997" i="1"/>
  <c r="G22" i="1"/>
  <c r="G620" i="1"/>
  <c r="I620" i="1" s="1"/>
  <c r="G989" i="1"/>
  <c r="I989" i="1" s="1"/>
  <c r="F989" i="1" s="1"/>
  <c r="G770" i="1"/>
  <c r="I770" i="1" s="1"/>
  <c r="G775" i="1"/>
  <c r="G759" i="1"/>
  <c r="G688" i="1"/>
  <c r="L346" i="1"/>
  <c r="M346" i="1" s="1"/>
  <c r="G813" i="1"/>
  <c r="I813" i="1" s="1"/>
  <c r="L302" i="1"/>
  <c r="M302" i="1" s="1"/>
  <c r="G414" i="1"/>
  <c r="G843" i="1"/>
  <c r="L744" i="1"/>
  <c r="M744" i="1" s="1"/>
  <c r="L680" i="1"/>
  <c r="M680" i="1" s="1"/>
  <c r="L76" i="1"/>
  <c r="M76" i="1" s="1"/>
  <c r="L631" i="1"/>
  <c r="M631" i="1" s="1"/>
  <c r="L832" i="1"/>
  <c r="M832" i="1" s="1"/>
  <c r="L992" i="1"/>
  <c r="M992" i="1" s="1"/>
  <c r="L296" i="1"/>
  <c r="M296" i="1" s="1"/>
  <c r="G610" i="1"/>
  <c r="I610" i="1" s="1"/>
  <c r="G979" i="1"/>
  <c r="I979" i="1" s="1"/>
  <c r="L168" i="1"/>
  <c r="M168" i="1" s="1"/>
  <c r="L305" i="1"/>
  <c r="M305" i="1" s="1"/>
  <c r="G644" i="1"/>
  <c r="I644" i="1" s="1"/>
  <c r="F644" i="1" s="1"/>
  <c r="L588" i="1"/>
  <c r="M588" i="1" s="1"/>
  <c r="E588" i="1" s="1"/>
  <c r="L974" i="1"/>
  <c r="M974" i="1" s="1"/>
  <c r="L749" i="1"/>
  <c r="M749" i="1" s="1"/>
  <c r="G723" i="1"/>
  <c r="I723" i="1" s="1"/>
  <c r="L735" i="1"/>
  <c r="M735" i="1" s="1"/>
  <c r="L644" i="1"/>
  <c r="M644" i="1" s="1"/>
  <c r="G939" i="1"/>
  <c r="L88" i="1"/>
  <c r="M88" i="1" s="1"/>
  <c r="L298" i="1"/>
  <c r="M298" i="1" s="1"/>
  <c r="G841" i="1"/>
  <c r="G560" i="1"/>
  <c r="I560" i="1" s="1"/>
  <c r="F560" i="1" s="1"/>
  <c r="L161" i="1"/>
  <c r="M161" i="1" s="1"/>
  <c r="L30" i="1"/>
  <c r="M30" i="1" s="1"/>
  <c r="L611" i="1"/>
  <c r="M611" i="1" s="1"/>
  <c r="L384" i="1"/>
  <c r="M384" i="1" s="1"/>
  <c r="L864" i="1"/>
  <c r="M864" i="1" s="1"/>
  <c r="L902" i="1"/>
  <c r="M902" i="1" s="1"/>
  <c r="G755" i="1"/>
  <c r="G608" i="1"/>
  <c r="G611" i="1"/>
  <c r="I611" i="1" s="1"/>
  <c r="L704" i="1"/>
  <c r="M704" i="1" s="1"/>
  <c r="L715" i="1"/>
  <c r="M715" i="1" s="1"/>
  <c r="G595" i="1"/>
  <c r="L249" i="1"/>
  <c r="M249" i="1" s="1"/>
  <c r="G898" i="1"/>
  <c r="I898" i="1" s="1"/>
  <c r="L307" i="1"/>
  <c r="M307" i="1" s="1"/>
  <c r="G749" i="1"/>
  <c r="I749" i="1" s="1"/>
  <c r="F749" i="1" s="1"/>
  <c r="L577" i="1"/>
  <c r="M577" i="1" s="1"/>
  <c r="L534" i="1"/>
  <c r="M534" i="1" s="1"/>
  <c r="L891" i="1"/>
  <c r="M891" i="1" s="1"/>
  <c r="L991" i="1"/>
  <c r="M991" i="1" s="1"/>
  <c r="G695" i="1"/>
  <c r="I695" i="1" s="1"/>
  <c r="F695" i="1" s="1"/>
  <c r="G923" i="1"/>
  <c r="I923" i="1" s="1"/>
  <c r="L343" i="1"/>
  <c r="M343" i="1" s="1"/>
  <c r="L152" i="1"/>
  <c r="M152" i="1" s="1"/>
  <c r="G967" i="1"/>
  <c r="I967" i="1" s="1"/>
  <c r="L98" i="1"/>
  <c r="M98" i="1" s="1"/>
  <c r="G606" i="1"/>
  <c r="I606" i="1" s="1"/>
  <c r="F606" i="1" s="1"/>
  <c r="L401" i="1"/>
  <c r="M401" i="1" s="1"/>
  <c r="L626" i="1"/>
  <c r="M626" i="1" s="1"/>
  <c r="L608" i="1"/>
  <c r="M608" i="1" s="1"/>
  <c r="G596" i="1"/>
  <c r="I596" i="1" s="1"/>
  <c r="G689" i="1"/>
  <c r="I689" i="1" s="1"/>
  <c r="F689" i="1" s="1"/>
  <c r="G612" i="1"/>
  <c r="I612" i="1" s="1"/>
  <c r="G572" i="1"/>
  <c r="I572" i="1" s="1"/>
  <c r="G787" i="1"/>
  <c r="I787" i="1" s="1"/>
  <c r="G881" i="1"/>
  <c r="G555" i="1"/>
  <c r="I555" i="1" s="1"/>
  <c r="L781" i="1"/>
  <c r="M781" i="1" s="1"/>
  <c r="L231" i="1"/>
  <c r="M231" i="1" s="1"/>
  <c r="L455" i="1"/>
  <c r="M455" i="1" s="1"/>
  <c r="G782" i="1"/>
  <c r="I782" i="1" s="1"/>
  <c r="L973" i="1"/>
  <c r="M973" i="1" s="1"/>
  <c r="L885" i="1"/>
  <c r="M885" i="1" s="1"/>
  <c r="G994" i="1"/>
  <c r="I994" i="1" s="1"/>
  <c r="G896" i="1"/>
  <c r="L65" i="1"/>
  <c r="M65" i="1" s="1"/>
  <c r="L625" i="1"/>
  <c r="M625" i="1" s="1"/>
  <c r="L391" i="1"/>
  <c r="M391" i="1" s="1"/>
  <c r="L364" i="1"/>
  <c r="M364" i="1" s="1"/>
  <c r="L355" i="1"/>
  <c r="M355" i="1" s="1"/>
  <c r="L51" i="1"/>
  <c r="M51" i="1" s="1"/>
  <c r="L90" i="1"/>
  <c r="M90" i="1" s="1"/>
  <c r="G664" i="1"/>
  <c r="G157" i="1"/>
  <c r="G561" i="1"/>
  <c r="I561" i="1" s="1"/>
  <c r="E561" i="1" s="1"/>
  <c r="G283" i="1"/>
  <c r="G212" i="1"/>
  <c r="G327" i="1"/>
  <c r="G996" i="1"/>
  <c r="G678" i="1"/>
  <c r="G786" i="1"/>
  <c r="G389" i="1"/>
  <c r="G740" i="1"/>
  <c r="I740" i="1" s="1"/>
  <c r="G598" i="1"/>
  <c r="L934" i="1"/>
  <c r="M934" i="1" s="1"/>
  <c r="L517" i="1"/>
  <c r="M517" i="1" s="1"/>
  <c r="L846" i="1"/>
  <c r="M846" i="1" s="1"/>
  <c r="L146" i="1"/>
  <c r="M146" i="1" s="1"/>
  <c r="L762" i="1"/>
  <c r="M762" i="1" s="1"/>
  <c r="G42" i="1"/>
  <c r="I42" i="1" s="1"/>
  <c r="G619" i="1"/>
  <c r="I619" i="1" s="1"/>
  <c r="G316" i="1"/>
  <c r="L245" i="1"/>
  <c r="M245" i="1" s="1"/>
  <c r="G949" i="1"/>
  <c r="L365" i="1"/>
  <c r="M365" i="1" s="1"/>
  <c r="G857" i="1"/>
  <c r="L422" i="1"/>
  <c r="M422" i="1" s="1"/>
  <c r="L542" i="1"/>
  <c r="M542" i="1" s="1"/>
  <c r="L641" i="1"/>
  <c r="M641" i="1" s="1"/>
  <c r="G930" i="1"/>
  <c r="L584" i="1"/>
  <c r="M584" i="1" s="1"/>
  <c r="G863" i="1"/>
  <c r="G829" i="1"/>
  <c r="G559" i="1"/>
  <c r="G578" i="1"/>
  <c r="G577" i="1"/>
  <c r="I577" i="1" s="1"/>
  <c r="G832" i="1"/>
  <c r="G637" i="1"/>
  <c r="I637" i="1" s="1"/>
  <c r="L446" i="1"/>
  <c r="M446" i="1" s="1"/>
  <c r="L821" i="1"/>
  <c r="M821" i="1" s="1"/>
  <c r="L949" i="1"/>
  <c r="M949" i="1" s="1"/>
  <c r="G124" i="1"/>
  <c r="L652" i="1"/>
  <c r="M652" i="1" s="1"/>
  <c r="L143" i="1"/>
  <c r="M143" i="1" s="1"/>
  <c r="L536" i="1"/>
  <c r="M536" i="1" s="1"/>
  <c r="L598" i="1"/>
  <c r="M598" i="1" s="1"/>
  <c r="L193" i="1"/>
  <c r="M193" i="1" s="1"/>
  <c r="E193" i="1" s="1"/>
  <c r="G29" i="1"/>
  <c r="G79" i="1"/>
  <c r="L731" i="1"/>
  <c r="M731" i="1" s="1"/>
  <c r="G357" i="1"/>
  <c r="L612" i="1"/>
  <c r="M612" i="1" s="1"/>
  <c r="L959" i="1"/>
  <c r="M959" i="1" s="1"/>
  <c r="G326" i="1"/>
  <c r="I326" i="1" s="1"/>
  <c r="G765" i="1"/>
  <c r="I765" i="1" s="1"/>
  <c r="G919" i="1"/>
  <c r="G698" i="1"/>
  <c r="L923" i="1"/>
  <c r="M923" i="1" s="1"/>
  <c r="L753" i="1"/>
  <c r="M753" i="1" s="1"/>
  <c r="E753" i="1" s="1"/>
  <c r="L447" i="1"/>
  <c r="M447" i="1" s="1"/>
  <c r="L63" i="1"/>
  <c r="M63" i="1" s="1"/>
  <c r="L278" i="1"/>
  <c r="M278" i="1" s="1"/>
  <c r="L362" i="1"/>
  <c r="M362" i="1" s="1"/>
  <c r="G973" i="1"/>
  <c r="I973" i="1" s="1"/>
  <c r="L962" i="1"/>
  <c r="M962" i="1" s="1"/>
  <c r="L792" i="1"/>
  <c r="M792" i="1" s="1"/>
  <c r="G801" i="1"/>
  <c r="G737" i="1"/>
  <c r="G741" i="1"/>
  <c r="G812" i="1"/>
  <c r="L372" i="1"/>
  <c r="M372" i="1" s="1"/>
  <c r="L137" i="1"/>
  <c r="M137" i="1" s="1"/>
  <c r="L306" i="1"/>
  <c r="M306" i="1" s="1"/>
  <c r="L737" i="1"/>
  <c r="M737" i="1" s="1"/>
  <c r="G548" i="1"/>
  <c r="I548" i="1" s="1"/>
  <c r="G744" i="1"/>
  <c r="I744" i="1" s="1"/>
  <c r="L875" i="1"/>
  <c r="M875" i="1" s="1"/>
  <c r="L330" i="1"/>
  <c r="M330" i="1" s="1"/>
  <c r="L699" i="1"/>
  <c r="M699" i="1" s="1"/>
  <c r="L458" i="1"/>
  <c r="M458" i="1" s="1"/>
  <c r="L707" i="1"/>
  <c r="M707" i="1" s="1"/>
  <c r="G700" i="1"/>
  <c r="I700" i="1" s="1"/>
  <c r="L506" i="1"/>
  <c r="M506" i="1" s="1"/>
  <c r="G761" i="1"/>
  <c r="G250" i="1"/>
  <c r="I250" i="1" s="1"/>
  <c r="G871" i="1"/>
  <c r="G585" i="1"/>
  <c r="I585" i="1" s="1"/>
  <c r="L687" i="1"/>
  <c r="M687" i="1" s="1"/>
  <c r="L504" i="1"/>
  <c r="M504" i="1" s="1"/>
  <c r="G167" i="1"/>
  <c r="L533" i="1"/>
  <c r="M533" i="1" s="1"/>
  <c r="L293" i="1"/>
  <c r="M293" i="1" s="1"/>
  <c r="G891" i="1"/>
  <c r="I891" i="1" s="1"/>
  <c r="L742" i="1"/>
  <c r="M742" i="1" s="1"/>
  <c r="G526" i="1"/>
  <c r="G43" i="1"/>
  <c r="G367" i="1"/>
  <c r="L17" i="1"/>
  <c r="M17" i="1" s="1"/>
  <c r="G623" i="1"/>
  <c r="I623" i="1" s="1"/>
  <c r="L106" i="1"/>
  <c r="M106" i="1" s="1"/>
  <c r="L535" i="1"/>
  <c r="M535" i="1" s="1"/>
  <c r="L437" i="1"/>
  <c r="M437" i="1" s="1"/>
  <c r="L574" i="1"/>
  <c r="M574" i="1" s="1"/>
  <c r="L905" i="1"/>
  <c r="M905" i="1" s="1"/>
  <c r="L478" i="1"/>
  <c r="M478" i="1" s="1"/>
  <c r="G995" i="1"/>
  <c r="I995" i="1" s="1"/>
  <c r="G534" i="1"/>
  <c r="L426" i="1"/>
  <c r="M426" i="1" s="1"/>
  <c r="L420" i="1"/>
  <c r="M420" i="1" s="1"/>
  <c r="L645" i="1"/>
  <c r="M645" i="1" s="1"/>
  <c r="G461" i="1"/>
  <c r="L511" i="1"/>
  <c r="M511" i="1" s="1"/>
  <c r="L700" i="1"/>
  <c r="M700" i="1" s="1"/>
  <c r="L936" i="1"/>
  <c r="M936" i="1" s="1"/>
  <c r="G544" i="1"/>
  <c r="L616" i="1"/>
  <c r="M616" i="1" s="1"/>
  <c r="L269" i="1"/>
  <c r="M269" i="1" s="1"/>
  <c r="L61" i="1"/>
  <c r="M61" i="1" s="1"/>
  <c r="L547" i="1"/>
  <c r="M547" i="1" s="1"/>
  <c r="L357" i="1"/>
  <c r="M357" i="1" s="1"/>
  <c r="L339" i="1"/>
  <c r="M339" i="1" s="1"/>
  <c r="L995" i="1"/>
  <c r="M995" i="1" s="1"/>
  <c r="L368" i="1"/>
  <c r="M368" i="1" s="1"/>
  <c r="L632" i="1"/>
  <c r="M632" i="1" s="1"/>
  <c r="G888" i="1"/>
  <c r="G893" i="1"/>
  <c r="G8" i="1"/>
  <c r="G9" i="1"/>
  <c r="G905" i="1"/>
  <c r="I905" i="1" s="1"/>
  <c r="G40" i="1"/>
  <c r="I40" i="1" s="1"/>
  <c r="F40" i="1" s="1"/>
  <c r="G773" i="1"/>
  <c r="I773" i="1" s="1"/>
  <c r="F773" i="1" s="1"/>
  <c r="L913" i="1"/>
  <c r="M913" i="1" s="1"/>
  <c r="L741" i="1"/>
  <c r="M741" i="1" s="1"/>
  <c r="L42" i="1"/>
  <c r="M42" i="1" s="1"/>
  <c r="L43" i="1"/>
  <c r="M43" i="1" s="1"/>
  <c r="L64" i="1"/>
  <c r="M64" i="1" s="1"/>
  <c r="G712" i="1"/>
  <c r="I712" i="1" s="1"/>
  <c r="L725" i="1"/>
  <c r="M725" i="1" s="1"/>
  <c r="G833" i="1"/>
  <c r="I833" i="1" s="1"/>
  <c r="G706" i="1"/>
  <c r="I706" i="1" s="1"/>
  <c r="G925" i="1"/>
  <c r="G838" i="1"/>
  <c r="I838" i="1" s="1"/>
  <c r="L729" i="1"/>
  <c r="M729" i="1" s="1"/>
  <c r="L436" i="1"/>
  <c r="M436" i="1" s="1"/>
  <c r="L678" i="1"/>
  <c r="M678" i="1" s="1"/>
  <c r="L101" i="1"/>
  <c r="M101" i="1" s="1"/>
  <c r="L177" i="1"/>
  <c r="M177" i="1" s="1"/>
  <c r="G802" i="1"/>
  <c r="I802" i="1" s="1"/>
  <c r="L48" i="1"/>
  <c r="M48" i="1" s="1"/>
  <c r="G674" i="1"/>
  <c r="G344" i="1"/>
  <c r="L347" i="1"/>
  <c r="M347" i="1" s="1"/>
  <c r="L613" i="1"/>
  <c r="M613" i="1" s="1"/>
  <c r="L185" i="1"/>
  <c r="M185" i="1" s="1"/>
  <c r="L694" i="1"/>
  <c r="M694" i="1" s="1"/>
  <c r="L497" i="1"/>
  <c r="M497" i="1" s="1"/>
  <c r="L328" i="1"/>
  <c r="M328" i="1" s="1"/>
  <c r="L527" i="1"/>
  <c r="M527" i="1" s="1"/>
  <c r="G672" i="1"/>
  <c r="L414" i="1"/>
  <c r="M414" i="1" s="1"/>
  <c r="L779" i="1"/>
  <c r="M779" i="1" s="1"/>
  <c r="G328" i="1"/>
  <c r="G751" i="1"/>
  <c r="I751" i="1" s="1"/>
  <c r="G663" i="1"/>
  <c r="G733" i="1"/>
  <c r="L642" i="1"/>
  <c r="M642" i="1" s="1"/>
  <c r="E642" i="1" s="1"/>
  <c r="L953" i="1"/>
  <c r="M953" i="1" s="1"/>
  <c r="L817" i="1"/>
  <c r="M817" i="1" s="1"/>
  <c r="L267" i="1"/>
  <c r="M267" i="1" s="1"/>
  <c r="L69" i="1"/>
  <c r="M69" i="1" s="1"/>
  <c r="L192" i="1"/>
  <c r="M192" i="1" s="1"/>
  <c r="L189" i="1"/>
  <c r="M189" i="1" s="1"/>
  <c r="L822" i="1"/>
  <c r="M822" i="1" s="1"/>
  <c r="L236" i="1"/>
  <c r="M236" i="1" s="1"/>
  <c r="L122" i="1"/>
  <c r="M122" i="1" s="1"/>
  <c r="E122" i="1" s="1"/>
  <c r="L887" i="1"/>
  <c r="M887" i="1" s="1"/>
  <c r="L303" i="1"/>
  <c r="M303" i="1" s="1"/>
  <c r="L41" i="1"/>
  <c r="M41" i="1" s="1"/>
  <c r="L649" i="1"/>
  <c r="M649" i="1" s="1"/>
  <c r="L793" i="1"/>
  <c r="M793" i="1" s="1"/>
  <c r="E793" i="1" s="1"/>
  <c r="L630" i="1"/>
  <c r="M630" i="1" s="1"/>
  <c r="L472" i="1"/>
  <c r="M472" i="1" s="1"/>
  <c r="L280" i="1"/>
  <c r="M280" i="1" s="1"/>
  <c r="L172" i="1"/>
  <c r="M172" i="1" s="1"/>
  <c r="L324" i="1"/>
  <c r="M324" i="1" s="1"/>
  <c r="L378" i="1"/>
  <c r="M378" i="1" s="1"/>
  <c r="L728" i="1"/>
  <c r="M728" i="1" s="1"/>
  <c r="L38" i="1"/>
  <c r="M38" i="1" s="1"/>
  <c r="L465" i="1"/>
  <c r="M465" i="1" s="1"/>
  <c r="L361" i="1"/>
  <c r="M361" i="1" s="1"/>
  <c r="L564" i="1"/>
  <c r="M564" i="1" s="1"/>
  <c r="L375" i="1"/>
  <c r="M375" i="1" s="1"/>
  <c r="E375" i="1" s="1"/>
  <c r="L802" i="1"/>
  <c r="M802" i="1" s="1"/>
  <c r="G292" i="1"/>
  <c r="G986" i="1"/>
  <c r="G636" i="1"/>
  <c r="G549" i="1"/>
  <c r="I549" i="1" s="1"/>
  <c r="G873" i="1"/>
  <c r="G971" i="1"/>
  <c r="I971" i="1" s="1"/>
  <c r="G92" i="1"/>
  <c r="G999" i="1"/>
  <c r="I999" i="1" s="1"/>
  <c r="F999" i="1" s="1"/>
  <c r="G74" i="1"/>
  <c r="G897" i="1"/>
  <c r="L603" i="1"/>
  <c r="M603" i="1" s="1"/>
  <c r="L745" i="1"/>
  <c r="M745" i="1" s="1"/>
  <c r="E745" i="1" s="1"/>
  <c r="L945" i="1"/>
  <c r="M945" i="1" s="1"/>
  <c r="L710" i="1"/>
  <c r="M710" i="1" s="1"/>
  <c r="E710" i="1" s="1"/>
  <c r="L397" i="1"/>
  <c r="M397" i="1" s="1"/>
  <c r="L947" i="1"/>
  <c r="M947" i="1" s="1"/>
  <c r="L550" i="1"/>
  <c r="M550" i="1" s="1"/>
  <c r="L919" i="1"/>
  <c r="M919" i="1" s="1"/>
  <c r="L733" i="1"/>
  <c r="M733" i="1" s="1"/>
  <c r="L119" i="1"/>
  <c r="M119" i="1" s="1"/>
  <c r="L253" i="1"/>
  <c r="M253" i="1" s="1"/>
  <c r="L66" i="1"/>
  <c r="M66" i="1" s="1"/>
  <c r="L205" i="1"/>
  <c r="M205" i="1" s="1"/>
  <c r="L998" i="1"/>
  <c r="M998" i="1" s="1"/>
  <c r="E998" i="1" s="1"/>
  <c r="L444" i="1"/>
  <c r="M444" i="1" s="1"/>
  <c r="L340" i="1"/>
  <c r="M340" i="1" s="1"/>
  <c r="L621" i="1"/>
  <c r="M621" i="1" s="1"/>
  <c r="L863" i="1"/>
  <c r="M863" i="1" s="1"/>
  <c r="L502" i="1"/>
  <c r="M502" i="1" s="1"/>
  <c r="L56" i="1"/>
  <c r="M56" i="1" s="1"/>
  <c r="E56" i="1" s="1"/>
  <c r="L572" i="1"/>
  <c r="M572" i="1" s="1"/>
  <c r="L25" i="1"/>
  <c r="M25" i="1" s="1"/>
  <c r="L519" i="1"/>
  <c r="M519" i="1" s="1"/>
  <c r="L102" i="1"/>
  <c r="M102" i="1" s="1"/>
  <c r="L892" i="1"/>
  <c r="M892" i="1" s="1"/>
  <c r="L175" i="1"/>
  <c r="M175" i="1" s="1"/>
  <c r="L596" i="1"/>
  <c r="M596" i="1" s="1"/>
  <c r="L351" i="1"/>
  <c r="M351" i="1" s="1"/>
  <c r="L874" i="1"/>
  <c r="M874" i="1" s="1"/>
  <c r="G709" i="1"/>
  <c r="I709" i="1" s="1"/>
  <c r="G529" i="1"/>
  <c r="G566" i="1"/>
  <c r="G133" i="1"/>
  <c r="I133" i="1" s="1"/>
  <c r="G268" i="1"/>
  <c r="G246" i="1"/>
  <c r="L938" i="1"/>
  <c r="M938" i="1" s="1"/>
  <c r="L154" i="1"/>
  <c r="M154" i="1" s="1"/>
  <c r="L617" i="1"/>
  <c r="M617" i="1" s="1"/>
  <c r="L528" i="1"/>
  <c r="M528" i="1" s="1"/>
  <c r="L638" i="1"/>
  <c r="M638" i="1" s="1"/>
  <c r="L790" i="1"/>
  <c r="M790" i="1" s="1"/>
  <c r="L544" i="1"/>
  <c r="M544" i="1" s="1"/>
  <c r="G209" i="1"/>
  <c r="L121" i="1"/>
  <c r="M121" i="1" s="1"/>
  <c r="L317" i="1"/>
  <c r="M317" i="1" s="1"/>
  <c r="L877" i="1"/>
  <c r="M877" i="1" s="1"/>
  <c r="L566" i="1"/>
  <c r="M566" i="1" s="1"/>
  <c r="L108" i="1"/>
  <c r="M108" i="1" s="1"/>
  <c r="L467" i="1"/>
  <c r="M467" i="1" s="1"/>
  <c r="L724" i="1"/>
  <c r="M724" i="1" s="1"/>
  <c r="L931" i="1"/>
  <c r="M931" i="1" s="1"/>
  <c r="E931" i="1" s="1"/>
  <c r="L815" i="1"/>
  <c r="M815" i="1" s="1"/>
  <c r="L207" i="1"/>
  <c r="M207" i="1" s="1"/>
  <c r="L834" i="1"/>
  <c r="M834" i="1" s="1"/>
  <c r="L327" i="1"/>
  <c r="M327" i="1" s="1"/>
  <c r="L801" i="1"/>
  <c r="M801" i="1" s="1"/>
  <c r="L579" i="1"/>
  <c r="M579" i="1" s="1"/>
  <c r="L768" i="1"/>
  <c r="M768" i="1" s="1"/>
  <c r="L179" i="1"/>
  <c r="M179" i="1" s="1"/>
  <c r="L326" i="1"/>
  <c r="M326" i="1" s="1"/>
  <c r="L537" i="1"/>
  <c r="M537" i="1" s="1"/>
  <c r="L978" i="1"/>
  <c r="M978" i="1" s="1"/>
  <c r="L263" i="1"/>
  <c r="M263" i="1" s="1"/>
  <c r="L386" i="1"/>
  <c r="M386" i="1" s="1"/>
  <c r="L270" i="1"/>
  <c r="M270" i="1" s="1"/>
  <c r="L159" i="1"/>
  <c r="M159" i="1" s="1"/>
  <c r="E159" i="1" s="1"/>
  <c r="G800" i="1"/>
  <c r="I800" i="1" s="1"/>
  <c r="F800" i="1" s="1"/>
  <c r="G471" i="1"/>
  <c r="G201" i="1"/>
  <c r="G308" i="1"/>
  <c r="G95" i="1"/>
  <c r="G68" i="1"/>
  <c r="L858" i="1"/>
  <c r="M858" i="1" s="1"/>
  <c r="L471" i="1"/>
  <c r="M471" i="1" s="1"/>
  <c r="L851" i="1"/>
  <c r="M851" i="1" s="1"/>
  <c r="L570" i="1"/>
  <c r="M570" i="1" s="1"/>
  <c r="L202" i="1"/>
  <c r="M202" i="1" s="1"/>
  <c r="L828" i="1"/>
  <c r="M828" i="1" s="1"/>
  <c r="L274" i="1"/>
  <c r="M274" i="1" s="1"/>
  <c r="L972" i="1"/>
  <c r="M972" i="1" s="1"/>
  <c r="L500" i="1"/>
  <c r="M500" i="1" s="1"/>
  <c r="L199" i="1"/>
  <c r="M199" i="1" s="1"/>
  <c r="L701" i="1"/>
  <c r="M701" i="1" s="1"/>
  <c r="L290" i="1"/>
  <c r="M290" i="1" s="1"/>
  <c r="L993" i="1"/>
  <c r="M993" i="1" s="1"/>
  <c r="L656" i="1"/>
  <c r="M656" i="1" s="1"/>
  <c r="L282" i="1"/>
  <c r="M282" i="1" s="1"/>
  <c r="L797" i="1"/>
  <c r="M797" i="1" s="1"/>
  <c r="L883" i="1"/>
  <c r="M883" i="1" s="1"/>
  <c r="L130" i="1"/>
  <c r="M130" i="1" s="1"/>
  <c r="L884" i="1"/>
  <c r="M884" i="1" s="1"/>
  <c r="L462" i="1"/>
  <c r="M462" i="1" s="1"/>
  <c r="L918" i="1"/>
  <c r="M918" i="1" s="1"/>
  <c r="L723" i="1"/>
  <c r="M723" i="1" s="1"/>
  <c r="L592" i="1"/>
  <c r="M592" i="1" s="1"/>
  <c r="L594" i="1"/>
  <c r="M594" i="1" s="1"/>
  <c r="L259" i="1"/>
  <c r="M259" i="1" s="1"/>
  <c r="L798" i="1"/>
  <c r="M798" i="1" s="1"/>
  <c r="L117" i="1"/>
  <c r="M117" i="1" s="1"/>
  <c r="L26" i="1"/>
  <c r="M26" i="1" s="1"/>
  <c r="L238" i="1"/>
  <c r="M238" i="1" s="1"/>
  <c r="L494" i="1"/>
  <c r="M494" i="1" s="1"/>
  <c r="L11" i="1"/>
  <c r="M11" i="1" s="1"/>
  <c r="L575" i="1"/>
  <c r="M575" i="1" s="1"/>
  <c r="L709" i="1"/>
  <c r="M709" i="1" s="1"/>
  <c r="G982" i="1"/>
  <c r="I982" i="1" s="1"/>
  <c r="F982" i="1" s="1"/>
  <c r="L427" i="1"/>
  <c r="M427" i="1" s="1"/>
  <c r="L176" i="1"/>
  <c r="M176" i="1" s="1"/>
  <c r="L482" i="1"/>
  <c r="M482" i="1" s="1"/>
  <c r="L868" i="1"/>
  <c r="M868" i="1" s="1"/>
  <c r="L338" i="1"/>
  <c r="M338" i="1" s="1"/>
  <c r="G947" i="1"/>
  <c r="L334" i="1"/>
  <c r="M334" i="1" s="1"/>
  <c r="L173" i="1"/>
  <c r="M173" i="1" s="1"/>
  <c r="L695" i="1"/>
  <c r="M695" i="1" s="1"/>
  <c r="L565" i="1"/>
  <c r="M565" i="1" s="1"/>
  <c r="L474" i="1"/>
  <c r="M474" i="1" s="1"/>
  <c r="L848" i="1"/>
  <c r="M848" i="1" s="1"/>
  <c r="L746" i="1"/>
  <c r="M746" i="1" s="1"/>
  <c r="L67" i="1"/>
  <c r="M67" i="1" s="1"/>
  <c r="L127" i="1"/>
  <c r="M127" i="1" s="1"/>
  <c r="L37" i="1"/>
  <c r="M37" i="1" s="1"/>
  <c r="L435" i="1"/>
  <c r="M435" i="1" s="1"/>
  <c r="L515" i="1"/>
  <c r="M515" i="1" s="1"/>
  <c r="L308" i="1"/>
  <c r="M308" i="1" s="1"/>
  <c r="L677" i="1"/>
  <c r="M677" i="1" s="1"/>
  <c r="L433" i="1"/>
  <c r="M433" i="1" s="1"/>
  <c r="L228" i="1"/>
  <c r="M228" i="1" s="1"/>
  <c r="L73" i="1"/>
  <c r="M73" i="1" s="1"/>
  <c r="L356" i="1"/>
  <c r="M356" i="1" s="1"/>
  <c r="L423" i="1"/>
  <c r="M423" i="1" s="1"/>
  <c r="L292" i="1"/>
  <c r="M292" i="1" s="1"/>
  <c r="L352" i="1"/>
  <c r="M352" i="1" s="1"/>
  <c r="L332" i="1"/>
  <c r="M332" i="1" s="1"/>
  <c r="L712" i="1"/>
  <c r="M712" i="1" s="1"/>
  <c r="L230" i="1"/>
  <c r="M230" i="1" s="1"/>
  <c r="L578" i="1"/>
  <c r="M578" i="1" s="1"/>
  <c r="L9" i="1"/>
  <c r="M9" i="1" s="1"/>
  <c r="G764" i="1"/>
  <c r="G522" i="1"/>
  <c r="I522" i="1" s="1"/>
  <c r="G791" i="1"/>
  <c r="I791" i="1" s="1"/>
  <c r="F791" i="1" s="1"/>
  <c r="G944" i="1"/>
  <c r="I944" i="1" s="1"/>
  <c r="E944" i="1" s="1"/>
  <c r="G485" i="1"/>
  <c r="I485" i="1" s="1"/>
  <c r="G720" i="1"/>
  <c r="L495" i="1"/>
  <c r="M495" i="1" s="1"/>
  <c r="L850" i="1"/>
  <c r="M850" i="1" s="1"/>
  <c r="L688" i="1"/>
  <c r="M688" i="1" s="1"/>
  <c r="L371" i="1"/>
  <c r="M371" i="1" s="1"/>
  <c r="L609" i="1"/>
  <c r="M609" i="1" s="1"/>
  <c r="L226" i="1"/>
  <c r="M226" i="1" s="1"/>
  <c r="L87" i="1"/>
  <c r="M87" i="1" s="1"/>
  <c r="L261" i="1"/>
  <c r="M261" i="1" s="1"/>
  <c r="L558" i="1"/>
  <c r="M558" i="1" s="1"/>
  <c r="L244" i="1"/>
  <c r="M244" i="1" s="1"/>
  <c r="L726" i="1"/>
  <c r="M726" i="1" s="1"/>
  <c r="L320" i="1"/>
  <c r="M320" i="1" s="1"/>
  <c r="L693" i="1"/>
  <c r="M693" i="1" s="1"/>
  <c r="L963" i="1"/>
  <c r="M963" i="1" s="1"/>
  <c r="L27" i="1"/>
  <c r="M27" i="1" s="1"/>
  <c r="E27" i="1" s="1"/>
  <c r="L54" i="1"/>
  <c r="M54" i="1" s="1"/>
  <c r="L672" i="1"/>
  <c r="M672" i="1" s="1"/>
  <c r="L869" i="1"/>
  <c r="M869" i="1" s="1"/>
  <c r="L916" i="1"/>
  <c r="M916" i="1" s="1"/>
  <c r="L563" i="1"/>
  <c r="M563" i="1" s="1"/>
  <c r="L807" i="1"/>
  <c r="M807" i="1" s="1"/>
  <c r="L706" i="1"/>
  <c r="M706" i="1" s="1"/>
  <c r="L6" i="1"/>
  <c r="M6" i="1" s="1"/>
  <c r="L442" i="1"/>
  <c r="M442" i="1" s="1"/>
  <c r="L994" i="1"/>
  <c r="M994" i="1" s="1"/>
  <c r="L671" i="1"/>
  <c r="M671" i="1" s="1"/>
  <c r="L213" i="1"/>
  <c r="M213" i="1" s="1"/>
  <c r="L911" i="1"/>
  <c r="M911" i="1" s="1"/>
  <c r="E911" i="1" s="1"/>
  <c r="L377" i="1"/>
  <c r="M377" i="1" s="1"/>
  <c r="G88" i="1"/>
  <c r="G861" i="1"/>
  <c r="G51" i="1"/>
  <c r="G21" i="1"/>
  <c r="G452" i="1"/>
  <c r="I452" i="1" s="1"/>
  <c r="G790" i="1"/>
  <c r="L689" i="1"/>
  <c r="M689" i="1" s="1"/>
  <c r="L722" i="1"/>
  <c r="M722" i="1" s="1"/>
  <c r="L239" i="1"/>
  <c r="M239" i="1" s="1"/>
  <c r="L759" i="1"/>
  <c r="M759" i="1" s="1"/>
  <c r="L516" i="1"/>
  <c r="M516" i="1" s="1"/>
  <c r="L439" i="1"/>
  <c r="M439" i="1" s="1"/>
  <c r="L917" i="1"/>
  <c r="M917" i="1" s="1"/>
  <c r="L34" i="1"/>
  <c r="M34" i="1" s="1"/>
  <c r="L196" i="1"/>
  <c r="M196" i="1" s="1"/>
  <c r="L353" i="1"/>
  <c r="M353" i="1" s="1"/>
  <c r="L363" i="1"/>
  <c r="M363" i="1" s="1"/>
  <c r="E363" i="1" s="1"/>
  <c r="L922" i="1"/>
  <c r="M922" i="1" s="1"/>
  <c r="L227" i="1"/>
  <c r="M227" i="1" s="1"/>
  <c r="L186" i="1"/>
  <c r="M186" i="1" s="1"/>
  <c r="E186" i="1" s="1"/>
  <c r="L44" i="1"/>
  <c r="M44" i="1" s="1"/>
  <c r="L812" i="1"/>
  <c r="M812" i="1" s="1"/>
  <c r="L211" i="1"/>
  <c r="M211" i="1" s="1"/>
  <c r="L996" i="1"/>
  <c r="M996" i="1" s="1"/>
  <c r="L554" i="1"/>
  <c r="M554" i="1" s="1"/>
  <c r="L464" i="1"/>
  <c r="M464" i="1" s="1"/>
  <c r="G31" i="1"/>
  <c r="G615" i="1"/>
  <c r="I615" i="1" s="1"/>
  <c r="L809" i="1"/>
  <c r="M809" i="1" s="1"/>
  <c r="E809" i="1" s="1"/>
  <c r="L71" i="1"/>
  <c r="M71" i="1" s="1"/>
  <c r="L408" i="1"/>
  <c r="M408" i="1" s="1"/>
  <c r="L799" i="1"/>
  <c r="M799" i="1" s="1"/>
  <c r="L772" i="1"/>
  <c r="M772" i="1" s="1"/>
  <c r="L711" i="1"/>
  <c r="M711" i="1" s="1"/>
  <c r="L180" i="1"/>
  <c r="M180" i="1" s="1"/>
  <c r="L969" i="1"/>
  <c r="M969" i="1" s="1"/>
  <c r="L301" i="1"/>
  <c r="M301" i="1" s="1"/>
  <c r="L590" i="1"/>
  <c r="M590" i="1" s="1"/>
  <c r="L583" i="1"/>
  <c r="M583" i="1" s="1"/>
  <c r="L921" i="1"/>
  <c r="M921" i="1" s="1"/>
  <c r="L532" i="1"/>
  <c r="M532" i="1" s="1"/>
  <c r="L142" i="1"/>
  <c r="M142" i="1" s="1"/>
  <c r="E142" i="1" s="1"/>
  <c r="L449" i="1"/>
  <c r="M449" i="1" s="1"/>
  <c r="L508" i="1"/>
  <c r="M508" i="1" s="1"/>
  <c r="L849" i="1"/>
  <c r="M849" i="1" s="1"/>
  <c r="L861" i="1"/>
  <c r="M861" i="1" s="1"/>
  <c r="L867" i="1"/>
  <c r="M867" i="1" s="1"/>
  <c r="L580" i="1"/>
  <c r="M580" i="1" s="1"/>
  <c r="L924" i="1"/>
  <c r="M924" i="1" s="1"/>
  <c r="L153" i="1"/>
  <c r="M153" i="1" s="1"/>
  <c r="L640" i="1"/>
  <c r="M640" i="1" s="1"/>
  <c r="L218" i="1"/>
  <c r="M218" i="1" s="1"/>
  <c r="G722" i="1"/>
  <c r="I722" i="1" s="1"/>
  <c r="G945" i="1"/>
  <c r="I945" i="1" s="1"/>
  <c r="F945" i="1" s="1"/>
  <c r="G163" i="1"/>
  <c r="G684" i="1"/>
  <c r="L170" i="1"/>
  <c r="M170" i="1" s="1"/>
  <c r="L58" i="1"/>
  <c r="M58" i="1" s="1"/>
  <c r="L216" i="1"/>
  <c r="M216" i="1" s="1"/>
  <c r="L890" i="1"/>
  <c r="M890" i="1" s="1"/>
  <c r="L586" i="1"/>
  <c r="M586" i="1" s="1"/>
  <c r="L210" i="1"/>
  <c r="M210" i="1" s="1"/>
  <c r="L140" i="1"/>
  <c r="M140" i="1" s="1"/>
  <c r="L265" i="1"/>
  <c r="M265" i="1" s="1"/>
  <c r="L461" i="1"/>
  <c r="M461" i="1" s="1"/>
  <c r="L933" i="1"/>
  <c r="M933" i="1" s="1"/>
  <c r="L110" i="1"/>
  <c r="M110" i="1" s="1"/>
  <c r="L976" i="1"/>
  <c r="M976" i="1" s="1"/>
  <c r="L662" i="1"/>
  <c r="M662" i="1" s="1"/>
  <c r="L985" i="1"/>
  <c r="M985" i="1" s="1"/>
  <c r="L125" i="1"/>
  <c r="M125" i="1" s="1"/>
  <c r="L174" i="1"/>
  <c r="M174" i="1" s="1"/>
  <c r="L132" i="1"/>
  <c r="M132" i="1" s="1"/>
  <c r="L637" i="1"/>
  <c r="M637" i="1" s="1"/>
  <c r="L359" i="1"/>
  <c r="M359" i="1" s="1"/>
  <c r="L456" i="1"/>
  <c r="M456" i="1" s="1"/>
  <c r="L407" i="1"/>
  <c r="M407" i="1" s="1"/>
  <c r="L229" i="1"/>
  <c r="M229" i="1" s="1"/>
  <c r="L39" i="1"/>
  <c r="M39" i="1" s="1"/>
  <c r="L118" i="1"/>
  <c r="M118" i="1" s="1"/>
  <c r="L766" i="1"/>
  <c r="M766" i="1" s="1"/>
  <c r="G671" i="1"/>
  <c r="I671" i="1" s="1"/>
  <c r="L698" i="1"/>
  <c r="M698" i="1" s="1"/>
  <c r="L966" i="1"/>
  <c r="M966" i="1" s="1"/>
  <c r="E966" i="1" s="1"/>
  <c r="L157" i="1"/>
  <c r="M157" i="1" s="1"/>
  <c r="G694" i="1"/>
  <c r="G830" i="1"/>
  <c r="I830" i="1" s="1"/>
  <c r="G954" i="1"/>
  <c r="G185" i="1"/>
  <c r="G884" i="1"/>
  <c r="I884" i="1" s="1"/>
  <c r="G531" i="1"/>
  <c r="G424" i="1"/>
  <c r="G410" i="1"/>
  <c r="L755" i="1"/>
  <c r="M755" i="1" s="1"/>
  <c r="L720" i="1"/>
  <c r="M720" i="1" s="1"/>
  <c r="L538" i="1"/>
  <c r="M538" i="1" s="1"/>
  <c r="L970" i="1"/>
  <c r="M970" i="1" s="1"/>
  <c r="L835" i="1"/>
  <c r="M835" i="1" s="1"/>
  <c r="L416" i="1"/>
  <c r="M416" i="1" s="1"/>
  <c r="L200" i="1"/>
  <c r="M200" i="1" s="1"/>
  <c r="L223" i="1"/>
  <c r="M223" i="1" s="1"/>
  <c r="L288" i="1"/>
  <c r="M288" i="1" s="1"/>
  <c r="L348" i="1"/>
  <c r="M348" i="1" s="1"/>
  <c r="L823" i="1"/>
  <c r="M823" i="1" s="1"/>
  <c r="L708" i="1"/>
  <c r="M708" i="1" s="1"/>
  <c r="E708" i="1" s="1"/>
  <c r="L552" i="1"/>
  <c r="M552" i="1" s="1"/>
  <c r="E552" i="1" s="1"/>
  <c r="L381" i="1"/>
  <c r="M381" i="1" s="1"/>
  <c r="L751" i="1"/>
  <c r="M751" i="1" s="1"/>
  <c r="L826" i="1"/>
  <c r="M826" i="1" s="1"/>
  <c r="L96" i="1"/>
  <c r="M96" i="1" s="1"/>
  <c r="L805" i="1"/>
  <c r="M805" i="1" s="1"/>
  <c r="L89" i="1"/>
  <c r="M89" i="1" s="1"/>
  <c r="L454" i="1"/>
  <c r="M454" i="1" s="1"/>
  <c r="L888" i="1"/>
  <c r="M888" i="1" s="1"/>
  <c r="L33" i="1"/>
  <c r="M33" i="1" s="1"/>
  <c r="L800" i="1"/>
  <c r="M800" i="1" s="1"/>
  <c r="L169" i="1"/>
  <c r="M169" i="1" s="1"/>
  <c r="L986" i="1"/>
  <c r="M986" i="1" s="1"/>
  <c r="L661" i="1"/>
  <c r="M661" i="1" s="1"/>
  <c r="L275" i="1"/>
  <c r="M275" i="1" s="1"/>
  <c r="L150" i="1"/>
  <c r="M150" i="1" s="1"/>
  <c r="G772" i="1"/>
  <c r="G161" i="1"/>
  <c r="G101" i="1"/>
  <c r="G322" i="1"/>
  <c r="G368" i="1"/>
  <c r="L718" i="1"/>
  <c r="M718" i="1" s="1"/>
  <c r="L395" i="1"/>
  <c r="M395" i="1" s="1"/>
  <c r="L443" i="1"/>
  <c r="M443" i="1" s="1"/>
  <c r="L595" i="1"/>
  <c r="M595" i="1" s="1"/>
  <c r="L862" i="1"/>
  <c r="M862" i="1" s="1"/>
  <c r="L323" i="1"/>
  <c r="M323" i="1" s="1"/>
  <c r="L942" i="1"/>
  <c r="M942" i="1" s="1"/>
  <c r="L312" i="1"/>
  <c r="M312" i="1" s="1"/>
  <c r="L633" i="1"/>
  <c r="M633" i="1" s="1"/>
  <c r="L529" i="1"/>
  <c r="M529" i="1" s="1"/>
  <c r="L760" i="1"/>
  <c r="M760" i="1" s="1"/>
  <c r="L149" i="1"/>
  <c r="M149" i="1" s="1"/>
  <c r="L28" i="1"/>
  <c r="M28" i="1" s="1"/>
  <c r="L266" i="1"/>
  <c r="M266" i="1" s="1"/>
  <c r="L232" i="1"/>
  <c r="M232" i="1" s="1"/>
  <c r="E232" i="1" s="1"/>
  <c r="L785" i="1"/>
  <c r="M785" i="1" s="1"/>
  <c r="L909" i="1"/>
  <c r="M909" i="1" s="1"/>
  <c r="L434" i="1"/>
  <c r="M434" i="1" s="1"/>
  <c r="L194" i="1"/>
  <c r="M194" i="1" s="1"/>
  <c r="L370" i="1"/>
  <c r="M370" i="1" s="1"/>
  <c r="E370" i="1" s="1"/>
  <c r="L655" i="1"/>
  <c r="M655" i="1" s="1"/>
  <c r="L788" i="1"/>
  <c r="M788" i="1" s="1"/>
  <c r="E788" i="1" s="1"/>
  <c r="L791" i="1"/>
  <c r="M791" i="1" s="1"/>
  <c r="L109" i="1"/>
  <c r="M109" i="1" s="1"/>
  <c r="L776" i="1"/>
  <c r="M776" i="1" s="1"/>
  <c r="E776" i="1" s="1"/>
  <c r="L457" i="1"/>
  <c r="M457" i="1" s="1"/>
  <c r="L872" i="1"/>
  <c r="M872" i="1" s="1"/>
  <c r="L983" i="1"/>
  <c r="M983" i="1" s="1"/>
  <c r="L786" i="1"/>
  <c r="M786" i="1" s="1"/>
  <c r="L967" i="1"/>
  <c r="M967" i="1" s="1"/>
  <c r="L606" i="1"/>
  <c r="M606" i="1" s="1"/>
  <c r="L358" i="1"/>
  <c r="M358" i="1" s="1"/>
  <c r="L163" i="1"/>
  <c r="M163" i="1" s="1"/>
  <c r="G875" i="1"/>
  <c r="I875" i="1" s="1"/>
  <c r="G380" i="1"/>
  <c r="G217" i="1"/>
  <c r="G627" i="1"/>
  <c r="I627" i="1" s="1"/>
  <c r="F627" i="1" s="1"/>
  <c r="G36" i="1"/>
  <c r="I36" i="1" s="1"/>
  <c r="G936" i="1"/>
  <c r="L488" i="1"/>
  <c r="M488" i="1" s="1"/>
  <c r="L237" i="1"/>
  <c r="M237" i="1" s="1"/>
  <c r="L988" i="1"/>
  <c r="M988" i="1" s="1"/>
  <c r="L778" i="1"/>
  <c r="M778" i="1" s="1"/>
  <c r="L499" i="1"/>
  <c r="M499" i="1" s="1"/>
  <c r="L893" i="1"/>
  <c r="M893" i="1" s="1"/>
  <c r="L813" i="1"/>
  <c r="M813" i="1" s="1"/>
  <c r="L999" i="1"/>
  <c r="M999" i="1" s="1"/>
  <c r="L203" i="1"/>
  <c r="M203" i="1" s="1"/>
  <c r="L224" i="1"/>
  <c r="M224" i="1" s="1"/>
  <c r="L141" i="1"/>
  <c r="M141" i="1" s="1"/>
  <c r="L367" i="1"/>
  <c r="M367" i="1" s="1"/>
  <c r="L311" i="1"/>
  <c r="M311" i="1" s="1"/>
  <c r="L344" i="1"/>
  <c r="M344" i="1" s="1"/>
  <c r="L428" i="1"/>
  <c r="M428" i="1" s="1"/>
  <c r="L379" i="1"/>
  <c r="M379" i="1" s="1"/>
  <c r="L838" i="1"/>
  <c r="M838" i="1" s="1"/>
  <c r="L702" i="1"/>
  <c r="M702" i="1" s="1"/>
  <c r="L664" i="1"/>
  <c r="M664" i="1" s="1"/>
  <c r="L373" i="1"/>
  <c r="M373" i="1" s="1"/>
  <c r="L476" i="1"/>
  <c r="M476" i="1" s="1"/>
  <c r="E476" i="1" s="1"/>
  <c r="L841" i="1"/>
  <c r="M841" i="1" s="1"/>
  <c r="L623" i="1"/>
  <c r="M623" i="1" s="1"/>
  <c r="L40" i="1"/>
  <c r="M40" i="1" s="1"/>
  <c r="L496" i="1"/>
  <c r="M496" i="1" s="1"/>
  <c r="L643" i="1"/>
  <c r="M643" i="1" s="1"/>
  <c r="G805" i="1"/>
  <c r="I805" i="1" s="1"/>
  <c r="F805" i="1" s="1"/>
  <c r="G148" i="1"/>
  <c r="G484" i="1"/>
  <c r="I484" i="1" s="1"/>
  <c r="G835" i="1"/>
  <c r="I835" i="1" s="1"/>
  <c r="F835" i="1" s="1"/>
  <c r="L46" i="1"/>
  <c r="M46" i="1" s="1"/>
  <c r="L493" i="1"/>
  <c r="M493" i="1" s="1"/>
  <c r="L814" i="1"/>
  <c r="M814" i="1" s="1"/>
  <c r="L94" i="1"/>
  <c r="M94" i="1" s="1"/>
  <c r="E94" i="1" s="1"/>
  <c r="L591" i="1"/>
  <c r="M591" i="1" s="1"/>
  <c r="L836" i="1"/>
  <c r="M836" i="1" s="1"/>
  <c r="L124" i="1"/>
  <c r="M124" i="1" s="1"/>
  <c r="L82" i="1"/>
  <c r="M82" i="1" s="1"/>
  <c r="L342" i="1"/>
  <c r="M342" i="1" s="1"/>
  <c r="L484" i="1"/>
  <c r="M484" i="1" s="1"/>
  <c r="L773" i="1"/>
  <c r="M773" i="1" s="1"/>
  <c r="L491" i="1"/>
  <c r="M491" i="1" s="1"/>
  <c r="L955" i="1"/>
  <c r="M955" i="1" s="1"/>
  <c r="L68" i="1"/>
  <c r="M68" i="1" s="1"/>
  <c r="L545" i="1"/>
  <c r="M545" i="1" s="1"/>
  <c r="L430" i="1"/>
  <c r="M430" i="1" s="1"/>
  <c r="L262" i="1"/>
  <c r="M262" i="1" s="1"/>
  <c r="L398" i="1"/>
  <c r="M398" i="1" s="1"/>
  <c r="L23" i="1"/>
  <c r="M23" i="1" s="1"/>
  <c r="L782" i="1"/>
  <c r="M782" i="1" s="1"/>
  <c r="L939" i="1"/>
  <c r="M939" i="1" s="1"/>
  <c r="L754" i="1"/>
  <c r="M754" i="1" s="1"/>
  <c r="L304" i="1"/>
  <c r="M304" i="1" s="1"/>
  <c r="L22" i="1"/>
  <c r="M22" i="1" s="1"/>
  <c r="L99" i="1"/>
  <c r="M99" i="1" s="1"/>
  <c r="G353" i="1"/>
  <c r="G153" i="1"/>
  <c r="G150" i="1"/>
  <c r="G450" i="1"/>
  <c r="L131" i="1"/>
  <c r="M131" i="1" s="1"/>
  <c r="L336" i="1"/>
  <c r="M336" i="1" s="1"/>
  <c r="E336" i="1" s="1"/>
  <c r="L920" i="1"/>
  <c r="M920" i="1" s="1"/>
  <c r="E920" i="1" s="1"/>
  <c r="L783" i="1"/>
  <c r="M783" i="1" s="1"/>
  <c r="L910" i="1"/>
  <c r="M910" i="1" s="1"/>
  <c r="L316" i="1"/>
  <c r="M316" i="1" s="1"/>
  <c r="L133" i="1"/>
  <c r="M133" i="1" s="1"/>
  <c r="L518" i="1"/>
  <c r="M518" i="1" s="1"/>
  <c r="L619" i="1"/>
  <c r="M619" i="1" s="1"/>
  <c r="L289" i="1"/>
  <c r="M289" i="1" s="1"/>
  <c r="L286" i="1"/>
  <c r="M286" i="1" s="1"/>
  <c r="L634" i="1"/>
  <c r="M634" i="1" s="1"/>
  <c r="L291" i="1"/>
  <c r="M291" i="1" s="1"/>
  <c r="L555" i="1"/>
  <c r="M555" i="1" s="1"/>
  <c r="L789" i="1"/>
  <c r="M789" i="1" s="1"/>
  <c r="E789" i="1" s="1"/>
  <c r="L92" i="1"/>
  <c r="M92" i="1" s="1"/>
  <c r="L819" i="1"/>
  <c r="M819" i="1" s="1"/>
  <c r="L440" i="1"/>
  <c r="M440" i="1" s="1"/>
  <c r="L522" i="1"/>
  <c r="M522" i="1" s="1"/>
  <c r="L530" i="1"/>
  <c r="M530" i="1" s="1"/>
  <c r="L453" i="1"/>
  <c r="M453" i="1" s="1"/>
  <c r="L514" i="1"/>
  <c r="M514" i="1" s="1"/>
  <c r="L219" i="1"/>
  <c r="M219" i="1" s="1"/>
  <c r="L806" i="1"/>
  <c r="M806" i="1" s="1"/>
  <c r="L810" i="1"/>
  <c r="M810" i="1" s="1"/>
  <c r="L961" i="1"/>
  <c r="M961" i="1" s="1"/>
  <c r="L277" i="1"/>
  <c r="M277" i="1" s="1"/>
  <c r="L857" i="1"/>
  <c r="M857" i="1" s="1"/>
  <c r="L665" i="1"/>
  <c r="M665" i="1" s="1"/>
  <c r="L971" i="1"/>
  <c r="M971" i="1" s="1"/>
  <c r="G116" i="1"/>
  <c r="L610" i="1"/>
  <c r="M610" i="1" s="1"/>
  <c r="L2" i="1"/>
  <c r="M2" i="1" s="1"/>
  <c r="L7" i="1"/>
  <c r="M7" i="1" s="1"/>
  <c r="L487" i="1"/>
  <c r="M487" i="1" s="1"/>
  <c r="L734" i="1"/>
  <c r="M734" i="1" s="1"/>
  <c r="L116" i="1"/>
  <c r="M116" i="1" s="1"/>
  <c r="L309" i="1"/>
  <c r="M309" i="1" s="1"/>
  <c r="L242" i="1"/>
  <c r="M242" i="1" s="1"/>
  <c r="E242" i="1" s="1"/>
  <c r="L417" i="1"/>
  <c r="M417" i="1" s="1"/>
  <c r="L624" i="1"/>
  <c r="M624" i="1" s="1"/>
  <c r="L889" i="1"/>
  <c r="M889" i="1" s="1"/>
  <c r="L209" i="1"/>
  <c r="M209" i="1" s="1"/>
  <c r="L260" i="1"/>
  <c r="M260" i="1" s="1"/>
  <c r="L940" i="1"/>
  <c r="M940" i="1" s="1"/>
  <c r="L585" i="1"/>
  <c r="M585" i="1" s="1"/>
  <c r="L60" i="1"/>
  <c r="M60" i="1" s="1"/>
  <c r="L402" i="1"/>
  <c r="M402" i="1" s="1"/>
  <c r="L951" i="1"/>
  <c r="M951" i="1" s="1"/>
  <c r="L432" i="1"/>
  <c r="M432" i="1" s="1"/>
  <c r="L19" i="1"/>
  <c r="M19" i="1" s="1"/>
  <c r="L264" i="1"/>
  <c r="M264" i="1" s="1"/>
  <c r="E264" i="1" s="1"/>
  <c r="L770" i="1"/>
  <c r="M770" i="1" s="1"/>
  <c r="L803" i="1"/>
  <c r="M803" i="1" s="1"/>
  <c r="L660" i="1"/>
  <c r="M660" i="1" s="1"/>
  <c r="L383" i="1"/>
  <c r="M383" i="1" s="1"/>
  <c r="E383" i="1" s="1"/>
  <c r="L853" i="1"/>
  <c r="M853" i="1" s="1"/>
  <c r="L104" i="1"/>
  <c r="M104" i="1" s="1"/>
  <c r="L47" i="1"/>
  <c r="M47" i="1" s="1"/>
  <c r="L78" i="1"/>
  <c r="M78" i="1" s="1"/>
  <c r="E78" i="1" s="1"/>
  <c r="L540" i="1"/>
  <c r="M540" i="1" s="1"/>
  <c r="L927" i="1"/>
  <c r="M927" i="1" s="1"/>
  <c r="L833" i="1"/>
  <c r="M833" i="1" s="1"/>
  <c r="L463" i="1"/>
  <c r="M463" i="1" s="1"/>
  <c r="E463" i="1" s="1"/>
  <c r="L489" i="1"/>
  <c r="M489" i="1" s="1"/>
  <c r="L424" i="1"/>
  <c r="M424" i="1" s="1"/>
  <c r="L668" i="1"/>
  <c r="M668" i="1" s="1"/>
  <c r="L907" i="1"/>
  <c r="M907" i="1" s="1"/>
  <c r="L682" i="1"/>
  <c r="M682" i="1" s="1"/>
  <c r="L747" i="1"/>
  <c r="M747" i="1" s="1"/>
  <c r="L233" i="1"/>
  <c r="M233" i="1" s="1"/>
  <c r="L171" i="1"/>
  <c r="M171" i="1" s="1"/>
  <c r="L419" i="1"/>
  <c r="M419" i="1" s="1"/>
  <c r="L871" i="1"/>
  <c r="M871" i="1" s="1"/>
  <c r="L855" i="1"/>
  <c r="M855" i="1" s="1"/>
  <c r="L930" i="1"/>
  <c r="M930" i="1" s="1"/>
  <c r="L80" i="1"/>
  <c r="M80" i="1" s="1"/>
  <c r="L16" i="1"/>
  <c r="M16" i="1" s="1"/>
  <c r="L81" i="1"/>
  <c r="M81" i="1" s="1"/>
  <c r="L411" i="1"/>
  <c r="M411" i="1" s="1"/>
  <c r="E411" i="1" s="1"/>
  <c r="L906" i="1"/>
  <c r="M906" i="1" s="1"/>
  <c r="L659" i="1"/>
  <c r="M659" i="1" s="1"/>
  <c r="L49" i="1"/>
  <c r="M49" i="1" s="1"/>
  <c r="L501" i="1"/>
  <c r="M501" i="1" s="1"/>
  <c r="E501" i="1" s="1"/>
  <c r="L674" i="1"/>
  <c r="M674" i="1" s="1"/>
  <c r="L250" i="1"/>
  <c r="M250" i="1" s="1"/>
  <c r="L777" i="1"/>
  <c r="M777" i="1" s="1"/>
  <c r="L188" i="1"/>
  <c r="M188" i="1" s="1"/>
  <c r="L129" i="1"/>
  <c r="M129" i="1" s="1"/>
  <c r="L53" i="1"/>
  <c r="M53" i="1" s="1"/>
  <c r="L50" i="1"/>
  <c r="M50" i="1" s="1"/>
  <c r="E50" i="1" s="1"/>
  <c r="L135" i="1"/>
  <c r="M135" i="1" s="1"/>
  <c r="L882" i="1"/>
  <c r="M882" i="1" s="1"/>
  <c r="L673" i="1"/>
  <c r="M673" i="1" s="1"/>
  <c r="L987" i="1"/>
  <c r="M987" i="1" s="1"/>
  <c r="E987" i="1" s="1"/>
  <c r="G462" i="1"/>
  <c r="L243" i="1"/>
  <c r="M243" i="1" s="1"/>
  <c r="L15" i="1"/>
  <c r="M15" i="1" s="1"/>
  <c r="L406" i="1"/>
  <c r="M406" i="1" s="1"/>
  <c r="E61" i="1" l="1"/>
  <c r="E974" i="1"/>
  <c r="E497" i="1"/>
  <c r="E633" i="1"/>
  <c r="E517" i="1"/>
  <c r="E589" i="1"/>
  <c r="E935" i="1"/>
  <c r="E445" i="1"/>
  <c r="E548" i="1"/>
  <c r="E570" i="1"/>
  <c r="E30" i="1"/>
  <c r="E515" i="1"/>
  <c r="E891" i="1"/>
  <c r="E244" i="1"/>
  <c r="E823" i="1"/>
  <c r="E449" i="1"/>
  <c r="E189" i="1"/>
  <c r="E76" i="1"/>
  <c r="E343" i="1"/>
  <c r="E469" i="1"/>
  <c r="E875" i="1"/>
  <c r="E744" i="1"/>
  <c r="E762" i="1"/>
  <c r="E249" i="1"/>
  <c r="E955" i="1"/>
  <c r="E991" i="1"/>
  <c r="F890" i="1"/>
  <c r="E959" i="1"/>
  <c r="E858" i="1"/>
  <c r="E695" i="1"/>
  <c r="E742" i="1"/>
  <c r="E973" i="1"/>
  <c r="E278" i="1"/>
  <c r="E75" i="1"/>
  <c r="E52" i="1"/>
  <c r="E901" i="1"/>
  <c r="E653" i="1"/>
  <c r="E557" i="1"/>
  <c r="E84" i="1"/>
  <c r="E765" i="1"/>
  <c r="E915" i="1"/>
  <c r="E374" i="1"/>
  <c r="E451" i="1"/>
  <c r="E639" i="1"/>
  <c r="E923" i="1"/>
  <c r="E960" i="1"/>
  <c r="E671" i="1"/>
  <c r="E728" i="1"/>
  <c r="E498" i="1"/>
  <c r="I447" i="1"/>
  <c r="F447" i="1" s="1"/>
  <c r="F793" i="1"/>
  <c r="E14" i="1"/>
  <c r="E183" i="1"/>
  <c r="I859" i="1"/>
  <c r="F859" i="1" s="1"/>
  <c r="F668" i="1"/>
  <c r="F154" i="1"/>
  <c r="E968" i="1"/>
  <c r="E977" i="1"/>
  <c r="F548" i="1"/>
  <c r="I303" i="1"/>
  <c r="F303" i="1" s="1"/>
  <c r="F232" i="1"/>
  <c r="E331" i="1"/>
  <c r="E215" i="1"/>
  <c r="E349" i="1"/>
  <c r="E477" i="1"/>
  <c r="E647" i="1"/>
  <c r="E601" i="1"/>
  <c r="I720" i="1"/>
  <c r="F720" i="1" s="1"/>
  <c r="E250" i="1"/>
  <c r="I843" i="1"/>
  <c r="F843" i="1" s="1"/>
  <c r="F839" i="1"/>
  <c r="F821" i="1"/>
  <c r="I149" i="1"/>
  <c r="F149" i="1" s="1"/>
  <c r="I981" i="1"/>
  <c r="F981" i="1" s="1"/>
  <c r="F788" i="1"/>
  <c r="F370" i="1"/>
  <c r="F748" i="1"/>
  <c r="F464" i="1"/>
  <c r="E549" i="1"/>
  <c r="I863" i="1"/>
  <c r="F863" i="1" s="1"/>
  <c r="E995" i="1"/>
  <c r="E712" i="1"/>
  <c r="F637" i="1"/>
  <c r="F250" i="1"/>
  <c r="I608" i="1"/>
  <c r="F608" i="1" s="1"/>
  <c r="F633" i="1"/>
  <c r="I727" i="1"/>
  <c r="E727" i="1" s="1"/>
  <c r="E605" i="1"/>
  <c r="E839" i="1"/>
  <c r="F605" i="1"/>
  <c r="E686" i="1"/>
  <c r="I280" i="1"/>
  <c r="F280" i="1" s="1"/>
  <c r="I587" i="1"/>
  <c r="F587" i="1" s="1"/>
  <c r="F776" i="1"/>
  <c r="I536" i="1"/>
  <c r="F536" i="1" s="1"/>
  <c r="I819" i="1"/>
  <c r="F819" i="1" s="1"/>
  <c r="F901" i="1"/>
  <c r="I962" i="1"/>
  <c r="F962" i="1" s="1"/>
  <c r="I792" i="1"/>
  <c r="F792" i="1" s="1"/>
  <c r="F779" i="1"/>
  <c r="F108" i="1"/>
  <c r="I262" i="1"/>
  <c r="F262" i="1" s="1"/>
  <c r="F614" i="1"/>
  <c r="I756" i="1"/>
  <c r="F756" i="1" s="1"/>
  <c r="F56" i="1"/>
  <c r="I398" i="1"/>
  <c r="E398" i="1" s="1"/>
  <c r="F78" i="1"/>
  <c r="I20" i="1"/>
  <c r="F20" i="1" s="1"/>
  <c r="F392" i="1"/>
  <c r="I878" i="1"/>
  <c r="E878" i="1" s="1"/>
  <c r="F482" i="1"/>
  <c r="F135" i="1"/>
  <c r="F837" i="1"/>
  <c r="F110" i="1"/>
  <c r="F122" i="1"/>
  <c r="F530" i="1"/>
  <c r="F297" i="1"/>
  <c r="F430" i="1"/>
  <c r="F538" i="1"/>
  <c r="I861" i="1"/>
  <c r="F861" i="1" s="1"/>
  <c r="E835" i="1"/>
  <c r="F36" i="1"/>
  <c r="I31" i="1"/>
  <c r="E31" i="1" s="1"/>
  <c r="F671" i="1"/>
  <c r="F751" i="1"/>
  <c r="I790" i="1"/>
  <c r="E790" i="1" s="1"/>
  <c r="I672" i="1"/>
  <c r="F672" i="1" s="1"/>
  <c r="E706" i="1"/>
  <c r="F884" i="1"/>
  <c r="F744" i="1"/>
  <c r="E522" i="1"/>
  <c r="F706" i="1"/>
  <c r="I737" i="1"/>
  <c r="F737" i="1" s="1"/>
  <c r="I636" i="1"/>
  <c r="F636" i="1" s="1"/>
  <c r="E884" i="1"/>
  <c r="E905" i="1"/>
  <c r="F549" i="1"/>
  <c r="E982" i="1"/>
  <c r="I871" i="1"/>
  <c r="E871" i="1" s="1"/>
  <c r="F700" i="1"/>
  <c r="F577" i="1"/>
  <c r="E611" i="1"/>
  <c r="E749" i="1"/>
  <c r="F740" i="1"/>
  <c r="I881" i="1"/>
  <c r="F881" i="1" s="1"/>
  <c r="I922" i="1"/>
  <c r="F922" i="1" s="1"/>
  <c r="E560" i="1"/>
  <c r="I997" i="1"/>
  <c r="E997" i="1" s="1"/>
  <c r="I327" i="1"/>
  <c r="F327" i="1" s="1"/>
  <c r="F561" i="1"/>
  <c r="I919" i="1"/>
  <c r="E919" i="1" s="1"/>
  <c r="E787" i="1"/>
  <c r="F787" i="1"/>
  <c r="F612" i="1"/>
  <c r="I759" i="1"/>
  <c r="F759" i="1" s="1"/>
  <c r="F955" i="1"/>
  <c r="F742" i="1"/>
  <c r="E651" i="1"/>
  <c r="F651" i="1"/>
  <c r="I439" i="1"/>
  <c r="E439" i="1" s="1"/>
  <c r="F557" i="1"/>
  <c r="F826" i="1"/>
  <c r="I904" i="1"/>
  <c r="F904" i="1" s="1"/>
  <c r="I879" i="1"/>
  <c r="F879" i="1" s="1"/>
  <c r="I661" i="1"/>
  <c r="F661" i="1" s="1"/>
  <c r="E771" i="1"/>
  <c r="I983" i="1"/>
  <c r="E983" i="1" s="1"/>
  <c r="I358" i="1"/>
  <c r="E358" i="1" s="1"/>
  <c r="F719" i="1"/>
  <c r="F894" i="1"/>
  <c r="E825" i="1"/>
  <c r="I990" i="1"/>
  <c r="F990" i="1" s="1"/>
  <c r="E956" i="1"/>
  <c r="I646" i="1"/>
  <c r="E646" i="1" s="1"/>
  <c r="E894" i="1"/>
  <c r="E831" i="1"/>
  <c r="F686" i="1"/>
  <c r="F952" i="1"/>
  <c r="I980" i="1"/>
  <c r="F980" i="1" s="1"/>
  <c r="F374" i="1"/>
  <c r="F767" i="1"/>
  <c r="F797" i="1"/>
  <c r="I309" i="1"/>
  <c r="E309" i="1" s="1"/>
  <c r="I725" i="1"/>
  <c r="F725" i="1" s="1"/>
  <c r="F565" i="1"/>
  <c r="F635" i="1"/>
  <c r="I586" i="1"/>
  <c r="F586" i="1" s="1"/>
  <c r="E876" i="1"/>
  <c r="F718" i="1"/>
  <c r="E794" i="1"/>
  <c r="F652" i="1"/>
  <c r="I714" i="1"/>
  <c r="E714" i="1" s="1"/>
  <c r="F965" i="1"/>
  <c r="F866" i="1"/>
  <c r="F556" i="1"/>
  <c r="F818" i="1"/>
  <c r="F589" i="1"/>
  <c r="I739" i="1"/>
  <c r="F739" i="1" s="1"/>
  <c r="I545" i="1"/>
  <c r="F545" i="1" s="1"/>
  <c r="F80" i="1"/>
  <c r="I592" i="1"/>
  <c r="F592" i="1" s="1"/>
  <c r="I683" i="1"/>
  <c r="F683" i="1" s="1"/>
  <c r="F576" i="1"/>
  <c r="I291" i="1"/>
  <c r="F291" i="1" s="1"/>
  <c r="F753" i="1"/>
  <c r="I427" i="1"/>
  <c r="E427" i="1" s="1"/>
  <c r="F14" i="1"/>
  <c r="I137" i="1"/>
  <c r="E137" i="1" s="1"/>
  <c r="I458" i="1"/>
  <c r="F458" i="1" s="1"/>
  <c r="F892" i="1"/>
  <c r="F183" i="1"/>
  <c r="F106" i="1"/>
  <c r="I426" i="1"/>
  <c r="F426" i="1" s="1"/>
  <c r="F590" i="1"/>
  <c r="F731" i="1"/>
  <c r="I597" i="1"/>
  <c r="F597" i="1" s="1"/>
  <c r="F914" i="1"/>
  <c r="I59" i="1"/>
  <c r="E59" i="1" s="1"/>
  <c r="F463" i="1"/>
  <c r="I128" i="1"/>
  <c r="F128" i="1" s="1"/>
  <c r="I499" i="1"/>
  <c r="F499" i="1" s="1"/>
  <c r="F448" i="1"/>
  <c r="I964" i="1"/>
  <c r="F964" i="1" s="1"/>
  <c r="F497" i="1"/>
  <c r="F760" i="1"/>
  <c r="F467" i="1"/>
  <c r="I260" i="1"/>
  <c r="E260" i="1" s="1"/>
  <c r="F974" i="1"/>
  <c r="I317" i="1"/>
  <c r="F317" i="1" s="1"/>
  <c r="I17" i="1"/>
  <c r="F17" i="1" s="1"/>
  <c r="I542" i="1"/>
  <c r="E542" i="1" s="1"/>
  <c r="F639" i="1"/>
  <c r="F13" i="1"/>
  <c r="I754" i="1"/>
  <c r="F754" i="1" s="1"/>
  <c r="I953" i="1"/>
  <c r="E953" i="1" s="1"/>
  <c r="F136" i="1"/>
  <c r="I175" i="1"/>
  <c r="F175" i="1" s="1"/>
  <c r="F537" i="1"/>
  <c r="F411" i="1"/>
  <c r="F210" i="1"/>
  <c r="I580" i="1"/>
  <c r="E580" i="1" s="1"/>
  <c r="F141" i="1"/>
  <c r="F369" i="1"/>
  <c r="F453" i="1"/>
  <c r="I60" i="1"/>
  <c r="F60" i="1" s="1"/>
  <c r="I404" i="1"/>
  <c r="E404" i="1" s="1"/>
  <c r="F641" i="1"/>
  <c r="F917" i="1"/>
  <c r="F177" i="1"/>
  <c r="F959" i="1"/>
  <c r="I330" i="1"/>
  <c r="E330" i="1" s="1"/>
  <c r="F30" i="1"/>
  <c r="I229" i="1"/>
  <c r="F229" i="1" s="1"/>
  <c r="F625" i="1"/>
  <c r="F139" i="1"/>
  <c r="I514" i="1"/>
  <c r="F314" i="1"/>
  <c r="F532" i="1"/>
  <c r="F39" i="1"/>
  <c r="F445" i="1"/>
  <c r="I412" i="1"/>
  <c r="F412" i="1" s="1"/>
  <c r="F236" i="1"/>
  <c r="I657" i="1"/>
  <c r="F657" i="1" s="1"/>
  <c r="I362" i="1"/>
  <c r="E362" i="1" s="1"/>
  <c r="I281" i="1"/>
  <c r="F281" i="1" s="1"/>
  <c r="I743" i="1"/>
  <c r="F743" i="1" s="1"/>
  <c r="F472" i="1"/>
  <c r="F321" i="1"/>
  <c r="F504" i="1"/>
  <c r="F215" i="1"/>
  <c r="F343" i="1"/>
  <c r="F277" i="1"/>
  <c r="F460" i="1"/>
  <c r="F52" i="1"/>
  <c r="F50" i="1"/>
  <c r="F601" i="1"/>
  <c r="F977" i="1"/>
  <c r="I377" i="1"/>
  <c r="F377" i="1" s="1"/>
  <c r="F477" i="1"/>
  <c r="I98" i="1"/>
  <c r="F98" i="1" s="1"/>
  <c r="F32" i="1"/>
  <c r="F329" i="1"/>
  <c r="F420" i="1"/>
  <c r="F517" i="1"/>
  <c r="F49" i="1"/>
  <c r="F27" i="1"/>
  <c r="E830" i="1"/>
  <c r="F830" i="1"/>
  <c r="E751" i="1"/>
  <c r="E615" i="1"/>
  <c r="F615" i="1"/>
  <c r="E133" i="1"/>
  <c r="E800" i="1"/>
  <c r="E971" i="1"/>
  <c r="F971" i="1"/>
  <c r="F709" i="1"/>
  <c r="E709" i="1"/>
  <c r="E627" i="1"/>
  <c r="I772" i="1"/>
  <c r="F772" i="1" s="1"/>
  <c r="E945" i="1"/>
  <c r="E485" i="1"/>
  <c r="I116" i="1"/>
  <c r="F116" i="1" s="1"/>
  <c r="I986" i="1"/>
  <c r="E986" i="1" s="1"/>
  <c r="I389" i="1"/>
  <c r="E389" i="1" s="1"/>
  <c r="F875" i="1"/>
  <c r="I410" i="1"/>
  <c r="E410" i="1" s="1"/>
  <c r="I51" i="1"/>
  <c r="F51" i="1" s="1"/>
  <c r="F485" i="1"/>
  <c r="I201" i="1"/>
  <c r="F201" i="1" s="1"/>
  <c r="I471" i="1"/>
  <c r="F471" i="1" s="1"/>
  <c r="I88" i="1"/>
  <c r="E88" i="1" s="1"/>
  <c r="F484" i="1"/>
  <c r="I694" i="1"/>
  <c r="E694" i="1" s="1"/>
  <c r="I185" i="1"/>
  <c r="F185" i="1" s="1"/>
  <c r="E585" i="1"/>
  <c r="F326" i="1"/>
  <c r="I857" i="1"/>
  <c r="F857" i="1" s="1"/>
  <c r="E994" i="1"/>
  <c r="F782" i="1"/>
  <c r="E782" i="1"/>
  <c r="E572" i="1"/>
  <c r="E689" i="1"/>
  <c r="I595" i="1"/>
  <c r="F595" i="1" s="1"/>
  <c r="I450" i="1"/>
  <c r="E450" i="1" s="1"/>
  <c r="I148" i="1"/>
  <c r="E148" i="1" s="1"/>
  <c r="I380" i="1"/>
  <c r="F380" i="1" s="1"/>
  <c r="I424" i="1"/>
  <c r="E424" i="1" s="1"/>
  <c r="I74" i="1"/>
  <c r="F74" i="1" s="1"/>
  <c r="I217" i="1"/>
  <c r="F217" i="1" s="1"/>
  <c r="I764" i="1"/>
  <c r="F764" i="1" s="1"/>
  <c r="I21" i="1"/>
  <c r="E21" i="1" s="1"/>
  <c r="I897" i="1"/>
  <c r="E897" i="1" s="1"/>
  <c r="E40" i="1"/>
  <c r="I462" i="1"/>
  <c r="F462" i="1" s="1"/>
  <c r="E722" i="1"/>
  <c r="E452" i="1"/>
  <c r="I947" i="1"/>
  <c r="E947" i="1" s="1"/>
  <c r="I566" i="1"/>
  <c r="E566" i="1" s="1"/>
  <c r="I733" i="1"/>
  <c r="F733" i="1" s="1"/>
  <c r="E802" i="1"/>
  <c r="I353" i="1"/>
  <c r="F353" i="1" s="1"/>
  <c r="I368" i="1"/>
  <c r="F368" i="1" s="1"/>
  <c r="I954" i="1"/>
  <c r="E954" i="1" s="1"/>
  <c r="F722" i="1"/>
  <c r="F452" i="1"/>
  <c r="I246" i="1"/>
  <c r="F246" i="1" s="1"/>
  <c r="E838" i="1"/>
  <c r="I996" i="1"/>
  <c r="F996" i="1" s="1"/>
  <c r="I936" i="1"/>
  <c r="F936" i="1" s="1"/>
  <c r="E36" i="1"/>
  <c r="F802" i="1"/>
  <c r="E623" i="1"/>
  <c r="E805" i="1"/>
  <c r="I684" i="1"/>
  <c r="F684" i="1" s="1"/>
  <c r="I209" i="1"/>
  <c r="F209" i="1" s="1"/>
  <c r="I68" i="1"/>
  <c r="E68" i="1" s="1"/>
  <c r="F133" i="1"/>
  <c r="E999" i="1"/>
  <c r="I150" i="1"/>
  <c r="F150" i="1" s="1"/>
  <c r="I663" i="1"/>
  <c r="F663" i="1" s="1"/>
  <c r="F944" i="1"/>
  <c r="E791" i="1"/>
  <c r="F522" i="1"/>
  <c r="I529" i="1"/>
  <c r="E529" i="1" s="1"/>
  <c r="I873" i="1"/>
  <c r="F873" i="1" s="1"/>
  <c r="I268" i="1"/>
  <c r="F268" i="1" s="1"/>
  <c r="I92" i="1"/>
  <c r="F92" i="1" s="1"/>
  <c r="I925" i="1"/>
  <c r="E925" i="1" s="1"/>
  <c r="I534" i="1"/>
  <c r="F534" i="1" s="1"/>
  <c r="E42" i="1"/>
  <c r="F42" i="1"/>
  <c r="E327" i="1"/>
  <c r="I161" i="1"/>
  <c r="E161" i="1" s="1"/>
  <c r="I163" i="1"/>
  <c r="F163" i="1" s="1"/>
  <c r="I308" i="1"/>
  <c r="E308" i="1" s="1"/>
  <c r="I153" i="1"/>
  <c r="E153" i="1" s="1"/>
  <c r="I559" i="1"/>
  <c r="F559" i="1" s="1"/>
  <c r="I101" i="1"/>
  <c r="F101" i="1" s="1"/>
  <c r="I95" i="1"/>
  <c r="F95" i="1" s="1"/>
  <c r="I322" i="1"/>
  <c r="E322" i="1" s="1"/>
  <c r="I292" i="1"/>
  <c r="F292" i="1" s="1"/>
  <c r="E484" i="1"/>
  <c r="E773" i="1"/>
  <c r="E637" i="1"/>
  <c r="I531" i="1"/>
  <c r="F531" i="1" s="1"/>
  <c r="I461" i="1"/>
  <c r="E461" i="1" s="1"/>
  <c r="I801" i="1"/>
  <c r="F801" i="1" s="1"/>
  <c r="E619" i="1"/>
  <c r="I888" i="1"/>
  <c r="F888" i="1" s="1"/>
  <c r="I526" i="1"/>
  <c r="F526" i="1" s="1"/>
  <c r="E813" i="1"/>
  <c r="F838" i="1"/>
  <c r="I544" i="1"/>
  <c r="F544" i="1" s="1"/>
  <c r="F623" i="1"/>
  <c r="I43" i="1"/>
  <c r="E43" i="1" s="1"/>
  <c r="F585" i="1"/>
  <c r="I741" i="1"/>
  <c r="E741" i="1" s="1"/>
  <c r="F973" i="1"/>
  <c r="E326" i="1"/>
  <c r="F619" i="1"/>
  <c r="I786" i="1"/>
  <c r="E786" i="1" s="1"/>
  <c r="F712" i="1"/>
  <c r="F765" i="1"/>
  <c r="I283" i="1"/>
  <c r="F283" i="1" s="1"/>
  <c r="I841" i="1"/>
  <c r="E841" i="1" s="1"/>
  <c r="F723" i="1"/>
  <c r="E723" i="1"/>
  <c r="E833" i="1"/>
  <c r="I893" i="1"/>
  <c r="F893" i="1" s="1"/>
  <c r="I344" i="1"/>
  <c r="F344" i="1" s="1"/>
  <c r="F833" i="1"/>
  <c r="F995" i="1"/>
  <c r="I367" i="1"/>
  <c r="F367" i="1" s="1"/>
  <c r="F891" i="1"/>
  <c r="I930" i="1"/>
  <c r="F930" i="1" s="1"/>
  <c r="E606" i="1"/>
  <c r="E898" i="1"/>
  <c r="F898" i="1"/>
  <c r="I328" i="1"/>
  <c r="F328" i="1" s="1"/>
  <c r="I829" i="1"/>
  <c r="E829" i="1" s="1"/>
  <c r="I357" i="1"/>
  <c r="F357" i="1" s="1"/>
  <c r="I29" i="1"/>
  <c r="F29" i="1" s="1"/>
  <c r="E596" i="1"/>
  <c r="F923" i="1"/>
  <c r="I698" i="1"/>
  <c r="E698" i="1" s="1"/>
  <c r="I124" i="1"/>
  <c r="F124" i="1" s="1"/>
  <c r="I896" i="1"/>
  <c r="E896" i="1" s="1"/>
  <c r="I598" i="1"/>
  <c r="E598" i="1" s="1"/>
  <c r="E555" i="1"/>
  <c r="F596" i="1"/>
  <c r="I9" i="1"/>
  <c r="F9" i="1" s="1"/>
  <c r="I812" i="1"/>
  <c r="F812" i="1" s="1"/>
  <c r="F994" i="1"/>
  <c r="I755" i="1"/>
  <c r="F755" i="1" s="1"/>
  <c r="F905" i="1"/>
  <c r="I316" i="1"/>
  <c r="F316" i="1" s="1"/>
  <c r="I157" i="1"/>
  <c r="F157" i="1" s="1"/>
  <c r="F555" i="1"/>
  <c r="F572" i="1"/>
  <c r="E612" i="1"/>
  <c r="F611" i="1"/>
  <c r="E846" i="1"/>
  <c r="F846" i="1"/>
  <c r="I674" i="1"/>
  <c r="E674" i="1" s="1"/>
  <c r="I8" i="1"/>
  <c r="F8" i="1" s="1"/>
  <c r="I167" i="1"/>
  <c r="E167" i="1" s="1"/>
  <c r="I761" i="1"/>
  <c r="F761" i="1" s="1"/>
  <c r="E700" i="1"/>
  <c r="I79" i="1"/>
  <c r="F79" i="1" s="1"/>
  <c r="I832" i="1"/>
  <c r="F832" i="1" s="1"/>
  <c r="E577" i="1"/>
  <c r="I578" i="1"/>
  <c r="F578" i="1" s="1"/>
  <c r="I949" i="1"/>
  <c r="F949" i="1" s="1"/>
  <c r="E740" i="1"/>
  <c r="I678" i="1"/>
  <c r="E678" i="1" s="1"/>
  <c r="I664" i="1"/>
  <c r="E664" i="1" s="1"/>
  <c r="E967" i="1"/>
  <c r="I212" i="1"/>
  <c r="F212" i="1" s="1"/>
  <c r="F967" i="1"/>
  <c r="F610" i="1"/>
  <c r="E610" i="1"/>
  <c r="E620" i="1"/>
  <c r="F620" i="1"/>
  <c r="E644" i="1"/>
  <c r="I414" i="1"/>
  <c r="F414" i="1" s="1"/>
  <c r="E770" i="1"/>
  <c r="F813" i="1"/>
  <c r="I688" i="1"/>
  <c r="F688" i="1" s="1"/>
  <c r="F770" i="1"/>
  <c r="E730" i="1"/>
  <c r="I775" i="1"/>
  <c r="F775" i="1" s="1"/>
  <c r="F979" i="1"/>
  <c r="E877" i="1"/>
  <c r="E979" i="1"/>
  <c r="E989" i="1"/>
  <c r="I939" i="1"/>
  <c r="E939" i="1" s="1"/>
  <c r="E702" i="1"/>
  <c r="E906" i="1"/>
  <c r="F906" i="1"/>
  <c r="I127" i="1"/>
  <c r="E127" i="1" s="1"/>
  <c r="I147" i="1"/>
  <c r="F147" i="1" s="1"/>
  <c r="I219" i="1"/>
  <c r="F219" i="1" s="1"/>
  <c r="I138" i="1"/>
  <c r="F138" i="1" s="1"/>
  <c r="I304" i="1"/>
  <c r="F304" i="1" s="1"/>
  <c r="I166" i="1"/>
  <c r="E166" i="1" s="1"/>
  <c r="I394" i="1"/>
  <c r="F394" i="1" s="1"/>
  <c r="F877" i="1"/>
  <c r="F932" i="1"/>
  <c r="E932" i="1"/>
  <c r="I413" i="1"/>
  <c r="F413" i="1" s="1"/>
  <c r="I57" i="1"/>
  <c r="E57" i="1" s="1"/>
  <c r="E584" i="1"/>
  <c r="I100" i="1"/>
  <c r="F100" i="1" s="1"/>
  <c r="I676" i="1"/>
  <c r="F676" i="1" s="1"/>
  <c r="F584" i="1"/>
  <c r="E970" i="1"/>
  <c r="I388" i="1"/>
  <c r="F388" i="1" s="1"/>
  <c r="I409" i="1"/>
  <c r="F409" i="1" s="1"/>
  <c r="F970" i="1"/>
  <c r="E335" i="1"/>
  <c r="I170" i="1"/>
  <c r="F170" i="1" s="1"/>
  <c r="F335" i="1"/>
  <c r="F847" i="1"/>
  <c r="E847" i="1"/>
  <c r="I192" i="1"/>
  <c r="E192" i="1" s="1"/>
  <c r="I397" i="1"/>
  <c r="F397" i="1" s="1"/>
  <c r="I400" i="1"/>
  <c r="E400" i="1" s="1"/>
  <c r="I22" i="1"/>
  <c r="F22" i="1" s="1"/>
  <c r="I188" i="1"/>
  <c r="E188" i="1" s="1"/>
  <c r="I203" i="1"/>
  <c r="E203" i="1" s="1"/>
  <c r="I822" i="1"/>
  <c r="E822" i="1" s="1"/>
  <c r="I438" i="1"/>
  <c r="F438" i="1" s="1"/>
  <c r="I248" i="1"/>
  <c r="F248" i="1" s="1"/>
  <c r="I300" i="1"/>
  <c r="E300" i="1" s="1"/>
  <c r="E887" i="1"/>
  <c r="I340" i="1"/>
  <c r="F340" i="1" s="1"/>
  <c r="I294" i="1"/>
  <c r="F294" i="1" s="1"/>
  <c r="I333" i="1"/>
  <c r="F333" i="1" s="1"/>
  <c r="I162" i="1"/>
  <c r="F162" i="1" s="1"/>
  <c r="I425" i="1"/>
  <c r="F425" i="1" s="1"/>
  <c r="I811" i="1"/>
  <c r="E811" i="1" s="1"/>
  <c r="I415" i="1"/>
  <c r="F415" i="1" s="1"/>
  <c r="I432" i="1"/>
  <c r="E432" i="1" s="1"/>
  <c r="I103" i="1"/>
  <c r="F103" i="1" s="1"/>
  <c r="I356" i="1"/>
  <c r="F356" i="1" s="1"/>
  <c r="E547" i="1"/>
  <c r="I176" i="1"/>
  <c r="F176" i="1" s="1"/>
  <c r="I599" i="1"/>
  <c r="F599" i="1" s="1"/>
  <c r="I247" i="1"/>
  <c r="F247" i="1" s="1"/>
  <c r="I282" i="1"/>
  <c r="E282" i="1" s="1"/>
  <c r="I434" i="1"/>
  <c r="F434" i="1" s="1"/>
  <c r="I418" i="1"/>
  <c r="F418" i="1" s="1"/>
  <c r="I202" i="1"/>
  <c r="F202" i="1" s="1"/>
  <c r="I227" i="1"/>
  <c r="F227" i="1" s="1"/>
  <c r="I48" i="1"/>
  <c r="F48" i="1" s="1"/>
  <c r="E817" i="1"/>
  <c r="I442" i="1"/>
  <c r="F442" i="1" s="1"/>
  <c r="I302" i="1"/>
  <c r="F302" i="1" s="1"/>
  <c r="E826" i="1"/>
  <c r="E665" i="1"/>
  <c r="E617" i="1"/>
  <c r="F617" i="1"/>
  <c r="F665" i="1"/>
  <c r="I840" i="1"/>
  <c r="E840" i="1" s="1"/>
  <c r="I270" i="1"/>
  <c r="F270" i="1" s="1"/>
  <c r="I99" i="1"/>
  <c r="F99" i="1" s="1"/>
  <c r="F817" i="1"/>
  <c r="F921" i="1"/>
  <c r="F883" i="1"/>
  <c r="E883" i="1"/>
  <c r="E921" i="1"/>
  <c r="E697" i="1"/>
  <c r="F697" i="1"/>
  <c r="E972" i="1"/>
  <c r="I41" i="1"/>
  <c r="F41" i="1" s="1"/>
  <c r="F845" i="1"/>
  <c r="E845" i="1"/>
  <c r="I691" i="1"/>
  <c r="E691" i="1" s="1"/>
  <c r="F912" i="1"/>
  <c r="E912" i="1"/>
  <c r="I946" i="1"/>
  <c r="F946" i="1" s="1"/>
  <c r="I525" i="1"/>
  <c r="F525" i="1" s="1"/>
  <c r="F650" i="1"/>
  <c r="I659" i="1"/>
  <c r="E659" i="1" s="1"/>
  <c r="E650" i="1"/>
  <c r="F934" i="1"/>
  <c r="I506" i="1"/>
  <c r="F506" i="1" s="1"/>
  <c r="I6" i="1"/>
  <c r="F6" i="1" s="1"/>
  <c r="I164" i="1"/>
  <c r="E164" i="1" s="1"/>
  <c r="F634" i="1"/>
  <c r="I941" i="1"/>
  <c r="E941" i="1" s="1"/>
  <c r="E634" i="1"/>
  <c r="E719" i="1"/>
  <c r="I85" i="1"/>
  <c r="F85" i="1" s="1"/>
  <c r="F729" i="1"/>
  <c r="E729" i="1"/>
  <c r="E918" i="1"/>
  <c r="E821" i="1"/>
  <c r="I184" i="1"/>
  <c r="F184" i="1" s="1"/>
  <c r="I77" i="1"/>
  <c r="F77" i="1" s="1"/>
  <c r="E703" i="1"/>
  <c r="I899" i="1"/>
  <c r="F899" i="1" s="1"/>
  <c r="E895" i="1"/>
  <c r="F895" i="1"/>
  <c r="I769" i="1"/>
  <c r="E603" i="1"/>
  <c r="I795" i="1"/>
  <c r="E795" i="1" s="1"/>
  <c r="I865" i="1"/>
  <c r="F865" i="1" s="1"/>
  <c r="F568" i="1"/>
  <c r="E568" i="1"/>
  <c r="I670" i="1"/>
  <c r="E670" i="1" s="1"/>
  <c r="F771" i="1"/>
  <c r="E114" i="1"/>
  <c r="I1000" i="1"/>
  <c r="E1000" i="1" s="1"/>
  <c r="I856" i="1"/>
  <c r="F856" i="1" s="1"/>
  <c r="E934" i="1"/>
  <c r="I827" i="1"/>
  <c r="E827" i="1" s="1"/>
  <c r="I622" i="1"/>
  <c r="E622" i="1" s="1"/>
  <c r="E777" i="1"/>
  <c r="F777" i="1"/>
  <c r="F233" i="1"/>
  <c r="E233" i="1"/>
  <c r="I656" i="1"/>
  <c r="E656" i="1" s="1"/>
  <c r="E738" i="1"/>
  <c r="F918" i="1"/>
  <c r="F957" i="1"/>
  <c r="I985" i="1"/>
  <c r="F985" i="1" s="1"/>
  <c r="F848" i="1"/>
  <c r="E848" i="1"/>
  <c r="I111" i="1"/>
  <c r="F111" i="1" s="1"/>
  <c r="I757" i="1"/>
  <c r="E757" i="1" s="1"/>
  <c r="E593" i="1"/>
  <c r="I690" i="1"/>
  <c r="F690" i="1" s="1"/>
  <c r="E957" i="1"/>
  <c r="I842" i="1"/>
  <c r="E886" i="1"/>
  <c r="F593" i="1"/>
  <c r="E130" i="1"/>
  <c r="E649" i="1"/>
  <c r="E581" i="1"/>
  <c r="E726" i="1"/>
  <c r="I550" i="1"/>
  <c r="F550" i="1" s="1"/>
  <c r="I200" i="1"/>
  <c r="F200" i="1" s="1"/>
  <c r="I961" i="1"/>
  <c r="E961" i="1" s="1"/>
  <c r="I491" i="1"/>
  <c r="F491" i="1" s="1"/>
  <c r="I564" i="1"/>
  <c r="E564" i="1" s="1"/>
  <c r="E767" i="1"/>
  <c r="I860" i="1"/>
  <c r="E860" i="1" s="1"/>
  <c r="E853" i="1"/>
  <c r="I255" i="1"/>
  <c r="E685" i="1"/>
  <c r="F855" i="1"/>
  <c r="F834" i="1"/>
  <c r="E980" i="1"/>
  <c r="E868" i="1"/>
  <c r="I583" i="1"/>
  <c r="F583" i="1" s="1"/>
  <c r="F685" i="1"/>
  <c r="I828" i="1"/>
  <c r="E828" i="1" s="1"/>
  <c r="E855" i="1"/>
  <c r="E834" i="1"/>
  <c r="I567" i="1"/>
  <c r="E567" i="1" s="1"/>
  <c r="I478" i="1"/>
  <c r="F478" i="1" s="1"/>
  <c r="I903" i="1"/>
  <c r="E903" i="1" s="1"/>
  <c r="I721" i="1"/>
  <c r="F721" i="1" s="1"/>
  <c r="E927" i="1"/>
  <c r="I271" i="1"/>
  <c r="I648" i="1"/>
  <c r="F648" i="1" s="1"/>
  <c r="I716" i="1"/>
  <c r="E716" i="1" s="1"/>
  <c r="I926" i="1"/>
  <c r="F926" i="1" s="1"/>
  <c r="F876" i="1"/>
  <c r="I815" i="1"/>
  <c r="F815" i="1" s="1"/>
  <c r="E797" i="1"/>
  <c r="F574" i="1"/>
  <c r="I429" i="1"/>
  <c r="E429" i="1" s="1"/>
  <c r="F825" i="1"/>
  <c r="E673" i="1"/>
  <c r="E574" i="1"/>
  <c r="I692" i="1"/>
  <c r="E692" i="1" s="1"/>
  <c r="E900" i="1"/>
  <c r="E618" i="1"/>
  <c r="E668" i="1"/>
  <c r="I908" i="1"/>
  <c r="E908" i="1" s="1"/>
  <c r="I582" i="1"/>
  <c r="I992" i="1"/>
  <c r="E992" i="1" s="1"/>
  <c r="E948" i="1"/>
  <c r="F948" i="1"/>
  <c r="I677" i="1"/>
  <c r="F677" i="1" s="1"/>
  <c r="I252" i="1"/>
  <c r="E252" i="1" s="1"/>
  <c r="I158" i="1"/>
  <c r="F158" i="1" s="1"/>
  <c r="I774" i="1"/>
  <c r="E774" i="1" s="1"/>
  <c r="I799" i="1"/>
  <c r="I395" i="1"/>
  <c r="E836" i="1"/>
  <c r="E929" i="1"/>
  <c r="F929" i="1"/>
  <c r="I600" i="1"/>
  <c r="I18" i="1"/>
  <c r="E15" i="1"/>
  <c r="F581" i="1"/>
  <c r="E565" i="1"/>
  <c r="I707" i="1"/>
  <c r="E707" i="1" s="1"/>
  <c r="E792" i="1"/>
  <c r="E693" i="1"/>
  <c r="E993" i="1"/>
  <c r="I796" i="1"/>
  <c r="I806" i="1"/>
  <c r="E806" i="1" s="1"/>
  <c r="E54" i="1"/>
  <c r="F794" i="1"/>
  <c r="F900" i="1"/>
  <c r="I407" i="1"/>
  <c r="I778" i="1"/>
  <c r="E778" i="1" s="1"/>
  <c r="E129" i="1"/>
  <c r="E988" i="1"/>
  <c r="E701" i="1"/>
  <c r="F383" i="1"/>
  <c r="F701" i="1"/>
  <c r="I880" i="1"/>
  <c r="E880" i="1" s="1"/>
  <c r="I629" i="1"/>
  <c r="F988" i="1"/>
  <c r="F669" i="1"/>
  <c r="I569" i="1"/>
  <c r="E715" i="1"/>
  <c r="I713" i="1"/>
  <c r="E713" i="1" s="1"/>
  <c r="F933" i="1"/>
  <c r="I403" i="1"/>
  <c r="F403" i="1" s="1"/>
  <c r="E669" i="1"/>
  <c r="F15" i="1"/>
  <c r="E635" i="1"/>
  <c r="E145" i="1"/>
  <c r="F853" i="1"/>
  <c r="E866" i="1"/>
  <c r="I808" i="1"/>
  <c r="I717" i="1"/>
  <c r="E717" i="1" s="1"/>
  <c r="E952" i="1"/>
  <c r="I938" i="1"/>
  <c r="I624" i="1"/>
  <c r="E933" i="1"/>
  <c r="F783" i="1"/>
  <c r="I916" i="1"/>
  <c r="E916" i="1" s="1"/>
  <c r="I942" i="1"/>
  <c r="F942" i="1" s="1"/>
  <c r="F726" i="1"/>
  <c r="F662" i="1"/>
  <c r="I763" i="1"/>
  <c r="E652" i="1"/>
  <c r="I814" i="1"/>
  <c r="I654" i="1"/>
  <c r="E783" i="1"/>
  <c r="I781" i="1"/>
  <c r="F781" i="1" s="1"/>
  <c r="E768" i="1"/>
  <c r="E718" i="1"/>
  <c r="F649" i="1"/>
  <c r="E662" i="1"/>
  <c r="E735" i="1"/>
  <c r="F868" i="1"/>
  <c r="I551" i="1"/>
  <c r="F551" i="1" s="1"/>
  <c r="I951" i="1"/>
  <c r="F780" i="1"/>
  <c r="F562" i="1"/>
  <c r="I558" i="1"/>
  <c r="F558" i="1" s="1"/>
  <c r="E614" i="1"/>
  <c r="E780" i="1"/>
  <c r="E562" i="1"/>
  <c r="F616" i="1"/>
  <c r="F693" i="1"/>
  <c r="E679" i="1"/>
  <c r="E554" i="1"/>
  <c r="E573" i="1"/>
  <c r="I928" i="1"/>
  <c r="F747" i="1"/>
  <c r="E591" i="1"/>
  <c r="I696" i="1"/>
  <c r="F696" i="1" s="1"/>
  <c r="E108" i="1"/>
  <c r="I862" i="1"/>
  <c r="I553" i="1"/>
  <c r="E747" i="1"/>
  <c r="F591" i="1"/>
  <c r="E556" i="1"/>
  <c r="E66" i="1"/>
  <c r="F618" i="1"/>
  <c r="E616" i="1"/>
  <c r="I950" i="1"/>
  <c r="F950" i="1" s="1"/>
  <c r="E667" i="1"/>
  <c r="E590" i="1"/>
  <c r="E785" i="1"/>
  <c r="E984" i="1"/>
  <c r="E779" i="1"/>
  <c r="E705" i="1"/>
  <c r="E890" i="1"/>
  <c r="E907" i="1"/>
  <c r="E756" i="1"/>
  <c r="E850" i="1"/>
  <c r="E631" i="1"/>
  <c r="I602" i="1"/>
  <c r="E766" i="1"/>
  <c r="E613" i="1"/>
  <c r="E579" i="1"/>
  <c r="E818" i="1"/>
  <c r="F579" i="1"/>
  <c r="E621" i="1"/>
  <c r="E341" i="1"/>
  <c r="E481" i="1"/>
  <c r="E563" i="1"/>
  <c r="E724" i="1"/>
  <c r="F867" i="1"/>
  <c r="E909" i="1"/>
  <c r="I381" i="1"/>
  <c r="F341" i="1"/>
  <c r="E937" i="1"/>
  <c r="F766" i="1"/>
  <c r="F481" i="1"/>
  <c r="F563" i="1"/>
  <c r="F724" i="1"/>
  <c r="E867" i="1"/>
  <c r="F909" i="1"/>
  <c r="E190" i="1"/>
  <c r="I571" i="1"/>
  <c r="F571" i="1" s="1"/>
  <c r="I854" i="1"/>
  <c r="E658" i="1"/>
  <c r="E731" i="1"/>
  <c r="E146" i="1"/>
  <c r="E711" i="1"/>
  <c r="E704" i="1"/>
  <c r="I889" i="1"/>
  <c r="I626" i="1"/>
  <c r="I910" i="1"/>
  <c r="I872" i="1"/>
  <c r="E739" i="1"/>
  <c r="I19" i="1"/>
  <c r="E473" i="1"/>
  <c r="E38" i="1"/>
  <c r="F198" i="1"/>
  <c r="E198" i="1"/>
  <c r="E256" i="1"/>
  <c r="I732" i="1"/>
  <c r="F732" i="1" s="1"/>
  <c r="I226" i="1"/>
  <c r="F226" i="1" s="1"/>
  <c r="I406" i="1"/>
  <c r="E576" i="1"/>
  <c r="I976" i="1"/>
  <c r="E976" i="1" s="1"/>
  <c r="F510" i="1"/>
  <c r="E687" i="1"/>
  <c r="E17" i="1"/>
  <c r="I350" i="1"/>
  <c r="I470" i="1"/>
  <c r="E470" i="1" s="1"/>
  <c r="E640" i="1"/>
  <c r="I852" i="1"/>
  <c r="I645" i="1"/>
  <c r="E892" i="1"/>
  <c r="F785" i="1"/>
  <c r="I978" i="1"/>
  <c r="E978" i="1" s="1"/>
  <c r="I680" i="1"/>
  <c r="E680" i="1" s="1"/>
  <c r="F984" i="1"/>
  <c r="I140" i="1"/>
  <c r="E140" i="1" s="1"/>
  <c r="E913" i="1"/>
  <c r="I315" i="1"/>
  <c r="F315" i="1" s="1"/>
  <c r="E807" i="1"/>
  <c r="F850" i="1"/>
  <c r="I628" i="1"/>
  <c r="E628" i="1" s="1"/>
  <c r="E71" i="1"/>
  <c r="E625" i="1"/>
  <c r="E132" i="1"/>
  <c r="F750" i="1"/>
  <c r="E750" i="1"/>
  <c r="F264" i="1"/>
  <c r="E131" i="1"/>
  <c r="F71" i="1"/>
  <c r="E359" i="1"/>
  <c r="E275" i="1"/>
  <c r="F858" i="1"/>
  <c r="E510" i="1"/>
  <c r="E924" i="1"/>
  <c r="I338" i="1"/>
  <c r="I457" i="1"/>
  <c r="F131" i="1"/>
  <c r="E464" i="1"/>
  <c r="F206" i="1"/>
  <c r="E206" i="1"/>
  <c r="E604" i="1"/>
  <c r="F419" i="1"/>
  <c r="E419" i="1"/>
  <c r="E503" i="1"/>
  <c r="E675" i="1"/>
  <c r="E466" i="1"/>
  <c r="E311" i="1"/>
  <c r="E378" i="1"/>
  <c r="E231" i="1"/>
  <c r="E864" i="1"/>
  <c r="F272" i="1"/>
  <c r="E272" i="1"/>
  <c r="E760" i="1"/>
  <c r="E504" i="1"/>
  <c r="F924" i="1"/>
  <c r="I958" i="1"/>
  <c r="F958" i="1" s="1"/>
  <c r="I165" i="1"/>
  <c r="F165" i="1" s="1"/>
  <c r="I208" i="1"/>
  <c r="F311" i="1"/>
  <c r="I173" i="1"/>
  <c r="I382" i="1"/>
  <c r="E365" i="1"/>
  <c r="I784" i="1"/>
  <c r="E784" i="1" s="1"/>
  <c r="E160" i="1"/>
  <c r="E181" i="1"/>
  <c r="I810" i="1"/>
  <c r="F7" i="1"/>
  <c r="I234" i="1"/>
  <c r="E82" i="1"/>
  <c r="I594" i="1"/>
  <c r="F711" i="1"/>
  <c r="F378" i="1"/>
  <c r="E538" i="1"/>
  <c r="E734" i="1"/>
  <c r="F734" i="1"/>
  <c r="F190" i="1"/>
  <c r="F256" i="1"/>
  <c r="E323" i="1"/>
  <c r="I798" i="1"/>
  <c r="E798" i="1" s="1"/>
  <c r="E482" i="1"/>
  <c r="I25" i="1"/>
  <c r="F25" i="1" s="1"/>
  <c r="I187" i="1"/>
  <c r="I752" i="1"/>
  <c r="E752" i="1" s="1"/>
  <c r="I62" i="1"/>
  <c r="I885" i="1"/>
  <c r="F885" i="1" s="1"/>
  <c r="I402" i="1"/>
  <c r="E402" i="1" s="1"/>
  <c r="I500" i="1"/>
  <c r="F500" i="1" s="1"/>
  <c r="I67" i="1"/>
  <c r="E67" i="1" s="1"/>
  <c r="F632" i="1"/>
  <c r="E632" i="1"/>
  <c r="F541" i="1"/>
  <c r="F196" i="1"/>
  <c r="E196" i="1"/>
  <c r="E467" i="1"/>
  <c r="E638" i="1"/>
  <c r="E141" i="1"/>
  <c r="E285" i="1"/>
  <c r="I493" i="1"/>
  <c r="F493" i="1" s="1"/>
  <c r="I70" i="1"/>
  <c r="F70" i="1" s="1"/>
  <c r="I134" i="1"/>
  <c r="E134" i="1" s="1"/>
  <c r="I143" i="1"/>
  <c r="I386" i="1"/>
  <c r="I643" i="1"/>
  <c r="F643" i="1" s="1"/>
  <c r="E882" i="1"/>
  <c r="F82" i="1"/>
  <c r="I746" i="1"/>
  <c r="E453" i="1"/>
  <c r="I475" i="1"/>
  <c r="E475" i="1" s="1"/>
  <c r="E816" i="1"/>
  <c r="F816" i="1"/>
  <c r="E392" i="1"/>
  <c r="E824" i="1"/>
  <c r="F687" i="1"/>
  <c r="E837" i="1"/>
  <c r="F535" i="1"/>
  <c r="E535" i="1"/>
  <c r="E541" i="1"/>
  <c r="I11" i="1"/>
  <c r="E11" i="1" s="1"/>
  <c r="F172" i="1"/>
  <c r="E172" i="1"/>
  <c r="E7" i="1"/>
  <c r="F844" i="1"/>
  <c r="E844" i="1"/>
  <c r="I433" i="1"/>
  <c r="F433" i="1" s="1"/>
  <c r="I117" i="1"/>
  <c r="F117" i="1" s="1"/>
  <c r="I681" i="1"/>
  <c r="E681" i="1" s="1"/>
  <c r="I86" i="1"/>
  <c r="E86" i="1" s="1"/>
  <c r="F346" i="1"/>
  <c r="E346" i="1"/>
  <c r="E468" i="1"/>
  <c r="F468" i="1"/>
  <c r="E180" i="1"/>
  <c r="E45" i="1"/>
  <c r="E154" i="1"/>
  <c r="I455" i="1"/>
  <c r="F455" i="1" s="1"/>
  <c r="I416" i="1"/>
  <c r="F640" i="1"/>
  <c r="E660" i="1"/>
  <c r="E943" i="1"/>
  <c r="E169" i="1"/>
  <c r="E136" i="1"/>
  <c r="E321" i="1"/>
  <c r="E110" i="1"/>
  <c r="F613" i="1"/>
  <c r="I405" i="1"/>
  <c r="F405" i="1" s="1"/>
  <c r="E369" i="1"/>
  <c r="F38" i="1"/>
  <c r="I261" i="1"/>
  <c r="E261" i="1" s="1"/>
  <c r="I63" i="1"/>
  <c r="F63" i="1" s="1"/>
  <c r="I609" i="1"/>
  <c r="F708" i="1"/>
  <c r="E303" i="1"/>
  <c r="E13" i="1"/>
  <c r="F621" i="1"/>
  <c r="E430" i="1"/>
  <c r="I666" i="1"/>
  <c r="E106" i="1"/>
  <c r="E274" i="1"/>
  <c r="I440" i="1"/>
  <c r="F440" i="1" s="1"/>
  <c r="E743" i="1"/>
  <c r="E361" i="1"/>
  <c r="F809" i="1"/>
  <c r="F254" i="1"/>
  <c r="E254" i="1"/>
  <c r="F87" i="1"/>
  <c r="E87" i="1"/>
  <c r="I495" i="1"/>
  <c r="E98" i="1"/>
  <c r="E426" i="1"/>
  <c r="E32" i="1"/>
  <c r="E420" i="1"/>
  <c r="F913" i="1"/>
  <c r="I443" i="1"/>
  <c r="F360" i="1"/>
  <c r="E360" i="1"/>
  <c r="E210" i="1"/>
  <c r="F120" i="1"/>
  <c r="E120" i="1"/>
  <c r="I342" i="1"/>
  <c r="E342" i="1" s="1"/>
  <c r="F220" i="1"/>
  <c r="E220" i="1"/>
  <c r="E197" i="1"/>
  <c r="E135" i="1"/>
  <c r="E641" i="1"/>
  <c r="E870" i="1"/>
  <c r="I533" i="1"/>
  <c r="E820" i="1"/>
  <c r="E289" i="1"/>
  <c r="I494" i="1"/>
  <c r="F494" i="1" s="1"/>
  <c r="I214" i="1"/>
  <c r="F214" i="1" s="1"/>
  <c r="F66" i="1"/>
  <c r="F699" i="1"/>
  <c r="E699" i="1"/>
  <c r="E917" i="1"/>
  <c r="E65" i="1"/>
  <c r="I486" i="1"/>
  <c r="F486" i="1" s="1"/>
  <c r="F518" i="1"/>
  <c r="E518" i="1"/>
  <c r="I310" i="1"/>
  <c r="E748" i="1"/>
  <c r="F820" i="1"/>
  <c r="E507" i="1"/>
  <c r="F435" i="1"/>
  <c r="I69" i="1"/>
  <c r="I47" i="1"/>
  <c r="F47" i="1" s="1"/>
  <c r="E259" i="1"/>
  <c r="I630" i="1"/>
  <c r="E81" i="1"/>
  <c r="F324" i="1"/>
  <c r="F492" i="1"/>
  <c r="I313" i="1"/>
  <c r="F313" i="1" s="1"/>
  <c r="F289" i="1"/>
  <c r="F58" i="1"/>
  <c r="F45" i="1"/>
  <c r="I539" i="1"/>
  <c r="E221" i="1"/>
  <c r="I299" i="1"/>
  <c r="E299" i="1" s="1"/>
  <c r="I224" i="1"/>
  <c r="F224" i="1" s="1"/>
  <c r="E277" i="1"/>
  <c r="F789" i="1"/>
  <c r="I803" i="1"/>
  <c r="F803" i="1" s="1"/>
  <c r="I376" i="1"/>
  <c r="E472" i="1"/>
  <c r="I417" i="1"/>
  <c r="F417" i="1" s="1"/>
  <c r="I115" i="1"/>
  <c r="F115" i="1" s="1"/>
  <c r="F180" i="1"/>
  <c r="F524" i="1"/>
  <c r="F466" i="1"/>
  <c r="I298" i="1"/>
  <c r="F298" i="1" s="1"/>
  <c r="I239" i="1"/>
  <c r="E239" i="1" s="1"/>
  <c r="I543" i="1"/>
  <c r="F543" i="1" s="1"/>
  <c r="I35" i="1"/>
  <c r="F35" i="1" s="1"/>
  <c r="F501" i="1"/>
  <c r="F285" i="1"/>
  <c r="F275" i="1"/>
  <c r="E223" i="1"/>
  <c r="F221" i="1"/>
  <c r="E399" i="1"/>
  <c r="I89" i="1"/>
  <c r="E89" i="1" s="1"/>
  <c r="E90" i="1"/>
  <c r="I222" i="1"/>
  <c r="F46" i="1"/>
  <c r="E46" i="1"/>
  <c r="I366" i="1"/>
  <c r="I546" i="1"/>
  <c r="F546" i="1" s="1"/>
  <c r="I312" i="1"/>
  <c r="E291" i="1"/>
  <c r="I441" i="1"/>
  <c r="I969" i="1"/>
  <c r="F969" i="1" s="1"/>
  <c r="F975" i="1"/>
  <c r="I113" i="1"/>
  <c r="F851" i="1"/>
  <c r="I37" i="1"/>
  <c r="E37" i="1" s="1"/>
  <c r="I940" i="1"/>
  <c r="F940" i="1" s="1"/>
  <c r="I218" i="1"/>
  <c r="E218" i="1" s="1"/>
  <c r="I228" i="1"/>
  <c r="F228" i="1" s="1"/>
  <c r="I253" i="1"/>
  <c r="E253" i="1" s="1"/>
  <c r="F520" i="1"/>
  <c r="E520" i="1"/>
  <c r="F319" i="1"/>
  <c r="E319" i="1"/>
  <c r="F90" i="1"/>
  <c r="F65" i="1"/>
  <c r="I347" i="1"/>
  <c r="I512" i="1"/>
  <c r="F512" i="1" s="1"/>
  <c r="I23" i="1"/>
  <c r="E23" i="1" s="1"/>
  <c r="F638" i="1"/>
  <c r="I337" i="1"/>
  <c r="F337" i="1" s="1"/>
  <c r="E263" i="1"/>
  <c r="E456" i="1"/>
  <c r="E236" i="1"/>
  <c r="E109" i="1"/>
  <c r="I112" i="1"/>
  <c r="I83" i="1"/>
  <c r="F83" i="1" s="1"/>
  <c r="I527" i="1"/>
  <c r="E527" i="1" s="1"/>
  <c r="E975" i="1"/>
  <c r="E851" i="1"/>
  <c r="I238" i="1"/>
  <c r="F521" i="1"/>
  <c r="I423" i="1"/>
  <c r="I307" i="1"/>
  <c r="F307" i="1" s="1"/>
  <c r="E448" i="1"/>
  <c r="I267" i="1"/>
  <c r="F267" i="1" s="1"/>
  <c r="E237" i="1"/>
  <c r="E509" i="1"/>
  <c r="E194" i="1"/>
  <c r="E251" i="1"/>
  <c r="I325" i="1"/>
  <c r="F325" i="1" s="1"/>
  <c r="I179" i="1"/>
  <c r="F179" i="1" s="1"/>
  <c r="I373" i="1"/>
  <c r="E373" i="1" s="1"/>
  <c r="F660" i="1"/>
  <c r="I64" i="1"/>
  <c r="E64" i="1" s="1"/>
  <c r="I72" i="1"/>
  <c r="F72" i="1" s="1"/>
  <c r="F870" i="1"/>
  <c r="I257" i="1"/>
  <c r="F257" i="1" s="1"/>
  <c r="E265" i="1"/>
  <c r="I682" i="1"/>
  <c r="I10" i="1"/>
  <c r="F10" i="1" s="1"/>
  <c r="E352" i="1"/>
  <c r="I523" i="1"/>
  <c r="I804" i="1"/>
  <c r="F804" i="1" s="1"/>
  <c r="I422" i="1"/>
  <c r="E422" i="1" s="1"/>
  <c r="I436" i="1"/>
  <c r="F436" i="1" s="1"/>
  <c r="I305" i="1"/>
  <c r="F305" i="1" s="1"/>
  <c r="E575" i="1"/>
  <c r="E139" i="1"/>
  <c r="I44" i="1"/>
  <c r="E44" i="1" s="1"/>
  <c r="E505" i="1"/>
  <c r="I364" i="1"/>
  <c r="F364" i="1" s="1"/>
  <c r="E177" i="1"/>
  <c r="I107" i="1"/>
  <c r="E107" i="1" s="1"/>
  <c r="I306" i="1"/>
  <c r="I385" i="1"/>
  <c r="F385" i="1" s="1"/>
  <c r="E487" i="1"/>
  <c r="E521" i="1"/>
  <c r="I334" i="1"/>
  <c r="F334" i="1" s="1"/>
  <c r="I168" i="1"/>
  <c r="F168" i="1" s="1"/>
  <c r="I144" i="1"/>
  <c r="E144" i="1" s="1"/>
  <c r="I97" i="1"/>
  <c r="E97" i="1" s="1"/>
  <c r="F207" i="1"/>
  <c r="E207" i="1"/>
  <c r="F509" i="1"/>
  <c r="F194" i="1"/>
  <c r="I273" i="1"/>
  <c r="E273" i="1" s="1"/>
  <c r="E60" i="1"/>
  <c r="I126" i="1"/>
  <c r="F126" i="1" s="1"/>
  <c r="E530" i="1"/>
  <c r="I276" i="1"/>
  <c r="E276" i="1" s="1"/>
  <c r="E532" i="1"/>
  <c r="E902" i="1"/>
  <c r="E225" i="1"/>
  <c r="E401" i="1"/>
  <c r="E454" i="1"/>
  <c r="E91" i="1"/>
  <c r="I55" i="1"/>
  <c r="I34" i="1"/>
  <c r="I104" i="1"/>
  <c r="E204" i="1"/>
  <c r="I152" i="1"/>
  <c r="E339" i="1"/>
  <c r="F396" i="1"/>
  <c r="I96" i="1"/>
  <c r="I371" i="1"/>
  <c r="I428" i="1"/>
  <c r="E428" i="1" s="1"/>
  <c r="I105" i="1"/>
  <c r="I519" i="1"/>
  <c r="F519" i="1" s="1"/>
  <c r="I354" i="1"/>
  <c r="F354" i="1" s="1"/>
  <c r="F575" i="1"/>
  <c r="I230" i="1"/>
  <c r="E230" i="1" s="1"/>
  <c r="I516" i="1"/>
  <c r="I182" i="1"/>
  <c r="E93" i="1"/>
  <c r="F197" i="1"/>
  <c r="F487" i="1"/>
  <c r="E33" i="1"/>
  <c r="E348" i="1"/>
  <c r="F53" i="1"/>
  <c r="E53" i="1"/>
  <c r="I119" i="1"/>
  <c r="F119" i="1" s="1"/>
  <c r="F181" i="1"/>
  <c r="F249" i="1"/>
  <c r="F204" i="1"/>
  <c r="F339" i="1"/>
  <c r="I351" i="1"/>
  <c r="I849" i="1"/>
  <c r="E849" i="1" s="1"/>
  <c r="E736" i="1"/>
  <c r="E235" i="1"/>
  <c r="E465" i="1"/>
  <c r="F33" i="1"/>
  <c r="F348" i="1"/>
  <c r="E431" i="1"/>
  <c r="E102" i="1"/>
  <c r="E286" i="1"/>
  <c r="I155" i="1"/>
  <c r="F155" i="1" s="1"/>
  <c r="I345" i="1"/>
  <c r="F345" i="1" s="1"/>
  <c r="E314" i="1"/>
  <c r="I216" i="1"/>
  <c r="F216" i="1" s="1"/>
  <c r="I758" i="1"/>
  <c r="F758" i="1" s="1"/>
  <c r="I479" i="1"/>
  <c r="F479" i="1" s="1"/>
  <c r="I121" i="1"/>
  <c r="F121" i="1" s="1"/>
  <c r="F675" i="1"/>
  <c r="E490" i="1"/>
  <c r="I26" i="1"/>
  <c r="E245" i="1"/>
  <c r="I171" i="1"/>
  <c r="E174" i="1"/>
  <c r="E488" i="1"/>
  <c r="I16" i="1"/>
  <c r="F16" i="1" s="1"/>
  <c r="F24" i="1"/>
  <c r="E24" i="1"/>
  <c r="E607" i="1"/>
  <c r="E460" i="1"/>
  <c r="I874" i="1"/>
  <c r="E39" i="1"/>
  <c r="I513" i="1"/>
  <c r="F513" i="1" s="1"/>
  <c r="E80" i="1"/>
  <c r="E396" i="1"/>
  <c r="E537" i="1"/>
  <c r="I474" i="1"/>
  <c r="F474" i="1" s="1"/>
  <c r="F102" i="1"/>
  <c r="E483" i="1"/>
  <c r="I288" i="1"/>
  <c r="E151" i="1"/>
  <c r="E49" i="1"/>
  <c r="E390" i="1"/>
  <c r="I199" i="1"/>
  <c r="E199" i="1" s="1"/>
  <c r="I655" i="1"/>
  <c r="E655" i="1" s="1"/>
  <c r="I213" i="1"/>
  <c r="E435" i="1"/>
  <c r="I444" i="1"/>
  <c r="F444" i="1" s="1"/>
  <c r="I869" i="1"/>
  <c r="E869" i="1" s="1"/>
  <c r="I258" i="1"/>
  <c r="E258" i="1" s="1"/>
  <c r="I489" i="1"/>
  <c r="E489" i="1" s="1"/>
  <c r="I28" i="1"/>
  <c r="E28" i="1" s="1"/>
  <c r="I293" i="1"/>
  <c r="F293" i="1" s="1"/>
  <c r="I963" i="1"/>
  <c r="F963" i="1" s="1"/>
  <c r="F259" i="1"/>
  <c r="E211" i="1"/>
  <c r="I191" i="1"/>
  <c r="F191" i="1" s="1"/>
  <c r="E12" i="1"/>
  <c r="I125" i="1"/>
  <c r="I295" i="1"/>
  <c r="E324" i="1"/>
  <c r="E492" i="1"/>
  <c r="F363" i="1"/>
  <c r="I287" i="1"/>
  <c r="F75" i="1"/>
  <c r="I391" i="1"/>
  <c r="I387" i="1"/>
  <c r="E387" i="1" s="1"/>
  <c r="E243" i="1"/>
  <c r="E2" i="1"/>
  <c r="I372" i="1"/>
  <c r="E372" i="1" s="1"/>
  <c r="I240" i="1"/>
  <c r="F240" i="1" s="1"/>
  <c r="F483" i="1"/>
  <c r="I384" i="1"/>
  <c r="F151" i="1"/>
  <c r="I156" i="1"/>
  <c r="E156" i="1" s="1"/>
  <c r="I437" i="1"/>
  <c r="F437" i="1" s="1"/>
  <c r="I496" i="1"/>
  <c r="E205" i="1"/>
  <c r="I408" i="1"/>
  <c r="E408" i="1" s="1"/>
  <c r="E524" i="1"/>
  <c r="F81" i="1"/>
  <c r="I421" i="1"/>
  <c r="F421" i="1" s="1"/>
  <c r="E412" i="1"/>
  <c r="I195" i="1"/>
  <c r="F195" i="1" s="1"/>
  <c r="F393" i="1"/>
  <c r="E58" i="1"/>
  <c r="I241" i="1"/>
  <c r="F241" i="1" s="1"/>
  <c r="I502" i="1"/>
  <c r="E502" i="1" s="1"/>
  <c r="I73" i="1"/>
  <c r="I459" i="1"/>
  <c r="I284" i="1"/>
  <c r="E284" i="1" s="1"/>
  <c r="E393" i="1"/>
  <c r="I480" i="1"/>
  <c r="E480" i="1" s="1"/>
  <c r="E118" i="1"/>
  <c r="F349" i="1"/>
  <c r="E511" i="1"/>
  <c r="I508" i="1"/>
  <c r="F508" i="1" s="1"/>
  <c r="E329" i="1"/>
  <c r="I528" i="1"/>
  <c r="F528" i="1" s="1"/>
  <c r="E123" i="1"/>
  <c r="F511" i="1"/>
  <c r="E290" i="1"/>
  <c r="E332" i="1"/>
  <c r="E540" i="1"/>
  <c r="E269" i="1"/>
  <c r="E178" i="1"/>
  <c r="I318" i="1"/>
  <c r="F318" i="1" s="1"/>
  <c r="I379" i="1"/>
  <c r="E379" i="1" s="1"/>
  <c r="I301" i="1"/>
  <c r="I320" i="1"/>
  <c r="F320" i="1" s="1"/>
  <c r="I266" i="1"/>
  <c r="F266" i="1" s="1"/>
  <c r="I279" i="1"/>
  <c r="F279" i="1" s="1"/>
  <c r="I355" i="1"/>
  <c r="F355" i="1" s="1"/>
  <c r="E296" i="1"/>
  <c r="I446" i="1"/>
  <c r="E545" i="1" l="1"/>
  <c r="E447" i="1"/>
  <c r="E229" i="1"/>
  <c r="E280" i="1"/>
  <c r="E458" i="1"/>
  <c r="E725" i="1"/>
  <c r="E592" i="1"/>
  <c r="E608" i="1"/>
  <c r="E281" i="1"/>
  <c r="E597" i="1"/>
  <c r="E149" i="1"/>
  <c r="E175" i="1"/>
  <c r="E20" i="1"/>
  <c r="E859" i="1"/>
  <c r="E661" i="1"/>
  <c r="E922" i="1"/>
  <c r="E759" i="1"/>
  <c r="E683" i="1"/>
  <c r="E128" i="1"/>
  <c r="E586" i="1"/>
  <c r="E904" i="1"/>
  <c r="E981" i="1"/>
  <c r="E317" i="1"/>
  <c r="E962" i="1"/>
  <c r="E536" i="1"/>
  <c r="E499" i="1"/>
  <c r="E377" i="1"/>
  <c r="E881" i="1"/>
  <c r="E587" i="1"/>
  <c r="E863" i="1"/>
  <c r="E964" i="1"/>
  <c r="E819" i="1"/>
  <c r="E268" i="1"/>
  <c r="E534" i="1"/>
  <c r="E559" i="1"/>
  <c r="F88" i="1"/>
  <c r="F105" i="1"/>
  <c r="E105" i="1"/>
  <c r="F64" i="1"/>
  <c r="E16" i="1"/>
  <c r="E803" i="1"/>
  <c r="F629" i="1"/>
  <c r="E629" i="1"/>
  <c r="F939" i="1"/>
  <c r="F646" i="1"/>
  <c r="F871" i="1"/>
  <c r="F598" i="1"/>
  <c r="E720" i="1"/>
  <c r="E672" i="1"/>
  <c r="E126" i="1"/>
  <c r="E416" i="1"/>
  <c r="F416" i="1"/>
  <c r="F338" i="1"/>
  <c r="E338" i="1"/>
  <c r="F670" i="1"/>
  <c r="F395" i="1"/>
  <c r="E395" i="1"/>
  <c r="E888" i="1"/>
  <c r="F461" i="1"/>
  <c r="E307" i="1"/>
  <c r="E382" i="1"/>
  <c r="F382" i="1"/>
  <c r="E446" i="1"/>
  <c r="F446" i="1"/>
  <c r="F351" i="1"/>
  <c r="E351" i="1"/>
  <c r="E763" i="1"/>
  <c r="F763" i="1"/>
  <c r="E624" i="1"/>
  <c r="F624" i="1"/>
  <c r="F757" i="1"/>
  <c r="F137" i="1"/>
  <c r="F427" i="1"/>
  <c r="F698" i="1"/>
  <c r="F389" i="1"/>
  <c r="E950" i="1"/>
  <c r="F692" i="1"/>
  <c r="E879" i="1"/>
  <c r="E648" i="1"/>
  <c r="E394" i="1"/>
  <c r="E85" i="1"/>
  <c r="F925" i="1"/>
  <c r="E808" i="1"/>
  <c r="F808" i="1"/>
  <c r="F26" i="1"/>
  <c r="E26" i="1"/>
  <c r="E234" i="1"/>
  <c r="F234" i="1"/>
  <c r="E371" i="1"/>
  <c r="F371" i="1"/>
  <c r="F253" i="1"/>
  <c r="F502" i="1"/>
  <c r="E121" i="1"/>
  <c r="F810" i="1"/>
  <c r="E810" i="1"/>
  <c r="E228" i="1"/>
  <c r="E814" i="1"/>
  <c r="F814" i="1"/>
  <c r="F992" i="1"/>
  <c r="E247" i="1"/>
  <c r="E170" i="1"/>
  <c r="E413" i="1"/>
  <c r="E103" i="1"/>
  <c r="F398" i="1"/>
  <c r="E202" i="1"/>
  <c r="F203" i="1"/>
  <c r="F986" i="1"/>
  <c r="E41" i="1"/>
  <c r="E74" i="1"/>
  <c r="F580" i="1"/>
  <c r="F878" i="1"/>
  <c r="E985" i="1"/>
  <c r="E226" i="1"/>
  <c r="E865" i="1"/>
  <c r="F192" i="1"/>
  <c r="E217" i="1"/>
  <c r="F410" i="1"/>
  <c r="F309" i="1"/>
  <c r="F983" i="1"/>
  <c r="F542" i="1"/>
  <c r="F450" i="1"/>
  <c r="E861" i="1"/>
  <c r="E266" i="1"/>
  <c r="F849" i="1"/>
  <c r="E519" i="1"/>
  <c r="E474" i="1"/>
  <c r="F107" i="1"/>
  <c r="F62" i="1"/>
  <c r="E62" i="1"/>
  <c r="F11" i="1"/>
  <c r="E385" i="1"/>
  <c r="E364" i="1"/>
  <c r="E854" i="1"/>
  <c r="F854" i="1"/>
  <c r="F769" i="1"/>
  <c r="E769" i="1"/>
  <c r="F86" i="1"/>
  <c r="F402" i="1"/>
  <c r="E862" i="1"/>
  <c r="F862" i="1"/>
  <c r="E83" i="1"/>
  <c r="F144" i="1"/>
  <c r="F407" i="1"/>
  <c r="E407" i="1"/>
  <c r="F716" i="1"/>
  <c r="E355" i="1"/>
  <c r="E298" i="1"/>
  <c r="F752" i="1"/>
  <c r="E546" i="1"/>
  <c r="F381" i="1"/>
  <c r="E381" i="1"/>
  <c r="E113" i="1"/>
  <c r="F113" i="1"/>
  <c r="F299" i="1"/>
  <c r="E354" i="1"/>
  <c r="F681" i="1"/>
  <c r="F230" i="1"/>
  <c r="E315" i="1"/>
  <c r="F140" i="1"/>
  <c r="E421" i="1"/>
  <c r="E240" i="1"/>
  <c r="E543" i="1"/>
  <c r="E72" i="1"/>
  <c r="F784" i="1"/>
  <c r="E35" i="1"/>
  <c r="E696" i="1"/>
  <c r="F260" i="1"/>
  <c r="F404" i="1"/>
  <c r="E248" i="1"/>
  <c r="E873" i="1"/>
  <c r="E676" i="1"/>
  <c r="E304" i="1"/>
  <c r="E583" i="1"/>
  <c r="F400" i="1"/>
  <c r="F860" i="1"/>
  <c r="E124" i="1"/>
  <c r="E772" i="1"/>
  <c r="E514" i="1"/>
  <c r="F514" i="1"/>
  <c r="F330" i="1"/>
  <c r="F997" i="1"/>
  <c r="F727" i="1"/>
  <c r="F790" i="1"/>
  <c r="E262" i="1"/>
  <c r="E657" i="1"/>
  <c r="E843" i="1"/>
  <c r="E168" i="1"/>
  <c r="E732" i="1"/>
  <c r="E279" i="1"/>
  <c r="F372" i="1"/>
  <c r="F527" i="1"/>
  <c r="E25" i="1"/>
  <c r="E958" i="1"/>
  <c r="F271" i="1"/>
  <c r="E271" i="1"/>
  <c r="F600" i="1"/>
  <c r="E600" i="1"/>
  <c r="F156" i="1"/>
  <c r="E969" i="1"/>
  <c r="F199" i="1"/>
  <c r="E486" i="1"/>
  <c r="E10" i="1"/>
  <c r="E305" i="1"/>
  <c r="E115" i="1"/>
  <c r="E313" i="1"/>
  <c r="F475" i="1"/>
  <c r="F428" i="1"/>
  <c r="E569" i="1"/>
  <c r="F569" i="1"/>
  <c r="F796" i="1"/>
  <c r="E796" i="1"/>
  <c r="E216" i="1"/>
  <c r="E267" i="1"/>
  <c r="F28" i="1"/>
  <c r="E158" i="1"/>
  <c r="F553" i="1"/>
  <c r="E553" i="1"/>
  <c r="E508" i="1"/>
  <c r="F284" i="1"/>
  <c r="F379" i="1"/>
  <c r="E417" i="1"/>
  <c r="F594" i="1"/>
  <c r="E594" i="1"/>
  <c r="E325" i="1"/>
  <c r="E119" i="1"/>
  <c r="E512" i="1"/>
  <c r="F628" i="1"/>
  <c r="F778" i="1"/>
  <c r="F239" i="1"/>
  <c r="E940" i="1"/>
  <c r="F680" i="1"/>
  <c r="F182" i="1"/>
  <c r="E182" i="1"/>
  <c r="F67" i="1"/>
  <c r="F276" i="1"/>
  <c r="F312" i="1"/>
  <c r="E312" i="1"/>
  <c r="E494" i="1"/>
  <c r="E345" i="1"/>
  <c r="F143" i="1"/>
  <c r="E143" i="1"/>
  <c r="E938" i="1"/>
  <c r="F938" i="1"/>
  <c r="E104" i="1"/>
  <c r="F104" i="1"/>
  <c r="F258" i="1"/>
  <c r="F852" i="1"/>
  <c r="E852" i="1"/>
  <c r="E295" i="1"/>
  <c r="F295" i="1"/>
  <c r="E433" i="1"/>
  <c r="E746" i="1"/>
  <c r="F746" i="1"/>
  <c r="E436" i="1"/>
  <c r="F626" i="1"/>
  <c r="E626" i="1"/>
  <c r="E942" i="1"/>
  <c r="F125" i="1"/>
  <c r="E125" i="1"/>
  <c r="F213" i="1"/>
  <c r="E213" i="1"/>
  <c r="F134" i="1"/>
  <c r="E754" i="1"/>
  <c r="E397" i="1"/>
  <c r="E471" i="1"/>
  <c r="E184" i="1"/>
  <c r="E100" i="1"/>
  <c r="E51" i="1"/>
  <c r="E434" i="1"/>
  <c r="E101" i="1"/>
  <c r="F358" i="1"/>
  <c r="E737" i="1"/>
  <c r="E48" i="1"/>
  <c r="E294" i="1"/>
  <c r="E775" i="1"/>
  <c r="E95" i="1"/>
  <c r="E380" i="1"/>
  <c r="F59" i="1"/>
  <c r="E22" i="1"/>
  <c r="E138" i="1"/>
  <c r="E185" i="1"/>
  <c r="F362" i="1"/>
  <c r="F953" i="1"/>
  <c r="F714" i="1"/>
  <c r="F252" i="1"/>
  <c r="F811" i="1"/>
  <c r="E292" i="1"/>
  <c r="E595" i="1"/>
  <c r="E755" i="1"/>
  <c r="F659" i="1"/>
  <c r="E857" i="1"/>
  <c r="F713" i="1"/>
  <c r="F941" i="1"/>
  <c r="F656" i="1"/>
  <c r="E525" i="1"/>
  <c r="F432" i="1"/>
  <c r="E438" i="1"/>
  <c r="E8" i="1"/>
  <c r="F566" i="1"/>
  <c r="E990" i="1"/>
  <c r="F919" i="1"/>
  <c r="E636" i="1"/>
  <c r="F31" i="1"/>
  <c r="E9" i="1"/>
  <c r="E340" i="1"/>
  <c r="F68" i="1"/>
  <c r="F947" i="1"/>
  <c r="F439" i="1"/>
  <c r="F908" i="1"/>
  <c r="E815" i="1"/>
  <c r="E337" i="1"/>
  <c r="F976" i="1"/>
  <c r="F567" i="1"/>
  <c r="E926" i="1"/>
  <c r="F961" i="1"/>
  <c r="E212" i="1"/>
  <c r="F694" i="1"/>
  <c r="F828" i="1"/>
  <c r="E368" i="1"/>
  <c r="F408" i="1"/>
  <c r="E96" i="1"/>
  <c r="F96" i="1"/>
  <c r="E963" i="1"/>
  <c r="F310" i="1"/>
  <c r="E310" i="1"/>
  <c r="F218" i="1"/>
  <c r="F89" i="1"/>
  <c r="E842" i="1"/>
  <c r="F842" i="1"/>
  <c r="E384" i="1"/>
  <c r="F384" i="1"/>
  <c r="E582" i="1"/>
  <c r="F582" i="1"/>
  <c r="E222" i="1"/>
  <c r="F222" i="1"/>
  <c r="E539" i="1"/>
  <c r="F539" i="1"/>
  <c r="F342" i="1"/>
  <c r="F666" i="1"/>
  <c r="E666" i="1"/>
  <c r="E500" i="1"/>
  <c r="F928" i="1"/>
  <c r="E928" i="1"/>
  <c r="F301" i="1"/>
  <c r="E301" i="1"/>
  <c r="F288" i="1"/>
  <c r="E288" i="1"/>
  <c r="F874" i="1"/>
  <c r="E874" i="1"/>
  <c r="E528" i="1"/>
  <c r="F18" i="1"/>
  <c r="E18" i="1"/>
  <c r="E910" i="1"/>
  <c r="F910" i="1"/>
  <c r="E318" i="1"/>
  <c r="F489" i="1"/>
  <c r="E457" i="1"/>
  <c r="F457" i="1"/>
  <c r="E320" i="1"/>
  <c r="F459" i="1"/>
  <c r="E459" i="1"/>
  <c r="E391" i="1"/>
  <c r="F391" i="1"/>
  <c r="E173" i="1"/>
  <c r="F173" i="1"/>
  <c r="E293" i="1"/>
  <c r="E889" i="1"/>
  <c r="F889" i="1"/>
  <c r="E558" i="1"/>
  <c r="F347" i="1"/>
  <c r="E347" i="1"/>
  <c r="E187" i="1"/>
  <c r="F187" i="1"/>
  <c r="E19" i="1"/>
  <c r="F19" i="1"/>
  <c r="F496" i="1"/>
  <c r="E496" i="1"/>
  <c r="F516" i="1"/>
  <c r="E516" i="1"/>
  <c r="F73" i="1"/>
  <c r="E73" i="1"/>
  <c r="E287" i="1"/>
  <c r="F287" i="1"/>
  <c r="E334" i="1"/>
  <c r="F152" i="1"/>
  <c r="E152" i="1"/>
  <c r="F238" i="1"/>
  <c r="E238" i="1"/>
  <c r="F387" i="1"/>
  <c r="F609" i="1"/>
  <c r="E609" i="1"/>
  <c r="E386" i="1"/>
  <c r="F386" i="1"/>
  <c r="F798" i="1"/>
  <c r="E799" i="1"/>
  <c r="F799" i="1"/>
  <c r="F441" i="1"/>
  <c r="E441" i="1"/>
  <c r="E195" i="1"/>
  <c r="F69" i="1"/>
  <c r="E69" i="1"/>
  <c r="E117" i="1"/>
  <c r="E885" i="1"/>
  <c r="F523" i="1"/>
  <c r="E523" i="1"/>
  <c r="E112" i="1"/>
  <c r="F112" i="1"/>
  <c r="F630" i="1"/>
  <c r="E630" i="1"/>
  <c r="F443" i="1"/>
  <c r="E443" i="1"/>
  <c r="E479" i="1"/>
  <c r="E406" i="1"/>
  <c r="F406" i="1"/>
  <c r="F654" i="1"/>
  <c r="E654" i="1"/>
  <c r="F273" i="1"/>
  <c r="E804" i="1"/>
  <c r="F495" i="1"/>
  <c r="E495" i="1"/>
  <c r="E444" i="1"/>
  <c r="F951" i="1"/>
  <c r="E951" i="1"/>
  <c r="F306" i="1"/>
  <c r="E306" i="1"/>
  <c r="F55" i="1"/>
  <c r="E55" i="1"/>
  <c r="F480" i="1"/>
  <c r="E224" i="1"/>
  <c r="E208" i="1"/>
  <c r="F208" i="1"/>
  <c r="E179" i="1"/>
  <c r="E602" i="1"/>
  <c r="F602" i="1"/>
  <c r="F533" i="1"/>
  <c r="E533" i="1"/>
  <c r="F470" i="1"/>
  <c r="F255" i="1"/>
  <c r="E255" i="1"/>
  <c r="E423" i="1"/>
  <c r="F423" i="1"/>
  <c r="F171" i="1"/>
  <c r="E171" i="1"/>
  <c r="E34" i="1"/>
  <c r="F34" i="1"/>
  <c r="F376" i="1"/>
  <c r="E376" i="1"/>
  <c r="E513" i="1"/>
  <c r="F97" i="1"/>
  <c r="F682" i="1"/>
  <c r="E682" i="1"/>
  <c r="E366" i="1"/>
  <c r="F366" i="1"/>
  <c r="E440" i="1"/>
  <c r="F373" i="1"/>
  <c r="F44" i="1"/>
  <c r="E645" i="1"/>
  <c r="F645" i="1"/>
  <c r="F350" i="1"/>
  <c r="E350" i="1"/>
  <c r="E872" i="1"/>
  <c r="F872" i="1"/>
  <c r="E684" i="1"/>
  <c r="F869" i="1"/>
  <c r="E214" i="1"/>
  <c r="E165" i="1"/>
  <c r="E550" i="1"/>
  <c r="E946" i="1"/>
  <c r="F840" i="1"/>
  <c r="E302" i="1"/>
  <c r="E227" i="1"/>
  <c r="E356" i="1"/>
  <c r="E599" i="1"/>
  <c r="E388" i="1"/>
  <c r="F127" i="1"/>
  <c r="E29" i="1"/>
  <c r="F841" i="1"/>
  <c r="E930" i="1"/>
  <c r="E578" i="1"/>
  <c r="F424" i="1"/>
  <c r="E241" i="1"/>
  <c r="F23" i="1"/>
  <c r="F261" i="1"/>
  <c r="F916" i="1"/>
  <c r="F1000" i="1"/>
  <c r="F774" i="1"/>
  <c r="E690" i="1"/>
  <c r="F57" i="1"/>
  <c r="F896" i="1"/>
  <c r="F322" i="1"/>
  <c r="F167" i="1"/>
  <c r="E663" i="1"/>
  <c r="F678" i="1"/>
  <c r="F161" i="1"/>
  <c r="E437" i="1"/>
  <c r="E455" i="1"/>
  <c r="E493" i="1"/>
  <c r="F806" i="1"/>
  <c r="E111" i="1"/>
  <c r="E77" i="1"/>
  <c r="E99" i="1"/>
  <c r="E442" i="1"/>
  <c r="E157" i="1"/>
  <c r="E357" i="1"/>
  <c r="E328" i="1"/>
  <c r="E367" i="1"/>
  <c r="E526" i="1"/>
  <c r="E531" i="1"/>
  <c r="F741" i="1"/>
  <c r="E733" i="1"/>
  <c r="E201" i="1"/>
  <c r="F880" i="1"/>
  <c r="F707" i="1"/>
  <c r="F822" i="1"/>
  <c r="F188" i="1"/>
  <c r="E79" i="1"/>
  <c r="E832" i="1"/>
  <c r="F954" i="1"/>
  <c r="F153" i="1"/>
  <c r="E936" i="1"/>
  <c r="F897" i="1"/>
  <c r="E893" i="1"/>
  <c r="E688" i="1"/>
  <c r="F786" i="1"/>
  <c r="E163" i="1"/>
  <c r="E92" i="1"/>
  <c r="E246" i="1"/>
  <c r="E544" i="1"/>
  <c r="E209" i="1"/>
  <c r="E270" i="1"/>
  <c r="F300" i="1"/>
  <c r="E462" i="1"/>
  <c r="F21" i="1"/>
  <c r="F148" i="1"/>
  <c r="E200" i="1"/>
  <c r="F564" i="1"/>
  <c r="E761" i="1"/>
  <c r="F43" i="1"/>
  <c r="F529" i="1"/>
  <c r="E155" i="1"/>
  <c r="E571" i="1"/>
  <c r="E551" i="1"/>
  <c r="E403" i="1"/>
  <c r="F622" i="1"/>
  <c r="F164" i="1"/>
  <c r="E506" i="1"/>
  <c r="E333" i="1"/>
  <c r="E409" i="1"/>
  <c r="E219" i="1"/>
  <c r="E414" i="1"/>
  <c r="F37" i="1"/>
  <c r="F655" i="1"/>
  <c r="E405" i="1"/>
  <c r="F978" i="1"/>
  <c r="F429" i="1"/>
  <c r="F829" i="1"/>
  <c r="F664" i="1"/>
  <c r="E116" i="1"/>
  <c r="E191" i="1"/>
  <c r="E63" i="1"/>
  <c r="E257" i="1"/>
  <c r="F422" i="1"/>
  <c r="F717" i="1"/>
  <c r="E781" i="1"/>
  <c r="E899" i="1"/>
  <c r="E478" i="1"/>
  <c r="F827" i="1"/>
  <c r="E425" i="1"/>
  <c r="E162" i="1"/>
  <c r="F282" i="1"/>
  <c r="E344" i="1"/>
  <c r="E283" i="1"/>
  <c r="F674" i="1"/>
  <c r="E758" i="1"/>
  <c r="E643" i="1"/>
  <c r="E150" i="1"/>
  <c r="E70" i="1"/>
  <c r="E677" i="1"/>
  <c r="E491" i="1"/>
  <c r="E6" i="1"/>
  <c r="E418" i="1"/>
  <c r="E415" i="1"/>
  <c r="F166" i="1"/>
  <c r="E801" i="1"/>
  <c r="E353" i="1"/>
  <c r="F903" i="1"/>
  <c r="E316" i="1"/>
  <c r="E996" i="1"/>
  <c r="E949" i="1"/>
  <c r="E764" i="1"/>
  <c r="F308" i="1"/>
  <c r="E721" i="1"/>
  <c r="E856" i="1"/>
  <c r="F795" i="1"/>
  <c r="F691" i="1"/>
  <c r="E47" i="1"/>
  <c r="E176" i="1"/>
  <c r="E147" i="1"/>
  <c r="E812" i="1"/>
</calcChain>
</file>

<file path=xl/sharedStrings.xml><?xml version="1.0" encoding="utf-8"?>
<sst xmlns="http://schemas.openxmlformats.org/spreadsheetml/2006/main" count="19" uniqueCount="19">
  <si>
    <t>25/26 Starts/Squads Made</t>
  </si>
  <si>
    <t>24/25 Starts/Squads Made</t>
  </si>
  <si>
    <t>MANUAL 24/25 Starts/Squads Made</t>
  </si>
  <si>
    <t>25/26 Mins/Start</t>
  </si>
  <si>
    <t>% 25/26 Mins/Start</t>
  </si>
  <si>
    <t>24/25 Mins/Start</t>
  </si>
  <si>
    <t>% 24/25 Mins/Start</t>
  </si>
  <si>
    <t>SCORE</t>
  </si>
  <si>
    <t>MANUAL 25/26 Starts/Squads Made</t>
  </si>
  <si>
    <t>POS</t>
  </si>
  <si>
    <t>24/25 Starts</t>
  </si>
  <si>
    <t>%</t>
  </si>
  <si>
    <t>POS2</t>
  </si>
  <si>
    <t>TEAM</t>
  </si>
  <si>
    <t>Weighted</t>
  </si>
  <si>
    <t>Manual Weight</t>
  </si>
  <si>
    <t>24/25</t>
  </si>
  <si>
    <t>25/26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</si>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</sst>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onsolas"/>
      <family val="2"/>
    </font>
    <font>
      <b/>
      <sz val="11"/>
      <color theme="1"/>
      <name val="Consolas"/>
      <family val="3"/>
    </font>
    <font>
      <sz val="8"/>
      <color theme="1"/>
      <name val="Consolas"/>
      <family val="2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sz val="8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 wrapText="1"/>
    </xf>
    <xf numFmtId="10" fontId="0" fillId="2" borderId="0" xfId="0" applyNumberFormat="1" applyFill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3" fillId="3" borderId="0" xfId="0" applyFont="1" applyFill="1"/>
    <xf numFmtId="9" fontId="1" fillId="4" borderId="2" xfId="0" applyNumberFormat="1" applyFont="1" applyFill="1" applyBorder="1" applyAlignment="1">
      <alignment horizontal="center" wrapText="1"/>
    </xf>
    <xf numFmtId="9" fontId="1" fillId="5" borderId="2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2" fontId="5" fillId="0" borderId="0" xfId="0" applyNumberFormat="1" applyFont="1" applyFill="1" applyAlignment="1">
      <alignment horizontal="center"/>
    </xf>
    <xf numFmtId="1" fontId="4" fillId="6" borderId="2" xfId="0" applyNumberFormat="1" applyFont="1" applyFill="1" applyBorder="1" applyAlignment="1">
      <alignment horizontal="center"/>
    </xf>
    <xf numFmtId="2" fontId="3" fillId="7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3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INAL"/>
      <sheetName val="Predict"/>
      <sheetName val="TRANSFER"/>
      <sheetName val="PPts"/>
      <sheetName val="xG2"/>
      <sheetName val="1"/>
      <sheetName val="NOTES"/>
    </sheetNames>
    <sheetDataSet>
      <sheetData sheetId="0"/>
      <sheetData sheetId="1">
        <row r="1">
          <cell r="A1" t="str">
            <v>Player Name</v>
          </cell>
          <cell r="B1" t="str">
            <v>Column1</v>
          </cell>
          <cell r="C1" t="str">
            <v>Alt Player Name B</v>
          </cell>
          <cell r="D1" t="str">
            <v>Column2</v>
          </cell>
          <cell r="E1" t="str">
            <v>Alt Player Name C</v>
          </cell>
          <cell r="F1" t="str">
            <v>Column3</v>
          </cell>
          <cell r="G1" t="str">
            <v>Alt Player Name D</v>
          </cell>
          <cell r="H1" t="str">
            <v>Column4</v>
          </cell>
          <cell r="I1" t="str">
            <v>Floor</v>
          </cell>
          <cell r="J1" t="str">
            <v>Average</v>
          </cell>
          <cell r="K1" t="str">
            <v>Ceiling</v>
          </cell>
          <cell r="L1" t="str">
            <v>Manual</v>
          </cell>
          <cell r="M1" t="str">
            <v>25/26 xGI Season Pts/90</v>
          </cell>
          <cell r="N1" t="str">
            <v>25/26 Season Form Pts/90</v>
          </cell>
          <cell r="O1" t="str">
            <v>xGI Form Pts/90</v>
          </cell>
          <cell r="P1" t="str">
            <v>xGI Season Pts/90</v>
          </cell>
          <cell r="Q1" t="str">
            <v>Season Form Pts/90</v>
          </cell>
          <cell r="R1" t="str">
            <v>30 Day Form Pts/90</v>
          </cell>
          <cell r="S1" t="str">
            <v>TOTAL</v>
          </cell>
          <cell r="T1" t="str">
            <v>Pos</v>
          </cell>
          <cell r="U1" t="str">
            <v>Pos2</v>
          </cell>
          <cell r="V1" t="str">
            <v>Team</v>
          </cell>
          <cell r="W1" t="str">
            <v>Full Team</v>
          </cell>
          <cell r="X1" t="str">
            <v>Price</v>
          </cell>
          <cell r="Y1" t="str">
            <v>Pts</v>
          </cell>
          <cell r="Z1" t="str">
            <v>DC Pts</v>
          </cell>
          <cell r="AA1" t="str">
            <v>Pts-DC</v>
          </cell>
          <cell r="AB1" t="str">
            <v>Mins</v>
          </cell>
          <cell r="AC1" t="str">
            <v>Min Filter</v>
          </cell>
          <cell r="AD1" t="str">
            <v>Actual Value</v>
          </cell>
          <cell r="AE1" t="str">
            <v>G</v>
          </cell>
          <cell r="AF1" t="str">
            <v>A</v>
          </cell>
          <cell r="AG1" t="str">
            <v>ΔG</v>
          </cell>
          <cell r="AH1" t="str">
            <v>ΔA</v>
          </cell>
          <cell r="AI1" t="str">
            <v>ΔGI</v>
          </cell>
          <cell r="AJ1" t="str">
            <v>Ownership</v>
          </cell>
          <cell r="AK1" t="str">
            <v>Bonus</v>
          </cell>
          <cell r="AL1" t="str">
            <v>BPS</v>
          </cell>
          <cell r="AM1" t="str">
            <v>YC</v>
          </cell>
          <cell r="AN1" t="str">
            <v>Saves</v>
          </cell>
          <cell r="AO1" t="str">
            <v>Element No.</v>
          </cell>
          <cell r="AP1" t="str">
            <v>Web Name</v>
          </cell>
          <cell r="AQ1" t="str">
            <v>CBI</v>
          </cell>
          <cell r="AR1" t="str">
            <v>Blk</v>
          </cell>
          <cell r="AS1" t="str">
            <v>Rcv</v>
          </cell>
          <cell r="AT1" t="str">
            <v>Int</v>
          </cell>
          <cell r="AU1" t="str">
            <v>Tkl</v>
          </cell>
          <cell r="AV1" t="str">
            <v>DC/90</v>
          </cell>
          <cell r="AW1" t="str">
            <v>MF</v>
          </cell>
          <cell r="AX1" t="str">
            <v>DC%</v>
          </cell>
          <cell r="AY1" t="str">
            <v>24/25 DC Rate</v>
          </cell>
          <cell r="AZ1" t="str">
            <v>Column5</v>
          </cell>
          <cell r="BA1" t="str">
            <v>Predicted Final Pts</v>
          </cell>
          <cell r="BB1" t="str">
            <v>Chance of Playing this week</v>
          </cell>
          <cell r="BC1" t="str">
            <v>Starts</v>
          </cell>
          <cell r="BD1" t="str">
            <v>Compl</v>
          </cell>
          <cell r="BE1" t="str">
            <v>Compl %</v>
          </cell>
          <cell r="BF1" t="str">
            <v>Mins/Start</v>
          </cell>
          <cell r="BG1" t="str">
            <v>% Mins/Start</v>
          </cell>
          <cell r="BH1" t="str">
            <v>Column6</v>
          </cell>
          <cell r="BI1" t="str">
            <v>Subs</v>
          </cell>
          <cell r="BJ1" t="str">
            <v>Mins/Subs</v>
          </cell>
          <cell r="BK1" t="str">
            <v>UnSub</v>
          </cell>
          <cell r="BL1" t="str">
            <v>Starts/SquadsMade</v>
          </cell>
          <cell r="BM1" t="str">
            <v>Subs/Squads Made</v>
          </cell>
          <cell r="BN1" t="str">
            <v>NEW MINS METRIC TRIAL (unused)</v>
          </cell>
          <cell r="BO1" t="str">
            <v>GW</v>
          </cell>
          <cell r="BP1" t="str">
            <v>Form</v>
          </cell>
          <cell r="BQ1" t="str">
            <v>Mins Played/Max Mins</v>
          </cell>
          <cell r="BR1" t="str">
            <v>xG</v>
          </cell>
          <cell r="BS1" t="str">
            <v>xG/90</v>
          </cell>
          <cell r="BT1" t="str">
            <v>xA</v>
          </cell>
          <cell r="BU1" t="str">
            <v>xA/90</v>
          </cell>
          <cell r="BV1" t="str">
            <v>xGI/90</v>
          </cell>
          <cell r="BW1" t="str">
            <v>xGA</v>
          </cell>
          <cell r="BX1" t="str">
            <v>Played</v>
          </cell>
          <cell r="BY1" t="str">
            <v>xGA/90</v>
          </cell>
          <cell r="BZ1" t="str">
            <v>2.643-</v>
          </cell>
        </row>
        <row r="2">
          <cell r="A2" t="str">
            <v>Josh Dasilva</v>
          </cell>
          <cell r="B2" t="str">
            <v/>
          </cell>
          <cell r="C2" t="str">
            <v>Dasilva</v>
          </cell>
          <cell r="D2" t="str">
            <v/>
          </cell>
          <cell r="E2" t="str">
            <v>Pelenda Joshua Da Silva</v>
          </cell>
          <cell r="F2" t="str">
            <v/>
          </cell>
          <cell r="H2" t="str">
            <v/>
          </cell>
          <cell r="I2" t="e">
            <v>#N/A</v>
          </cell>
          <cell r="J2" t="e">
            <v>#N/A</v>
          </cell>
          <cell r="K2" t="e">
            <v>#N/A</v>
          </cell>
          <cell r="M2">
            <v>20.695863631544238</v>
          </cell>
          <cell r="N2">
            <v>0</v>
          </cell>
          <cell r="O2">
            <v>20.45</v>
          </cell>
          <cell r="P2">
            <v>20.695863631544238</v>
          </cell>
          <cell r="Q2">
            <v>81</v>
          </cell>
          <cell r="R2">
            <v>81</v>
          </cell>
          <cell r="S2">
            <v>20.695863631544238</v>
          </cell>
          <cell r="T2" t="str">
            <v>MID</v>
          </cell>
          <cell r="U2" t="str">
            <v>CM</v>
          </cell>
          <cell r="V2" t="str">
            <v>BRE</v>
          </cell>
          <cell r="W2" t="str">
            <v>Brentford</v>
          </cell>
          <cell r="X2">
            <v>5</v>
          </cell>
          <cell r="Y2">
            <v>2</v>
          </cell>
          <cell r="Z2">
            <v>0</v>
          </cell>
          <cell r="AA2">
            <v>2</v>
          </cell>
          <cell r="AB2">
            <v>2</v>
          </cell>
          <cell r="AC2">
            <v>2</v>
          </cell>
          <cell r="AD2">
            <v>0.2</v>
          </cell>
          <cell r="AE2">
            <v>0</v>
          </cell>
          <cell r="AF2">
            <v>0</v>
          </cell>
          <cell r="AG2">
            <v>-3.6</v>
          </cell>
          <cell r="AH2">
            <v>0</v>
          </cell>
          <cell r="AI2">
            <v>-3.6</v>
          </cell>
          <cell r="AJ2">
            <v>0</v>
          </cell>
          <cell r="AK2">
            <v>0</v>
          </cell>
          <cell r="AL2">
            <v>5</v>
          </cell>
          <cell r="AM2">
            <v>0</v>
          </cell>
          <cell r="AN2">
            <v>0</v>
          </cell>
          <cell r="AO2">
            <v>103</v>
          </cell>
          <cell r="AP2" t="str">
            <v>Dasilva</v>
          </cell>
          <cell r="AQ2">
            <v>0</v>
          </cell>
          <cell r="AR2">
            <v>0</v>
          </cell>
          <cell r="AS2">
            <v>40.5</v>
          </cell>
          <cell r="AT2">
            <v>40.5</v>
          </cell>
          <cell r="AU2">
            <v>0</v>
          </cell>
          <cell r="AV2">
            <v>40.5</v>
          </cell>
          <cell r="AW2">
            <v>40.5</v>
          </cell>
          <cell r="AX2">
            <v>2.4895</v>
          </cell>
          <cell r="AY2">
            <v>0</v>
          </cell>
          <cell r="AZ2">
            <v>1</v>
          </cell>
          <cell r="BA2">
            <v>2</v>
          </cell>
          <cell r="BB2" t="str">
            <v/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0.9</v>
          </cell>
          <cell r="BH2">
            <v>1</v>
          </cell>
          <cell r="BI2">
            <v>2</v>
          </cell>
          <cell r="BJ2">
            <v>2</v>
          </cell>
          <cell r="BK2">
            <v>3</v>
          </cell>
          <cell r="BL2">
            <v>0</v>
          </cell>
          <cell r="BM2">
            <v>0.4</v>
          </cell>
          <cell r="BN2" t="e">
            <v>#DIV/0!</v>
          </cell>
          <cell r="BO2">
            <v>38</v>
          </cell>
          <cell r="BP2">
            <v>0</v>
          </cell>
          <cell r="BQ2">
            <v>5.8479532163742691E-4</v>
          </cell>
          <cell r="BR2">
            <v>0.08</v>
          </cell>
          <cell r="BS2">
            <v>3.6</v>
          </cell>
          <cell r="BT2">
            <v>0</v>
          </cell>
          <cell r="BU2">
            <v>0</v>
          </cell>
          <cell r="BV2">
            <v>3.6</v>
          </cell>
          <cell r="BW2">
            <v>0</v>
          </cell>
          <cell r="BX2">
            <v>38</v>
          </cell>
          <cell r="BY2">
            <v>1.5555263157894736</v>
          </cell>
          <cell r="BZ2">
            <v>1.0874736842105261</v>
          </cell>
        </row>
        <row r="3">
          <cell r="A3" t="str">
            <v>Fábio Freitas Gouveia Carvalho</v>
          </cell>
          <cell r="B3" t="str">
            <v/>
          </cell>
          <cell r="C3" t="str">
            <v>Carvalho</v>
          </cell>
          <cell r="D3" t="str">
            <v/>
          </cell>
          <cell r="E3" t="str">
            <v>Fabio Carvalho</v>
          </cell>
          <cell r="F3" t="str">
            <v/>
          </cell>
          <cell r="G3" t="str">
            <v>Fábio Carvalho</v>
          </cell>
          <cell r="H3" t="str">
            <v/>
          </cell>
          <cell r="I3">
            <v>1.8</v>
          </cell>
          <cell r="J3">
            <v>1.9500000000000002</v>
          </cell>
          <cell r="K3">
            <v>2.1</v>
          </cell>
          <cell r="M3">
            <v>6.3372636315442383</v>
          </cell>
          <cell r="N3">
            <v>0</v>
          </cell>
          <cell r="O3">
            <v>2.8280000000000003</v>
          </cell>
          <cell r="P3">
            <v>6.3372636315442383</v>
          </cell>
          <cell r="Q3">
            <v>11.700000000000001</v>
          </cell>
          <cell r="R3">
            <v>0</v>
          </cell>
          <cell r="S3">
            <v>6.3372636315442383</v>
          </cell>
          <cell r="T3" t="str">
            <v>MID</v>
          </cell>
          <cell r="U3" t="str">
            <v>AM</v>
          </cell>
          <cell r="V3" t="str">
            <v>BRE</v>
          </cell>
          <cell r="W3" t="str">
            <v>Brentford</v>
          </cell>
          <cell r="X3">
            <v>5</v>
          </cell>
          <cell r="Y3">
            <v>13</v>
          </cell>
          <cell r="Z3">
            <v>0</v>
          </cell>
          <cell r="AA3">
            <v>13</v>
          </cell>
          <cell r="AB3">
            <v>100</v>
          </cell>
          <cell r="AC3">
            <v>100</v>
          </cell>
          <cell r="AD3">
            <v>0.43333333333333329</v>
          </cell>
          <cell r="AE3">
            <v>1</v>
          </cell>
          <cell r="AF3">
            <v>0</v>
          </cell>
          <cell r="AG3">
            <v>0.27000000000000013</v>
          </cell>
          <cell r="AH3">
            <v>-2.6999999999999996E-2</v>
          </cell>
          <cell r="AI3">
            <v>0.2430000000000001</v>
          </cell>
          <cell r="AJ3">
            <v>0</v>
          </cell>
          <cell r="AK3">
            <v>1</v>
          </cell>
          <cell r="AL3">
            <v>42</v>
          </cell>
          <cell r="AM3">
            <v>0</v>
          </cell>
          <cell r="AN3">
            <v>0</v>
          </cell>
          <cell r="AO3">
            <v>100</v>
          </cell>
          <cell r="AP3" t="str">
            <v>Carvalho</v>
          </cell>
          <cell r="AQ3">
            <v>0</v>
          </cell>
          <cell r="AR3">
            <v>0</v>
          </cell>
          <cell r="AS3">
            <v>4.5</v>
          </cell>
          <cell r="AT3">
            <v>7.2</v>
          </cell>
          <cell r="AU3">
            <v>2.6999999999999997</v>
          </cell>
          <cell r="AV3">
            <v>7.2</v>
          </cell>
          <cell r="AW3">
            <v>7.2</v>
          </cell>
          <cell r="AX3">
            <v>6.7400000000000015E-2</v>
          </cell>
          <cell r="AY3">
            <v>0</v>
          </cell>
          <cell r="AZ3">
            <v>2.2000000000000002</v>
          </cell>
          <cell r="BA3">
            <v>13</v>
          </cell>
          <cell r="BB3">
            <v>0</v>
          </cell>
          <cell r="BC3">
            <v>1</v>
          </cell>
          <cell r="BD3">
            <v>1</v>
          </cell>
          <cell r="BE3">
            <v>1</v>
          </cell>
          <cell r="BF3">
            <v>90</v>
          </cell>
          <cell r="BG3">
            <v>1</v>
          </cell>
          <cell r="BH3">
            <v>1</v>
          </cell>
          <cell r="BI3">
            <v>5</v>
          </cell>
          <cell r="BJ3">
            <v>2</v>
          </cell>
          <cell r="BK3">
            <v>4</v>
          </cell>
          <cell r="BL3">
            <v>0.1</v>
          </cell>
          <cell r="BM3">
            <v>0.55554999999999999</v>
          </cell>
          <cell r="BN3">
            <v>0.12000000000000001</v>
          </cell>
          <cell r="BO3">
            <v>38</v>
          </cell>
          <cell r="BP3">
            <v>0</v>
          </cell>
          <cell r="BQ3">
            <v>2.9239766081871343E-2</v>
          </cell>
          <cell r="BR3">
            <v>0.7</v>
          </cell>
          <cell r="BS3">
            <v>0.62999999999999989</v>
          </cell>
          <cell r="BT3">
            <v>0.03</v>
          </cell>
          <cell r="BU3">
            <v>2.6999999999999996E-2</v>
          </cell>
          <cell r="BV3">
            <v>0.65699999999999992</v>
          </cell>
          <cell r="BW3">
            <v>0</v>
          </cell>
          <cell r="BX3">
            <v>38</v>
          </cell>
          <cell r="BY3">
            <v>1.5555263157894736</v>
          </cell>
          <cell r="BZ3">
            <v>1.0874736842105261</v>
          </cell>
        </row>
        <row r="4">
          <cell r="A4" t="str">
            <v>Erling Haaland</v>
          </cell>
          <cell r="B4" t="str">
            <v/>
          </cell>
          <cell r="C4" t="str">
            <v>Haaland</v>
          </cell>
          <cell r="D4" t="str">
            <v/>
          </cell>
          <cell r="F4" t="str">
            <v/>
          </cell>
          <cell r="H4" t="str">
            <v/>
          </cell>
          <cell r="I4">
            <v>5.8</v>
          </cell>
          <cell r="J4">
            <v>6.8666666666666671</v>
          </cell>
          <cell r="K4">
            <v>7.8</v>
          </cell>
          <cell r="M4">
            <v>6.1842885201490017</v>
          </cell>
          <cell r="N4">
            <v>6.9603792753132412</v>
          </cell>
          <cell r="O4">
            <v>6.4238678165330922</v>
          </cell>
          <cell r="P4">
            <v>6.1842885201490017</v>
          </cell>
          <cell r="Q4">
            <v>6.9603792753132412</v>
          </cell>
          <cell r="R4">
            <v>7.6444444444444448</v>
          </cell>
          <cell r="S4">
            <v>6.1842885201490017</v>
          </cell>
          <cell r="T4" t="str">
            <v>FWD</v>
          </cell>
          <cell r="U4" t="str">
            <v>CF</v>
          </cell>
          <cell r="V4" t="str">
            <v>MCI</v>
          </cell>
          <cell r="W4" t="str">
            <v>Man City</v>
          </cell>
          <cell r="X4">
            <v>15.5</v>
          </cell>
          <cell r="Y4">
            <v>239</v>
          </cell>
          <cell r="Z4">
            <v>0</v>
          </cell>
          <cell r="AA4">
            <v>239</v>
          </cell>
          <cell r="AB4">
            <v>2953</v>
          </cell>
          <cell r="AC4">
            <v>2953</v>
          </cell>
          <cell r="AD4">
            <v>0.44055299539170506</v>
          </cell>
          <cell r="AE4">
            <v>27</v>
          </cell>
          <cell r="AF4">
            <v>8</v>
          </cell>
          <cell r="AG4">
            <v>4.5716220792414441E-2</v>
          </cell>
          <cell r="AH4">
            <v>0.16244497121571283</v>
          </cell>
          <cell r="AI4">
            <v>0.20816119200812733</v>
          </cell>
          <cell r="AJ4">
            <v>0.72199999999999998</v>
          </cell>
          <cell r="AK4">
            <v>43</v>
          </cell>
          <cell r="AL4">
            <v>952</v>
          </cell>
          <cell r="AM4">
            <v>2</v>
          </cell>
          <cell r="AN4">
            <v>0</v>
          </cell>
          <cell r="AO4">
            <v>411</v>
          </cell>
          <cell r="AP4" t="str">
            <v>Haaland</v>
          </cell>
          <cell r="AQ4">
            <v>1.3979004402302742</v>
          </cell>
          <cell r="AR4">
            <v>0</v>
          </cell>
          <cell r="AS4">
            <v>1.1940399593633595</v>
          </cell>
          <cell r="AT4">
            <v>3.0287842871655943</v>
          </cell>
          <cell r="AU4">
            <v>0.43684388757196074</v>
          </cell>
          <cell r="AV4">
            <v>3.0287842871655943</v>
          </cell>
          <cell r="AW4">
            <v>3.0287842871655943</v>
          </cell>
          <cell r="AX4">
            <v>2.2932223888539501E-2</v>
          </cell>
          <cell r="AY4">
            <v>0</v>
          </cell>
          <cell r="AZ4">
            <v>6.8</v>
          </cell>
          <cell r="BA4">
            <v>239</v>
          </cell>
          <cell r="BB4" t="str">
            <v/>
          </cell>
          <cell r="BC4">
            <v>34</v>
          </cell>
          <cell r="BD4">
            <v>26</v>
          </cell>
          <cell r="BE4">
            <v>0.76470588235294112</v>
          </cell>
          <cell r="BF4">
            <v>86</v>
          </cell>
          <cell r="BG4">
            <v>0.9555555555555556</v>
          </cell>
          <cell r="BH4">
            <v>1</v>
          </cell>
          <cell r="BI4">
            <v>1</v>
          </cell>
          <cell r="BJ4">
            <v>18</v>
          </cell>
          <cell r="BK4">
            <v>1</v>
          </cell>
          <cell r="BL4">
            <v>0.94444444444444442</v>
          </cell>
          <cell r="BM4">
            <v>0</v>
          </cell>
          <cell r="BN4">
            <v>0.95607235142118852</v>
          </cell>
          <cell r="BO4">
            <v>38</v>
          </cell>
          <cell r="BP4">
            <v>0</v>
          </cell>
          <cell r="BQ4">
            <v>0.8634502923976608</v>
          </cell>
          <cell r="BR4">
            <v>25.5</v>
          </cell>
          <cell r="BS4">
            <v>0.77717575347104639</v>
          </cell>
          <cell r="BT4">
            <v>2.67</v>
          </cell>
          <cell r="BU4">
            <v>8.1374873010497797E-2</v>
          </cell>
          <cell r="BV4">
            <v>0.85855062648154423</v>
          </cell>
          <cell r="BW4">
            <v>0</v>
          </cell>
          <cell r="BX4">
            <v>38</v>
          </cell>
          <cell r="BY4">
            <v>1.223421052631579</v>
          </cell>
          <cell r="BZ4">
            <v>1.4195789473684208</v>
          </cell>
        </row>
        <row r="5">
          <cell r="A5" t="str">
            <v>Bruno Borges Fernandes</v>
          </cell>
          <cell r="B5" t="str">
            <v/>
          </cell>
          <cell r="C5" t="str">
            <v>B.Fernandes</v>
          </cell>
          <cell r="D5" t="str">
            <v/>
          </cell>
          <cell r="E5" t="str">
            <v>Bruno Fernandes</v>
          </cell>
          <cell r="F5" t="str">
            <v/>
          </cell>
          <cell r="H5" t="str">
            <v/>
          </cell>
          <cell r="I5">
            <v>4.7</v>
          </cell>
          <cell r="J5">
            <v>4.7666666666666666</v>
          </cell>
          <cell r="K5">
            <v>4.8</v>
          </cell>
          <cell r="M5">
            <v>6.0825713716038274</v>
          </cell>
          <cell r="N5">
            <v>6.4600326264274059</v>
          </cell>
          <cell r="O5">
            <v>5.0101215878194667</v>
          </cell>
          <cell r="P5">
            <v>6.0825713716038274</v>
          </cell>
          <cell r="Q5">
            <v>6.4600326264274059</v>
          </cell>
          <cell r="R5">
            <v>6.8444444444444441</v>
          </cell>
          <cell r="S5">
            <v>6.0825713716038274</v>
          </cell>
          <cell r="T5" t="str">
            <v>MID</v>
          </cell>
          <cell r="U5" t="str">
            <v>AM</v>
          </cell>
          <cell r="V5" t="str">
            <v>MUN</v>
          </cell>
          <cell r="W5" t="str">
            <v>Man Utd</v>
          </cell>
          <cell r="X5">
            <v>12</v>
          </cell>
          <cell r="Y5">
            <v>235</v>
          </cell>
          <cell r="Z5">
            <v>10</v>
          </cell>
          <cell r="AA5">
            <v>225</v>
          </cell>
          <cell r="AB5">
            <v>3065</v>
          </cell>
          <cell r="AC5">
            <v>3065</v>
          </cell>
          <cell r="AD5">
            <v>0.55952380952380953</v>
          </cell>
          <cell r="AE5">
            <v>9</v>
          </cell>
          <cell r="AF5">
            <v>24</v>
          </cell>
          <cell r="AG5">
            <v>-5.2561174551386591E-2</v>
          </cell>
          <cell r="AH5">
            <v>0.34414355628058729</v>
          </cell>
          <cell r="AI5">
            <v>0.2915823817292007</v>
          </cell>
          <cell r="AJ5">
            <v>0.46799999999999997</v>
          </cell>
          <cell r="AK5">
            <v>41</v>
          </cell>
          <cell r="AL5">
            <v>1008</v>
          </cell>
          <cell r="AM5">
            <v>5</v>
          </cell>
          <cell r="AN5">
            <v>0</v>
          </cell>
          <cell r="AO5">
            <v>426</v>
          </cell>
          <cell r="AP5" t="str">
            <v>B.Fernandes</v>
          </cell>
          <cell r="AQ5">
            <v>1.9236541598694943</v>
          </cell>
          <cell r="AR5">
            <v>0</v>
          </cell>
          <cell r="AS5">
            <v>4.7947797716150076</v>
          </cell>
          <cell r="AT5">
            <v>8.2401305057096259</v>
          </cell>
          <cell r="AU5">
            <v>1.5216965742251223</v>
          </cell>
          <cell r="AV5">
            <v>8.2401305057096259</v>
          </cell>
          <cell r="AW5">
            <v>8.2401305057096259</v>
          </cell>
          <cell r="AX5">
            <v>0.14228939641109306</v>
          </cell>
          <cell r="AY5">
            <v>0</v>
          </cell>
          <cell r="AZ5">
            <v>6.7</v>
          </cell>
          <cell r="BA5">
            <v>235</v>
          </cell>
          <cell r="BB5" t="str">
            <v/>
          </cell>
          <cell r="BC5">
            <v>35</v>
          </cell>
          <cell r="BD5">
            <v>29</v>
          </cell>
          <cell r="BE5">
            <v>0.82857142857142863</v>
          </cell>
          <cell r="BF5">
            <v>88</v>
          </cell>
          <cell r="BG5">
            <v>0.97777777777777775</v>
          </cell>
          <cell r="BH5">
            <v>1</v>
          </cell>
          <cell r="BI5">
            <v>0</v>
          </cell>
          <cell r="BJ5">
            <v>0</v>
          </cell>
          <cell r="BK5">
            <v>0</v>
          </cell>
          <cell r="BL5">
            <v>1</v>
          </cell>
          <cell r="BM5">
            <v>0</v>
          </cell>
          <cell r="BN5">
            <v>1</v>
          </cell>
          <cell r="BO5">
            <v>38</v>
          </cell>
          <cell r="BP5">
            <v>0</v>
          </cell>
          <cell r="BQ5">
            <v>0.89619883040935677</v>
          </cell>
          <cell r="BR5">
            <v>10.79</v>
          </cell>
          <cell r="BS5">
            <v>0.31683523654159867</v>
          </cell>
          <cell r="BT5">
            <v>12.28</v>
          </cell>
          <cell r="BU5">
            <v>0.36058727569331156</v>
          </cell>
          <cell r="BV5">
            <v>0.67742251223491023</v>
          </cell>
          <cell r="BW5">
            <v>0</v>
          </cell>
          <cell r="BX5">
            <v>38</v>
          </cell>
          <cell r="BY5">
            <v>1.3231578947368421</v>
          </cell>
          <cell r="BZ5">
            <v>1.3198421052631577</v>
          </cell>
        </row>
        <row r="6">
          <cell r="A6" t="str">
            <v>Matt O'Riley</v>
          </cell>
          <cell r="B6" t="str">
            <v/>
          </cell>
          <cell r="C6" t="str">
            <v>O'Riley</v>
          </cell>
          <cell r="D6" t="str">
            <v/>
          </cell>
          <cell r="F6" t="str">
            <v/>
          </cell>
          <cell r="H6" t="str">
            <v/>
          </cell>
          <cell r="I6" t="e">
            <v>#N/A</v>
          </cell>
          <cell r="J6" t="e">
            <v>#N/A</v>
          </cell>
          <cell r="K6" t="e">
            <v>#N/A</v>
          </cell>
          <cell r="M6">
            <v>5.9358429027113768</v>
          </cell>
          <cell r="N6">
            <v>7.0495049504950495</v>
          </cell>
          <cell r="O6">
            <v>5.6580891089108913</v>
          </cell>
          <cell r="P6">
            <v>5.9358429027113768</v>
          </cell>
          <cell r="Q6">
            <v>7.0495049504950495</v>
          </cell>
          <cell r="R6">
            <v>7.0495049504950495</v>
          </cell>
          <cell r="S6">
            <v>5.9358429027113768</v>
          </cell>
          <cell r="T6" t="str">
            <v>MID</v>
          </cell>
          <cell r="U6" t="str">
            <v>CM</v>
          </cell>
          <cell r="V6" t="str">
            <v>BHA</v>
          </cell>
          <cell r="W6" t="str">
            <v>Brighton</v>
          </cell>
          <cell r="X6">
            <v>5.5</v>
          </cell>
          <cell r="Y6">
            <v>16</v>
          </cell>
          <cell r="Z6">
            <v>0</v>
          </cell>
          <cell r="AA6">
            <v>16</v>
          </cell>
          <cell r="AB6">
            <v>202</v>
          </cell>
          <cell r="AC6">
            <v>202</v>
          </cell>
          <cell r="AD6">
            <v>0.48484848484848481</v>
          </cell>
          <cell r="AE6">
            <v>1</v>
          </cell>
          <cell r="AF6">
            <v>0</v>
          </cell>
          <cell r="AG6">
            <v>-9.3564356435643592E-2</v>
          </cell>
          <cell r="AH6">
            <v>-8.0198019801980186E-2</v>
          </cell>
          <cell r="AI6">
            <v>-0.17376237623762375</v>
          </cell>
          <cell r="AJ6">
            <v>9.9999999999988987E-4</v>
          </cell>
          <cell r="AK6">
            <v>2</v>
          </cell>
          <cell r="AL6">
            <v>48</v>
          </cell>
          <cell r="AM6">
            <v>0</v>
          </cell>
          <cell r="AN6">
            <v>0</v>
          </cell>
          <cell r="AO6">
            <v>126</v>
          </cell>
          <cell r="AP6" t="str">
            <v>O'Riley</v>
          </cell>
          <cell r="AQ6">
            <v>1.3217821782178216</v>
          </cell>
          <cell r="AR6">
            <v>0</v>
          </cell>
          <cell r="AS6">
            <v>0.88118811881188119</v>
          </cell>
          <cell r="AT6">
            <v>4.4059405940594063</v>
          </cell>
          <cell r="AU6">
            <v>2.2029702970297032</v>
          </cell>
          <cell r="AV6">
            <v>4.4059405940594063</v>
          </cell>
          <cell r="AW6">
            <v>4.4059405940594063</v>
          </cell>
          <cell r="AX6">
            <v>3.3359264497878363E-2</v>
          </cell>
          <cell r="AY6">
            <v>0</v>
          </cell>
          <cell r="AZ6">
            <v>2.7</v>
          </cell>
          <cell r="BA6">
            <v>16</v>
          </cell>
          <cell r="BB6" t="str">
            <v/>
          </cell>
          <cell r="BC6">
            <v>2</v>
          </cell>
          <cell r="BD6">
            <v>1</v>
          </cell>
          <cell r="BE6">
            <v>0.5</v>
          </cell>
          <cell r="BF6">
            <v>89</v>
          </cell>
          <cell r="BG6">
            <v>0.98888888888888893</v>
          </cell>
          <cell r="BH6">
            <v>1</v>
          </cell>
          <cell r="BI6">
            <v>4</v>
          </cell>
          <cell r="BJ6">
            <v>7</v>
          </cell>
          <cell r="BK6">
            <v>7</v>
          </cell>
          <cell r="BL6">
            <v>0.15384615384615385</v>
          </cell>
          <cell r="BM6">
            <v>0</v>
          </cell>
          <cell r="BN6">
            <v>0.22039757994814177</v>
          </cell>
          <cell r="BO6">
            <v>38</v>
          </cell>
          <cell r="BP6">
            <v>0</v>
          </cell>
          <cell r="BQ6">
            <v>5.9064327485380118E-2</v>
          </cell>
          <cell r="BR6">
            <v>1.21</v>
          </cell>
          <cell r="BS6">
            <v>0.53910891089108914</v>
          </cell>
          <cell r="BT6">
            <v>0.18</v>
          </cell>
          <cell r="BU6">
            <v>8.0198019801980186E-2</v>
          </cell>
          <cell r="BV6">
            <v>0.6193069306930693</v>
          </cell>
          <cell r="BW6">
            <v>0</v>
          </cell>
          <cell r="BX6">
            <v>38</v>
          </cell>
          <cell r="BY6">
            <v>1.4144736842105263</v>
          </cell>
          <cell r="BZ6">
            <v>1.2285263157894735</v>
          </cell>
        </row>
        <row r="7">
          <cell r="A7" t="str">
            <v>Enes Ünal</v>
          </cell>
          <cell r="B7" t="str">
            <v/>
          </cell>
          <cell r="D7" t="str">
            <v/>
          </cell>
          <cell r="F7" t="str">
            <v/>
          </cell>
          <cell r="H7" t="str">
            <v/>
          </cell>
          <cell r="I7" t="e">
            <v>#N/A</v>
          </cell>
          <cell r="J7" t="e">
            <v>#N/A</v>
          </cell>
          <cell r="K7" t="e">
            <v>#N/A</v>
          </cell>
          <cell r="M7">
            <v>5.6986635514018698</v>
          </cell>
          <cell r="N7">
            <v>0</v>
          </cell>
          <cell r="O7">
            <v>3.4808911214953264</v>
          </cell>
          <cell r="P7">
            <v>5.3201588785046736</v>
          </cell>
          <cell r="Q7">
            <v>10.219626168224298</v>
          </cell>
          <cell r="R7">
            <v>10.125</v>
          </cell>
          <cell r="S7">
            <v>5.6986635514018698</v>
          </cell>
          <cell r="T7" t="str">
            <v>FWD</v>
          </cell>
          <cell r="U7" t="str">
            <v>CF</v>
          </cell>
          <cell r="V7" t="str">
            <v>BOU</v>
          </cell>
          <cell r="W7" t="str">
            <v>Bournemouth</v>
          </cell>
          <cell r="X7">
            <v>5.5</v>
          </cell>
          <cell r="Y7">
            <v>27</v>
          </cell>
          <cell r="Z7">
            <v>0</v>
          </cell>
          <cell r="AA7">
            <v>27</v>
          </cell>
          <cell r="AB7">
            <v>214</v>
          </cell>
          <cell r="AC7">
            <v>214</v>
          </cell>
          <cell r="AD7">
            <v>0.21343873517786563</v>
          </cell>
          <cell r="AE7">
            <v>1</v>
          </cell>
          <cell r="AF7">
            <v>0</v>
          </cell>
          <cell r="AG7">
            <v>-0.42056074766355139</v>
          </cell>
          <cell r="AH7">
            <v>-2.9439252336448601E-2</v>
          </cell>
          <cell r="AI7">
            <v>-0.45</v>
          </cell>
          <cell r="AJ7">
            <v>2.0000000000000018E-3</v>
          </cell>
          <cell r="AK7">
            <v>1</v>
          </cell>
          <cell r="AL7">
            <v>83</v>
          </cell>
          <cell r="AM7">
            <v>1</v>
          </cell>
          <cell r="AN7">
            <v>0</v>
          </cell>
          <cell r="AO7">
            <v>80</v>
          </cell>
          <cell r="AP7" t="str">
            <v>Enes Ünal</v>
          </cell>
          <cell r="AQ7">
            <v>5.6775700934579438</v>
          </cell>
          <cell r="AR7">
            <v>0</v>
          </cell>
          <cell r="AS7">
            <v>2.6495327102803738</v>
          </cell>
          <cell r="AT7">
            <v>8.7056074766355138</v>
          </cell>
          <cell r="AU7">
            <v>0.37850467289719625</v>
          </cell>
          <cell r="AV7">
            <v>8.7056074766355138</v>
          </cell>
          <cell r="AW7">
            <v>8.7056074766355138</v>
          </cell>
          <cell r="AX7">
            <v>0.175803738317757</v>
          </cell>
          <cell r="AY7">
            <v>0</v>
          </cell>
          <cell r="AZ7">
            <v>1.2</v>
          </cell>
          <cell r="BA7">
            <v>27</v>
          </cell>
          <cell r="BB7" t="str">
            <v/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0.9</v>
          </cell>
          <cell r="BH7">
            <v>1</v>
          </cell>
          <cell r="BI7">
            <v>23</v>
          </cell>
          <cell r="BJ7">
            <v>10</v>
          </cell>
          <cell r="BK7">
            <v>4</v>
          </cell>
          <cell r="BL7">
            <v>0</v>
          </cell>
          <cell r="BM7">
            <v>0.85185185185185186</v>
          </cell>
          <cell r="BN7" t="e">
            <v>#DIV/0!</v>
          </cell>
          <cell r="BO7">
            <v>38</v>
          </cell>
          <cell r="BP7">
            <v>0</v>
          </cell>
          <cell r="BQ7">
            <v>6.2573099415204683E-2</v>
          </cell>
          <cell r="BR7">
            <v>2</v>
          </cell>
          <cell r="BS7">
            <v>0.84112149532710279</v>
          </cell>
          <cell r="BT7">
            <v>7.0000000000000007E-2</v>
          </cell>
          <cell r="BU7">
            <v>2.9439252336448601E-2</v>
          </cell>
          <cell r="BV7">
            <v>0.8705607476635514</v>
          </cell>
          <cell r="BW7">
            <v>0</v>
          </cell>
          <cell r="BX7">
            <v>38</v>
          </cell>
          <cell r="BY7">
            <v>1.4939473684210527</v>
          </cell>
          <cell r="BZ7">
            <v>1.1490526315789471</v>
          </cell>
        </row>
        <row r="8">
          <cell r="A8" t="str">
            <v>Max Dowman</v>
          </cell>
          <cell r="B8" t="str">
            <v/>
          </cell>
          <cell r="C8" t="str">
            <v>Dowman</v>
          </cell>
          <cell r="D8" t="str">
            <v/>
          </cell>
          <cell r="F8" t="str">
            <v/>
          </cell>
          <cell r="H8" t="str">
            <v/>
          </cell>
          <cell r="I8">
            <v>3.4</v>
          </cell>
          <cell r="J8">
            <v>3.5</v>
          </cell>
          <cell r="K8">
            <v>3.6</v>
          </cell>
          <cell r="M8">
            <v>5.5958962502886251</v>
          </cell>
          <cell r="N8">
            <v>0</v>
          </cell>
          <cell r="O8">
            <v>3.1977545061283337</v>
          </cell>
          <cell r="P8">
            <v>5.5958962502886251</v>
          </cell>
          <cell r="Q8">
            <v>6.4210526315789469</v>
          </cell>
          <cell r="R8">
            <v>3.342465753424658</v>
          </cell>
          <cell r="S8">
            <v>5.5958962502886251</v>
          </cell>
          <cell r="T8" t="str">
            <v>MID</v>
          </cell>
          <cell r="U8" t="str">
            <v>RW</v>
          </cell>
          <cell r="V8" t="str">
            <v>ARS</v>
          </cell>
          <cell r="W8" t="str">
            <v>Arsenal</v>
          </cell>
          <cell r="X8">
            <v>5.5</v>
          </cell>
          <cell r="Y8">
            <v>16</v>
          </cell>
          <cell r="Z8">
            <v>0</v>
          </cell>
          <cell r="AA8">
            <v>16</v>
          </cell>
          <cell r="AB8">
            <v>152</v>
          </cell>
          <cell r="AC8">
            <v>152</v>
          </cell>
          <cell r="AD8">
            <v>0.48484848484848481</v>
          </cell>
          <cell r="AE8">
            <v>1</v>
          </cell>
          <cell r="AF8">
            <v>1</v>
          </cell>
          <cell r="AG8">
            <v>-0.11249999999999993</v>
          </cell>
          <cell r="AH8">
            <v>0.41447368421052627</v>
          </cell>
          <cell r="AI8">
            <v>0.30197368421052628</v>
          </cell>
          <cell r="AJ8">
            <v>2.0000000000000018E-3</v>
          </cell>
          <cell r="AK8">
            <v>0</v>
          </cell>
          <cell r="AL8">
            <v>51</v>
          </cell>
          <cell r="AM8">
            <v>0</v>
          </cell>
          <cell r="AN8">
            <v>0</v>
          </cell>
          <cell r="AO8">
            <v>20</v>
          </cell>
          <cell r="AP8" t="str">
            <v>Dowman</v>
          </cell>
          <cell r="AQ8">
            <v>0.40131578947368418</v>
          </cell>
          <cell r="AR8">
            <v>0</v>
          </cell>
          <cell r="AS8">
            <v>5.2171052631578956</v>
          </cell>
          <cell r="AT8">
            <v>6.4210526315789469</v>
          </cell>
          <cell r="AU8">
            <v>0.80263157894736836</v>
          </cell>
          <cell r="AV8">
            <v>6.4210526315789469</v>
          </cell>
          <cell r="AW8">
            <v>6.4210526315789469</v>
          </cell>
          <cell r="AX8">
            <v>4.8616541353383454E-2</v>
          </cell>
          <cell r="AY8">
            <v>0</v>
          </cell>
          <cell r="AZ8">
            <v>2.7</v>
          </cell>
          <cell r="BA8">
            <v>16</v>
          </cell>
          <cell r="BB8" t="str">
            <v/>
          </cell>
          <cell r="BC8">
            <v>1</v>
          </cell>
          <cell r="BD8">
            <v>0</v>
          </cell>
          <cell r="BE8">
            <v>0</v>
          </cell>
          <cell r="BF8">
            <v>61</v>
          </cell>
          <cell r="BG8">
            <v>0.67777777777777781</v>
          </cell>
          <cell r="BH8">
            <v>1</v>
          </cell>
          <cell r="BI8">
            <v>5</v>
          </cell>
          <cell r="BJ8">
            <v>19</v>
          </cell>
          <cell r="BK8">
            <v>11</v>
          </cell>
          <cell r="BL8">
            <v>5.8823529411764705E-2</v>
          </cell>
          <cell r="BM8">
            <v>0.29411764705882348</v>
          </cell>
          <cell r="BN8">
            <v>0.35197685631629705</v>
          </cell>
          <cell r="BO8">
            <v>38</v>
          </cell>
          <cell r="BP8">
            <v>0</v>
          </cell>
          <cell r="BQ8">
            <v>4.4444444444444446E-2</v>
          </cell>
          <cell r="BR8">
            <v>1.19</v>
          </cell>
          <cell r="BS8">
            <v>0.70460526315789462</v>
          </cell>
          <cell r="BT8">
            <v>0.3</v>
          </cell>
          <cell r="BU8">
            <v>0.17763157894736842</v>
          </cell>
          <cell r="BV8">
            <v>0.8822368421052631</v>
          </cell>
          <cell r="BW8">
            <v>0</v>
          </cell>
          <cell r="BX8">
            <v>38</v>
          </cell>
          <cell r="BY8">
            <v>0.87184210526315797</v>
          </cell>
          <cell r="BZ8">
            <v>1.7711578947368418</v>
          </cell>
        </row>
        <row r="9">
          <cell r="A9" t="str">
            <v>Harrison Reed</v>
          </cell>
          <cell r="B9" t="str">
            <v/>
          </cell>
          <cell r="C9" t="str">
            <v>Reed</v>
          </cell>
          <cell r="D9" t="str">
            <v/>
          </cell>
          <cell r="F9" t="str">
            <v/>
          </cell>
          <cell r="H9" t="str">
            <v/>
          </cell>
          <cell r="I9">
            <v>0.8</v>
          </cell>
          <cell r="J9">
            <v>1.7999999999999998</v>
          </cell>
          <cell r="K9">
            <v>2.9</v>
          </cell>
          <cell r="M9">
            <v>5.5301774662696408</v>
          </cell>
          <cell r="N9">
            <v>0</v>
          </cell>
          <cell r="O9">
            <v>3.8746292134831464</v>
          </cell>
          <cell r="P9">
            <v>5.5113765497155853</v>
          </cell>
          <cell r="Q9">
            <v>10.617977528089886</v>
          </cell>
          <cell r="R9">
            <v>1.9999999999999996</v>
          </cell>
          <cell r="S9">
            <v>5.5301774662696408</v>
          </cell>
          <cell r="T9" t="str">
            <v>MID</v>
          </cell>
          <cell r="U9" t="str">
            <v>CM</v>
          </cell>
          <cell r="V9" t="str">
            <v>FUL</v>
          </cell>
          <cell r="W9" t="str">
            <v>Fulham</v>
          </cell>
          <cell r="X9">
            <v>4.5</v>
          </cell>
          <cell r="Y9">
            <v>15</v>
          </cell>
          <cell r="Z9">
            <v>0</v>
          </cell>
          <cell r="AA9">
            <v>15</v>
          </cell>
          <cell r="AB9">
            <v>89</v>
          </cell>
          <cell r="AC9">
            <v>89</v>
          </cell>
          <cell r="AD9">
            <v>0.47619047619047616</v>
          </cell>
          <cell r="AE9">
            <v>1</v>
          </cell>
          <cell r="AF9">
            <v>0</v>
          </cell>
          <cell r="AG9">
            <v>0.87977528089887647</v>
          </cell>
          <cell r="AH9">
            <v>-0.45505617977528096</v>
          </cell>
          <cell r="AI9">
            <v>0.42471910112359545</v>
          </cell>
          <cell r="AJ9">
            <v>1.2000000000000011E-2</v>
          </cell>
          <cell r="AK9">
            <v>2</v>
          </cell>
          <cell r="AL9">
            <v>48</v>
          </cell>
          <cell r="AM9">
            <v>0</v>
          </cell>
          <cell r="AN9">
            <v>0</v>
          </cell>
          <cell r="AO9">
            <v>270</v>
          </cell>
          <cell r="AP9" t="str">
            <v>Reed</v>
          </cell>
          <cell r="AQ9">
            <v>0.7078651685393258</v>
          </cell>
          <cell r="AR9">
            <v>0</v>
          </cell>
          <cell r="AS9">
            <v>3.5393258426966288</v>
          </cell>
          <cell r="AT9">
            <v>4.2471910112359543</v>
          </cell>
          <cell r="AU9">
            <v>0</v>
          </cell>
          <cell r="AV9">
            <v>4.2471910112359543</v>
          </cell>
          <cell r="AW9">
            <v>4.2471910112359543</v>
          </cell>
          <cell r="AX9">
            <v>3.2157303370786511E-2</v>
          </cell>
          <cell r="AY9">
            <v>0</v>
          </cell>
          <cell r="AZ9">
            <v>2.1</v>
          </cell>
          <cell r="BA9">
            <v>15</v>
          </cell>
          <cell r="BB9" t="str">
            <v/>
          </cell>
          <cell r="BC9">
            <v>1</v>
          </cell>
          <cell r="BD9">
            <v>0</v>
          </cell>
          <cell r="BE9">
            <v>0</v>
          </cell>
          <cell r="BF9">
            <v>63</v>
          </cell>
          <cell r="BG9">
            <v>0.7</v>
          </cell>
          <cell r="BH9">
            <v>1</v>
          </cell>
          <cell r="BI9">
            <v>6</v>
          </cell>
          <cell r="BJ9">
            <v>5</v>
          </cell>
          <cell r="BK9">
            <v>22</v>
          </cell>
          <cell r="BL9">
            <v>3.4482758620689655E-2</v>
          </cell>
          <cell r="BM9">
            <v>0.2068965517241379</v>
          </cell>
          <cell r="BN9">
            <v>0.1111111111111111</v>
          </cell>
          <cell r="BO9">
            <v>38</v>
          </cell>
          <cell r="BP9">
            <v>0</v>
          </cell>
          <cell r="BQ9">
            <v>2.6023391812865497E-2</v>
          </cell>
          <cell r="BR9">
            <v>0.13</v>
          </cell>
          <cell r="BS9">
            <v>0.13146067415730336</v>
          </cell>
          <cell r="BT9">
            <v>0.45</v>
          </cell>
          <cell r="BU9">
            <v>0.45505617977528096</v>
          </cell>
          <cell r="BV9">
            <v>0.58651685393258435</v>
          </cell>
          <cell r="BW9">
            <v>0</v>
          </cell>
          <cell r="BX9">
            <v>38</v>
          </cell>
          <cell r="BY9">
            <v>1.6842105263157894</v>
          </cell>
          <cell r="BZ9">
            <v>0.95878947368421041</v>
          </cell>
        </row>
        <row r="10">
          <cell r="A10" t="str">
            <v>Rayan Cherki</v>
          </cell>
          <cell r="B10" t="str">
            <v/>
          </cell>
          <cell r="C10" t="str">
            <v>Cherki</v>
          </cell>
          <cell r="D10" t="str">
            <v/>
          </cell>
          <cell r="F10" t="str">
            <v/>
          </cell>
          <cell r="H10" t="str">
            <v/>
          </cell>
          <cell r="I10" t="e">
            <v>#N/A</v>
          </cell>
          <cell r="J10" t="e">
            <v>#N/A</v>
          </cell>
          <cell r="K10" t="e">
            <v>#N/A</v>
          </cell>
          <cell r="M10">
            <v>5.5271322775296783</v>
          </cell>
          <cell r="N10">
            <v>5.692437923250564</v>
          </cell>
          <cell r="O10">
            <v>5.2134642099322788</v>
          </cell>
          <cell r="P10">
            <v>5.5271322775296783</v>
          </cell>
          <cell r="Q10">
            <v>5.692437923250564</v>
          </cell>
          <cell r="R10">
            <v>4.8125</v>
          </cell>
          <cell r="S10">
            <v>5.5271322775296783</v>
          </cell>
          <cell r="T10" t="str">
            <v>MID</v>
          </cell>
          <cell r="U10" t="str">
            <v>AM</v>
          </cell>
          <cell r="V10" t="str">
            <v>MCI</v>
          </cell>
          <cell r="W10" t="str">
            <v>Man City</v>
          </cell>
          <cell r="X10">
            <v>7.5</v>
          </cell>
          <cell r="Y10">
            <v>135</v>
          </cell>
          <cell r="Z10">
            <v>4</v>
          </cell>
          <cell r="AA10">
            <v>131</v>
          </cell>
          <cell r="AB10">
            <v>1772</v>
          </cell>
          <cell r="AC10">
            <v>1772</v>
          </cell>
          <cell r="AD10">
            <v>0.54545454545454541</v>
          </cell>
          <cell r="AE10">
            <v>4</v>
          </cell>
          <cell r="AF10">
            <v>13</v>
          </cell>
          <cell r="AG10">
            <v>-1.4221218961625343E-2</v>
          </cell>
          <cell r="AH10">
            <v>0.20976297968397306</v>
          </cell>
          <cell r="AI10">
            <v>0.19554176072234764</v>
          </cell>
          <cell r="AJ10">
            <v>0.10699999999999998</v>
          </cell>
          <cell r="AK10">
            <v>16</v>
          </cell>
          <cell r="AL10">
            <v>580</v>
          </cell>
          <cell r="AM10">
            <v>1</v>
          </cell>
          <cell r="AN10">
            <v>0</v>
          </cell>
          <cell r="AO10">
            <v>399</v>
          </cell>
          <cell r="AP10" t="str">
            <v>Cherki</v>
          </cell>
          <cell r="AQ10">
            <v>0.69525959367945811</v>
          </cell>
          <cell r="AR10">
            <v>0</v>
          </cell>
          <cell r="AS10">
            <v>4.0411963882618505</v>
          </cell>
          <cell r="AT10">
            <v>5.8662528216704288</v>
          </cell>
          <cell r="AU10">
            <v>1.1297968397291196</v>
          </cell>
          <cell r="AV10">
            <v>5.8662528216704288</v>
          </cell>
          <cell r="AW10">
            <v>5.8662528216704288</v>
          </cell>
          <cell r="AX10">
            <v>4.4415914221218961E-2</v>
          </cell>
          <cell r="AY10">
            <v>0</v>
          </cell>
          <cell r="AZ10">
            <v>4.0999999999999996</v>
          </cell>
          <cell r="BA10">
            <v>135</v>
          </cell>
          <cell r="BB10" t="str">
            <v/>
          </cell>
          <cell r="BC10">
            <v>19</v>
          </cell>
          <cell r="BD10">
            <v>5</v>
          </cell>
          <cell r="BE10">
            <v>0.26315789473684209</v>
          </cell>
          <cell r="BF10">
            <v>77</v>
          </cell>
          <cell r="BG10">
            <v>0.85555555555555551</v>
          </cell>
          <cell r="BH10">
            <v>1</v>
          </cell>
          <cell r="BI10">
            <v>14</v>
          </cell>
          <cell r="BJ10">
            <v>23</v>
          </cell>
          <cell r="BK10">
            <v>1</v>
          </cell>
          <cell r="BL10">
            <v>0.55882352941176472</v>
          </cell>
          <cell r="BM10">
            <v>0.41176470588235292</v>
          </cell>
          <cell r="BN10">
            <v>0.69060351413292598</v>
          </cell>
          <cell r="BO10">
            <v>38</v>
          </cell>
          <cell r="BP10">
            <v>0</v>
          </cell>
          <cell r="BQ10">
            <v>0.51812865497076022</v>
          </cell>
          <cell r="BR10">
            <v>4.28</v>
          </cell>
          <cell r="BS10">
            <v>0.21738148984198649</v>
          </cell>
          <cell r="BT10">
            <v>8.8699999999999992</v>
          </cell>
          <cell r="BU10">
            <v>0.45050790067720081</v>
          </cell>
          <cell r="BV10">
            <v>0.66788939051918728</v>
          </cell>
          <cell r="BW10">
            <v>0</v>
          </cell>
          <cell r="BX10">
            <v>38</v>
          </cell>
          <cell r="BY10">
            <v>1.223421052631579</v>
          </cell>
          <cell r="BZ10">
            <v>1.4195789473684208</v>
          </cell>
        </row>
        <row r="11">
          <cell r="A11" t="str">
            <v>James Maddison</v>
          </cell>
          <cell r="B11" t="str">
            <v/>
          </cell>
          <cell r="C11" t="str">
            <v>Maddison</v>
          </cell>
          <cell r="D11" t="str">
            <v/>
          </cell>
          <cell r="F11" t="str">
            <v/>
          </cell>
          <cell r="H11" t="str">
            <v/>
          </cell>
          <cell r="I11">
            <v>4.2</v>
          </cell>
          <cell r="J11">
            <v>4.333333333333333</v>
          </cell>
          <cell r="K11">
            <v>4.5</v>
          </cell>
          <cell r="M11">
            <v>5.5009828952559792</v>
          </cell>
          <cell r="N11">
            <v>0</v>
          </cell>
          <cell r="O11">
            <v>5.2341764705882348</v>
          </cell>
          <cell r="P11">
            <v>5.5009828952559792</v>
          </cell>
          <cell r="Q11">
            <v>7.1470588235294121</v>
          </cell>
          <cell r="R11">
            <v>7.1470588235294121</v>
          </cell>
          <cell r="S11">
            <v>5.5009828952559792</v>
          </cell>
          <cell r="T11" t="str">
            <v>MID</v>
          </cell>
          <cell r="U11" t="str">
            <v>AM</v>
          </cell>
          <cell r="V11" t="str">
            <v>TOT</v>
          </cell>
          <cell r="W11" t="str">
            <v>Spurs</v>
          </cell>
          <cell r="X11">
            <v>6.5</v>
          </cell>
          <cell r="Y11">
            <v>3</v>
          </cell>
          <cell r="Z11">
            <v>0</v>
          </cell>
          <cell r="AA11">
            <v>3</v>
          </cell>
          <cell r="AB11">
            <v>34</v>
          </cell>
          <cell r="AC11">
            <v>34</v>
          </cell>
          <cell r="AD11">
            <v>0.15384615384615385</v>
          </cell>
          <cell r="AE11">
            <v>0</v>
          </cell>
          <cell r="AF11">
            <v>0</v>
          </cell>
          <cell r="AG11">
            <v>-0.55588235294117638</v>
          </cell>
          <cell r="AH11">
            <v>-0.1588235294117647</v>
          </cell>
          <cell r="AI11">
            <v>-0.71470588235294108</v>
          </cell>
          <cell r="AJ11">
            <v>2.6999999999999913E-2</v>
          </cell>
          <cell r="AK11">
            <v>0</v>
          </cell>
          <cell r="AL11">
            <v>5</v>
          </cell>
          <cell r="AM11">
            <v>0</v>
          </cell>
          <cell r="AN11">
            <v>0</v>
          </cell>
          <cell r="AO11">
            <v>515</v>
          </cell>
          <cell r="AP11" t="str">
            <v>Maddison</v>
          </cell>
          <cell r="AQ11">
            <v>0</v>
          </cell>
          <cell r="AR11">
            <v>0</v>
          </cell>
          <cell r="AS11">
            <v>9.5294117647058822</v>
          </cell>
          <cell r="AT11">
            <v>11.911764705882353</v>
          </cell>
          <cell r="AU11">
            <v>2.3823529411764706</v>
          </cell>
          <cell r="AV11">
            <v>11.911764705882353</v>
          </cell>
          <cell r="AW11">
            <v>11.911764705882353</v>
          </cell>
          <cell r="AX11">
            <v>0.52402941176470597</v>
          </cell>
          <cell r="AY11">
            <v>0</v>
          </cell>
          <cell r="AZ11">
            <v>1</v>
          </cell>
          <cell r="BA11">
            <v>3</v>
          </cell>
          <cell r="BB11" t="str">
            <v/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0.9</v>
          </cell>
          <cell r="BH11">
            <v>1</v>
          </cell>
          <cell r="BI11">
            <v>3</v>
          </cell>
          <cell r="BJ11">
            <v>12</v>
          </cell>
          <cell r="BK11">
            <v>3</v>
          </cell>
          <cell r="BL11">
            <v>0</v>
          </cell>
          <cell r="BM11">
            <v>0.25</v>
          </cell>
          <cell r="BN11" t="e">
            <v>#DIV/0!</v>
          </cell>
          <cell r="BO11">
            <v>38</v>
          </cell>
          <cell r="BP11">
            <v>0</v>
          </cell>
          <cell r="BQ11">
            <v>9.9415204678362581E-3</v>
          </cell>
          <cell r="BR11">
            <v>0.21</v>
          </cell>
          <cell r="BS11">
            <v>0.55588235294117638</v>
          </cell>
          <cell r="BT11">
            <v>0.06</v>
          </cell>
          <cell r="BU11">
            <v>0.1588235294117647</v>
          </cell>
          <cell r="BV11">
            <v>0.71470588235294108</v>
          </cell>
          <cell r="BW11">
            <v>0</v>
          </cell>
          <cell r="BX11">
            <v>38</v>
          </cell>
          <cell r="BY11">
            <v>1.4628947368421052</v>
          </cell>
          <cell r="BZ11">
            <v>1.1801052631578945</v>
          </cell>
        </row>
        <row r="12">
          <cell r="A12" t="str">
            <v>Bukayo Saka</v>
          </cell>
          <cell r="B12" t="str">
            <v/>
          </cell>
          <cell r="C12" t="str">
            <v>Saka</v>
          </cell>
          <cell r="D12" t="str">
            <v/>
          </cell>
          <cell r="F12" t="str">
            <v/>
          </cell>
          <cell r="H12" t="str">
            <v/>
          </cell>
          <cell r="I12">
            <v>5.0999999999999996</v>
          </cell>
          <cell r="J12">
            <v>5.6333333333333329</v>
          </cell>
          <cell r="K12">
            <v>6.5</v>
          </cell>
          <cell r="M12">
            <v>5.4340714318177419</v>
          </cell>
          <cell r="N12">
            <v>5.4346257889990985</v>
          </cell>
          <cell r="O12">
            <v>5.7665069569401597</v>
          </cell>
          <cell r="P12">
            <v>5.4340714318177419</v>
          </cell>
          <cell r="Q12">
            <v>5.4346257889990985</v>
          </cell>
          <cell r="R12">
            <v>8.825112107623319</v>
          </cell>
          <cell r="S12">
            <v>5.4340714318177419</v>
          </cell>
          <cell r="T12" t="str">
            <v>MID</v>
          </cell>
          <cell r="U12" t="str">
            <v>RW</v>
          </cell>
          <cell r="V12" t="str">
            <v>ARS</v>
          </cell>
          <cell r="W12" t="str">
            <v>Arsenal</v>
          </cell>
          <cell r="X12">
            <v>9.5</v>
          </cell>
          <cell r="Y12">
            <v>157</v>
          </cell>
          <cell r="Z12">
            <v>10</v>
          </cell>
          <cell r="AA12">
            <v>147</v>
          </cell>
          <cell r="AB12">
            <v>2218</v>
          </cell>
          <cell r="AC12">
            <v>2218</v>
          </cell>
          <cell r="AD12">
            <v>0.53310696095076404</v>
          </cell>
          <cell r="AE12">
            <v>7</v>
          </cell>
          <cell r="AF12">
            <v>10</v>
          </cell>
          <cell r="AG12">
            <v>-2.3128944995491452E-2</v>
          </cell>
          <cell r="AH12">
            <v>0.11523895401262396</v>
          </cell>
          <cell r="AI12">
            <v>9.2110009017132621E-2</v>
          </cell>
          <cell r="AJ12">
            <v>0.11299999999999999</v>
          </cell>
          <cell r="AK12">
            <v>18</v>
          </cell>
          <cell r="AL12">
            <v>570</v>
          </cell>
          <cell r="AM12">
            <v>2</v>
          </cell>
          <cell r="AN12">
            <v>0</v>
          </cell>
          <cell r="AO12">
            <v>12</v>
          </cell>
          <cell r="AP12" t="str">
            <v>Saka</v>
          </cell>
          <cell r="AQ12">
            <v>1.035166816952209</v>
          </cell>
          <cell r="AR12">
            <v>0</v>
          </cell>
          <cell r="AS12">
            <v>4.2885482416591518</v>
          </cell>
          <cell r="AT12">
            <v>6.8025247971145166</v>
          </cell>
          <cell r="AU12">
            <v>1.478809738503156</v>
          </cell>
          <cell r="AV12">
            <v>6.8025247971145166</v>
          </cell>
          <cell r="AW12">
            <v>6.8025247971145166</v>
          </cell>
          <cell r="AX12">
            <v>5.1504830606724193E-2</v>
          </cell>
          <cell r="AY12">
            <v>0</v>
          </cell>
          <cell r="AZ12">
            <v>5.0999999999999996</v>
          </cell>
          <cell r="BA12">
            <v>157</v>
          </cell>
          <cell r="BB12" t="str">
            <v/>
          </cell>
          <cell r="BC12">
            <v>25</v>
          </cell>
          <cell r="BD12">
            <v>15</v>
          </cell>
          <cell r="BE12">
            <v>0.6</v>
          </cell>
          <cell r="BF12">
            <v>82</v>
          </cell>
          <cell r="BG12">
            <v>0.91111111111111109</v>
          </cell>
          <cell r="BH12">
            <v>1</v>
          </cell>
          <cell r="BI12">
            <v>6</v>
          </cell>
          <cell r="BJ12">
            <v>27</v>
          </cell>
          <cell r="BK12">
            <v>1</v>
          </cell>
          <cell r="BL12">
            <v>0.78125</v>
          </cell>
          <cell r="BM12">
            <v>0.1875</v>
          </cell>
          <cell r="BN12">
            <v>0.85327743902439024</v>
          </cell>
          <cell r="BO12">
            <v>38</v>
          </cell>
          <cell r="BP12">
            <v>0</v>
          </cell>
          <cell r="BQ12">
            <v>0.64853801169590641</v>
          </cell>
          <cell r="BR12">
            <v>7.57</v>
          </cell>
          <cell r="BS12">
            <v>0.30716862037871956</v>
          </cell>
          <cell r="BT12">
            <v>7.16</v>
          </cell>
          <cell r="BU12">
            <v>0.29053201082055907</v>
          </cell>
          <cell r="BV12">
            <v>0.59770063119927863</v>
          </cell>
          <cell r="BW12">
            <v>0</v>
          </cell>
          <cell r="BX12">
            <v>38</v>
          </cell>
          <cell r="BY12">
            <v>0.87184210526315797</v>
          </cell>
          <cell r="BZ12">
            <v>1.7711578947368418</v>
          </cell>
        </row>
        <row r="13">
          <cell r="A13" t="str">
            <v>Divine Mukasa</v>
          </cell>
          <cell r="B13" t="str">
            <v/>
          </cell>
          <cell r="C13" t="str">
            <v>Mukasa</v>
          </cell>
          <cell r="D13" t="str">
            <v/>
          </cell>
          <cell r="F13" t="str">
            <v/>
          </cell>
          <cell r="H13" t="str">
            <v/>
          </cell>
          <cell r="I13" t="e">
            <v>#N/A</v>
          </cell>
          <cell r="J13" t="e">
            <v>#N/A</v>
          </cell>
          <cell r="K13" t="e">
            <v>#N/A</v>
          </cell>
          <cell r="M13">
            <v>5.3586283046177146</v>
          </cell>
          <cell r="N13">
            <v>0</v>
          </cell>
          <cell r="O13">
            <v>2.1800000000000002</v>
          </cell>
          <cell r="P13">
            <v>5.3586283046177146</v>
          </cell>
          <cell r="Q13">
            <v>6.48</v>
          </cell>
          <cell r="R13">
            <v>0</v>
          </cell>
          <cell r="S13">
            <v>5.3586283046177146</v>
          </cell>
          <cell r="T13" t="str">
            <v>MID</v>
          </cell>
          <cell r="U13" t="str">
            <v/>
          </cell>
          <cell r="V13" t="str">
            <v>MCI</v>
          </cell>
          <cell r="W13" t="str">
            <v>Man City</v>
          </cell>
          <cell r="X13">
            <v>4.5</v>
          </cell>
          <cell r="Y13">
            <v>2</v>
          </cell>
          <cell r="Z13">
            <v>0</v>
          </cell>
          <cell r="AA13">
            <v>2</v>
          </cell>
          <cell r="AB13">
            <v>25</v>
          </cell>
          <cell r="AC13">
            <v>25</v>
          </cell>
          <cell r="AD13">
            <v>0.22222222222222221</v>
          </cell>
          <cell r="AE13">
            <v>0</v>
          </cell>
          <cell r="AF13">
            <v>0</v>
          </cell>
          <cell r="AG13">
            <v>0</v>
          </cell>
          <cell r="AH13">
            <v>-0.75600000000000001</v>
          </cell>
          <cell r="AI13">
            <v>-0.75600000000000001</v>
          </cell>
          <cell r="AJ13">
            <v>9.9999999999988987E-4</v>
          </cell>
          <cell r="AK13">
            <v>0</v>
          </cell>
          <cell r="AL13">
            <v>5</v>
          </cell>
          <cell r="AM13">
            <v>0</v>
          </cell>
          <cell r="AN13">
            <v>0</v>
          </cell>
          <cell r="AO13">
            <v>409</v>
          </cell>
          <cell r="AP13" t="str">
            <v>Mukasa</v>
          </cell>
          <cell r="AQ13">
            <v>0</v>
          </cell>
          <cell r="AR13">
            <v>0</v>
          </cell>
          <cell r="AS13">
            <v>3.24</v>
          </cell>
          <cell r="AT13">
            <v>3.24</v>
          </cell>
          <cell r="AU13">
            <v>0</v>
          </cell>
          <cell r="AV13">
            <v>3.24</v>
          </cell>
          <cell r="AW13">
            <v>3.24</v>
          </cell>
          <cell r="AX13">
            <v>2.4531428571428572E-2</v>
          </cell>
          <cell r="AY13">
            <v>0</v>
          </cell>
          <cell r="AZ13">
            <v>1</v>
          </cell>
          <cell r="BA13">
            <v>2</v>
          </cell>
          <cell r="BB13" t="str">
            <v/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0.9</v>
          </cell>
          <cell r="BH13">
            <v>1</v>
          </cell>
          <cell r="BI13">
            <v>2</v>
          </cell>
          <cell r="BJ13">
            <v>14</v>
          </cell>
          <cell r="BK13">
            <v>9</v>
          </cell>
          <cell r="BL13">
            <v>0</v>
          </cell>
          <cell r="BM13">
            <v>0.18181818181818177</v>
          </cell>
          <cell r="BN13" t="e">
            <v>#DIV/0!</v>
          </cell>
          <cell r="BO13">
            <v>38</v>
          </cell>
          <cell r="BP13">
            <v>0</v>
          </cell>
          <cell r="BQ13">
            <v>7.3099415204678359E-3</v>
          </cell>
          <cell r="BR13">
            <v>0</v>
          </cell>
          <cell r="BS13">
            <v>0</v>
          </cell>
          <cell r="BT13">
            <v>0.21</v>
          </cell>
          <cell r="BU13">
            <v>0.75600000000000001</v>
          </cell>
          <cell r="BV13">
            <v>0.75600000000000001</v>
          </cell>
          <cell r="BW13">
            <v>0</v>
          </cell>
          <cell r="BX13">
            <v>38</v>
          </cell>
          <cell r="BY13">
            <v>1.223421052631579</v>
          </cell>
          <cell r="BZ13">
            <v>1.4195789473684208</v>
          </cell>
        </row>
        <row r="14">
          <cell r="A14" t="str">
            <v>Reiss Nelson</v>
          </cell>
          <cell r="B14" t="str">
            <v/>
          </cell>
          <cell r="C14" t="str">
            <v>Nelson</v>
          </cell>
          <cell r="D14" t="str">
            <v/>
          </cell>
          <cell r="F14" t="str">
            <v/>
          </cell>
          <cell r="H14" t="str">
            <v/>
          </cell>
          <cell r="I14">
            <v>1.1000000000000001</v>
          </cell>
          <cell r="J14">
            <v>2.3666666666666667</v>
          </cell>
          <cell r="K14">
            <v>3.8</v>
          </cell>
          <cell r="M14">
            <v>5.2973212586628824</v>
          </cell>
          <cell r="N14">
            <v>0</v>
          </cell>
          <cell r="O14">
            <v>2.6754576271186443</v>
          </cell>
          <cell r="P14">
            <v>5.4518933510914795</v>
          </cell>
          <cell r="Q14">
            <v>8.9237288135593218</v>
          </cell>
          <cell r="R14">
            <v>22.5</v>
          </cell>
          <cell r="S14">
            <v>5.2973212586628824</v>
          </cell>
          <cell r="T14" t="str">
            <v>MID</v>
          </cell>
          <cell r="U14" t="str">
            <v>LW</v>
          </cell>
          <cell r="V14" t="str">
            <v>ARS</v>
          </cell>
          <cell r="W14" t="str">
            <v>Arsenal</v>
          </cell>
          <cell r="X14">
            <v>5.5</v>
          </cell>
          <cell r="Y14">
            <v>13</v>
          </cell>
          <cell r="Z14">
            <v>0</v>
          </cell>
          <cell r="AA14">
            <v>13</v>
          </cell>
          <cell r="AB14">
            <v>118</v>
          </cell>
          <cell r="AC14">
            <v>118</v>
          </cell>
          <cell r="AD14">
            <v>0.23636363636363636</v>
          </cell>
          <cell r="AE14">
            <v>0</v>
          </cell>
          <cell r="AF14">
            <v>1</v>
          </cell>
          <cell r="AG14">
            <v>-0.54152542372881352</v>
          </cell>
          <cell r="AH14">
            <v>0.67881355932203391</v>
          </cell>
          <cell r="AI14">
            <v>0.13728813559322028</v>
          </cell>
          <cell r="AJ14">
            <v>0</v>
          </cell>
          <cell r="AK14">
            <v>0</v>
          </cell>
          <cell r="AL14">
            <v>39</v>
          </cell>
          <cell r="AM14">
            <v>0</v>
          </cell>
          <cell r="AN14">
            <v>0</v>
          </cell>
          <cell r="AO14">
            <v>24</v>
          </cell>
          <cell r="AP14" t="str">
            <v>Nelson</v>
          </cell>
          <cell r="AQ14">
            <v>2.0593220338983054</v>
          </cell>
          <cell r="AR14">
            <v>0</v>
          </cell>
          <cell r="AS14">
            <v>10.983050847457626</v>
          </cell>
          <cell r="AT14">
            <v>15.788135593220341</v>
          </cell>
          <cell r="AU14">
            <v>2.7457627118644066</v>
          </cell>
          <cell r="AV14">
            <v>15.788135593220341</v>
          </cell>
          <cell r="AW14">
            <v>15.788135593220341</v>
          </cell>
          <cell r="AX14">
            <v>0.83380508474576287</v>
          </cell>
          <cell r="AY14">
            <v>0</v>
          </cell>
          <cell r="AZ14">
            <v>1.3</v>
          </cell>
          <cell r="BA14">
            <v>13</v>
          </cell>
          <cell r="BB14" t="str">
            <v/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0.9</v>
          </cell>
          <cell r="BH14">
            <v>1</v>
          </cell>
          <cell r="BI14">
            <v>10</v>
          </cell>
          <cell r="BJ14">
            <v>13</v>
          </cell>
          <cell r="BK14">
            <v>14</v>
          </cell>
          <cell r="BL14">
            <v>0</v>
          </cell>
          <cell r="BM14">
            <v>0.41666666666666663</v>
          </cell>
          <cell r="BN14" t="e">
            <v>#DIV/0!</v>
          </cell>
          <cell r="BO14">
            <v>38</v>
          </cell>
          <cell r="BP14">
            <v>0</v>
          </cell>
          <cell r="BQ14">
            <v>3.4502923976608188E-2</v>
          </cell>
          <cell r="BR14">
            <v>0.71</v>
          </cell>
          <cell r="BS14">
            <v>0.54152542372881352</v>
          </cell>
          <cell r="BT14">
            <v>0.11</v>
          </cell>
          <cell r="BU14">
            <v>8.3898305084745772E-2</v>
          </cell>
          <cell r="BV14">
            <v>0.62542372881355934</v>
          </cell>
          <cell r="BW14">
            <v>0</v>
          </cell>
          <cell r="BX14">
            <v>38</v>
          </cell>
          <cell r="BY14">
            <v>0.87184210526315797</v>
          </cell>
          <cell r="BZ14">
            <v>1.7711578947368418</v>
          </cell>
        </row>
        <row r="15">
          <cell r="A15" t="str">
            <v>Tammy Abraham</v>
          </cell>
          <cell r="B15" t="str">
            <v/>
          </cell>
          <cell r="C15" t="str">
            <v>Abraham</v>
          </cell>
          <cell r="D15" t="str">
            <v/>
          </cell>
          <cell r="F15" t="str">
            <v/>
          </cell>
          <cell r="H15" t="str">
            <v/>
          </cell>
          <cell r="I15" t="e">
            <v>#N/A</v>
          </cell>
          <cell r="J15" t="e">
            <v>#N/A</v>
          </cell>
          <cell r="K15" t="e">
            <v>#N/A</v>
          </cell>
          <cell r="M15">
            <v>5.2449640287769785</v>
          </cell>
          <cell r="N15">
            <v>6.2050359712230216</v>
          </cell>
          <cell r="O15">
            <v>5.2449640287769785</v>
          </cell>
          <cell r="P15">
            <v>5.2449640287769785</v>
          </cell>
          <cell r="Q15">
            <v>6.2050359712230216</v>
          </cell>
          <cell r="R15">
            <v>6.2050359712230216</v>
          </cell>
          <cell r="S15">
            <v>5.2449640287769785</v>
          </cell>
          <cell r="T15" t="str">
            <v>FWD</v>
          </cell>
          <cell r="U15" t="str">
            <v>CF</v>
          </cell>
          <cell r="V15" t="str">
            <v>AVL</v>
          </cell>
          <cell r="W15" t="str">
            <v>Aston Villa</v>
          </cell>
          <cell r="X15">
            <v>5.5</v>
          </cell>
          <cell r="Y15">
            <v>23</v>
          </cell>
          <cell r="Z15">
            <v>0</v>
          </cell>
          <cell r="AA15">
            <v>23</v>
          </cell>
          <cell r="AB15">
            <v>278</v>
          </cell>
          <cell r="AC15">
            <v>278</v>
          </cell>
          <cell r="AD15">
            <v>0.34848484848484851</v>
          </cell>
          <cell r="AE15">
            <v>2</v>
          </cell>
          <cell r="AF15">
            <v>0</v>
          </cell>
          <cell r="AG15">
            <v>-1.618705035971213E-2</v>
          </cell>
          <cell r="AH15">
            <v>-0.11654676258992806</v>
          </cell>
          <cell r="AI15">
            <v>-0.13273381294964015</v>
          </cell>
          <cell r="AJ15">
            <v>0</v>
          </cell>
          <cell r="AK15">
            <v>2</v>
          </cell>
          <cell r="AL15">
            <v>93</v>
          </cell>
          <cell r="AM15">
            <v>0</v>
          </cell>
          <cell r="AN15">
            <v>0</v>
          </cell>
          <cell r="AO15">
            <v>56</v>
          </cell>
          <cell r="AP15" t="str">
            <v>Abraham</v>
          </cell>
          <cell r="AQ15">
            <v>0.80935251798561159</v>
          </cell>
          <cell r="AR15">
            <v>0</v>
          </cell>
          <cell r="AS15">
            <v>1.6187050359712232</v>
          </cell>
          <cell r="AT15">
            <v>3.5071942446043169</v>
          </cell>
          <cell r="AU15">
            <v>1.0791366906474822</v>
          </cell>
          <cell r="AV15">
            <v>3.5071942446043169</v>
          </cell>
          <cell r="AW15">
            <v>3.5071942446043169</v>
          </cell>
          <cell r="AX15">
            <v>2.655447070914697E-2</v>
          </cell>
          <cell r="AY15">
            <v>0</v>
          </cell>
          <cell r="AZ15">
            <v>1.9</v>
          </cell>
          <cell r="BA15">
            <v>23</v>
          </cell>
          <cell r="BB15">
            <v>0</v>
          </cell>
          <cell r="BC15">
            <v>2</v>
          </cell>
          <cell r="BD15">
            <v>1</v>
          </cell>
          <cell r="BE15">
            <v>0.5</v>
          </cell>
          <cell r="BF15">
            <v>75</v>
          </cell>
          <cell r="BG15">
            <v>0.83333333333333337</v>
          </cell>
          <cell r="BH15">
            <v>1</v>
          </cell>
          <cell r="BI15">
            <v>10</v>
          </cell>
          <cell r="BJ15">
            <v>14</v>
          </cell>
          <cell r="BK15">
            <v>2</v>
          </cell>
          <cell r="BL15">
            <v>0.14285714285714285</v>
          </cell>
          <cell r="BM15">
            <v>0.83332142857142855</v>
          </cell>
          <cell r="BN15">
            <v>0.30285714285714288</v>
          </cell>
          <cell r="BO15">
            <v>38</v>
          </cell>
          <cell r="BP15">
            <v>0</v>
          </cell>
          <cell r="BQ15">
            <v>8.1286549707602337E-2</v>
          </cell>
          <cell r="BR15">
            <v>2.0499999999999998</v>
          </cell>
          <cell r="BS15">
            <v>0.66366906474820142</v>
          </cell>
          <cell r="BT15">
            <v>0.36</v>
          </cell>
          <cell r="BU15">
            <v>0.11654676258992806</v>
          </cell>
          <cell r="BV15">
            <v>0.78021582733812944</v>
          </cell>
          <cell r="BW15">
            <v>0</v>
          </cell>
          <cell r="BX15">
            <v>38</v>
          </cell>
          <cell r="BY15">
            <v>1.4915789473684211</v>
          </cell>
          <cell r="BZ15">
            <v>1.1514210526315787</v>
          </cell>
        </row>
        <row r="16">
          <cell r="A16" t="str">
            <v>Bryan Mbeumo</v>
          </cell>
          <cell r="B16" t="str">
            <v/>
          </cell>
          <cell r="C16" t="str">
            <v>Mbeumo</v>
          </cell>
          <cell r="D16" t="str">
            <v/>
          </cell>
          <cell r="F16" t="str">
            <v/>
          </cell>
          <cell r="H16" t="str">
            <v/>
          </cell>
          <cell r="I16">
            <v>3.9</v>
          </cell>
          <cell r="J16">
            <v>5.0666666666666664</v>
          </cell>
          <cell r="K16">
            <v>6.2</v>
          </cell>
          <cell r="M16">
            <v>5.1993619535500795</v>
          </cell>
          <cell r="N16">
            <v>4.7047108387590963</v>
          </cell>
          <cell r="O16">
            <v>6.8802463021830729</v>
          </cell>
          <cell r="P16">
            <v>5.1993619535500795</v>
          </cell>
          <cell r="Q16">
            <v>4.7047108387590963</v>
          </cell>
          <cell r="R16">
            <v>5.1875</v>
          </cell>
          <cell r="S16">
            <v>5.1993619535500795</v>
          </cell>
          <cell r="T16" t="str">
            <v>MID</v>
          </cell>
          <cell r="U16" t="str">
            <v>RW</v>
          </cell>
          <cell r="V16" t="str">
            <v>MUN</v>
          </cell>
          <cell r="W16" t="str">
            <v>Man Utd</v>
          </cell>
          <cell r="X16">
            <v>8</v>
          </cell>
          <cell r="Y16">
            <v>148</v>
          </cell>
          <cell r="Z16">
            <v>0</v>
          </cell>
          <cell r="AA16">
            <v>148</v>
          </cell>
          <cell r="AB16">
            <v>2611</v>
          </cell>
          <cell r="AC16">
            <v>2611</v>
          </cell>
          <cell r="AD16">
            <v>0.56060606060606055</v>
          </cell>
          <cell r="AE16">
            <v>11</v>
          </cell>
          <cell r="AF16">
            <v>3</v>
          </cell>
          <cell r="AG16">
            <v>-3.3780160857908859E-2</v>
          </cell>
          <cell r="AH16">
            <v>-6.8594408272692448E-2</v>
          </cell>
          <cell r="AI16">
            <v>-0.10237456913060128</v>
          </cell>
          <cell r="AJ16">
            <v>0.13600000000000012</v>
          </cell>
          <cell r="AK16">
            <v>16</v>
          </cell>
          <cell r="AL16">
            <v>528</v>
          </cell>
          <cell r="AM16">
            <v>4</v>
          </cell>
          <cell r="AN16">
            <v>0</v>
          </cell>
          <cell r="AO16">
            <v>427</v>
          </cell>
          <cell r="AP16" t="str">
            <v>Mbeumo</v>
          </cell>
          <cell r="AQ16">
            <v>0.73113749521256233</v>
          </cell>
          <cell r="AR16">
            <v>0</v>
          </cell>
          <cell r="AS16">
            <v>2.892761394101877</v>
          </cell>
          <cell r="AT16">
            <v>4.4186135580237451</v>
          </cell>
          <cell r="AU16">
            <v>0.79471466870930685</v>
          </cell>
          <cell r="AV16">
            <v>4.4186135580237451</v>
          </cell>
          <cell r="AW16">
            <v>4.4186135580237451</v>
          </cell>
          <cell r="AX16">
            <v>3.3455216939322636E-2</v>
          </cell>
          <cell r="AY16">
            <v>0</v>
          </cell>
          <cell r="AZ16">
            <v>4.5</v>
          </cell>
          <cell r="BA16">
            <v>148</v>
          </cell>
          <cell r="BB16" t="str">
            <v/>
          </cell>
          <cell r="BC16">
            <v>31</v>
          </cell>
          <cell r="BD16">
            <v>13</v>
          </cell>
          <cell r="BE16">
            <v>0.41935483870967744</v>
          </cell>
          <cell r="BF16">
            <v>83</v>
          </cell>
          <cell r="BG16">
            <v>0.92222222222222228</v>
          </cell>
          <cell r="BH16">
            <v>1</v>
          </cell>
          <cell r="BI16">
            <v>2</v>
          </cell>
          <cell r="BJ16">
            <v>19</v>
          </cell>
          <cell r="BK16">
            <v>0</v>
          </cell>
          <cell r="BL16">
            <v>0.93939393939393945</v>
          </cell>
          <cell r="BM16">
            <v>6.0606060606060552E-2</v>
          </cell>
          <cell r="BN16">
            <v>0.9532676159182184</v>
          </cell>
          <cell r="BO16">
            <v>38</v>
          </cell>
          <cell r="BP16">
            <v>0</v>
          </cell>
          <cell r="BQ16">
            <v>0.76345029239766082</v>
          </cell>
          <cell r="BR16">
            <v>11.98</v>
          </cell>
          <cell r="BS16">
            <v>0.41294523171198771</v>
          </cell>
          <cell r="BT16">
            <v>4.99</v>
          </cell>
          <cell r="BU16">
            <v>0.17200306396016851</v>
          </cell>
          <cell r="BV16">
            <v>0.58494829567215623</v>
          </cell>
          <cell r="BW16">
            <v>0</v>
          </cell>
          <cell r="BX16">
            <v>38</v>
          </cell>
          <cell r="BY16">
            <v>1.3231578947368421</v>
          </cell>
          <cell r="BZ16">
            <v>1.3198421052631577</v>
          </cell>
        </row>
        <row r="17">
          <cell r="A17" t="str">
            <v>Cole Palmer</v>
          </cell>
          <cell r="B17" t="str">
            <v/>
          </cell>
          <cell r="C17" t="str">
            <v>Palmer</v>
          </cell>
          <cell r="D17" t="str">
            <v/>
          </cell>
          <cell r="F17" t="str">
            <v/>
          </cell>
          <cell r="H17" t="str">
            <v/>
          </cell>
          <cell r="I17">
            <v>5.8</v>
          </cell>
          <cell r="J17">
            <v>6.5</v>
          </cell>
          <cell r="K17">
            <v>7.2</v>
          </cell>
          <cell r="M17">
            <v>5.0564784594592522</v>
          </cell>
          <cell r="N17">
            <v>4.4472876151484133</v>
          </cell>
          <cell r="O17">
            <v>4.0193260939099291</v>
          </cell>
          <cell r="P17">
            <v>5.0750413897278133</v>
          </cell>
          <cell r="Q17">
            <v>4.4472876151484133</v>
          </cell>
          <cell r="R17">
            <v>2.46875</v>
          </cell>
          <cell r="S17">
            <v>5.0564784594592522</v>
          </cell>
          <cell r="T17" t="str">
            <v>MID</v>
          </cell>
          <cell r="U17" t="str">
            <v>AM</v>
          </cell>
          <cell r="V17" t="str">
            <v>CHE</v>
          </cell>
          <cell r="W17" t="str">
            <v>Chelsea</v>
          </cell>
          <cell r="X17">
            <v>9.5</v>
          </cell>
          <cell r="Y17">
            <v>114</v>
          </cell>
          <cell r="Z17">
            <v>4</v>
          </cell>
          <cell r="AA17">
            <v>110</v>
          </cell>
          <cell r="AB17">
            <v>1954</v>
          </cell>
          <cell r="AC17">
            <v>1954</v>
          </cell>
          <cell r="AD17">
            <v>0.46153846153846156</v>
          </cell>
          <cell r="AE17">
            <v>10</v>
          </cell>
          <cell r="AF17">
            <v>2</v>
          </cell>
          <cell r="AG17">
            <v>-2.5332650972364312E-2</v>
          </cell>
          <cell r="AH17">
            <v>-2.256908904810645E-2</v>
          </cell>
          <cell r="AI17">
            <v>-4.7901740020470873E-2</v>
          </cell>
          <cell r="AJ17">
            <v>0.1339999999999999</v>
          </cell>
          <cell r="AK17">
            <v>11</v>
          </cell>
          <cell r="AL17">
            <v>430</v>
          </cell>
          <cell r="AM17">
            <v>5</v>
          </cell>
          <cell r="AN17">
            <v>0</v>
          </cell>
          <cell r="AO17">
            <v>154</v>
          </cell>
          <cell r="AP17" t="str">
            <v>Palmer</v>
          </cell>
          <cell r="AQ17">
            <v>1.0916069600818834</v>
          </cell>
          <cell r="AR17">
            <v>0</v>
          </cell>
          <cell r="AS17">
            <v>3.3556806550665303</v>
          </cell>
          <cell r="AT17">
            <v>5.4580348004094166</v>
          </cell>
          <cell r="AU17">
            <v>1.010747185261003</v>
          </cell>
          <cell r="AV17">
            <v>5.4580348004094166</v>
          </cell>
          <cell r="AW17">
            <v>5.4580348004094166</v>
          </cell>
          <cell r="AX17">
            <v>4.1325120631671299E-2</v>
          </cell>
          <cell r="AY17">
            <v>0</v>
          </cell>
          <cell r="AZ17">
            <v>4.4000000000000004</v>
          </cell>
          <cell r="BA17">
            <v>114</v>
          </cell>
          <cell r="BB17" t="str">
            <v/>
          </cell>
          <cell r="BC17">
            <v>24</v>
          </cell>
          <cell r="BD17">
            <v>12</v>
          </cell>
          <cell r="BE17">
            <v>0.5</v>
          </cell>
          <cell r="BF17">
            <v>79</v>
          </cell>
          <cell r="BG17">
            <v>0.87777777777777777</v>
          </cell>
          <cell r="BH17">
            <v>1</v>
          </cell>
          <cell r="BI17">
            <v>2</v>
          </cell>
          <cell r="BJ17">
            <v>33</v>
          </cell>
          <cell r="BK17">
            <v>1</v>
          </cell>
          <cell r="BL17">
            <v>0.88888888888888884</v>
          </cell>
          <cell r="BM17">
            <v>7.4074074074074112E-2</v>
          </cell>
          <cell r="BN17">
            <v>0.93530239099859347</v>
          </cell>
          <cell r="BO17">
            <v>38</v>
          </cell>
          <cell r="BP17">
            <v>0</v>
          </cell>
          <cell r="BQ17">
            <v>0.57134502923976604</v>
          </cell>
          <cell r="BR17">
            <v>10.55</v>
          </cell>
          <cell r="BS17">
            <v>0.48592630501535311</v>
          </cell>
          <cell r="BT17">
            <v>2.4900000000000002</v>
          </cell>
          <cell r="BU17">
            <v>0.1146878198567042</v>
          </cell>
          <cell r="BV17">
            <v>0.60061412487205734</v>
          </cell>
          <cell r="BW17">
            <v>0</v>
          </cell>
          <cell r="BX17">
            <v>38</v>
          </cell>
          <cell r="BY17">
            <v>1.4473684210526316</v>
          </cell>
          <cell r="BZ17">
            <v>1.1956315789473682</v>
          </cell>
        </row>
        <row r="18">
          <cell r="A18" t="str">
            <v>Taiwo Awoniyi</v>
          </cell>
          <cell r="B18" t="str">
            <v/>
          </cell>
          <cell r="C18" t="str">
            <v>Awoniyi</v>
          </cell>
          <cell r="D18" t="str">
            <v/>
          </cell>
          <cell r="F18" t="str">
            <v/>
          </cell>
          <cell r="H18" t="str">
            <v/>
          </cell>
          <cell r="I18">
            <v>1.2</v>
          </cell>
          <cell r="J18">
            <v>2.7666666666666662</v>
          </cell>
          <cell r="K18">
            <v>3.7</v>
          </cell>
          <cell r="M18">
            <v>4.9871375000000011</v>
          </cell>
          <cell r="N18">
            <v>6.1812500000000004</v>
          </cell>
          <cell r="O18">
            <v>5.021740566037737</v>
          </cell>
          <cell r="P18">
            <v>4.9871375000000011</v>
          </cell>
          <cell r="Q18">
            <v>6.1812500000000004</v>
          </cell>
          <cell r="R18">
            <v>7.4858490566037741</v>
          </cell>
          <cell r="S18">
            <v>4.9871375000000011</v>
          </cell>
          <cell r="T18" t="str">
            <v>FWD</v>
          </cell>
          <cell r="U18" t="str">
            <v>CF</v>
          </cell>
          <cell r="V18" t="str">
            <v>NFO</v>
          </cell>
          <cell r="W18" t="str">
            <v>Nott'm Forest</v>
          </cell>
          <cell r="X18">
            <v>5.5</v>
          </cell>
          <cell r="Y18">
            <v>43</v>
          </cell>
          <cell r="Z18">
            <v>0</v>
          </cell>
          <cell r="AA18">
            <v>43</v>
          </cell>
          <cell r="AB18">
            <v>480</v>
          </cell>
          <cell r="AC18">
            <v>480</v>
          </cell>
          <cell r="AD18">
            <v>0.45989304812834225</v>
          </cell>
          <cell r="AE18">
            <v>4</v>
          </cell>
          <cell r="AF18">
            <v>2</v>
          </cell>
          <cell r="AG18">
            <v>5.9999999999999942E-2</v>
          </cell>
          <cell r="AH18">
            <v>0.230625</v>
          </cell>
          <cell r="AI18">
            <v>0.29062499999999991</v>
          </cell>
          <cell r="AJ18">
            <v>4.0000000000000036E-3</v>
          </cell>
          <cell r="AK18">
            <v>4</v>
          </cell>
          <cell r="AL18">
            <v>170</v>
          </cell>
          <cell r="AM18">
            <v>2</v>
          </cell>
          <cell r="AN18">
            <v>0</v>
          </cell>
          <cell r="AO18">
            <v>492</v>
          </cell>
          <cell r="AP18" t="str">
            <v>Awoniyi</v>
          </cell>
          <cell r="AQ18">
            <v>0.86250000000000004</v>
          </cell>
          <cell r="AR18">
            <v>0</v>
          </cell>
          <cell r="AS18">
            <v>2.5875000000000004</v>
          </cell>
          <cell r="AT18">
            <v>3.7375000000000003</v>
          </cell>
          <cell r="AU18">
            <v>0.28750000000000003</v>
          </cell>
          <cell r="AV18">
            <v>3.7375000000000003</v>
          </cell>
          <cell r="AW18">
            <v>3.7375000000000003</v>
          </cell>
          <cell r="AX18">
            <v>2.8298214285714284E-2</v>
          </cell>
          <cell r="AY18">
            <v>0</v>
          </cell>
          <cell r="AZ18">
            <v>2.5</v>
          </cell>
          <cell r="BA18">
            <v>43</v>
          </cell>
          <cell r="BB18" t="str">
            <v/>
          </cell>
          <cell r="BC18">
            <v>3</v>
          </cell>
          <cell r="BD18">
            <v>1</v>
          </cell>
          <cell r="BE18">
            <v>0.33333333333333331</v>
          </cell>
          <cell r="BF18">
            <v>69</v>
          </cell>
          <cell r="BG18">
            <v>0.76666666666666672</v>
          </cell>
          <cell r="BH18">
            <v>1</v>
          </cell>
          <cell r="BI18">
            <v>14</v>
          </cell>
          <cell r="BJ18">
            <v>21</v>
          </cell>
          <cell r="BK18">
            <v>8</v>
          </cell>
          <cell r="BL18">
            <v>0.12</v>
          </cell>
          <cell r="BM18">
            <v>0.56000000000000005</v>
          </cell>
          <cell r="BN18">
            <v>0.38782608695652171</v>
          </cell>
          <cell r="BO18">
            <v>38</v>
          </cell>
          <cell r="BP18">
            <v>0</v>
          </cell>
          <cell r="BQ18">
            <v>0.14035087719298245</v>
          </cell>
          <cell r="BR18">
            <v>3.68</v>
          </cell>
          <cell r="BS18">
            <v>0.69000000000000006</v>
          </cell>
          <cell r="BT18">
            <v>0.77</v>
          </cell>
          <cell r="BU18">
            <v>0.144375</v>
          </cell>
          <cell r="BV18">
            <v>0.83437500000000009</v>
          </cell>
          <cell r="BW18">
            <v>0</v>
          </cell>
          <cell r="BX18">
            <v>38</v>
          </cell>
          <cell r="BY18">
            <v>1.7036842105263157</v>
          </cell>
          <cell r="BZ18">
            <v>0.9393157894736841</v>
          </cell>
        </row>
        <row r="19">
          <cell r="A19" t="str">
            <v>Lukas Nmecha</v>
          </cell>
          <cell r="B19" t="str">
            <v/>
          </cell>
          <cell r="C19" t="str">
            <v>Nmecha</v>
          </cell>
          <cell r="D19" t="str">
            <v/>
          </cell>
          <cell r="F19" t="str">
            <v/>
          </cell>
          <cell r="H19" t="str">
            <v/>
          </cell>
          <cell r="I19" t="e">
            <v>#N/A</v>
          </cell>
          <cell r="J19" t="e">
            <v>#N/A</v>
          </cell>
          <cell r="K19" t="e">
            <v>#N/A</v>
          </cell>
          <cell r="M19">
            <v>4.9402403755868542</v>
          </cell>
          <cell r="N19">
            <v>4.8666666666666663</v>
          </cell>
          <cell r="O19">
            <v>5.0234618161228681</v>
          </cell>
          <cell r="P19">
            <v>4.9402403755868542</v>
          </cell>
          <cell r="Q19">
            <v>4.8666666666666663</v>
          </cell>
          <cell r="R19">
            <v>2.4974874371859297</v>
          </cell>
          <cell r="S19">
            <v>4.9402403755868542</v>
          </cell>
          <cell r="T19" t="str">
            <v>FWD</v>
          </cell>
          <cell r="U19" t="str">
            <v>CF</v>
          </cell>
          <cell r="V19" t="str">
            <v>LEE</v>
          </cell>
          <cell r="W19" t="str">
            <v>Leeds</v>
          </cell>
          <cell r="X19">
            <v>5.5</v>
          </cell>
          <cell r="Y19">
            <v>73</v>
          </cell>
          <cell r="Z19">
            <v>0</v>
          </cell>
          <cell r="AA19">
            <v>73</v>
          </cell>
          <cell r="AB19">
            <v>1065</v>
          </cell>
          <cell r="AC19">
            <v>1065</v>
          </cell>
          <cell r="AD19">
            <v>0.42815249266862171</v>
          </cell>
          <cell r="AE19">
            <v>6</v>
          </cell>
          <cell r="AF19">
            <v>1</v>
          </cell>
          <cell r="AG19">
            <v>-0.10563380281690138</v>
          </cell>
          <cell r="AH19">
            <v>-4.9014084507042255E-2</v>
          </cell>
          <cell r="AI19">
            <v>-0.15464788732394363</v>
          </cell>
          <cell r="AJ19">
            <v>6.9999999999998952E-3</v>
          </cell>
          <cell r="AK19">
            <v>8</v>
          </cell>
          <cell r="AL19">
            <v>268</v>
          </cell>
          <cell r="AM19">
            <v>0</v>
          </cell>
          <cell r="AN19">
            <v>0</v>
          </cell>
          <cell r="AO19">
            <v>347</v>
          </cell>
          <cell r="AP19" t="str">
            <v>Nmecha</v>
          </cell>
          <cell r="AQ19">
            <v>1</v>
          </cell>
          <cell r="AR19">
            <v>0</v>
          </cell>
          <cell r="AS19">
            <v>2</v>
          </cell>
          <cell r="AT19">
            <v>3.8</v>
          </cell>
          <cell r="AU19">
            <v>0.79999999999999993</v>
          </cell>
          <cell r="AV19">
            <v>3.8</v>
          </cell>
          <cell r="AW19">
            <v>3.8</v>
          </cell>
          <cell r="AX19">
            <v>2.8771428571428569E-2</v>
          </cell>
          <cell r="AY19">
            <v>0</v>
          </cell>
          <cell r="AZ19">
            <v>2.4</v>
          </cell>
          <cell r="BA19">
            <v>73</v>
          </cell>
          <cell r="BB19" t="str">
            <v/>
          </cell>
          <cell r="BC19">
            <v>10</v>
          </cell>
          <cell r="BD19">
            <v>1</v>
          </cell>
          <cell r="BE19">
            <v>0.1</v>
          </cell>
          <cell r="BF19">
            <v>71</v>
          </cell>
          <cell r="BG19">
            <v>0.78888888888888886</v>
          </cell>
          <cell r="BH19">
            <v>1</v>
          </cell>
          <cell r="BI19">
            <v>21</v>
          </cell>
          <cell r="BJ19">
            <v>18</v>
          </cell>
          <cell r="BK19">
            <v>3</v>
          </cell>
          <cell r="BL19">
            <v>0.29411764705882354</v>
          </cell>
          <cell r="BM19">
            <v>0.61764705882352933</v>
          </cell>
          <cell r="BN19">
            <v>0.47307373653686824</v>
          </cell>
          <cell r="BO19">
            <v>38</v>
          </cell>
          <cell r="BP19">
            <v>0</v>
          </cell>
          <cell r="BQ19">
            <v>0.31140350877192985</v>
          </cell>
          <cell r="BR19">
            <v>7.25</v>
          </cell>
          <cell r="BS19">
            <v>0.61267605633802813</v>
          </cell>
          <cell r="BT19">
            <v>1.58</v>
          </cell>
          <cell r="BU19">
            <v>0.13352112676056338</v>
          </cell>
          <cell r="BV19">
            <v>0.74619718309859151</v>
          </cell>
          <cell r="BW19">
            <v>0</v>
          </cell>
          <cell r="BX19">
            <v>38</v>
          </cell>
          <cell r="BY19">
            <v>1.4823684210526316</v>
          </cell>
          <cell r="BZ19">
            <v>1.1606315789473682</v>
          </cell>
        </row>
        <row r="20">
          <cell r="A20" t="str">
            <v>Hugo Ekitiké</v>
          </cell>
          <cell r="B20" t="str">
            <v/>
          </cell>
          <cell r="C20" t="str">
            <v>Ekitiké</v>
          </cell>
          <cell r="D20" t="str">
            <v/>
          </cell>
          <cell r="E20" t="str">
            <v>Hugo Ekitike</v>
          </cell>
          <cell r="F20" t="str">
            <v/>
          </cell>
          <cell r="H20" t="str">
            <v/>
          </cell>
          <cell r="I20" t="e">
            <v>#N/A</v>
          </cell>
          <cell r="J20" t="e">
            <v>#N/A</v>
          </cell>
          <cell r="K20" t="e">
            <v>#N/A</v>
          </cell>
          <cell r="M20">
            <v>4.9398052309404559</v>
          </cell>
          <cell r="N20">
            <v>5.3561491374513075</v>
          </cell>
          <cell r="O20">
            <v>2.7677796327212021</v>
          </cell>
          <cell r="P20">
            <v>4.9398052309404559</v>
          </cell>
          <cell r="Q20">
            <v>5.3561491374513075</v>
          </cell>
          <cell r="R20">
            <v>0</v>
          </cell>
          <cell r="S20">
            <v>4.9398052309404559</v>
          </cell>
          <cell r="T20" t="str">
            <v>FWD</v>
          </cell>
          <cell r="U20" t="str">
            <v>CF</v>
          </cell>
          <cell r="V20" t="str">
            <v>LIV</v>
          </cell>
          <cell r="W20" t="str">
            <v>Liverpool</v>
          </cell>
          <cell r="X20">
            <v>7.5</v>
          </cell>
          <cell r="Y20">
            <v>125</v>
          </cell>
          <cell r="Z20">
            <v>0</v>
          </cell>
          <cell r="AA20">
            <v>125</v>
          </cell>
          <cell r="AB20">
            <v>1797</v>
          </cell>
          <cell r="AC20">
            <v>1797</v>
          </cell>
          <cell r="AD20">
            <v>0.59523809523809523</v>
          </cell>
          <cell r="AE20">
            <v>11</v>
          </cell>
          <cell r="AF20">
            <v>4</v>
          </cell>
          <cell r="AG20">
            <v>4.5075125208681177E-2</v>
          </cell>
          <cell r="AH20">
            <v>7.7629382303839728E-2</v>
          </cell>
          <cell r="AI20">
            <v>0.12270450751252093</v>
          </cell>
          <cell r="AJ20">
            <v>2.0000000000000018E-3</v>
          </cell>
          <cell r="AK20">
            <v>22</v>
          </cell>
          <cell r="AL20">
            <v>433</v>
          </cell>
          <cell r="AM20">
            <v>0</v>
          </cell>
          <cell r="AN20">
            <v>0</v>
          </cell>
          <cell r="AO20">
            <v>380</v>
          </cell>
          <cell r="AP20" t="str">
            <v>Ekitiké</v>
          </cell>
          <cell r="AQ20">
            <v>1.3711741791875347</v>
          </cell>
          <cell r="AR20">
            <v>0</v>
          </cell>
          <cell r="AS20">
            <v>1.7996661101836393</v>
          </cell>
          <cell r="AT20">
            <v>3.6421814134668891</v>
          </cell>
          <cell r="AU20">
            <v>0.47134112409571505</v>
          </cell>
          <cell r="AV20">
            <v>3.6421814134668891</v>
          </cell>
          <cell r="AW20">
            <v>3.6421814134668891</v>
          </cell>
          <cell r="AX20">
            <v>2.7576516416249301E-2</v>
          </cell>
          <cell r="AY20">
            <v>0</v>
          </cell>
          <cell r="AZ20">
            <v>4.5</v>
          </cell>
          <cell r="BA20">
            <v>125</v>
          </cell>
          <cell r="BB20">
            <v>0</v>
          </cell>
          <cell r="BC20">
            <v>21</v>
          </cell>
          <cell r="BD20">
            <v>6</v>
          </cell>
          <cell r="BE20">
            <v>0.2857142857142857</v>
          </cell>
          <cell r="BF20">
            <v>77</v>
          </cell>
          <cell r="BG20">
            <v>0.85555555555555551</v>
          </cell>
          <cell r="BH20">
            <v>1</v>
          </cell>
          <cell r="BI20">
            <v>7</v>
          </cell>
          <cell r="BJ20">
            <v>26</v>
          </cell>
          <cell r="BK20">
            <v>1</v>
          </cell>
          <cell r="BL20">
            <v>0.72413793103448276</v>
          </cell>
          <cell r="BM20">
            <v>0.87493663793103449</v>
          </cell>
          <cell r="BN20">
            <v>0.81728616211374827</v>
          </cell>
          <cell r="BO20">
            <v>38</v>
          </cell>
          <cell r="BP20">
            <v>0</v>
          </cell>
          <cell r="BQ20">
            <v>0.52543859649122804</v>
          </cell>
          <cell r="BR20">
            <v>10.1</v>
          </cell>
          <cell r="BS20">
            <v>0.50584307178631049</v>
          </cell>
          <cell r="BT20">
            <v>2.4500000000000002</v>
          </cell>
          <cell r="BU20">
            <v>0.12270450751252088</v>
          </cell>
          <cell r="BV20">
            <v>0.62854757929883132</v>
          </cell>
          <cell r="BW20">
            <v>0</v>
          </cell>
          <cell r="BX20">
            <v>38</v>
          </cell>
          <cell r="BY20">
            <v>1.4176315789473684</v>
          </cell>
          <cell r="BZ20">
            <v>1.2253684210526314</v>
          </cell>
        </row>
        <row r="21">
          <cell r="A21" t="str">
            <v>William Osula</v>
          </cell>
          <cell r="B21" t="str">
            <v/>
          </cell>
          <cell r="C21" t="str">
            <v>Osula</v>
          </cell>
          <cell r="D21" t="str">
            <v/>
          </cell>
          <cell r="F21" t="str">
            <v/>
          </cell>
          <cell r="H21" t="str">
            <v/>
          </cell>
          <cell r="I21">
            <v>1.2</v>
          </cell>
          <cell r="J21">
            <v>1.2999999999999998</v>
          </cell>
          <cell r="K21">
            <v>1.4</v>
          </cell>
          <cell r="M21">
            <v>4.9308670807453412</v>
          </cell>
          <cell r="N21">
            <v>7.269565217391305</v>
          </cell>
          <cell r="O21">
            <v>5.3056839199447889</v>
          </cell>
          <cell r="P21">
            <v>4.9308670807453412</v>
          </cell>
          <cell r="Q21">
            <v>7.269565217391305</v>
          </cell>
          <cell r="R21">
            <v>6.4603174603174605</v>
          </cell>
          <cell r="S21">
            <v>4.9308670807453412</v>
          </cell>
          <cell r="T21" t="str">
            <v>FWD</v>
          </cell>
          <cell r="U21" t="str">
            <v>CF</v>
          </cell>
          <cell r="V21" t="str">
            <v>NEW</v>
          </cell>
          <cell r="W21" t="str">
            <v>Newcastle</v>
          </cell>
          <cell r="X21">
            <v>6</v>
          </cell>
          <cell r="Y21">
            <v>76</v>
          </cell>
          <cell r="Z21">
            <v>0</v>
          </cell>
          <cell r="AA21">
            <v>76</v>
          </cell>
          <cell r="AB21">
            <v>805</v>
          </cell>
          <cell r="AC21">
            <v>805</v>
          </cell>
          <cell r="AD21">
            <v>0.52777777777777779</v>
          </cell>
          <cell r="AE21">
            <v>7</v>
          </cell>
          <cell r="AF21">
            <v>1</v>
          </cell>
          <cell r="AG21">
            <v>0.30409937888198757</v>
          </cell>
          <cell r="AH21">
            <v>4.2484472049689442E-2</v>
          </cell>
          <cell r="AI21">
            <v>0.34658385093167698</v>
          </cell>
          <cell r="AJ21">
            <v>2.2999999999999909E-2</v>
          </cell>
          <cell r="AK21">
            <v>13</v>
          </cell>
          <cell r="AL21">
            <v>284</v>
          </cell>
          <cell r="AM21">
            <v>0</v>
          </cell>
          <cell r="AN21">
            <v>0</v>
          </cell>
          <cell r="AO21">
            <v>465</v>
          </cell>
          <cell r="AP21" t="str">
            <v>Osula</v>
          </cell>
          <cell r="AQ21">
            <v>0.19130434782608696</v>
          </cell>
          <cell r="AR21">
            <v>0</v>
          </cell>
          <cell r="AS21">
            <v>2.1999999999999997</v>
          </cell>
          <cell r="AT21">
            <v>2.9652173913043476</v>
          </cell>
          <cell r="AU21">
            <v>0.57391304347826078</v>
          </cell>
          <cell r="AV21">
            <v>2.9652173913043476</v>
          </cell>
          <cell r="AW21">
            <v>2.9652173913043476</v>
          </cell>
          <cell r="AX21">
            <v>2.2450931677018632E-2</v>
          </cell>
          <cell r="AY21">
            <v>0</v>
          </cell>
          <cell r="AZ21">
            <v>3.2</v>
          </cell>
          <cell r="BA21">
            <v>76</v>
          </cell>
          <cell r="BB21" t="str">
            <v/>
          </cell>
          <cell r="BC21">
            <v>8</v>
          </cell>
          <cell r="BD21">
            <v>2</v>
          </cell>
          <cell r="BE21">
            <v>0.25</v>
          </cell>
          <cell r="BF21">
            <v>77</v>
          </cell>
          <cell r="BG21">
            <v>0.85555555555555551</v>
          </cell>
          <cell r="BH21">
            <v>1</v>
          </cell>
          <cell r="BI21">
            <v>16</v>
          </cell>
          <cell r="BJ21">
            <v>13</v>
          </cell>
          <cell r="BK21">
            <v>2</v>
          </cell>
          <cell r="BL21">
            <v>0.30769230769230771</v>
          </cell>
          <cell r="BM21">
            <v>0.61538461538461542</v>
          </cell>
          <cell r="BN21">
            <v>0.42457542457542458</v>
          </cell>
          <cell r="BO21">
            <v>38</v>
          </cell>
          <cell r="BP21">
            <v>0</v>
          </cell>
          <cell r="BQ21">
            <v>0.23538011695906433</v>
          </cell>
          <cell r="BR21">
            <v>4.28</v>
          </cell>
          <cell r="BS21">
            <v>0.47850931677018638</v>
          </cell>
          <cell r="BT21">
            <v>0.62</v>
          </cell>
          <cell r="BU21">
            <v>6.9316770186335405E-2</v>
          </cell>
          <cell r="BV21">
            <v>0.5478260869565218</v>
          </cell>
          <cell r="BW21">
            <v>0</v>
          </cell>
          <cell r="BX21">
            <v>38</v>
          </cell>
          <cell r="BY21">
            <v>1.5081578947368421</v>
          </cell>
          <cell r="BZ21">
            <v>1.1348421052631577</v>
          </cell>
        </row>
        <row r="22">
          <cell r="A22" t="str">
            <v>Rio Ngumoha</v>
          </cell>
          <cell r="B22" t="str">
            <v/>
          </cell>
          <cell r="C22" t="str">
            <v>Ngumoha</v>
          </cell>
          <cell r="D22" t="str">
            <v/>
          </cell>
          <cell r="F22" t="str">
            <v/>
          </cell>
          <cell r="H22" t="str">
            <v/>
          </cell>
          <cell r="I22" t="e">
            <v>#N/A</v>
          </cell>
          <cell r="J22" t="e">
            <v>#N/A</v>
          </cell>
          <cell r="K22" t="e">
            <v>#N/A</v>
          </cell>
          <cell r="M22">
            <v>4.9085279519458309</v>
          </cell>
          <cell r="N22">
            <v>5.6599634369287033</v>
          </cell>
          <cell r="O22">
            <v>3.5029429490008193</v>
          </cell>
          <cell r="P22">
            <v>4.9085279519458309</v>
          </cell>
          <cell r="Q22">
            <v>5.6599634369287033</v>
          </cell>
          <cell r="R22">
            <v>3.3103448275862073</v>
          </cell>
          <cell r="S22">
            <v>4.9085279519458309</v>
          </cell>
          <cell r="T22" t="str">
            <v>MID</v>
          </cell>
          <cell r="U22" t="str">
            <v>LW</v>
          </cell>
          <cell r="V22" t="str">
            <v>LIV</v>
          </cell>
          <cell r="W22" t="str">
            <v>Liverpool</v>
          </cell>
          <cell r="X22">
            <v>6</v>
          </cell>
          <cell r="Y22">
            <v>43.000000000000007</v>
          </cell>
          <cell r="Z22">
            <v>0</v>
          </cell>
          <cell r="AA22">
            <v>43.000000000000007</v>
          </cell>
          <cell r="AB22">
            <v>547</v>
          </cell>
          <cell r="AC22">
            <v>547</v>
          </cell>
          <cell r="AD22">
            <v>0.37719298245614041</v>
          </cell>
          <cell r="AE22">
            <v>2</v>
          </cell>
          <cell r="AF22">
            <v>1</v>
          </cell>
          <cell r="AG22">
            <v>0.10859232175502739</v>
          </cell>
          <cell r="AH22">
            <v>-0.16617915904936009</v>
          </cell>
          <cell r="AI22">
            <v>-5.7586837294332727E-2</v>
          </cell>
          <cell r="AJ22">
            <v>1.8000000000000016E-2</v>
          </cell>
          <cell r="AK22">
            <v>4</v>
          </cell>
          <cell r="AL22">
            <v>188</v>
          </cell>
          <cell r="AM22">
            <v>0</v>
          </cell>
          <cell r="AN22">
            <v>0</v>
          </cell>
          <cell r="AO22">
            <v>369</v>
          </cell>
          <cell r="AP22" t="str">
            <v>Ngumoha</v>
          </cell>
          <cell r="AQ22">
            <v>0.92138939670932363</v>
          </cell>
          <cell r="AR22">
            <v>0</v>
          </cell>
          <cell r="AS22">
            <v>2.50091407678245</v>
          </cell>
          <cell r="AT22">
            <v>3.9488117001828154</v>
          </cell>
          <cell r="AU22">
            <v>0.52650822669104203</v>
          </cell>
          <cell r="AV22">
            <v>3.9488117001828154</v>
          </cell>
          <cell r="AW22">
            <v>3.9488117001828154</v>
          </cell>
          <cell r="AX22">
            <v>2.9898145729955604E-2</v>
          </cell>
          <cell r="AY22">
            <v>0</v>
          </cell>
          <cell r="AZ22">
            <v>2.2999999999999998</v>
          </cell>
          <cell r="BA22">
            <v>43.000000000000007</v>
          </cell>
          <cell r="BB22" t="str">
            <v/>
          </cell>
          <cell r="BC22">
            <v>5</v>
          </cell>
          <cell r="BD22">
            <v>1</v>
          </cell>
          <cell r="BE22">
            <v>0.2</v>
          </cell>
          <cell r="BF22">
            <v>72</v>
          </cell>
          <cell r="BG22">
            <v>0.8</v>
          </cell>
          <cell r="BH22">
            <v>1</v>
          </cell>
          <cell r="BI22">
            <v>14</v>
          </cell>
          <cell r="BJ22">
            <v>14</v>
          </cell>
          <cell r="BK22">
            <v>18</v>
          </cell>
          <cell r="BL22">
            <v>0.13513513513513514</v>
          </cell>
          <cell r="BM22">
            <v>0.21875</v>
          </cell>
          <cell r="BN22">
            <v>0.3033033033033033</v>
          </cell>
          <cell r="BO22">
            <v>38</v>
          </cell>
          <cell r="BP22">
            <v>0</v>
          </cell>
          <cell r="BQ22">
            <v>0.15994152046783625</v>
          </cell>
          <cell r="BR22">
            <v>1.34</v>
          </cell>
          <cell r="BS22">
            <v>0.22047531992687389</v>
          </cell>
          <cell r="BT22">
            <v>2.0099999999999998</v>
          </cell>
          <cell r="BU22">
            <v>0.33071297989031073</v>
          </cell>
          <cell r="BV22">
            <v>0.55118829981718465</v>
          </cell>
          <cell r="BW22">
            <v>0</v>
          </cell>
          <cell r="BX22">
            <v>38</v>
          </cell>
          <cell r="BY22">
            <v>1.4176315789473684</v>
          </cell>
          <cell r="BZ22">
            <v>1.2253684210526314</v>
          </cell>
        </row>
        <row r="23">
          <cell r="A23" t="str">
            <v>Enzo Fernández</v>
          </cell>
          <cell r="B23" t="str">
            <v/>
          </cell>
          <cell r="C23" t="str">
            <v>Enzo</v>
          </cell>
          <cell r="D23" t="str">
            <v/>
          </cell>
          <cell r="F23" t="str">
            <v/>
          </cell>
          <cell r="H23" t="str">
            <v/>
          </cell>
          <cell r="I23">
            <v>2.2999999999999998</v>
          </cell>
          <cell r="J23">
            <v>2.9666666666666663</v>
          </cell>
          <cell r="K23">
            <v>3.8</v>
          </cell>
          <cell r="M23">
            <v>4.8987338820267317</v>
          </cell>
          <cell r="N23">
            <v>4.3236994219653182</v>
          </cell>
          <cell r="O23">
            <v>3.788116281489613</v>
          </cell>
          <cell r="P23">
            <v>4.9172968122952927</v>
          </cell>
          <cell r="Q23">
            <v>4.3236994219653182</v>
          </cell>
          <cell r="R23">
            <v>4.588454376163873</v>
          </cell>
          <cell r="S23">
            <v>4.8987338820267317</v>
          </cell>
          <cell r="T23" t="str">
            <v>MID</v>
          </cell>
          <cell r="U23" t="str">
            <v>CM</v>
          </cell>
          <cell r="V23" t="str">
            <v>CHE</v>
          </cell>
          <cell r="W23" t="str">
            <v>Chelsea</v>
          </cell>
          <cell r="X23">
            <v>7</v>
          </cell>
          <cell r="Y23">
            <v>157</v>
          </cell>
          <cell r="Z23">
            <v>4</v>
          </cell>
          <cell r="AA23">
            <v>153</v>
          </cell>
          <cell r="AB23">
            <v>3114</v>
          </cell>
          <cell r="AC23">
            <v>3114</v>
          </cell>
          <cell r="AD23">
            <v>0.62301587301587291</v>
          </cell>
          <cell r="AE23">
            <v>10</v>
          </cell>
          <cell r="AF23">
            <v>5</v>
          </cell>
          <cell r="AG23">
            <v>-3.6416184971098331E-2</v>
          </cell>
          <cell r="AH23">
            <v>-6.5317919075144532E-2</v>
          </cell>
          <cell r="AI23">
            <v>-0.10173410404624283</v>
          </cell>
          <cell r="AJ23">
            <v>5.2000000000000046E-2</v>
          </cell>
          <cell r="AK23">
            <v>19</v>
          </cell>
          <cell r="AL23">
            <v>700</v>
          </cell>
          <cell r="AM23">
            <v>10</v>
          </cell>
          <cell r="AN23">
            <v>0</v>
          </cell>
          <cell r="AO23">
            <v>155</v>
          </cell>
          <cell r="AP23" t="str">
            <v>Enzo</v>
          </cell>
          <cell r="AQ23">
            <v>1.441233140655106</v>
          </cell>
          <cell r="AR23">
            <v>0</v>
          </cell>
          <cell r="AS23">
            <v>3.9563262684649962</v>
          </cell>
          <cell r="AT23">
            <v>6.8953114964675661</v>
          </cell>
          <cell r="AU23">
            <v>1.497752087347463</v>
          </cell>
          <cell r="AV23">
            <v>6.8953114964675661</v>
          </cell>
          <cell r="AW23">
            <v>6.8953114964675661</v>
          </cell>
          <cell r="AX23">
            <v>5.2207358473254424E-2</v>
          </cell>
          <cell r="AY23">
            <v>0</v>
          </cell>
          <cell r="AZ23">
            <v>4.4000000000000004</v>
          </cell>
          <cell r="BA23">
            <v>157</v>
          </cell>
          <cell r="BB23" t="str">
            <v/>
          </cell>
          <cell r="BC23">
            <v>35</v>
          </cell>
          <cell r="BD23">
            <v>28</v>
          </cell>
          <cell r="BE23">
            <v>0.8</v>
          </cell>
          <cell r="BF23">
            <v>88</v>
          </cell>
          <cell r="BG23">
            <v>0.97777777777777775</v>
          </cell>
          <cell r="BH23">
            <v>1</v>
          </cell>
          <cell r="BI23">
            <v>1</v>
          </cell>
          <cell r="BJ23">
            <v>37</v>
          </cell>
          <cell r="BK23">
            <v>0</v>
          </cell>
          <cell r="BL23">
            <v>0.97222222222222221</v>
          </cell>
          <cell r="BM23">
            <v>2.777777777777779E-2</v>
          </cell>
          <cell r="BN23">
            <v>0.98390151515151514</v>
          </cell>
          <cell r="BO23">
            <v>38</v>
          </cell>
          <cell r="BP23">
            <v>0</v>
          </cell>
          <cell r="BQ23">
            <v>0.91052631578947374</v>
          </cell>
          <cell r="BR23">
            <v>11.26</v>
          </cell>
          <cell r="BS23">
            <v>0.32543352601156073</v>
          </cell>
          <cell r="BT23">
            <v>7.26</v>
          </cell>
          <cell r="BU23">
            <v>0.20982658959537573</v>
          </cell>
          <cell r="BV23">
            <v>0.53526011560693643</v>
          </cell>
          <cell r="BW23">
            <v>0</v>
          </cell>
          <cell r="BX23">
            <v>38</v>
          </cell>
          <cell r="BY23">
            <v>1.4473684210526316</v>
          </cell>
          <cell r="BZ23">
            <v>1.1956315789473682</v>
          </cell>
        </row>
        <row r="24">
          <cell r="A24" t="str">
            <v>Gabriel dos Santos Magalhães</v>
          </cell>
          <cell r="B24" t="str">
            <v/>
          </cell>
          <cell r="C24" t="str">
            <v>Gabriel</v>
          </cell>
          <cell r="D24" t="str">
            <v/>
          </cell>
          <cell r="E24" t="str">
            <v>Gabriel Magalhães</v>
          </cell>
          <cell r="F24" t="str">
            <v/>
          </cell>
          <cell r="G24" t="str">
            <v>Gabriel Dos Santos</v>
          </cell>
          <cell r="H24" t="str">
            <v/>
          </cell>
          <cell r="I24">
            <v>3.8</v>
          </cell>
          <cell r="J24">
            <v>4.0333333333333332</v>
          </cell>
          <cell r="K24">
            <v>4.2</v>
          </cell>
          <cell r="M24">
            <v>4.8306218432597667</v>
          </cell>
          <cell r="N24">
            <v>6.12</v>
          </cell>
          <cell r="O24">
            <v>3.4046121212121205</v>
          </cell>
          <cell r="P24">
            <v>4.8306218432597667</v>
          </cell>
          <cell r="Q24">
            <v>6.12</v>
          </cell>
          <cell r="R24">
            <v>5.8181818181818183</v>
          </cell>
          <cell r="S24">
            <v>4.8306218432597667</v>
          </cell>
          <cell r="T24" t="str">
            <v>DEF</v>
          </cell>
          <cell r="U24" t="str">
            <v>CB</v>
          </cell>
          <cell r="V24" t="str">
            <v>ARS</v>
          </cell>
          <cell r="W24" t="str">
            <v>Arsenal</v>
          </cell>
          <cell r="X24">
            <v>8</v>
          </cell>
          <cell r="Y24">
            <v>209</v>
          </cell>
          <cell r="Z24">
            <v>22</v>
          </cell>
          <cell r="AA24">
            <v>187</v>
          </cell>
          <cell r="AB24">
            <v>2750</v>
          </cell>
          <cell r="AC24">
            <v>2750</v>
          </cell>
          <cell r="AD24">
            <v>0.81640625</v>
          </cell>
          <cell r="AE24">
            <v>3</v>
          </cell>
          <cell r="AF24">
            <v>5</v>
          </cell>
          <cell r="AG24">
            <v>1.9636363636363757E-3</v>
          </cell>
          <cell r="AH24">
            <v>0.10636363636363635</v>
          </cell>
          <cell r="AI24">
            <v>0.10832727272727269</v>
          </cell>
          <cell r="AJ24">
            <v>0.24199999999999999</v>
          </cell>
          <cell r="AK24">
            <v>30</v>
          </cell>
          <cell r="AL24">
            <v>724</v>
          </cell>
          <cell r="AM24">
            <v>4</v>
          </cell>
          <cell r="AN24">
            <v>0</v>
          </cell>
          <cell r="AO24">
            <v>4</v>
          </cell>
          <cell r="AP24" t="str">
            <v>Gabriel</v>
          </cell>
          <cell r="AQ24">
            <v>7.8218181818181813</v>
          </cell>
          <cell r="AR24">
            <v>0</v>
          </cell>
          <cell r="AS24">
            <v>2.0945454545454543</v>
          </cell>
          <cell r="AT24">
            <v>9.0654545454545445</v>
          </cell>
          <cell r="AU24">
            <v>1.2436363636363637</v>
          </cell>
          <cell r="AV24">
            <v>9.0654545454545445</v>
          </cell>
          <cell r="AW24">
            <v>9.0654545454545445</v>
          </cell>
          <cell r="AX24">
            <v>0.42008363636363621</v>
          </cell>
          <cell r="AY24">
            <v>0</v>
          </cell>
          <cell r="AZ24">
            <v>6.5</v>
          </cell>
          <cell r="BA24">
            <v>209</v>
          </cell>
          <cell r="BB24" t="str">
            <v/>
          </cell>
          <cell r="BC24">
            <v>30</v>
          </cell>
          <cell r="BD24">
            <v>29</v>
          </cell>
          <cell r="BE24">
            <v>0.96666666666666667</v>
          </cell>
          <cell r="BF24">
            <v>90</v>
          </cell>
          <cell r="BG24">
            <v>1</v>
          </cell>
          <cell r="BH24">
            <v>1</v>
          </cell>
          <cell r="BI24">
            <v>2</v>
          </cell>
          <cell r="BJ24">
            <v>33</v>
          </cell>
          <cell r="BK24">
            <v>0</v>
          </cell>
          <cell r="BL24">
            <v>0.9375</v>
          </cell>
          <cell r="BM24">
            <v>6.25E-2</v>
          </cell>
          <cell r="BN24">
            <v>0.9604166666666667</v>
          </cell>
          <cell r="BO24">
            <v>38</v>
          </cell>
          <cell r="BP24">
            <v>0</v>
          </cell>
          <cell r="BQ24">
            <v>0.80409356725146197</v>
          </cell>
          <cell r="BR24">
            <v>2.94</v>
          </cell>
          <cell r="BS24">
            <v>9.6218181818181814E-2</v>
          </cell>
          <cell r="BT24">
            <v>1.75</v>
          </cell>
          <cell r="BU24">
            <v>5.7272727272727274E-2</v>
          </cell>
          <cell r="BV24">
            <v>0.15349090909090909</v>
          </cell>
          <cell r="BW24">
            <v>0</v>
          </cell>
          <cell r="BX24">
            <v>38</v>
          </cell>
          <cell r="BY24">
            <v>0.87184210526315797</v>
          </cell>
          <cell r="BZ24">
            <v>1.7711578947368418</v>
          </cell>
        </row>
        <row r="25">
          <cell r="A25" t="str">
            <v>Ismaïla Sarr</v>
          </cell>
          <cell r="B25" t="str">
            <v/>
          </cell>
          <cell r="C25" t="str">
            <v>Sarr</v>
          </cell>
          <cell r="D25" t="str">
            <v/>
          </cell>
          <cell r="E25" t="str">
            <v>Ismaila Sarr</v>
          </cell>
          <cell r="F25" t="str">
            <v/>
          </cell>
          <cell r="H25" t="str">
            <v/>
          </cell>
          <cell r="I25">
            <v>2.5</v>
          </cell>
          <cell r="J25">
            <v>3.2</v>
          </cell>
          <cell r="K25">
            <v>3.9</v>
          </cell>
          <cell r="M25">
            <v>4.8270357950684391</v>
          </cell>
          <cell r="N25">
            <v>4.5766221813161527</v>
          </cell>
          <cell r="O25">
            <v>5.5134847015794142</v>
          </cell>
          <cell r="P25">
            <v>4.8154339636505883</v>
          </cell>
          <cell r="Q25">
            <v>4.5766221813161527</v>
          </cell>
          <cell r="R25">
            <v>4.643705463182898</v>
          </cell>
          <cell r="S25">
            <v>4.8270357950684391</v>
          </cell>
          <cell r="T25" t="str">
            <v>MID</v>
          </cell>
          <cell r="U25" t="str">
            <v>RW</v>
          </cell>
          <cell r="V25" t="str">
            <v>CRY</v>
          </cell>
          <cell r="W25" t="str">
            <v>Crystal Palace</v>
          </cell>
          <cell r="X25">
            <v>6.5</v>
          </cell>
          <cell r="Y25">
            <v>117</v>
          </cell>
          <cell r="Z25">
            <v>0</v>
          </cell>
          <cell r="AA25">
            <v>117</v>
          </cell>
          <cell r="AB25">
            <v>2173</v>
          </cell>
          <cell r="AC25">
            <v>2173</v>
          </cell>
          <cell r="AD25">
            <v>0.6428571428571429</v>
          </cell>
          <cell r="AE25">
            <v>9</v>
          </cell>
          <cell r="AF25">
            <v>2</v>
          </cell>
          <cell r="AG25">
            <v>-7.9935572940634969E-2</v>
          </cell>
          <cell r="AH25">
            <v>3.4376438104003683E-2</v>
          </cell>
          <cell r="AI25">
            <v>-4.5559134836631376E-2</v>
          </cell>
          <cell r="AJ25">
            <v>0.10200000000000009</v>
          </cell>
          <cell r="AK25">
            <v>9</v>
          </cell>
          <cell r="AL25">
            <v>359</v>
          </cell>
          <cell r="AM25">
            <v>2</v>
          </cell>
          <cell r="AN25">
            <v>0</v>
          </cell>
          <cell r="AO25">
            <v>208</v>
          </cell>
          <cell r="AP25" t="str">
            <v>Sarr</v>
          </cell>
          <cell r="AQ25">
            <v>1.564657156005522</v>
          </cell>
          <cell r="AR25">
            <v>0</v>
          </cell>
          <cell r="AS25">
            <v>3.0901978831109065</v>
          </cell>
          <cell r="AT25">
            <v>5.3589507593189127</v>
          </cell>
          <cell r="AU25">
            <v>0.70409572020248512</v>
          </cell>
          <cell r="AV25">
            <v>5.3589507593189127</v>
          </cell>
          <cell r="AW25">
            <v>5.3589507593189127</v>
          </cell>
          <cell r="AX25">
            <v>4.0574912891986052E-2</v>
          </cell>
          <cell r="AY25">
            <v>0</v>
          </cell>
          <cell r="AZ25">
            <v>4.2</v>
          </cell>
          <cell r="BA25">
            <v>117</v>
          </cell>
          <cell r="BB25" t="str">
            <v/>
          </cell>
          <cell r="BC25">
            <v>24</v>
          </cell>
          <cell r="BD25">
            <v>18</v>
          </cell>
          <cell r="BE25">
            <v>0.75</v>
          </cell>
          <cell r="BF25">
            <v>85</v>
          </cell>
          <cell r="BG25">
            <v>0.94444444444444442</v>
          </cell>
          <cell r="BH25">
            <v>1</v>
          </cell>
          <cell r="BI25">
            <v>4</v>
          </cell>
          <cell r="BJ25">
            <v>34</v>
          </cell>
          <cell r="BK25">
            <v>0</v>
          </cell>
          <cell r="BL25">
            <v>0.8571428571428571</v>
          </cell>
          <cell r="BM25">
            <v>0.1428571428571429</v>
          </cell>
          <cell r="BN25">
            <v>0.91428571428571426</v>
          </cell>
          <cell r="BO25">
            <v>38</v>
          </cell>
          <cell r="BP25">
            <v>0</v>
          </cell>
          <cell r="BQ25">
            <v>0.63538011695906438</v>
          </cell>
          <cell r="BR25">
            <v>10.93</v>
          </cell>
          <cell r="BS25">
            <v>0.45269213069489178</v>
          </cell>
          <cell r="BT25">
            <v>1.17</v>
          </cell>
          <cell r="BU25">
            <v>4.845835250805338E-2</v>
          </cell>
          <cell r="BV25">
            <v>0.5011504832029452</v>
          </cell>
          <cell r="BW25">
            <v>0</v>
          </cell>
          <cell r="BX25">
            <v>38</v>
          </cell>
          <cell r="BY25">
            <v>1.631578947368421</v>
          </cell>
          <cell r="BZ25">
            <v>1.0114210526315788</v>
          </cell>
        </row>
        <row r="26">
          <cell r="A26" t="str">
            <v>Jurriën Timber</v>
          </cell>
          <cell r="B26" t="str">
            <v/>
          </cell>
          <cell r="C26" t="str">
            <v>J.Timber</v>
          </cell>
          <cell r="D26" t="str">
            <v/>
          </cell>
          <cell r="F26" t="str">
            <v/>
          </cell>
          <cell r="H26" t="str">
            <v/>
          </cell>
          <cell r="I26">
            <v>3.8</v>
          </cell>
          <cell r="J26">
            <v>3.8</v>
          </cell>
          <cell r="K26">
            <v>3.8</v>
          </cell>
          <cell r="M26">
            <v>4.8053446817589514</v>
          </cell>
          <cell r="N26">
            <v>4.9571778140293636</v>
          </cell>
          <cell r="O26">
            <v>1.8787792278412176</v>
          </cell>
          <cell r="P26">
            <v>4.8053446817589514</v>
          </cell>
          <cell r="Q26">
            <v>4.9571778140293636</v>
          </cell>
          <cell r="R26">
            <v>0</v>
          </cell>
          <cell r="S26">
            <v>4.8053446817589514</v>
          </cell>
          <cell r="T26" t="str">
            <v>DEF</v>
          </cell>
          <cell r="U26" t="str">
            <v>RB</v>
          </cell>
          <cell r="V26" t="str">
            <v>ARS</v>
          </cell>
          <cell r="W26" t="str">
            <v>Arsenal</v>
          </cell>
          <cell r="X26">
            <v>6.5</v>
          </cell>
          <cell r="Y26">
            <v>149</v>
          </cell>
          <cell r="Z26">
            <v>6</v>
          </cell>
          <cell r="AA26">
            <v>143</v>
          </cell>
          <cell r="AB26">
            <v>2452</v>
          </cell>
          <cell r="AC26">
            <v>2452</v>
          </cell>
          <cell r="AD26">
            <v>0.76410256410256416</v>
          </cell>
          <cell r="AE26">
            <v>3</v>
          </cell>
          <cell r="AF26">
            <v>6</v>
          </cell>
          <cell r="AG26">
            <v>-6.2765089722675388E-2</v>
          </cell>
          <cell r="AH26">
            <v>0.16407014681892332</v>
          </cell>
          <cell r="AI26">
            <v>0.10130505709624793</v>
          </cell>
          <cell r="AJ26">
            <v>8.999999999999897E-3</v>
          </cell>
          <cell r="AK26">
            <v>9</v>
          </cell>
          <cell r="AL26">
            <v>532</v>
          </cell>
          <cell r="AM26">
            <v>5</v>
          </cell>
          <cell r="AN26">
            <v>0</v>
          </cell>
          <cell r="AO26">
            <v>5</v>
          </cell>
          <cell r="AP26" t="str">
            <v>J.Timber</v>
          </cell>
          <cell r="AQ26">
            <v>2.8425774877650896</v>
          </cell>
          <cell r="AR26">
            <v>0</v>
          </cell>
          <cell r="AS26">
            <v>3.3625611745513866</v>
          </cell>
          <cell r="AT26">
            <v>5.1305057096247957</v>
          </cell>
          <cell r="AU26">
            <v>2.2879282218597061</v>
          </cell>
          <cell r="AV26">
            <v>5.1305057096247957</v>
          </cell>
          <cell r="AW26">
            <v>5.1305057096247957</v>
          </cell>
          <cell r="AX26">
            <v>4.1004893964110903E-2</v>
          </cell>
          <cell r="AY26">
            <v>0</v>
          </cell>
          <cell r="AZ26">
            <v>5</v>
          </cell>
          <cell r="BA26">
            <v>149</v>
          </cell>
          <cell r="BB26">
            <v>0</v>
          </cell>
          <cell r="BC26">
            <v>28</v>
          </cell>
          <cell r="BD26">
            <v>23</v>
          </cell>
          <cell r="BE26">
            <v>0.8214285714285714</v>
          </cell>
          <cell r="BF26">
            <v>85</v>
          </cell>
          <cell r="BG26">
            <v>0.94444444444444442</v>
          </cell>
          <cell r="BH26">
            <v>1</v>
          </cell>
          <cell r="BI26">
            <v>2</v>
          </cell>
          <cell r="BJ26">
            <v>34</v>
          </cell>
          <cell r="BK26">
            <v>0</v>
          </cell>
          <cell r="BL26">
            <v>0.93333333333333335</v>
          </cell>
          <cell r="BM26">
            <v>0.99990666666666672</v>
          </cell>
          <cell r="BN26">
            <v>0.96</v>
          </cell>
          <cell r="BO26">
            <v>38</v>
          </cell>
          <cell r="BP26">
            <v>0</v>
          </cell>
          <cell r="BQ26">
            <v>0.71695906432748535</v>
          </cell>
          <cell r="BR26">
            <v>4.71</v>
          </cell>
          <cell r="BS26">
            <v>0.17287928221859708</v>
          </cell>
          <cell r="BT26">
            <v>1.53</v>
          </cell>
          <cell r="BU26">
            <v>5.6158238172920066E-2</v>
          </cell>
          <cell r="BV26">
            <v>0.22903752039151715</v>
          </cell>
          <cell r="BW26">
            <v>0</v>
          </cell>
          <cell r="BX26">
            <v>38</v>
          </cell>
          <cell r="BY26">
            <v>0.87184210526315797</v>
          </cell>
          <cell r="BZ26">
            <v>1.7711578947368418</v>
          </cell>
        </row>
        <row r="27">
          <cell r="A27" t="str">
            <v>Jérémy Doku</v>
          </cell>
          <cell r="B27" t="str">
            <v/>
          </cell>
          <cell r="C27" t="str">
            <v>Doku</v>
          </cell>
          <cell r="D27" t="str">
            <v/>
          </cell>
          <cell r="E27" t="str">
            <v>Jeremy Doku</v>
          </cell>
          <cell r="F27" t="str">
            <v/>
          </cell>
          <cell r="H27" t="str">
            <v/>
          </cell>
          <cell r="I27">
            <v>3</v>
          </cell>
          <cell r="J27">
            <v>3.2</v>
          </cell>
          <cell r="K27">
            <v>3.4</v>
          </cell>
          <cell r="M27">
            <v>4.7266787050689274</v>
          </cell>
          <cell r="N27">
            <v>5.3243090806542579</v>
          </cell>
          <cell r="O27">
            <v>4.1966232990658199</v>
          </cell>
          <cell r="P27">
            <v>4.7266787050689274</v>
          </cell>
          <cell r="Q27">
            <v>5.3243090806542579</v>
          </cell>
          <cell r="R27">
            <v>6.3865546218487381</v>
          </cell>
          <cell r="S27">
            <v>4.7266787050689274</v>
          </cell>
          <cell r="T27" t="str">
            <v>MID</v>
          </cell>
          <cell r="U27" t="str">
            <v>LW</v>
          </cell>
          <cell r="V27" t="str">
            <v>MCI</v>
          </cell>
          <cell r="W27" t="str">
            <v>Man City</v>
          </cell>
          <cell r="X27">
            <v>7.5</v>
          </cell>
          <cell r="Y27">
            <v>120</v>
          </cell>
          <cell r="Z27">
            <v>2</v>
          </cell>
          <cell r="AA27">
            <v>118</v>
          </cell>
          <cell r="AB27">
            <v>1773</v>
          </cell>
          <cell r="AC27">
            <v>1773</v>
          </cell>
          <cell r="AD27">
            <v>0.53333333333333333</v>
          </cell>
          <cell r="AE27">
            <v>5</v>
          </cell>
          <cell r="AF27">
            <v>8</v>
          </cell>
          <cell r="AG27">
            <v>0.10812182741116749</v>
          </cell>
          <cell r="AH27">
            <v>0.1086294416243655</v>
          </cell>
          <cell r="AI27">
            <v>0.21675126903553293</v>
          </cell>
          <cell r="AJ27">
            <v>7.2000000000000064E-2</v>
          </cell>
          <cell r="AK27">
            <v>15</v>
          </cell>
          <cell r="AL27">
            <v>526</v>
          </cell>
          <cell r="AM27">
            <v>0</v>
          </cell>
          <cell r="AN27">
            <v>0</v>
          </cell>
          <cell r="AO27">
            <v>400</v>
          </cell>
          <cell r="AP27" t="str">
            <v>Doku</v>
          </cell>
          <cell r="AQ27">
            <v>0.67681895093062594</v>
          </cell>
          <cell r="AR27">
            <v>0</v>
          </cell>
          <cell r="AS27">
            <v>3.970671178793006</v>
          </cell>
          <cell r="AT27">
            <v>5.6852791878172591</v>
          </cell>
          <cell r="AU27">
            <v>1.0377890580936264</v>
          </cell>
          <cell r="AV27">
            <v>5.6852791878172591</v>
          </cell>
          <cell r="AW27">
            <v>5.6852791878172591</v>
          </cell>
          <cell r="AX27">
            <v>4.3045685279187819E-2</v>
          </cell>
          <cell r="AY27">
            <v>0</v>
          </cell>
          <cell r="AZ27">
            <v>4</v>
          </cell>
          <cell r="BA27">
            <v>120</v>
          </cell>
          <cell r="BB27" t="str">
            <v/>
          </cell>
          <cell r="BC27">
            <v>19</v>
          </cell>
          <cell r="BD27">
            <v>5</v>
          </cell>
          <cell r="BE27">
            <v>0.26315789473684209</v>
          </cell>
          <cell r="BF27">
            <v>80</v>
          </cell>
          <cell r="BG27">
            <v>0.88888888888888884</v>
          </cell>
          <cell r="BH27">
            <v>1</v>
          </cell>
          <cell r="BI27">
            <v>11</v>
          </cell>
          <cell r="BJ27">
            <v>25</v>
          </cell>
          <cell r="BK27">
            <v>1</v>
          </cell>
          <cell r="BL27">
            <v>0.61290322580645162</v>
          </cell>
          <cell r="BM27">
            <v>0.35483870967741937</v>
          </cell>
          <cell r="BN27">
            <v>0.7338709677419355</v>
          </cell>
          <cell r="BO27">
            <v>38</v>
          </cell>
          <cell r="BP27">
            <v>0</v>
          </cell>
          <cell r="BQ27">
            <v>0.51842105263157889</v>
          </cell>
          <cell r="BR27">
            <v>2.87</v>
          </cell>
          <cell r="BS27">
            <v>0.14568527918781726</v>
          </cell>
          <cell r="BT27">
            <v>5.86</v>
          </cell>
          <cell r="BU27">
            <v>0.29746192893401019</v>
          </cell>
          <cell r="BV27">
            <v>0.44314720812182745</v>
          </cell>
          <cell r="BW27">
            <v>0</v>
          </cell>
          <cell r="BX27">
            <v>38</v>
          </cell>
          <cell r="BY27">
            <v>1.223421052631579</v>
          </cell>
          <cell r="BZ27">
            <v>1.4195789473684208</v>
          </cell>
        </row>
        <row r="28">
          <cell r="A28" t="str">
            <v>Nico O'Reilly</v>
          </cell>
          <cell r="B28" t="str">
            <v/>
          </cell>
          <cell r="C28" t="str">
            <v>O'Reilly</v>
          </cell>
          <cell r="D28" t="str">
            <v/>
          </cell>
          <cell r="E28" t="str">
            <v>Nico O’Reilly</v>
          </cell>
          <cell r="F28" t="str">
            <v/>
          </cell>
          <cell r="H28" t="str">
            <v/>
          </cell>
          <cell r="I28">
            <v>3.4</v>
          </cell>
          <cell r="J28">
            <v>3.4</v>
          </cell>
          <cell r="K28">
            <v>3.4</v>
          </cell>
          <cell r="M28">
            <v>4.6986842812583616</v>
          </cell>
          <cell r="N28">
            <v>5.1350737797956869</v>
          </cell>
          <cell r="O28">
            <v>4.2072199902707963</v>
          </cell>
          <cell r="P28">
            <v>4.6986842812583616</v>
          </cell>
          <cell r="Q28">
            <v>5.1350737797956869</v>
          </cell>
          <cell r="R28">
            <v>4.0600000000000005</v>
          </cell>
          <cell r="S28">
            <v>4.6986842812583616</v>
          </cell>
          <cell r="T28" t="str">
            <v>DEF</v>
          </cell>
          <cell r="U28" t="str">
            <v>LB</v>
          </cell>
          <cell r="V28" t="str">
            <v>MCI</v>
          </cell>
          <cell r="W28" t="str">
            <v>Man City</v>
          </cell>
          <cell r="X28">
            <v>6.5</v>
          </cell>
          <cell r="Y28">
            <v>160</v>
          </cell>
          <cell r="Z28">
            <v>4</v>
          </cell>
          <cell r="AA28">
            <v>156</v>
          </cell>
          <cell r="AB28">
            <v>2643</v>
          </cell>
          <cell r="AC28">
            <v>2643</v>
          </cell>
          <cell r="AD28">
            <v>0.72398190045248867</v>
          </cell>
          <cell r="AE28">
            <v>5</v>
          </cell>
          <cell r="AF28">
            <v>4</v>
          </cell>
          <cell r="AG28">
            <v>-3.8138479001135067E-2</v>
          </cell>
          <cell r="AH28">
            <v>4.5289443813847904E-2</v>
          </cell>
          <cell r="AI28">
            <v>7.1509648127128234E-3</v>
          </cell>
          <cell r="AJ28">
            <v>0.252</v>
          </cell>
          <cell r="AK28">
            <v>10</v>
          </cell>
          <cell r="AL28">
            <v>567</v>
          </cell>
          <cell r="AM28">
            <v>5</v>
          </cell>
          <cell r="AN28">
            <v>0</v>
          </cell>
          <cell r="AO28">
            <v>387</v>
          </cell>
          <cell r="AP28" t="str">
            <v>O'Reilly</v>
          </cell>
          <cell r="AQ28">
            <v>3.4562996594778661</v>
          </cell>
          <cell r="AR28">
            <v>0</v>
          </cell>
          <cell r="AS28">
            <v>3.555051078320091</v>
          </cell>
          <cell r="AT28">
            <v>5.6617480136208842</v>
          </cell>
          <cell r="AU28">
            <v>2.2054483541430194</v>
          </cell>
          <cell r="AV28">
            <v>5.6617480136208842</v>
          </cell>
          <cell r="AW28">
            <v>5.6617480136208842</v>
          </cell>
          <cell r="AX28">
            <v>7.7660612939841014E-2</v>
          </cell>
          <cell r="AY28">
            <v>0</v>
          </cell>
          <cell r="AZ28">
            <v>4.7</v>
          </cell>
          <cell r="BA28">
            <v>160</v>
          </cell>
          <cell r="BB28" t="str">
            <v/>
          </cell>
          <cell r="BC28">
            <v>29</v>
          </cell>
          <cell r="BD28">
            <v>22</v>
          </cell>
          <cell r="BE28">
            <v>0.75862068965517238</v>
          </cell>
          <cell r="BF28">
            <v>87</v>
          </cell>
          <cell r="BG28">
            <v>0.96666666666666667</v>
          </cell>
          <cell r="BH28">
            <v>1</v>
          </cell>
          <cell r="BI28">
            <v>5</v>
          </cell>
          <cell r="BJ28">
            <v>27</v>
          </cell>
          <cell r="BK28">
            <v>1</v>
          </cell>
          <cell r="BL28">
            <v>0.82857142857142863</v>
          </cell>
          <cell r="BM28">
            <v>0.14285714285714282</v>
          </cell>
          <cell r="BN28">
            <v>0.88177339901477847</v>
          </cell>
          <cell r="BO28">
            <v>38</v>
          </cell>
          <cell r="BP28">
            <v>0</v>
          </cell>
          <cell r="BQ28">
            <v>0.77280701754385961</v>
          </cell>
          <cell r="BR28">
            <v>6.12</v>
          </cell>
          <cell r="BS28">
            <v>0.20839954597048807</v>
          </cell>
          <cell r="BT28">
            <v>2.67</v>
          </cell>
          <cell r="BU28">
            <v>9.0919409761634498E-2</v>
          </cell>
          <cell r="BV28">
            <v>0.29931895573212258</v>
          </cell>
          <cell r="BW28">
            <v>0</v>
          </cell>
          <cell r="BX28">
            <v>38</v>
          </cell>
          <cell r="BY28">
            <v>1.223421052631579</v>
          </cell>
          <cell r="BZ28">
            <v>1.4195789473684208</v>
          </cell>
        </row>
        <row r="29">
          <cell r="A29" t="str">
            <v>João Pedro Junqueira de Jesus</v>
          </cell>
          <cell r="B29" t="str">
            <v/>
          </cell>
          <cell r="C29" t="str">
            <v>João Pedro</v>
          </cell>
          <cell r="D29" t="str">
            <v/>
          </cell>
          <cell r="F29" t="str">
            <v/>
          </cell>
          <cell r="H29" t="str">
            <v/>
          </cell>
          <cell r="I29">
            <v>3.4</v>
          </cell>
          <cell r="J29">
            <v>4.05</v>
          </cell>
          <cell r="K29">
            <v>4.7</v>
          </cell>
          <cell r="M29">
            <v>4.6896177577125657</v>
          </cell>
          <cell r="N29">
            <v>5.4604966139954847</v>
          </cell>
          <cell r="O29">
            <v>4.1671116461834297</v>
          </cell>
          <cell r="P29">
            <v>4.6896177577125657</v>
          </cell>
          <cell r="Q29">
            <v>5.4604966139954847</v>
          </cell>
          <cell r="R29">
            <v>3.340740740740741</v>
          </cell>
          <cell r="S29">
            <v>4.6896177577125657</v>
          </cell>
          <cell r="T29" t="str">
            <v>FWD</v>
          </cell>
          <cell r="U29" t="str">
            <v>CF</v>
          </cell>
          <cell r="V29" t="str">
            <v>CHE</v>
          </cell>
          <cell r="W29" t="str">
            <v>Chelsea</v>
          </cell>
          <cell r="X29">
            <v>7.5</v>
          </cell>
          <cell r="Y29">
            <v>177</v>
          </cell>
          <cell r="Z29">
            <v>0</v>
          </cell>
          <cell r="AA29">
            <v>177</v>
          </cell>
          <cell r="AB29">
            <v>2658</v>
          </cell>
          <cell r="AC29">
            <v>2658</v>
          </cell>
          <cell r="AD29">
            <v>0.67428571428571427</v>
          </cell>
          <cell r="AE29">
            <v>15</v>
          </cell>
          <cell r="AF29">
            <v>9</v>
          </cell>
          <cell r="AG29">
            <v>3.0474040632053612E-3</v>
          </cell>
          <cell r="AH29">
            <v>0.23837471783295713</v>
          </cell>
          <cell r="AI29">
            <v>0.24142212189616241</v>
          </cell>
          <cell r="AJ29">
            <v>0.45999999999999996</v>
          </cell>
          <cell r="AK29">
            <v>30</v>
          </cell>
          <cell r="AL29">
            <v>715</v>
          </cell>
          <cell r="AM29">
            <v>5</v>
          </cell>
          <cell r="AN29">
            <v>0</v>
          </cell>
          <cell r="AO29">
            <v>165</v>
          </cell>
          <cell r="AP29" t="str">
            <v>João Pedro</v>
          </cell>
          <cell r="AQ29">
            <v>1.2031602708803613</v>
          </cell>
          <cell r="AR29">
            <v>0</v>
          </cell>
          <cell r="AS29">
            <v>2.2212189616252824</v>
          </cell>
          <cell r="AT29">
            <v>4.2573363431151243</v>
          </cell>
          <cell r="AU29">
            <v>0.83295711060948074</v>
          </cell>
          <cell r="AV29">
            <v>4.2573363431151243</v>
          </cell>
          <cell r="AW29">
            <v>4.2573363431151243</v>
          </cell>
          <cell r="AX29">
            <v>3.2234118026443083E-2</v>
          </cell>
          <cell r="AY29">
            <v>0</v>
          </cell>
          <cell r="AZ29">
            <v>5.0999999999999996</v>
          </cell>
          <cell r="BA29">
            <v>177</v>
          </cell>
          <cell r="BB29" t="str">
            <v/>
          </cell>
          <cell r="BC29">
            <v>31</v>
          </cell>
          <cell r="BD29">
            <v>14</v>
          </cell>
          <cell r="BE29">
            <v>0.45161290322580644</v>
          </cell>
          <cell r="BF29">
            <v>82</v>
          </cell>
          <cell r="BG29">
            <v>0.91111111111111109</v>
          </cell>
          <cell r="BH29">
            <v>1</v>
          </cell>
          <cell r="BI29">
            <v>4</v>
          </cell>
          <cell r="BJ29">
            <v>31</v>
          </cell>
          <cell r="BK29">
            <v>0</v>
          </cell>
          <cell r="BL29">
            <v>0.88571428571428568</v>
          </cell>
          <cell r="BM29">
            <v>0.11428571428571432</v>
          </cell>
          <cell r="BN29">
            <v>0.92891986062717757</v>
          </cell>
          <cell r="BO29">
            <v>38</v>
          </cell>
          <cell r="BP29">
            <v>0</v>
          </cell>
          <cell r="BQ29">
            <v>0.77719298245614032</v>
          </cell>
          <cell r="BR29">
            <v>14.91</v>
          </cell>
          <cell r="BS29">
            <v>0.50485327313769757</v>
          </cell>
          <cell r="BT29">
            <v>1.96</v>
          </cell>
          <cell r="BU29">
            <v>6.6365688487584645E-2</v>
          </cell>
          <cell r="BV29">
            <v>0.57121896162528218</v>
          </cell>
          <cell r="BW29">
            <v>0</v>
          </cell>
          <cell r="BX29">
            <v>38</v>
          </cell>
          <cell r="BY29">
            <v>1.4473684210526316</v>
          </cell>
          <cell r="BZ29">
            <v>1.1956315789473682</v>
          </cell>
        </row>
        <row r="30">
          <cell r="A30" t="str">
            <v>Phil Foden</v>
          </cell>
          <cell r="B30" t="str">
            <v/>
          </cell>
          <cell r="C30" t="str">
            <v>Foden</v>
          </cell>
          <cell r="D30" t="str">
            <v/>
          </cell>
          <cell r="F30" t="str">
            <v/>
          </cell>
          <cell r="H30" t="str">
            <v/>
          </cell>
          <cell r="I30">
            <v>3.8</v>
          </cell>
          <cell r="J30">
            <v>4.9333333333333336</v>
          </cell>
          <cell r="K30">
            <v>6.6</v>
          </cell>
          <cell r="M30">
            <v>4.689324628005588</v>
          </cell>
          <cell r="N30">
            <v>4.912897016361887</v>
          </cell>
          <cell r="O30">
            <v>4.4918184778031778</v>
          </cell>
          <cell r="P30">
            <v>4.689324628005588</v>
          </cell>
          <cell r="Q30">
            <v>4.912897016361887</v>
          </cell>
          <cell r="R30">
            <v>5.8359375</v>
          </cell>
          <cell r="S30">
            <v>4.689324628005588</v>
          </cell>
          <cell r="T30" t="str">
            <v>MID</v>
          </cell>
          <cell r="U30" t="str">
            <v>AM</v>
          </cell>
          <cell r="V30" t="str">
            <v>MCI</v>
          </cell>
          <cell r="W30" t="str">
            <v>Man City</v>
          </cell>
          <cell r="X30">
            <v>7</v>
          </cell>
          <cell r="Y30">
            <v>131</v>
          </cell>
          <cell r="Z30">
            <v>8</v>
          </cell>
          <cell r="AA30">
            <v>123</v>
          </cell>
          <cell r="AB30">
            <v>2078</v>
          </cell>
          <cell r="AC30">
            <v>2078</v>
          </cell>
          <cell r="AD30">
            <v>0.5670995670995671</v>
          </cell>
          <cell r="AE30">
            <v>7</v>
          </cell>
          <cell r="AF30">
            <v>5</v>
          </cell>
          <cell r="AG30">
            <v>4.2011549566891238E-2</v>
          </cell>
          <cell r="AH30">
            <v>1.0394610202117405E-2</v>
          </cell>
          <cell r="AI30">
            <v>5.2406159769008642E-2</v>
          </cell>
          <cell r="AJ30">
            <v>5.0000000000000044E-2</v>
          </cell>
          <cell r="AK30">
            <v>13</v>
          </cell>
          <cell r="AL30">
            <v>563</v>
          </cell>
          <cell r="AM30">
            <v>4</v>
          </cell>
          <cell r="AN30">
            <v>0</v>
          </cell>
          <cell r="AO30">
            <v>398</v>
          </cell>
          <cell r="AP30" t="str">
            <v>Foden</v>
          </cell>
          <cell r="AQ30">
            <v>0.95861405197305105</v>
          </cell>
          <cell r="AR30">
            <v>0</v>
          </cell>
          <cell r="AS30">
            <v>4.0741097208854669</v>
          </cell>
          <cell r="AT30">
            <v>6.3907603464870064</v>
          </cell>
          <cell r="AU30">
            <v>1.358036573628489</v>
          </cell>
          <cell r="AV30">
            <v>6.3907603464870064</v>
          </cell>
          <cell r="AW30">
            <v>6.3907603464870064</v>
          </cell>
          <cell r="AX30">
            <v>4.8387185480544478E-2</v>
          </cell>
          <cell r="AY30">
            <v>0</v>
          </cell>
          <cell r="AZ30">
            <v>4</v>
          </cell>
          <cell r="BA30">
            <v>131</v>
          </cell>
          <cell r="BB30" t="str">
            <v/>
          </cell>
          <cell r="BC30">
            <v>23</v>
          </cell>
          <cell r="BD30">
            <v>13</v>
          </cell>
          <cell r="BE30">
            <v>0.56521739130434778</v>
          </cell>
          <cell r="BF30">
            <v>83</v>
          </cell>
          <cell r="BG30">
            <v>0.92222222222222228</v>
          </cell>
          <cell r="BH30">
            <v>1</v>
          </cell>
          <cell r="BI30">
            <v>10</v>
          </cell>
          <cell r="BJ30">
            <v>17</v>
          </cell>
          <cell r="BK30">
            <v>3</v>
          </cell>
          <cell r="BL30">
            <v>0.63888888888888884</v>
          </cell>
          <cell r="BM30">
            <v>0.27777777777777779</v>
          </cell>
          <cell r="BN30">
            <v>0.71285140562248983</v>
          </cell>
          <cell r="BO30">
            <v>38</v>
          </cell>
          <cell r="BP30">
            <v>0</v>
          </cell>
          <cell r="BQ30">
            <v>0.60760233918128659</v>
          </cell>
          <cell r="BR30">
            <v>6.03</v>
          </cell>
          <cell r="BS30">
            <v>0.2611645813282002</v>
          </cell>
          <cell r="BT30">
            <v>4.76</v>
          </cell>
          <cell r="BU30">
            <v>0.20615976900866217</v>
          </cell>
          <cell r="BV30">
            <v>0.46732435033686237</v>
          </cell>
          <cell r="BW30">
            <v>0</v>
          </cell>
          <cell r="BX30">
            <v>38</v>
          </cell>
          <cell r="BY30">
            <v>1.223421052631579</v>
          </cell>
          <cell r="BZ30">
            <v>1.4195789473684208</v>
          </cell>
        </row>
        <row r="31">
          <cell r="A31" t="str">
            <v>Florian Wirtz</v>
          </cell>
          <cell r="B31" t="str">
            <v/>
          </cell>
          <cell r="C31" t="str">
            <v>Wirtz</v>
          </cell>
          <cell r="D31" t="str">
            <v/>
          </cell>
          <cell r="F31" t="str">
            <v/>
          </cell>
          <cell r="H31" t="str">
            <v/>
          </cell>
          <cell r="I31" t="e">
            <v>#N/A</v>
          </cell>
          <cell r="J31" t="e">
            <v>#N/A</v>
          </cell>
          <cell r="K31" t="e">
            <v>#N/A</v>
          </cell>
          <cell r="M31">
            <v>4.6874930784149376</v>
          </cell>
          <cell r="N31">
            <v>4.2485256950294863</v>
          </cell>
          <cell r="O31">
            <v>4.2455174588746507</v>
          </cell>
          <cell r="P31">
            <v>4.6874930784149376</v>
          </cell>
          <cell r="Q31">
            <v>4.2485256950294863</v>
          </cell>
          <cell r="R31">
            <v>3.7763157894736836</v>
          </cell>
          <cell r="S31">
            <v>4.6874930784149376</v>
          </cell>
          <cell r="T31" t="str">
            <v>MID</v>
          </cell>
          <cell r="U31" t="str">
            <v>AM</v>
          </cell>
          <cell r="V31" t="str">
            <v>LIV</v>
          </cell>
          <cell r="W31" t="str">
            <v>Liverpool</v>
          </cell>
          <cell r="X31">
            <v>7.5</v>
          </cell>
          <cell r="Y31">
            <v>125.00000000000001</v>
          </cell>
          <cell r="Z31">
            <v>2</v>
          </cell>
          <cell r="AA31">
            <v>123.00000000000001</v>
          </cell>
          <cell r="AB31">
            <v>2374</v>
          </cell>
          <cell r="AC31">
            <v>2374</v>
          </cell>
          <cell r="AD31">
            <v>0.50505050505050508</v>
          </cell>
          <cell r="AE31">
            <v>5</v>
          </cell>
          <cell r="AF31">
            <v>4</v>
          </cell>
          <cell r="AG31">
            <v>-6.9376579612468431E-2</v>
          </cell>
          <cell r="AH31">
            <v>-4.3218197135636044E-2</v>
          </cell>
          <cell r="AI31">
            <v>-0.11259477674810447</v>
          </cell>
          <cell r="AJ31">
            <v>0.1339999999999999</v>
          </cell>
          <cell r="AK31">
            <v>17</v>
          </cell>
          <cell r="AL31">
            <v>521</v>
          </cell>
          <cell r="AM31">
            <v>1</v>
          </cell>
          <cell r="AN31">
            <v>0</v>
          </cell>
          <cell r="AO31">
            <v>366</v>
          </cell>
          <cell r="AP31" t="str">
            <v>Wirtz</v>
          </cell>
          <cell r="AQ31">
            <v>0.89806234203875313</v>
          </cell>
          <cell r="AR31">
            <v>0</v>
          </cell>
          <cell r="AS31">
            <v>4.0067396798652064</v>
          </cell>
          <cell r="AT31">
            <v>6.0791912384161746</v>
          </cell>
          <cell r="AU31">
            <v>1.1743892165122156</v>
          </cell>
          <cell r="AV31">
            <v>6.0791912384161746</v>
          </cell>
          <cell r="AW31">
            <v>6.0791912384161746</v>
          </cell>
          <cell r="AX31">
            <v>4.6028162233722469E-2</v>
          </cell>
          <cell r="AY31">
            <v>0</v>
          </cell>
          <cell r="AZ31">
            <v>3.8</v>
          </cell>
          <cell r="BA31">
            <v>125.00000000000001</v>
          </cell>
          <cell r="BB31" t="str">
            <v/>
          </cell>
          <cell r="BC31">
            <v>27</v>
          </cell>
          <cell r="BD31">
            <v>9</v>
          </cell>
          <cell r="BE31">
            <v>0.33333333333333331</v>
          </cell>
          <cell r="BF31">
            <v>82</v>
          </cell>
          <cell r="BG31">
            <v>0.91111111111111109</v>
          </cell>
          <cell r="BH31">
            <v>1</v>
          </cell>
          <cell r="BI31">
            <v>6</v>
          </cell>
          <cell r="BJ31">
            <v>27</v>
          </cell>
          <cell r="BK31">
            <v>0</v>
          </cell>
          <cell r="BL31">
            <v>0.81818181818181823</v>
          </cell>
          <cell r="BM31">
            <v>0.18181818181818177</v>
          </cell>
          <cell r="BN31">
            <v>0.87804878048780488</v>
          </cell>
          <cell r="BO31">
            <v>38</v>
          </cell>
          <cell r="BP31">
            <v>0</v>
          </cell>
          <cell r="BQ31">
            <v>0.69415204678362574</v>
          </cell>
          <cell r="BR31">
            <v>6.83</v>
          </cell>
          <cell r="BS31">
            <v>0.25893007582139849</v>
          </cell>
          <cell r="BT31">
            <v>5.14</v>
          </cell>
          <cell r="BU31">
            <v>0.1948609941027801</v>
          </cell>
          <cell r="BV31">
            <v>0.45379106992417861</v>
          </cell>
          <cell r="BW31">
            <v>0</v>
          </cell>
          <cell r="BX31">
            <v>38</v>
          </cell>
          <cell r="BY31">
            <v>1.4176315789473684</v>
          </cell>
          <cell r="BZ31">
            <v>1.2253684210526314</v>
          </cell>
        </row>
        <row r="32">
          <cell r="A32" t="str">
            <v>Jean-Philippe Mateta</v>
          </cell>
          <cell r="B32" t="str">
            <v/>
          </cell>
          <cell r="C32" t="str">
            <v>Mateta</v>
          </cell>
          <cell r="D32" t="str">
            <v/>
          </cell>
          <cell r="F32" t="str">
            <v/>
          </cell>
          <cell r="H32" t="str">
            <v/>
          </cell>
          <cell r="I32">
            <v>1.4</v>
          </cell>
          <cell r="J32">
            <v>3.4</v>
          </cell>
          <cell r="K32">
            <v>4.7</v>
          </cell>
          <cell r="M32">
            <v>4.6703366515837104</v>
          </cell>
          <cell r="N32">
            <v>4.1782805429864247</v>
          </cell>
          <cell r="O32">
            <v>4.1770291143119822</v>
          </cell>
          <cell r="P32">
            <v>4.6703366515837104</v>
          </cell>
          <cell r="Q32">
            <v>4.1782805429864247</v>
          </cell>
          <cell r="R32">
            <v>5.4860557768924307</v>
          </cell>
          <cell r="S32">
            <v>4.6703366515837104</v>
          </cell>
          <cell r="T32" t="str">
            <v>FWD</v>
          </cell>
          <cell r="U32" t="str">
            <v>CF</v>
          </cell>
          <cell r="V32" t="str">
            <v>CRY</v>
          </cell>
          <cell r="W32" t="str">
            <v>Crystal Palace</v>
          </cell>
          <cell r="X32">
            <v>6.5</v>
          </cell>
          <cell r="Y32">
            <v>114</v>
          </cell>
          <cell r="Z32">
            <v>0</v>
          </cell>
          <cell r="AA32">
            <v>114</v>
          </cell>
          <cell r="AB32">
            <v>2210</v>
          </cell>
          <cell r="AC32">
            <v>2210</v>
          </cell>
          <cell r="AD32">
            <v>0.54807692307692313</v>
          </cell>
          <cell r="AE32">
            <v>12</v>
          </cell>
          <cell r="AF32">
            <v>0</v>
          </cell>
          <cell r="AG32">
            <v>-9.8552036199094972E-2</v>
          </cell>
          <cell r="AH32">
            <v>-5.375565610859729E-2</v>
          </cell>
          <cell r="AI32">
            <v>-0.15230769230769231</v>
          </cell>
          <cell r="AJ32">
            <v>7.8999999999999959E-2</v>
          </cell>
          <cell r="AK32">
            <v>13</v>
          </cell>
          <cell r="AL32">
            <v>397</v>
          </cell>
          <cell r="AM32">
            <v>2</v>
          </cell>
          <cell r="AN32">
            <v>0</v>
          </cell>
          <cell r="AO32">
            <v>223</v>
          </cell>
          <cell r="AP32" t="str">
            <v>Mateta</v>
          </cell>
          <cell r="AQ32">
            <v>2.1257918552036199</v>
          </cell>
          <cell r="AR32">
            <v>0</v>
          </cell>
          <cell r="AS32">
            <v>2.0891402714932124</v>
          </cell>
          <cell r="AT32">
            <v>4.5814479638009047</v>
          </cell>
          <cell r="AU32">
            <v>0.36651583710407243</v>
          </cell>
          <cell r="AV32">
            <v>4.5814479638009047</v>
          </cell>
          <cell r="AW32">
            <v>4.5814479638009047</v>
          </cell>
          <cell r="AX32">
            <v>3.4688106011635425E-2</v>
          </cell>
          <cell r="AY32">
            <v>0</v>
          </cell>
          <cell r="AZ32">
            <v>3.6</v>
          </cell>
          <cell r="BA32">
            <v>114</v>
          </cell>
          <cell r="BB32" t="str">
            <v/>
          </cell>
          <cell r="BC32">
            <v>25</v>
          </cell>
          <cell r="BD32">
            <v>12</v>
          </cell>
          <cell r="BE32">
            <v>0.48</v>
          </cell>
          <cell r="BF32">
            <v>81</v>
          </cell>
          <cell r="BG32">
            <v>0.9</v>
          </cell>
          <cell r="BH32">
            <v>1</v>
          </cell>
          <cell r="BI32">
            <v>7</v>
          </cell>
          <cell r="BJ32">
            <v>27</v>
          </cell>
          <cell r="BK32">
            <v>0</v>
          </cell>
          <cell r="BL32">
            <v>0.78125</v>
          </cell>
          <cell r="BM32">
            <v>0.21875</v>
          </cell>
          <cell r="BN32">
            <v>0.85416666666666663</v>
          </cell>
          <cell r="BO32">
            <v>38</v>
          </cell>
          <cell r="BP32">
            <v>0</v>
          </cell>
          <cell r="BQ32">
            <v>0.64619883040935677</v>
          </cell>
          <cell r="BR32">
            <v>14.42</v>
          </cell>
          <cell r="BS32">
            <v>0.58723981900452482</v>
          </cell>
          <cell r="BT32">
            <v>1.32</v>
          </cell>
          <cell r="BU32">
            <v>5.375565610859729E-2</v>
          </cell>
          <cell r="BV32">
            <v>0.64099547511312216</v>
          </cell>
          <cell r="BW32">
            <v>0</v>
          </cell>
          <cell r="BX32">
            <v>38</v>
          </cell>
          <cell r="BY32">
            <v>1.631578947368421</v>
          </cell>
          <cell r="BZ32">
            <v>1.0114210526315788</v>
          </cell>
        </row>
        <row r="33">
          <cell r="A33" t="str">
            <v>Dango Ouattara</v>
          </cell>
          <cell r="B33" t="str">
            <v/>
          </cell>
          <cell r="C33" t="str">
            <v>O.Dango</v>
          </cell>
          <cell r="D33" t="str">
            <v/>
          </cell>
          <cell r="F33" t="str">
            <v/>
          </cell>
          <cell r="H33" t="str">
            <v/>
          </cell>
          <cell r="I33">
            <v>1.9</v>
          </cell>
          <cell r="J33">
            <v>2.7</v>
          </cell>
          <cell r="K33">
            <v>3.5</v>
          </cell>
          <cell r="M33">
            <v>4.6564475152958904</v>
          </cell>
          <cell r="N33">
            <v>4.8824306472919421</v>
          </cell>
          <cell r="O33">
            <v>4.8852473643026029</v>
          </cell>
          <cell r="P33">
            <v>4.6564475152958904</v>
          </cell>
          <cell r="Q33">
            <v>4.8824306472919421</v>
          </cell>
          <cell r="R33">
            <v>4.9936305732484074</v>
          </cell>
          <cell r="S33">
            <v>4.6564475152958904</v>
          </cell>
          <cell r="T33" t="str">
            <v>MID</v>
          </cell>
          <cell r="U33" t="str">
            <v>RW</v>
          </cell>
          <cell r="V33" t="str">
            <v>BRE</v>
          </cell>
          <cell r="W33" t="str">
            <v>Brentford</v>
          </cell>
          <cell r="X33">
            <v>6.5</v>
          </cell>
          <cell r="Y33">
            <v>136</v>
          </cell>
          <cell r="Z33">
            <v>4</v>
          </cell>
          <cell r="AA33">
            <v>132</v>
          </cell>
          <cell r="AB33">
            <v>2271</v>
          </cell>
          <cell r="AC33">
            <v>2271</v>
          </cell>
          <cell r="AD33">
            <v>0.65384615384615385</v>
          </cell>
          <cell r="AE33">
            <v>7</v>
          </cell>
          <cell r="AF33">
            <v>8</v>
          </cell>
          <cell r="AG33">
            <v>-3.725231175693533E-2</v>
          </cell>
          <cell r="AH33">
            <v>0.15376486129458386</v>
          </cell>
          <cell r="AI33">
            <v>0.11651254953764856</v>
          </cell>
          <cell r="AJ33">
            <v>1.8000000000000016E-2</v>
          </cell>
          <cell r="AK33">
            <v>16</v>
          </cell>
          <cell r="AL33">
            <v>429</v>
          </cell>
          <cell r="AM33">
            <v>5</v>
          </cell>
          <cell r="AN33">
            <v>0</v>
          </cell>
          <cell r="AO33">
            <v>95</v>
          </cell>
          <cell r="AP33" t="str">
            <v>O.Dango</v>
          </cell>
          <cell r="AQ33">
            <v>2.8110964332893</v>
          </cell>
          <cell r="AR33">
            <v>0</v>
          </cell>
          <cell r="AS33">
            <v>3.1439894319682957</v>
          </cell>
          <cell r="AT33">
            <v>6.8428005284015851</v>
          </cell>
          <cell r="AU33">
            <v>0.88771466314398939</v>
          </cell>
          <cell r="AV33">
            <v>6.8428005284015851</v>
          </cell>
          <cell r="AW33">
            <v>6.8428005284015851</v>
          </cell>
          <cell r="AX33">
            <v>5.1809775429326285E-2</v>
          </cell>
          <cell r="AY33">
            <v>0</v>
          </cell>
          <cell r="AZ33">
            <v>4.2</v>
          </cell>
          <cell r="BA33">
            <v>136</v>
          </cell>
          <cell r="BB33" t="str">
            <v/>
          </cell>
          <cell r="BC33">
            <v>25</v>
          </cell>
          <cell r="BD33">
            <v>12</v>
          </cell>
          <cell r="BE33">
            <v>0.48</v>
          </cell>
          <cell r="BF33">
            <v>84</v>
          </cell>
          <cell r="BG33">
            <v>0.93333333333333335</v>
          </cell>
          <cell r="BH33">
            <v>1</v>
          </cell>
          <cell r="BI33">
            <v>7</v>
          </cell>
          <cell r="BJ33">
            <v>25</v>
          </cell>
          <cell r="BK33">
            <v>0</v>
          </cell>
          <cell r="BL33">
            <v>0.78125</v>
          </cell>
          <cell r="BM33">
            <v>0.21875</v>
          </cell>
          <cell r="BN33">
            <v>0.84635416666666663</v>
          </cell>
          <cell r="BO33">
            <v>38</v>
          </cell>
          <cell r="BP33">
            <v>0</v>
          </cell>
          <cell r="BQ33">
            <v>0.6640350877192982</v>
          </cell>
          <cell r="BR33">
            <v>7.94</v>
          </cell>
          <cell r="BS33">
            <v>0.31466314398943201</v>
          </cell>
          <cell r="BT33">
            <v>4.12</v>
          </cell>
          <cell r="BU33">
            <v>0.16327608982826949</v>
          </cell>
          <cell r="BV33">
            <v>0.47793923381770154</v>
          </cell>
          <cell r="BW33">
            <v>0</v>
          </cell>
          <cell r="BX33">
            <v>38</v>
          </cell>
          <cell r="BY33">
            <v>1.5555263157894736</v>
          </cell>
          <cell r="BZ33">
            <v>1.0874736842105261</v>
          </cell>
        </row>
        <row r="34">
          <cell r="A34" t="str">
            <v>Charalampos Kostoulas</v>
          </cell>
          <cell r="B34" t="str">
            <v/>
          </cell>
          <cell r="C34" t="str">
            <v>Kostoulas</v>
          </cell>
          <cell r="D34" t="str">
            <v/>
          </cell>
          <cell r="F34" t="str">
            <v/>
          </cell>
          <cell r="H34" t="str">
            <v/>
          </cell>
          <cell r="I34" t="e">
            <v>#N/A</v>
          </cell>
          <cell r="J34" t="e">
            <v>#N/A</v>
          </cell>
          <cell r="K34" t="e">
            <v>#N/A</v>
          </cell>
          <cell r="M34">
            <v>4.6377435897435895</v>
          </cell>
          <cell r="N34">
            <v>7.5783475783475787</v>
          </cell>
          <cell r="O34">
            <v>6.1517616495243637</v>
          </cell>
          <cell r="P34">
            <v>4.6377435897435895</v>
          </cell>
          <cell r="Q34">
            <v>7.5783475783475787</v>
          </cell>
          <cell r="R34">
            <v>6.4406779661016946</v>
          </cell>
          <cell r="S34">
            <v>4.6377435897435895</v>
          </cell>
          <cell r="T34" t="str">
            <v>FWD</v>
          </cell>
          <cell r="U34" t="str">
            <v>CF</v>
          </cell>
          <cell r="V34" t="str">
            <v>BHA</v>
          </cell>
          <cell r="W34" t="str">
            <v>Brighton</v>
          </cell>
          <cell r="X34">
            <v>5.5</v>
          </cell>
          <cell r="Y34">
            <v>35</v>
          </cell>
          <cell r="Z34">
            <v>0</v>
          </cell>
          <cell r="AA34">
            <v>35</v>
          </cell>
          <cell r="AB34">
            <v>351</v>
          </cell>
          <cell r="AC34">
            <v>351</v>
          </cell>
          <cell r="AD34">
            <v>0.30303030303030304</v>
          </cell>
          <cell r="AE34">
            <v>2</v>
          </cell>
          <cell r="AF34">
            <v>1</v>
          </cell>
          <cell r="AG34">
            <v>-3.0769230769230771E-2</v>
          </cell>
          <cell r="AH34">
            <v>0.11794871794871797</v>
          </cell>
          <cell r="AI34">
            <v>8.7179487179487203E-2</v>
          </cell>
          <cell r="AJ34">
            <v>2.9999999999998916E-3</v>
          </cell>
          <cell r="AK34">
            <v>3</v>
          </cell>
          <cell r="AL34">
            <v>140</v>
          </cell>
          <cell r="AM34">
            <v>2</v>
          </cell>
          <cell r="AN34">
            <v>0</v>
          </cell>
          <cell r="AO34">
            <v>138</v>
          </cell>
          <cell r="AP34" t="str">
            <v>Kostoulas</v>
          </cell>
          <cell r="AQ34">
            <v>1.0826210826210827</v>
          </cell>
          <cell r="AR34">
            <v>0</v>
          </cell>
          <cell r="AS34">
            <v>5.4131054131054137</v>
          </cell>
          <cell r="AT34">
            <v>8.8774928774928767</v>
          </cell>
          <cell r="AU34">
            <v>2.3817663817663819</v>
          </cell>
          <cell r="AV34">
            <v>8.8774928774928767</v>
          </cell>
          <cell r="AW34">
            <v>8.8774928774928767</v>
          </cell>
          <cell r="AX34">
            <v>0.18817948717948713</v>
          </cell>
          <cell r="AY34">
            <v>0</v>
          </cell>
          <cell r="AZ34">
            <v>1.7</v>
          </cell>
          <cell r="BA34">
            <v>35</v>
          </cell>
          <cell r="BB34" t="str">
            <v/>
          </cell>
          <cell r="BC34">
            <v>2</v>
          </cell>
          <cell r="BD34">
            <v>0</v>
          </cell>
          <cell r="BE34">
            <v>0</v>
          </cell>
          <cell r="BF34">
            <v>76</v>
          </cell>
          <cell r="BG34">
            <v>0.84444444444444444</v>
          </cell>
          <cell r="BH34">
            <v>1</v>
          </cell>
          <cell r="BI34">
            <v>19</v>
          </cell>
          <cell r="BJ34">
            <v>11</v>
          </cell>
          <cell r="BK34">
            <v>8</v>
          </cell>
          <cell r="BL34">
            <v>6.8965517241379309E-2</v>
          </cell>
          <cell r="BM34">
            <v>0.65517241379310343</v>
          </cell>
          <cell r="BN34">
            <v>0.20372050816696916</v>
          </cell>
          <cell r="BO34">
            <v>38</v>
          </cell>
          <cell r="BP34">
            <v>0</v>
          </cell>
          <cell r="BQ34">
            <v>0.10263157894736842</v>
          </cell>
          <cell r="BR34">
            <v>2.12</v>
          </cell>
          <cell r="BS34">
            <v>0.54358974358974366</v>
          </cell>
          <cell r="BT34">
            <v>0.54</v>
          </cell>
          <cell r="BU34">
            <v>0.13846153846153847</v>
          </cell>
          <cell r="BV34">
            <v>0.68205128205128207</v>
          </cell>
          <cell r="BW34">
            <v>0</v>
          </cell>
          <cell r="BX34">
            <v>38</v>
          </cell>
          <cell r="BY34">
            <v>1.4144736842105263</v>
          </cell>
          <cell r="BZ34">
            <v>1.2285263157894735</v>
          </cell>
        </row>
        <row r="35">
          <cell r="A35" t="str">
            <v>David Brooks</v>
          </cell>
          <cell r="B35" t="str">
            <v/>
          </cell>
          <cell r="C35" t="str">
            <v>Brooks</v>
          </cell>
          <cell r="D35" t="str">
            <v/>
          </cell>
          <cell r="F35" t="str">
            <v/>
          </cell>
          <cell r="H35" t="str">
            <v/>
          </cell>
          <cell r="I35">
            <v>0.8</v>
          </cell>
          <cell r="J35">
            <v>1.4666666666666668</v>
          </cell>
          <cell r="K35">
            <v>1.8</v>
          </cell>
          <cell r="M35">
            <v>4.6230939100537416</v>
          </cell>
          <cell r="N35">
            <v>3.3274410774410774</v>
          </cell>
          <cell r="O35">
            <v>4.7504946843765739</v>
          </cell>
          <cell r="P35">
            <v>4.6230939100537416</v>
          </cell>
          <cell r="Q35">
            <v>3.3274410774410774</v>
          </cell>
          <cell r="R35">
            <v>5.2755905511811028</v>
          </cell>
          <cell r="S35">
            <v>4.6230939100537416</v>
          </cell>
          <cell r="T35" t="str">
            <v>MID</v>
          </cell>
          <cell r="U35" t="str">
            <v>RW</v>
          </cell>
          <cell r="V35" t="str">
            <v>BOU</v>
          </cell>
          <cell r="W35" t="str">
            <v>Bournemouth</v>
          </cell>
          <cell r="X35">
            <v>5</v>
          </cell>
          <cell r="Y35">
            <v>59</v>
          </cell>
          <cell r="Z35">
            <v>0</v>
          </cell>
          <cell r="AA35">
            <v>59</v>
          </cell>
          <cell r="AB35">
            <v>1188</v>
          </cell>
          <cell r="AC35">
            <v>1188</v>
          </cell>
          <cell r="AD35">
            <v>0.38064516129032261</v>
          </cell>
          <cell r="AE35">
            <v>1</v>
          </cell>
          <cell r="AF35">
            <v>3</v>
          </cell>
          <cell r="AG35">
            <v>-0.36439393939393938</v>
          </cell>
          <cell r="AH35">
            <v>-3.0303030303030276E-2</v>
          </cell>
          <cell r="AI35">
            <v>-0.39469696969696971</v>
          </cell>
          <cell r="AJ35">
            <v>2.0000000000000018E-3</v>
          </cell>
          <cell r="AK35">
            <v>4</v>
          </cell>
          <cell r="AL35">
            <v>215</v>
          </cell>
          <cell r="AM35">
            <v>7</v>
          </cell>
          <cell r="AN35">
            <v>0</v>
          </cell>
          <cell r="AO35">
            <v>74</v>
          </cell>
          <cell r="AP35" t="str">
            <v>Brooks</v>
          </cell>
          <cell r="AQ35">
            <v>1.0715488215488216</v>
          </cell>
          <cell r="AR35">
            <v>0</v>
          </cell>
          <cell r="AS35">
            <v>3.1582491582491583</v>
          </cell>
          <cell r="AT35">
            <v>5.301346801346801</v>
          </cell>
          <cell r="AU35">
            <v>1.0715488215488216</v>
          </cell>
          <cell r="AV35">
            <v>5.301346801346801</v>
          </cell>
          <cell r="AW35">
            <v>5.301346801346801</v>
          </cell>
          <cell r="AX35">
            <v>4.0138768638768633E-2</v>
          </cell>
          <cell r="AY35">
            <v>0</v>
          </cell>
          <cell r="AZ35">
            <v>1.9</v>
          </cell>
          <cell r="BA35">
            <v>59</v>
          </cell>
          <cell r="BB35" t="str">
            <v/>
          </cell>
          <cell r="BC35">
            <v>13</v>
          </cell>
          <cell r="BD35">
            <v>0</v>
          </cell>
          <cell r="BE35">
            <v>0</v>
          </cell>
          <cell r="BF35">
            <v>67</v>
          </cell>
          <cell r="BG35">
            <v>0.74444444444444446</v>
          </cell>
          <cell r="BH35">
            <v>1</v>
          </cell>
          <cell r="BI35">
            <v>18</v>
          </cell>
          <cell r="BJ35">
            <v>19</v>
          </cell>
          <cell r="BK35">
            <v>2</v>
          </cell>
          <cell r="BL35">
            <v>0.39393939393939392</v>
          </cell>
          <cell r="BM35">
            <v>0.54545454545454541</v>
          </cell>
          <cell r="BN35">
            <v>0.56580732700135683</v>
          </cell>
          <cell r="BO35">
            <v>38</v>
          </cell>
          <cell r="BP35">
            <v>0</v>
          </cell>
          <cell r="BQ35">
            <v>0.3473684210526316</v>
          </cell>
          <cell r="BR35">
            <v>5.81</v>
          </cell>
          <cell r="BS35">
            <v>0.44015151515151513</v>
          </cell>
          <cell r="BT35">
            <v>3.4</v>
          </cell>
          <cell r="BU35">
            <v>0.25757575757575757</v>
          </cell>
          <cell r="BV35">
            <v>0.69772727272727275</v>
          </cell>
          <cell r="BW35">
            <v>0</v>
          </cell>
          <cell r="BX35">
            <v>38</v>
          </cell>
          <cell r="BY35">
            <v>1.4939473684210527</v>
          </cell>
          <cell r="BZ35">
            <v>1.1490526315789471</v>
          </cell>
        </row>
        <row r="36">
          <cell r="A36" t="str">
            <v>Riccardo Calafiori</v>
          </cell>
          <cell r="B36" t="str">
            <v/>
          </cell>
          <cell r="C36" t="str">
            <v>Calafiori</v>
          </cell>
          <cell r="D36" t="str">
            <v/>
          </cell>
          <cell r="F36" t="str">
            <v/>
          </cell>
          <cell r="H36" t="str">
            <v/>
          </cell>
          <cell r="I36">
            <v>2.1</v>
          </cell>
          <cell r="J36">
            <v>2.1</v>
          </cell>
          <cell r="K36">
            <v>2.1</v>
          </cell>
          <cell r="M36">
            <v>4.5923097631183403</v>
          </cell>
          <cell r="N36">
            <v>4.8173246906305254</v>
          </cell>
          <cell r="O36">
            <v>2.9637872591347434</v>
          </cell>
          <cell r="P36">
            <v>4.5923097631183403</v>
          </cell>
          <cell r="Q36">
            <v>4.8173246906305254</v>
          </cell>
          <cell r="R36">
            <v>4.7808764940239046</v>
          </cell>
          <cell r="S36">
            <v>4.5923097631183403</v>
          </cell>
          <cell r="T36" t="str">
            <v>DEF</v>
          </cell>
          <cell r="U36" t="str">
            <v>LB</v>
          </cell>
          <cell r="V36" t="str">
            <v>ARS</v>
          </cell>
          <cell r="W36" t="str">
            <v>Arsenal</v>
          </cell>
          <cell r="X36">
            <v>5.5</v>
          </cell>
          <cell r="Y36">
            <v>109</v>
          </cell>
          <cell r="Z36">
            <v>0</v>
          </cell>
          <cell r="AA36">
            <v>109</v>
          </cell>
          <cell r="AB36">
            <v>1697</v>
          </cell>
          <cell r="AC36">
            <v>1697</v>
          </cell>
          <cell r="AD36">
            <v>0.7622377622377623</v>
          </cell>
          <cell r="AE36">
            <v>1</v>
          </cell>
          <cell r="AF36">
            <v>2</v>
          </cell>
          <cell r="AG36">
            <v>-0.12516205067766645</v>
          </cell>
          <cell r="AH36">
            <v>6.576311137301119E-2</v>
          </cell>
          <cell r="AI36">
            <v>-5.9398939304655257E-2</v>
          </cell>
          <cell r="AJ36">
            <v>0.11499999999999999</v>
          </cell>
          <cell r="AK36">
            <v>6</v>
          </cell>
          <cell r="AL36">
            <v>389</v>
          </cell>
          <cell r="AM36">
            <v>5</v>
          </cell>
          <cell r="AN36">
            <v>0</v>
          </cell>
          <cell r="AO36">
            <v>8</v>
          </cell>
          <cell r="AP36" t="str">
            <v>Calafiori</v>
          </cell>
          <cell r="AQ36">
            <v>3.0936947554507959</v>
          </cell>
          <cell r="AR36">
            <v>0</v>
          </cell>
          <cell r="AS36">
            <v>3.2704773129051263</v>
          </cell>
          <cell r="AT36">
            <v>4.5079552150854454</v>
          </cell>
          <cell r="AU36">
            <v>1.4142604596346495</v>
          </cell>
          <cell r="AV36">
            <v>4.5079552150854454</v>
          </cell>
          <cell r="AW36">
            <v>4.5079552150854454</v>
          </cell>
          <cell r="AX36">
            <v>2.8850913376546848E-2</v>
          </cell>
          <cell r="AY36">
            <v>0</v>
          </cell>
          <cell r="AZ36">
            <v>4.2</v>
          </cell>
          <cell r="BA36">
            <v>109</v>
          </cell>
          <cell r="BB36" t="str">
            <v/>
          </cell>
          <cell r="BC36">
            <v>22</v>
          </cell>
          <cell r="BD36">
            <v>7</v>
          </cell>
          <cell r="BE36">
            <v>0.31818181818181818</v>
          </cell>
          <cell r="BF36">
            <v>75</v>
          </cell>
          <cell r="BG36">
            <v>0.83333333333333337</v>
          </cell>
          <cell r="BH36">
            <v>1</v>
          </cell>
          <cell r="BI36">
            <v>4</v>
          </cell>
          <cell r="BJ36">
            <v>14</v>
          </cell>
          <cell r="BK36">
            <v>2</v>
          </cell>
          <cell r="BL36">
            <v>0.7857142857142857</v>
          </cell>
          <cell r="BM36">
            <v>0.14285714285714288</v>
          </cell>
          <cell r="BN36">
            <v>0.82571428571428573</v>
          </cell>
          <cell r="BO36">
            <v>38</v>
          </cell>
          <cell r="BP36">
            <v>0</v>
          </cell>
          <cell r="BQ36">
            <v>0.49619883040935675</v>
          </cell>
          <cell r="BR36">
            <v>3.36</v>
          </cell>
          <cell r="BS36">
            <v>0.1781968179139658</v>
          </cell>
          <cell r="BT36">
            <v>0.76</v>
          </cell>
          <cell r="BU36">
            <v>4.0306423099587506E-2</v>
          </cell>
          <cell r="BV36">
            <v>0.21850324101355331</v>
          </cell>
          <cell r="BW36">
            <v>0</v>
          </cell>
          <cell r="BX36">
            <v>38</v>
          </cell>
          <cell r="BY36">
            <v>0.87184210526315797</v>
          </cell>
          <cell r="BZ36">
            <v>1.7711578947368418</v>
          </cell>
        </row>
        <row r="37">
          <cell r="A37" t="str">
            <v>Tyler Fredricson</v>
          </cell>
          <cell r="B37" t="str">
            <v/>
          </cell>
          <cell r="C37" t="str">
            <v>Fredricson</v>
          </cell>
          <cell r="D37" t="str">
            <v/>
          </cell>
          <cell r="F37" t="str">
            <v/>
          </cell>
          <cell r="H37" t="str">
            <v/>
          </cell>
          <cell r="I37">
            <v>1</v>
          </cell>
          <cell r="J37">
            <v>1</v>
          </cell>
          <cell r="K37">
            <v>1</v>
          </cell>
          <cell r="M37">
            <v>4.5820174689000694</v>
          </cell>
          <cell r="N37">
            <v>0</v>
          </cell>
          <cell r="O37">
            <v>3.4333333333333331</v>
          </cell>
          <cell r="P37">
            <v>4.5820174689000694</v>
          </cell>
          <cell r="Q37">
            <v>40.5</v>
          </cell>
          <cell r="R37">
            <v>0</v>
          </cell>
          <cell r="S37">
            <v>4.5820174689000694</v>
          </cell>
          <cell r="T37" t="str">
            <v>DEF</v>
          </cell>
          <cell r="U37" t="str">
            <v>CB</v>
          </cell>
          <cell r="V37" t="str">
            <v>MUN</v>
          </cell>
          <cell r="W37" t="str">
            <v>Man Utd</v>
          </cell>
          <cell r="X37">
            <v>4</v>
          </cell>
          <cell r="Y37">
            <v>1</v>
          </cell>
          <cell r="Z37">
            <v>0</v>
          </cell>
          <cell r="AA37">
            <v>1</v>
          </cell>
          <cell r="AB37">
            <v>2</v>
          </cell>
          <cell r="AC37">
            <v>2</v>
          </cell>
          <cell r="AD37">
            <v>0.25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9.9999999999988987E-4</v>
          </cell>
          <cell r="AK37">
            <v>0</v>
          </cell>
          <cell r="AL37">
            <v>4</v>
          </cell>
          <cell r="AM37">
            <v>0</v>
          </cell>
          <cell r="AN37">
            <v>0</v>
          </cell>
          <cell r="AO37">
            <v>425</v>
          </cell>
          <cell r="AP37" t="str">
            <v>Fredricson</v>
          </cell>
          <cell r="AQ37">
            <v>81</v>
          </cell>
          <cell r="AR37">
            <v>0</v>
          </cell>
          <cell r="AS37">
            <v>0</v>
          </cell>
          <cell r="AT37">
            <v>81</v>
          </cell>
          <cell r="AU37">
            <v>0</v>
          </cell>
          <cell r="AV37">
            <v>81</v>
          </cell>
          <cell r="AW37">
            <v>81</v>
          </cell>
          <cell r="AX37">
            <v>5.4015000000000004</v>
          </cell>
          <cell r="AY37">
            <v>0</v>
          </cell>
          <cell r="AZ37">
            <v>1</v>
          </cell>
          <cell r="BA37">
            <v>1</v>
          </cell>
          <cell r="BB37" t="str">
            <v/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0.9</v>
          </cell>
          <cell r="BH37">
            <v>1</v>
          </cell>
          <cell r="BI37">
            <v>1</v>
          </cell>
          <cell r="BJ37">
            <v>3</v>
          </cell>
          <cell r="BK37">
            <v>10</v>
          </cell>
          <cell r="BL37">
            <v>0</v>
          </cell>
          <cell r="BM37">
            <v>9.0909090909090939E-2</v>
          </cell>
          <cell r="BN37" t="e">
            <v>#DIV/0!</v>
          </cell>
          <cell r="BO37">
            <v>38</v>
          </cell>
          <cell r="BP37">
            <v>0</v>
          </cell>
          <cell r="BQ37">
            <v>5.8479532163742691E-4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38</v>
          </cell>
          <cell r="BY37">
            <v>1.3231578947368421</v>
          </cell>
          <cell r="BZ37">
            <v>1.3198421052631577</v>
          </cell>
        </row>
        <row r="38">
          <cell r="A38" t="str">
            <v>Dominic Calvert-Lewin</v>
          </cell>
          <cell r="B38" t="str">
            <v/>
          </cell>
          <cell r="C38" t="str">
            <v>Calvert-Lewin</v>
          </cell>
          <cell r="D38" t="str">
            <v/>
          </cell>
          <cell r="F38" t="str">
            <v/>
          </cell>
          <cell r="H38" t="str">
            <v/>
          </cell>
          <cell r="I38" t="e">
            <v>#N/A</v>
          </cell>
          <cell r="J38" t="e">
            <v>#N/A</v>
          </cell>
          <cell r="K38" t="e">
            <v>#N/A</v>
          </cell>
          <cell r="M38">
            <v>4.5246174200661526</v>
          </cell>
          <cell r="N38">
            <v>4.5402425578831318</v>
          </cell>
          <cell r="O38">
            <v>4.3882642254792206</v>
          </cell>
          <cell r="P38">
            <v>4.5246174200661526</v>
          </cell>
          <cell r="Q38">
            <v>4.5402425578831318</v>
          </cell>
          <cell r="R38">
            <v>5.0386100386100381</v>
          </cell>
          <cell r="S38">
            <v>4.5246174200661526</v>
          </cell>
          <cell r="T38" t="str">
            <v>FWD</v>
          </cell>
          <cell r="U38" t="str">
            <v>CF</v>
          </cell>
          <cell r="V38" t="str">
            <v>LEE</v>
          </cell>
          <cell r="W38" t="str">
            <v>Leeds</v>
          </cell>
          <cell r="X38">
            <v>6</v>
          </cell>
          <cell r="Y38">
            <v>142</v>
          </cell>
          <cell r="Z38">
            <v>0</v>
          </cell>
          <cell r="AA38">
            <v>142</v>
          </cell>
          <cell r="AB38">
            <v>2721</v>
          </cell>
          <cell r="AC38">
            <v>2721</v>
          </cell>
          <cell r="AD38">
            <v>0.67619047619047612</v>
          </cell>
          <cell r="AE38">
            <v>14</v>
          </cell>
          <cell r="AF38">
            <v>2</v>
          </cell>
          <cell r="AG38">
            <v>-5.1929437706725534E-2</v>
          </cell>
          <cell r="AH38">
            <v>3.1091510474090409E-2</v>
          </cell>
          <cell r="AI38">
            <v>-2.0837927232635001E-2</v>
          </cell>
          <cell r="AJ38">
            <v>0.17100000000000004</v>
          </cell>
          <cell r="AK38">
            <v>20</v>
          </cell>
          <cell r="AL38">
            <v>472</v>
          </cell>
          <cell r="AM38">
            <v>3</v>
          </cell>
          <cell r="AN38">
            <v>0</v>
          </cell>
          <cell r="AO38">
            <v>346</v>
          </cell>
          <cell r="AP38" t="str">
            <v>Calvert-Lewin</v>
          </cell>
          <cell r="AQ38">
            <v>1.5667034178610806</v>
          </cell>
          <cell r="AR38">
            <v>0</v>
          </cell>
          <cell r="AS38">
            <v>1.4707828004410142</v>
          </cell>
          <cell r="AT38">
            <v>3.3572216097023153</v>
          </cell>
          <cell r="AU38">
            <v>0.3197353914002205</v>
          </cell>
          <cell r="AV38">
            <v>3.3572216097023153</v>
          </cell>
          <cell r="AW38">
            <v>3.3572216097023153</v>
          </cell>
          <cell r="AX38">
            <v>2.5418963616317531E-2</v>
          </cell>
          <cell r="AY38">
            <v>0</v>
          </cell>
          <cell r="AZ38">
            <v>4.0999999999999996</v>
          </cell>
          <cell r="BA38">
            <v>142</v>
          </cell>
          <cell r="BB38" t="str">
            <v/>
          </cell>
          <cell r="BC38">
            <v>30</v>
          </cell>
          <cell r="BD38">
            <v>17</v>
          </cell>
          <cell r="BE38">
            <v>0.56666666666666665</v>
          </cell>
          <cell r="BF38">
            <v>87</v>
          </cell>
          <cell r="BG38">
            <v>0.96666666666666667</v>
          </cell>
          <cell r="BH38">
            <v>1</v>
          </cell>
          <cell r="BI38">
            <v>5</v>
          </cell>
          <cell r="BJ38">
            <v>25</v>
          </cell>
          <cell r="BK38">
            <v>0</v>
          </cell>
          <cell r="BL38">
            <v>0.8571428571428571</v>
          </cell>
          <cell r="BM38">
            <v>0.1428571428571429</v>
          </cell>
          <cell r="BN38">
            <v>0.89819376026272568</v>
          </cell>
          <cell r="BO38">
            <v>38</v>
          </cell>
          <cell r="BP38">
            <v>0</v>
          </cell>
          <cell r="BQ38">
            <v>0.79561403508771933</v>
          </cell>
          <cell r="BR38">
            <v>15.57</v>
          </cell>
          <cell r="BS38">
            <v>0.51499448732083797</v>
          </cell>
          <cell r="BT38">
            <v>1.06</v>
          </cell>
          <cell r="BU38">
            <v>3.5060639470782806E-2</v>
          </cell>
          <cell r="BV38">
            <v>0.55005512679162072</v>
          </cell>
          <cell r="BW38">
            <v>0</v>
          </cell>
          <cell r="BX38">
            <v>38</v>
          </cell>
          <cell r="BY38">
            <v>1.4823684210526316</v>
          </cell>
          <cell r="BZ38">
            <v>1.1606315789473682</v>
          </cell>
        </row>
        <row r="39">
          <cell r="A39" t="str">
            <v>Marcus Tavernier</v>
          </cell>
          <cell r="B39" t="str">
            <v/>
          </cell>
          <cell r="C39" t="str">
            <v>Tavernier</v>
          </cell>
          <cell r="D39" t="str">
            <v/>
          </cell>
          <cell r="F39" t="str">
            <v/>
          </cell>
          <cell r="H39" t="str">
            <v/>
          </cell>
          <cell r="I39">
            <v>3</v>
          </cell>
          <cell r="J39">
            <v>3.3666666666666667</v>
          </cell>
          <cell r="K39">
            <v>4.0999999999999996</v>
          </cell>
          <cell r="M39">
            <v>4.5175164295384862</v>
          </cell>
          <cell r="N39">
            <v>4.060761346998536</v>
          </cell>
          <cell r="O39">
            <v>4.6967340128392836</v>
          </cell>
          <cell r="P39">
            <v>4.5175164295384862</v>
          </cell>
          <cell r="Q39">
            <v>4.060761346998536</v>
          </cell>
          <cell r="R39">
            <v>4.3</v>
          </cell>
          <cell r="S39">
            <v>4.5175164295384862</v>
          </cell>
          <cell r="T39" t="str">
            <v>MID</v>
          </cell>
          <cell r="U39" t="str">
            <v>AM</v>
          </cell>
          <cell r="V39" t="str">
            <v>BOU</v>
          </cell>
          <cell r="W39" t="str">
            <v>Bournemouth</v>
          </cell>
          <cell r="X39">
            <v>6</v>
          </cell>
          <cell r="Y39">
            <v>137</v>
          </cell>
          <cell r="Z39">
            <v>8</v>
          </cell>
          <cell r="AA39">
            <v>129</v>
          </cell>
          <cell r="AB39">
            <v>2732</v>
          </cell>
          <cell r="AC39">
            <v>2732</v>
          </cell>
          <cell r="AD39">
            <v>0.67156862745098034</v>
          </cell>
          <cell r="AE39">
            <v>7</v>
          </cell>
          <cell r="AF39">
            <v>4</v>
          </cell>
          <cell r="AG39">
            <v>-6.7862371888726236E-2</v>
          </cell>
          <cell r="AH39">
            <v>-1.9765739385065872E-2</v>
          </cell>
          <cell r="AI39">
            <v>-8.7628111273792109E-2</v>
          </cell>
          <cell r="AJ39">
            <v>1.6999999999999904E-2</v>
          </cell>
          <cell r="AK39">
            <v>14</v>
          </cell>
          <cell r="AL39">
            <v>552</v>
          </cell>
          <cell r="AM39">
            <v>6</v>
          </cell>
          <cell r="AN39">
            <v>0</v>
          </cell>
          <cell r="AO39">
            <v>68</v>
          </cell>
          <cell r="AP39" t="str">
            <v>Tavernier</v>
          </cell>
          <cell r="AQ39">
            <v>1.9516837481698392</v>
          </cell>
          <cell r="AR39">
            <v>0</v>
          </cell>
          <cell r="AS39">
            <v>4.7218155197657392</v>
          </cell>
          <cell r="AT39">
            <v>7.90117130307467</v>
          </cell>
          <cell r="AU39">
            <v>1.2276720351390924</v>
          </cell>
          <cell r="AV39">
            <v>7.90117130307467</v>
          </cell>
          <cell r="AW39">
            <v>7.90117130307467</v>
          </cell>
          <cell r="AX39">
            <v>0.11788433382137625</v>
          </cell>
          <cell r="AY39">
            <v>0</v>
          </cell>
          <cell r="AZ39">
            <v>4</v>
          </cell>
          <cell r="BA39">
            <v>137</v>
          </cell>
          <cell r="BB39" t="str">
            <v/>
          </cell>
          <cell r="BC39">
            <v>31</v>
          </cell>
          <cell r="BD39">
            <v>15</v>
          </cell>
          <cell r="BE39">
            <v>0.4838709677419355</v>
          </cell>
          <cell r="BF39">
            <v>86</v>
          </cell>
          <cell r="BG39">
            <v>0.9555555555555556</v>
          </cell>
          <cell r="BH39">
            <v>1</v>
          </cell>
          <cell r="BI39">
            <v>3</v>
          </cell>
          <cell r="BJ39">
            <v>24</v>
          </cell>
          <cell r="BK39">
            <v>0</v>
          </cell>
          <cell r="BL39">
            <v>0.91176470588235292</v>
          </cell>
          <cell r="BM39">
            <v>8.8235294117647078E-2</v>
          </cell>
          <cell r="BN39">
            <v>0.93638850889192893</v>
          </cell>
          <cell r="BO39">
            <v>38</v>
          </cell>
          <cell r="BP39">
            <v>0</v>
          </cell>
          <cell r="BQ39">
            <v>0.79883040935672511</v>
          </cell>
          <cell r="BR39">
            <v>9.06</v>
          </cell>
          <cell r="BS39">
            <v>0.2984626647144949</v>
          </cell>
          <cell r="BT39">
            <v>4.5999999999999996</v>
          </cell>
          <cell r="BU39">
            <v>0.15153733528550511</v>
          </cell>
          <cell r="BV39">
            <v>0.45</v>
          </cell>
          <cell r="BW39">
            <v>0</v>
          </cell>
          <cell r="BX39">
            <v>38</v>
          </cell>
          <cell r="BY39">
            <v>1.4939473684210527</v>
          </cell>
          <cell r="BZ39">
            <v>1.1490526315789471</v>
          </cell>
        </row>
        <row r="40">
          <cell r="A40" t="str">
            <v>Morgan Gibbs-White</v>
          </cell>
          <cell r="B40" t="str">
            <v/>
          </cell>
          <cell r="C40" t="str">
            <v>Gibbs-White</v>
          </cell>
          <cell r="D40" t="str">
            <v/>
          </cell>
          <cell r="F40" t="str">
            <v/>
          </cell>
          <cell r="H40" t="str">
            <v/>
          </cell>
          <cell r="I40">
            <v>3.8</v>
          </cell>
          <cell r="J40">
            <v>4.0666666666666664</v>
          </cell>
          <cell r="K40">
            <v>4.5</v>
          </cell>
          <cell r="M40">
            <v>4.5114525181653242</v>
          </cell>
          <cell r="N40">
            <v>5.2183166720412766</v>
          </cell>
          <cell r="O40">
            <v>5.6735237736930726</v>
          </cell>
          <cell r="P40">
            <v>4.5114525181653242</v>
          </cell>
          <cell r="Q40">
            <v>5.2183166720412766</v>
          </cell>
          <cell r="R40">
            <v>12.198412698412698</v>
          </cell>
          <cell r="S40">
            <v>4.5114525181653242</v>
          </cell>
          <cell r="T40" t="str">
            <v>MID</v>
          </cell>
          <cell r="U40" t="str">
            <v>AM</v>
          </cell>
          <cell r="V40" t="str">
            <v>NFO</v>
          </cell>
          <cell r="W40" t="str">
            <v>Nott'm Forest</v>
          </cell>
          <cell r="X40">
            <v>8</v>
          </cell>
          <cell r="Y40">
            <v>188</v>
          </cell>
          <cell r="Z40">
            <v>2</v>
          </cell>
          <cell r="AA40">
            <v>186</v>
          </cell>
          <cell r="AB40">
            <v>3101</v>
          </cell>
          <cell r="AC40">
            <v>3101</v>
          </cell>
          <cell r="AD40">
            <v>0.63513513513513509</v>
          </cell>
          <cell r="AE40">
            <v>15</v>
          </cell>
          <cell r="AF40">
            <v>4</v>
          </cell>
          <cell r="AG40">
            <v>0.12160593356981614</v>
          </cell>
          <cell r="AH40">
            <v>3.1634956465656228E-2</v>
          </cell>
          <cell r="AI40">
            <v>0.15324089003547237</v>
          </cell>
          <cell r="AJ40">
            <v>0.13100000000000001</v>
          </cell>
          <cell r="AK40">
            <v>18</v>
          </cell>
          <cell r="AL40">
            <v>712</v>
          </cell>
          <cell r="AM40">
            <v>1</v>
          </cell>
          <cell r="AN40">
            <v>0</v>
          </cell>
          <cell r="AO40">
            <v>480</v>
          </cell>
          <cell r="AP40" t="str">
            <v>Gibbs-White</v>
          </cell>
          <cell r="AQ40">
            <v>1.3466623669783941</v>
          </cell>
          <cell r="AR40">
            <v>0</v>
          </cell>
          <cell r="AS40">
            <v>3.0861012576588198</v>
          </cell>
          <cell r="AT40">
            <v>4.9938729442115442</v>
          </cell>
          <cell r="AU40">
            <v>0.56110931957433086</v>
          </cell>
          <cell r="AV40">
            <v>4.9938729442115442</v>
          </cell>
          <cell r="AW40">
            <v>4.9938729442115442</v>
          </cell>
          <cell r="AX40">
            <v>3.7810752291887406E-2</v>
          </cell>
          <cell r="AY40">
            <v>0</v>
          </cell>
          <cell r="AZ40">
            <v>5.0999999999999996</v>
          </cell>
          <cell r="BA40">
            <v>188</v>
          </cell>
          <cell r="BB40" t="str">
            <v/>
          </cell>
          <cell r="BC40">
            <v>35</v>
          </cell>
          <cell r="BD40">
            <v>20</v>
          </cell>
          <cell r="BE40">
            <v>0.5714285714285714</v>
          </cell>
          <cell r="BF40">
            <v>87</v>
          </cell>
          <cell r="BG40">
            <v>0.96666666666666667</v>
          </cell>
          <cell r="BH40">
            <v>1</v>
          </cell>
          <cell r="BI40">
            <v>2</v>
          </cell>
          <cell r="BJ40">
            <v>33</v>
          </cell>
          <cell r="BK40">
            <v>0</v>
          </cell>
          <cell r="BL40">
            <v>0.94594594594594594</v>
          </cell>
          <cell r="BM40">
            <v>5.4054054054054057E-2</v>
          </cell>
          <cell r="BN40">
            <v>0.96644920782851818</v>
          </cell>
          <cell r="BO40">
            <v>38</v>
          </cell>
          <cell r="BP40">
            <v>0</v>
          </cell>
          <cell r="BQ40">
            <v>0.90672514619883038</v>
          </cell>
          <cell r="BR40">
            <v>10.81</v>
          </cell>
          <cell r="BS40">
            <v>0.31373750403095779</v>
          </cell>
          <cell r="BT40">
            <v>2.91</v>
          </cell>
          <cell r="BU40">
            <v>8.4456626894550149E-2</v>
          </cell>
          <cell r="BV40">
            <v>0.39819413092550793</v>
          </cell>
          <cell r="BW40">
            <v>0</v>
          </cell>
          <cell r="BX40">
            <v>38</v>
          </cell>
          <cell r="BY40">
            <v>1.7036842105263157</v>
          </cell>
          <cell r="BZ40">
            <v>0.9393157894736841</v>
          </cell>
        </row>
        <row r="41">
          <cell r="A41" t="str">
            <v>Antoine Semenyo</v>
          </cell>
          <cell r="B41" t="str">
            <v/>
          </cell>
          <cell r="C41" t="str">
            <v>Semenyo</v>
          </cell>
          <cell r="D41" t="str">
            <v/>
          </cell>
          <cell r="F41" t="str">
            <v/>
          </cell>
          <cell r="H41" t="str">
            <v/>
          </cell>
          <cell r="I41">
            <v>1.6</v>
          </cell>
          <cell r="J41">
            <v>3.1</v>
          </cell>
          <cell r="K41">
            <v>4.5</v>
          </cell>
          <cell r="M41">
            <v>4.4973733046177147</v>
          </cell>
          <cell r="N41">
            <v>5.5125000000000002</v>
          </cell>
          <cell r="O41">
            <v>3.5609374999999992</v>
          </cell>
          <cell r="P41">
            <v>4.4973733046177147</v>
          </cell>
          <cell r="Q41">
            <v>5.5125000000000002</v>
          </cell>
          <cell r="R41">
            <v>4.5</v>
          </cell>
          <cell r="S41">
            <v>4.4973733046177147</v>
          </cell>
          <cell r="T41" t="str">
            <v>MID</v>
          </cell>
          <cell r="U41" t="str">
            <v>RW</v>
          </cell>
          <cell r="V41" t="str">
            <v>MCI</v>
          </cell>
          <cell r="W41" t="str">
            <v>Man City</v>
          </cell>
          <cell r="X41">
            <v>8.5</v>
          </cell>
          <cell r="Y41">
            <v>202</v>
          </cell>
          <cell r="Z41">
            <v>6</v>
          </cell>
          <cell r="AA41">
            <v>196</v>
          </cell>
          <cell r="AB41">
            <v>3200</v>
          </cell>
          <cell r="AC41">
            <v>3200</v>
          </cell>
          <cell r="AD41">
            <v>1.1882352941176471</v>
          </cell>
          <cell r="AE41">
            <v>17</v>
          </cell>
          <cell r="AF41">
            <v>6</v>
          </cell>
          <cell r="AG41">
            <v>0.16593750000000002</v>
          </cell>
          <cell r="AH41">
            <v>8.0999999999999975E-2</v>
          </cell>
          <cell r="AI41">
            <v>0.24693749999999998</v>
          </cell>
          <cell r="AJ41">
            <v>0.20199999999999996</v>
          </cell>
          <cell r="AK41">
            <v>18</v>
          </cell>
          <cell r="AL41">
            <v>678</v>
          </cell>
          <cell r="AM41">
            <v>7</v>
          </cell>
          <cell r="AN41">
            <v>0</v>
          </cell>
          <cell r="AO41">
            <v>397</v>
          </cell>
          <cell r="AP41" t="str">
            <v>Semenyo</v>
          </cell>
          <cell r="AQ41">
            <v>1.378125</v>
          </cell>
          <cell r="AR41">
            <v>0</v>
          </cell>
          <cell r="AS41">
            <v>3.9937499999999999</v>
          </cell>
          <cell r="AT41">
            <v>6.6374999999999993</v>
          </cell>
          <cell r="AU41">
            <v>1.265625</v>
          </cell>
          <cell r="AV41">
            <v>6.6374999999999993</v>
          </cell>
          <cell r="AW41">
            <v>6.6374999999999993</v>
          </cell>
          <cell r="AX41">
            <v>5.0255357142857136E-2</v>
          </cell>
          <cell r="AY41">
            <v>0</v>
          </cell>
          <cell r="AZ41">
            <v>5.5</v>
          </cell>
          <cell r="BA41">
            <v>202</v>
          </cell>
          <cell r="BB41" t="str">
            <v/>
          </cell>
          <cell r="BC41">
            <v>20</v>
          </cell>
          <cell r="BD41">
            <v>18</v>
          </cell>
          <cell r="BE41">
            <v>0.9</v>
          </cell>
          <cell r="BF41">
            <v>90</v>
          </cell>
          <cell r="BG41">
            <v>1</v>
          </cell>
          <cell r="BH41">
            <v>1</v>
          </cell>
          <cell r="BI41">
            <v>0</v>
          </cell>
          <cell r="BJ41">
            <v>0</v>
          </cell>
          <cell r="BK41">
            <v>0</v>
          </cell>
          <cell r="BL41">
            <v>1</v>
          </cell>
          <cell r="BM41">
            <v>0</v>
          </cell>
          <cell r="BN41">
            <v>1</v>
          </cell>
          <cell r="BO41">
            <v>38</v>
          </cell>
          <cell r="BP41">
            <v>0</v>
          </cell>
          <cell r="BQ41">
            <v>0.93567251461988299</v>
          </cell>
          <cell r="BR41">
            <v>11.1</v>
          </cell>
          <cell r="BS41">
            <v>0.31218750000000001</v>
          </cell>
          <cell r="BT41">
            <v>3.12</v>
          </cell>
          <cell r="BU41">
            <v>8.7750000000000009E-2</v>
          </cell>
          <cell r="BV41">
            <v>0.3999375</v>
          </cell>
          <cell r="BW41">
            <v>0</v>
          </cell>
          <cell r="BX41">
            <v>38</v>
          </cell>
          <cell r="BY41">
            <v>1.223421052631579</v>
          </cell>
          <cell r="BZ41">
            <v>1.4195789473684208</v>
          </cell>
        </row>
        <row r="42">
          <cell r="A42" t="str">
            <v>Benjamin Sesko</v>
          </cell>
          <cell r="B42" t="str">
            <v/>
          </cell>
          <cell r="C42" t="str">
            <v>Šeško</v>
          </cell>
          <cell r="D42" t="str">
            <v/>
          </cell>
          <cell r="E42" t="str">
            <v>Benjamin Šeško</v>
          </cell>
          <cell r="F42" t="str">
            <v/>
          </cell>
          <cell r="H42" t="str">
            <v/>
          </cell>
          <cell r="I42" t="e">
            <v>#N/A</v>
          </cell>
          <cell r="J42" t="e">
            <v>#N/A</v>
          </cell>
          <cell r="K42" t="e">
            <v>#N/A</v>
          </cell>
          <cell r="M42">
            <v>4.493720245398773</v>
          </cell>
          <cell r="N42">
            <v>5.3797546012269937</v>
          </cell>
          <cell r="O42">
            <v>5.2908004535806716</v>
          </cell>
          <cell r="P42">
            <v>4.493720245398773</v>
          </cell>
          <cell r="Q42">
            <v>5.3797546012269937</v>
          </cell>
          <cell r="R42">
            <v>5.6161137440758298</v>
          </cell>
          <cell r="S42">
            <v>4.493720245398773</v>
          </cell>
          <cell r="T42" t="str">
            <v>FWD</v>
          </cell>
          <cell r="U42" t="str">
            <v>CF</v>
          </cell>
          <cell r="V42" t="str">
            <v>MUN</v>
          </cell>
          <cell r="W42" t="str">
            <v>Man Utd</v>
          </cell>
          <cell r="X42">
            <v>7</v>
          </cell>
          <cell r="Y42">
            <v>111</v>
          </cell>
          <cell r="Z42">
            <v>0</v>
          </cell>
          <cell r="AA42">
            <v>111</v>
          </cell>
          <cell r="AB42">
            <v>1630</v>
          </cell>
          <cell r="AC42">
            <v>1630</v>
          </cell>
          <cell r="AD42">
            <v>0.52857142857142858</v>
          </cell>
          <cell r="AE42">
            <v>11</v>
          </cell>
          <cell r="AF42">
            <v>2</v>
          </cell>
          <cell r="AG42">
            <v>9.8834355828220866E-2</v>
          </cell>
          <cell r="AH42">
            <v>9.4969325153374237E-2</v>
          </cell>
          <cell r="AI42">
            <v>0.19380368098159517</v>
          </cell>
          <cell r="AJ42">
            <v>3.0000000000000027E-2</v>
          </cell>
          <cell r="AK42">
            <v>19</v>
          </cell>
          <cell r="AL42">
            <v>405</v>
          </cell>
          <cell r="AM42">
            <v>2</v>
          </cell>
          <cell r="AN42">
            <v>0</v>
          </cell>
          <cell r="AO42">
            <v>439</v>
          </cell>
          <cell r="AP42" t="str">
            <v>Šeško</v>
          </cell>
          <cell r="AQ42">
            <v>0.96932515337423319</v>
          </cell>
          <cell r="AR42">
            <v>0</v>
          </cell>
          <cell r="AS42">
            <v>1.8901840490797546</v>
          </cell>
          <cell r="AT42">
            <v>3.1018404907975459</v>
          </cell>
          <cell r="AU42">
            <v>0.2423312883435583</v>
          </cell>
          <cell r="AV42">
            <v>3.1018404907975459</v>
          </cell>
          <cell r="AW42">
            <v>3.1018404907975459</v>
          </cell>
          <cell r="AX42">
            <v>2.348536371603856E-2</v>
          </cell>
          <cell r="AY42">
            <v>0</v>
          </cell>
          <cell r="AZ42">
            <v>3.7</v>
          </cell>
          <cell r="BA42">
            <v>111</v>
          </cell>
          <cell r="BB42">
            <v>75</v>
          </cell>
          <cell r="BC42">
            <v>17</v>
          </cell>
          <cell r="BD42">
            <v>8</v>
          </cell>
          <cell r="BE42">
            <v>0.47058823529411764</v>
          </cell>
          <cell r="BF42">
            <v>79</v>
          </cell>
          <cell r="BG42">
            <v>0.87777777777777777</v>
          </cell>
          <cell r="BH42">
            <v>1</v>
          </cell>
          <cell r="BI42">
            <v>13</v>
          </cell>
          <cell r="BJ42">
            <v>23</v>
          </cell>
          <cell r="BK42">
            <v>1</v>
          </cell>
          <cell r="BL42">
            <v>0.54838709677419351</v>
          </cell>
          <cell r="BM42">
            <v>0.54665898617511521</v>
          </cell>
          <cell r="BN42">
            <v>0.6798693344222132</v>
          </cell>
          <cell r="BO42">
            <v>38</v>
          </cell>
          <cell r="BP42">
            <v>0</v>
          </cell>
          <cell r="BQ42">
            <v>0.47660818713450293</v>
          </cell>
          <cell r="BR42">
            <v>9.2100000000000009</v>
          </cell>
          <cell r="BS42">
            <v>0.50852760736196323</v>
          </cell>
          <cell r="BT42">
            <v>0.28000000000000003</v>
          </cell>
          <cell r="BU42">
            <v>1.5460122699386505E-2</v>
          </cell>
          <cell r="BV42">
            <v>0.52398773006134969</v>
          </cell>
          <cell r="BW42">
            <v>0</v>
          </cell>
          <cell r="BX42">
            <v>38</v>
          </cell>
          <cell r="BY42">
            <v>1.3231578947368421</v>
          </cell>
          <cell r="BZ42">
            <v>1.3198421052631577</v>
          </cell>
        </row>
        <row r="43">
          <cell r="A43" t="str">
            <v>Mikel Merino Zazón</v>
          </cell>
          <cell r="B43" t="str">
            <v/>
          </cell>
          <cell r="C43" t="str">
            <v>Merino</v>
          </cell>
          <cell r="D43" t="str">
            <v/>
          </cell>
          <cell r="E43" t="str">
            <v>Mikel Merino</v>
          </cell>
          <cell r="F43" t="str">
            <v/>
          </cell>
          <cell r="H43" t="str">
            <v/>
          </cell>
          <cell r="I43">
            <v>3.3</v>
          </cell>
          <cell r="J43">
            <v>3.3</v>
          </cell>
          <cell r="K43">
            <v>3.3</v>
          </cell>
          <cell r="M43">
            <v>4.4736095520978356</v>
          </cell>
          <cell r="N43">
            <v>5.0380859375</v>
          </cell>
          <cell r="O43">
            <v>7.4394531249999947</v>
          </cell>
          <cell r="P43">
            <v>4.4736095520978356</v>
          </cell>
          <cell r="Q43">
            <v>5.0380859375</v>
          </cell>
          <cell r="R43">
            <v>2.7499999999999996</v>
          </cell>
          <cell r="S43">
            <v>4.4736095520978356</v>
          </cell>
          <cell r="T43" t="str">
            <v>MID</v>
          </cell>
          <cell r="U43" t="str">
            <v>CM</v>
          </cell>
          <cell r="V43" t="str">
            <v>ARS</v>
          </cell>
          <cell r="W43" t="str">
            <v>Arsenal</v>
          </cell>
          <cell r="X43">
            <v>6</v>
          </cell>
          <cell r="Y43">
            <v>67</v>
          </cell>
          <cell r="Z43">
            <v>0</v>
          </cell>
          <cell r="AA43">
            <v>67</v>
          </cell>
          <cell r="AB43">
            <v>1024</v>
          </cell>
          <cell r="AC43">
            <v>1024</v>
          </cell>
          <cell r="AD43">
            <v>0.50757575757575757</v>
          </cell>
          <cell r="AE43">
            <v>4</v>
          </cell>
          <cell r="AF43">
            <v>3</v>
          </cell>
          <cell r="AG43">
            <v>5.6250000000000022E-2</v>
          </cell>
          <cell r="AH43">
            <v>0.13623046875</v>
          </cell>
          <cell r="AI43">
            <v>0.19248046875000002</v>
          </cell>
          <cell r="AJ43">
            <v>1.0999999999999899E-2</v>
          </cell>
          <cell r="AK43">
            <v>5</v>
          </cell>
          <cell r="AL43">
            <v>236</v>
          </cell>
          <cell r="AM43">
            <v>1</v>
          </cell>
          <cell r="AN43">
            <v>0</v>
          </cell>
          <cell r="AO43">
            <v>17</v>
          </cell>
          <cell r="AP43" t="str">
            <v>Merino</v>
          </cell>
          <cell r="AQ43">
            <v>2.255859375</v>
          </cell>
          <cell r="AR43">
            <v>0</v>
          </cell>
          <cell r="AS43">
            <v>4.2861328125</v>
          </cell>
          <cell r="AT43">
            <v>8.4970703125</v>
          </cell>
          <cell r="AU43">
            <v>1.955078125</v>
          </cell>
          <cell r="AV43">
            <v>8.4970703125</v>
          </cell>
          <cell r="AW43">
            <v>8.4970703125</v>
          </cell>
          <cell r="AX43">
            <v>0.16078906250000002</v>
          </cell>
          <cell r="AY43">
            <v>0</v>
          </cell>
          <cell r="AZ43">
            <v>3</v>
          </cell>
          <cell r="BA43">
            <v>67</v>
          </cell>
          <cell r="BB43" t="str">
            <v/>
          </cell>
          <cell r="BC43">
            <v>10</v>
          </cell>
          <cell r="BD43">
            <v>5</v>
          </cell>
          <cell r="BE43">
            <v>0.5</v>
          </cell>
          <cell r="BF43">
            <v>77</v>
          </cell>
          <cell r="BG43">
            <v>0.85555555555555551</v>
          </cell>
          <cell r="BH43">
            <v>1</v>
          </cell>
          <cell r="BI43">
            <v>12</v>
          </cell>
          <cell r="BJ43">
            <v>22</v>
          </cell>
          <cell r="BK43">
            <v>2</v>
          </cell>
          <cell r="BL43">
            <v>0.41666666666666669</v>
          </cell>
          <cell r="BM43">
            <v>0.49999999999999994</v>
          </cell>
          <cell r="BN43">
            <v>0.58333333333333337</v>
          </cell>
          <cell r="BO43">
            <v>38</v>
          </cell>
          <cell r="BP43">
            <v>0</v>
          </cell>
          <cell r="BQ43">
            <v>0.29941520467836258</v>
          </cell>
          <cell r="BR43">
            <v>3.36</v>
          </cell>
          <cell r="BS43">
            <v>0.29531249999999998</v>
          </cell>
          <cell r="BT43">
            <v>1.45</v>
          </cell>
          <cell r="BU43">
            <v>0.12744140625</v>
          </cell>
          <cell r="BV43">
            <v>0.42275390624999998</v>
          </cell>
          <cell r="BW43">
            <v>0</v>
          </cell>
          <cell r="BX43">
            <v>38</v>
          </cell>
          <cell r="BY43">
            <v>0.87184210526315797</v>
          </cell>
          <cell r="BZ43">
            <v>1.7711578947368418</v>
          </cell>
        </row>
        <row r="44">
          <cell r="A44" t="str">
            <v>Bruno Guimarães Rodriguez Moura</v>
          </cell>
          <cell r="B44" t="str">
            <v/>
          </cell>
          <cell r="C44" t="str">
            <v>Bruno G.</v>
          </cell>
          <cell r="D44" t="str">
            <v/>
          </cell>
          <cell r="E44" t="str">
            <v>Guimaraes</v>
          </cell>
          <cell r="F44" t="str">
            <v/>
          </cell>
          <cell r="G44" t="str">
            <v>Bruno Guimarães</v>
          </cell>
          <cell r="H44" t="str">
            <v/>
          </cell>
          <cell r="I44">
            <v>3.6</v>
          </cell>
          <cell r="J44">
            <v>3.8499999999999996</v>
          </cell>
          <cell r="K44">
            <v>4.0999999999999996</v>
          </cell>
          <cell r="M44">
            <v>4.442125131655331</v>
          </cell>
          <cell r="N44">
            <v>5.1596091205211723</v>
          </cell>
          <cell r="O44">
            <v>4.3462761387607234</v>
          </cell>
          <cell r="P44">
            <v>4.442125131655331</v>
          </cell>
          <cell r="Q44">
            <v>5.1596091205211723</v>
          </cell>
          <cell r="R44">
            <v>4.02745995423341</v>
          </cell>
          <cell r="S44">
            <v>4.442125131655331</v>
          </cell>
          <cell r="T44" t="str">
            <v>MID</v>
          </cell>
          <cell r="U44" t="str">
            <v>CM</v>
          </cell>
          <cell r="V44" t="str">
            <v>NEW</v>
          </cell>
          <cell r="W44" t="str">
            <v>Newcastle</v>
          </cell>
          <cell r="X44">
            <v>7</v>
          </cell>
          <cell r="Y44">
            <v>154</v>
          </cell>
          <cell r="Z44">
            <v>10</v>
          </cell>
          <cell r="AA44">
            <v>144</v>
          </cell>
          <cell r="AB44">
            <v>2456</v>
          </cell>
          <cell r="AC44">
            <v>2456</v>
          </cell>
          <cell r="AD44">
            <v>0.75862068965517249</v>
          </cell>
          <cell r="AE44">
            <v>9</v>
          </cell>
          <cell r="AF44">
            <v>7</v>
          </cell>
          <cell r="AG44">
            <v>0.12495928338762213</v>
          </cell>
          <cell r="AH44">
            <v>7.4755700325732893E-2</v>
          </cell>
          <cell r="AI44">
            <v>0.19971498371335505</v>
          </cell>
          <cell r="AJ44">
            <v>9.000000000000008E-2</v>
          </cell>
          <cell r="AK44">
            <v>22</v>
          </cell>
          <cell r="AL44">
            <v>681</v>
          </cell>
          <cell r="AM44">
            <v>6</v>
          </cell>
          <cell r="AN44">
            <v>0</v>
          </cell>
          <cell r="AO44">
            <v>452</v>
          </cell>
          <cell r="AP44" t="str">
            <v>Bruno G.</v>
          </cell>
          <cell r="AQ44">
            <v>1.9706840390879476</v>
          </cell>
          <cell r="AR44">
            <v>0</v>
          </cell>
          <cell r="AS44">
            <v>4.8013029315960916</v>
          </cell>
          <cell r="AT44">
            <v>8.9934853420195431</v>
          </cell>
          <cell r="AU44">
            <v>2.2214983713355045</v>
          </cell>
          <cell r="AV44">
            <v>8.9934853420195431</v>
          </cell>
          <cell r="AW44">
            <v>8.9934853420195431</v>
          </cell>
          <cell r="AX44">
            <v>0.1965309446254071</v>
          </cell>
          <cell r="AY44">
            <v>0</v>
          </cell>
          <cell r="AZ44">
            <v>5.3</v>
          </cell>
          <cell r="BA44">
            <v>154</v>
          </cell>
          <cell r="BB44" t="str">
            <v/>
          </cell>
          <cell r="BC44">
            <v>27</v>
          </cell>
          <cell r="BD44">
            <v>19</v>
          </cell>
          <cell r="BE44">
            <v>0.70370370370370372</v>
          </cell>
          <cell r="BF44">
            <v>88</v>
          </cell>
          <cell r="BG44">
            <v>0.97777777777777775</v>
          </cell>
          <cell r="BH44">
            <v>1</v>
          </cell>
          <cell r="BI44">
            <v>2</v>
          </cell>
          <cell r="BJ44">
            <v>37</v>
          </cell>
          <cell r="BK44">
            <v>1</v>
          </cell>
          <cell r="BL44">
            <v>0.9</v>
          </cell>
          <cell r="BM44">
            <v>6.6666666666666652E-2</v>
          </cell>
          <cell r="BN44">
            <v>0.94204545454545463</v>
          </cell>
          <cell r="BO44">
            <v>38</v>
          </cell>
          <cell r="BP44">
            <v>0</v>
          </cell>
          <cell r="BQ44">
            <v>0.71812865497076028</v>
          </cell>
          <cell r="BR44">
            <v>5.59</v>
          </cell>
          <cell r="BS44">
            <v>0.20484527687296417</v>
          </cell>
          <cell r="BT44">
            <v>4.96</v>
          </cell>
          <cell r="BU44">
            <v>0.18175895765472314</v>
          </cell>
          <cell r="BV44">
            <v>0.38660423452768733</v>
          </cell>
          <cell r="BW44">
            <v>0</v>
          </cell>
          <cell r="BX44">
            <v>38</v>
          </cell>
          <cell r="BY44">
            <v>1.5081578947368421</v>
          </cell>
          <cell r="BZ44">
            <v>1.1348421052631577</v>
          </cell>
        </row>
        <row r="45">
          <cell r="A45" t="str">
            <v>Harvey Barnes</v>
          </cell>
          <cell r="B45" t="str">
            <v/>
          </cell>
          <cell r="C45" t="str">
            <v>Barnes</v>
          </cell>
          <cell r="D45" t="str">
            <v/>
          </cell>
          <cell r="F45" t="str">
            <v/>
          </cell>
          <cell r="H45" t="str">
            <v/>
          </cell>
          <cell r="I45">
            <v>3</v>
          </cell>
          <cell r="J45">
            <v>3.6666666666666665</v>
          </cell>
          <cell r="K45">
            <v>4.0999999999999996</v>
          </cell>
          <cell r="M45">
            <v>4.4320707078820041</v>
          </cell>
          <cell r="N45">
            <v>4.2921578677601238</v>
          </cell>
          <cell r="O45">
            <v>4.2363275965377092</v>
          </cell>
          <cell r="P45">
            <v>4.4320707078820041</v>
          </cell>
          <cell r="Q45">
            <v>4.2921578677601238</v>
          </cell>
          <cell r="R45">
            <v>6.1197183098591541</v>
          </cell>
          <cell r="S45">
            <v>4.4320707078820041</v>
          </cell>
          <cell r="T45" t="str">
            <v>MID</v>
          </cell>
          <cell r="U45" t="str">
            <v>LW</v>
          </cell>
          <cell r="V45" t="str">
            <v>NEW</v>
          </cell>
          <cell r="W45" t="str">
            <v>Newcastle</v>
          </cell>
          <cell r="X45">
            <v>6</v>
          </cell>
          <cell r="Y45">
            <v>106.00000000000001</v>
          </cell>
          <cell r="Z45">
            <v>0</v>
          </cell>
          <cell r="AA45">
            <v>106.00000000000001</v>
          </cell>
          <cell r="AB45">
            <v>1951</v>
          </cell>
          <cell r="AC45">
            <v>1951</v>
          </cell>
          <cell r="AD45">
            <v>0.47747747747747754</v>
          </cell>
          <cell r="AE45">
            <v>7</v>
          </cell>
          <cell r="AF45">
            <v>1</v>
          </cell>
          <cell r="AG45">
            <v>7.3808303434136358E-3</v>
          </cell>
          <cell r="AH45">
            <v>-7.934392619169657E-2</v>
          </cell>
          <cell r="AI45">
            <v>-7.1963095848282976E-2</v>
          </cell>
          <cell r="AJ45">
            <v>1.0000000000000009E-2</v>
          </cell>
          <cell r="AK45">
            <v>9</v>
          </cell>
          <cell r="AL45">
            <v>349</v>
          </cell>
          <cell r="AM45">
            <v>1</v>
          </cell>
          <cell r="AN45">
            <v>0</v>
          </cell>
          <cell r="AO45">
            <v>453</v>
          </cell>
          <cell r="AP45" t="str">
            <v>Barnes</v>
          </cell>
          <cell r="AQ45">
            <v>0.80984110712455137</v>
          </cell>
          <cell r="AR45">
            <v>0</v>
          </cell>
          <cell r="AS45">
            <v>2.7129677088672475</v>
          </cell>
          <cell r="AT45">
            <v>4.0492055356227583</v>
          </cell>
          <cell r="AU45">
            <v>0.52639671963095847</v>
          </cell>
          <cell r="AV45">
            <v>4.0492055356227583</v>
          </cell>
          <cell r="AW45">
            <v>4.0492055356227583</v>
          </cell>
          <cell r="AX45">
            <v>3.0658270484000882E-2</v>
          </cell>
          <cell r="AY45">
            <v>0</v>
          </cell>
          <cell r="AZ45">
            <v>2.9</v>
          </cell>
          <cell r="BA45">
            <v>106.00000000000001</v>
          </cell>
          <cell r="BB45" t="str">
            <v/>
          </cell>
          <cell r="BC45">
            <v>19</v>
          </cell>
          <cell r="BD45">
            <v>7</v>
          </cell>
          <cell r="BE45">
            <v>0.36842105263157893</v>
          </cell>
          <cell r="BF45">
            <v>79</v>
          </cell>
          <cell r="BG45">
            <v>0.87777777777777777</v>
          </cell>
          <cell r="BH45">
            <v>1</v>
          </cell>
          <cell r="BI45">
            <v>18</v>
          </cell>
          <cell r="BJ45">
            <v>26</v>
          </cell>
          <cell r="BK45">
            <v>1</v>
          </cell>
          <cell r="BL45">
            <v>0.5</v>
          </cell>
          <cell r="BM45">
            <v>0.47368421052631582</v>
          </cell>
          <cell r="BN45">
            <v>0.66455696202531644</v>
          </cell>
          <cell r="BO45">
            <v>38</v>
          </cell>
          <cell r="BP45">
            <v>0</v>
          </cell>
          <cell r="BQ45">
            <v>0.5704678362573099</v>
          </cell>
          <cell r="BR45">
            <v>6.84</v>
          </cell>
          <cell r="BS45">
            <v>0.31553049718093285</v>
          </cell>
          <cell r="BT45">
            <v>2.72</v>
          </cell>
          <cell r="BU45">
            <v>0.12547411583803178</v>
          </cell>
          <cell r="BV45">
            <v>0.44100461301896465</v>
          </cell>
          <cell r="BW45">
            <v>0</v>
          </cell>
          <cell r="BX45">
            <v>38</v>
          </cell>
          <cell r="BY45">
            <v>1.5081578947368421</v>
          </cell>
          <cell r="BZ45">
            <v>1.1348421052631577</v>
          </cell>
        </row>
        <row r="46">
          <cell r="A46" t="str">
            <v>Ollie Watkins</v>
          </cell>
          <cell r="B46" t="str">
            <v/>
          </cell>
          <cell r="C46" t="str">
            <v>Watkins</v>
          </cell>
          <cell r="D46" t="str">
            <v/>
          </cell>
          <cell r="F46" t="str">
            <v/>
          </cell>
          <cell r="H46" t="str">
            <v/>
          </cell>
          <cell r="I46">
            <v>4.7</v>
          </cell>
          <cell r="J46">
            <v>5.2666666666666666</v>
          </cell>
          <cell r="K46">
            <v>6.2</v>
          </cell>
          <cell r="M46">
            <v>4.4215644193434525</v>
          </cell>
          <cell r="N46">
            <v>4.8337451464878223</v>
          </cell>
          <cell r="O46">
            <v>5.8295567862851589</v>
          </cell>
          <cell r="P46">
            <v>4.4215644193434525</v>
          </cell>
          <cell r="Q46">
            <v>4.8337451464878223</v>
          </cell>
          <cell r="R46">
            <v>10.026200873362445</v>
          </cell>
          <cell r="S46">
            <v>4.4215644193434525</v>
          </cell>
          <cell r="T46" t="str">
            <v>FWD</v>
          </cell>
          <cell r="U46" t="str">
            <v>CF</v>
          </cell>
          <cell r="V46" t="str">
            <v>AVL</v>
          </cell>
          <cell r="W46" t="str">
            <v>Aston Villa</v>
          </cell>
          <cell r="X46">
            <v>8</v>
          </cell>
          <cell r="Y46">
            <v>167</v>
          </cell>
          <cell r="Z46">
            <v>0</v>
          </cell>
          <cell r="AA46">
            <v>167</v>
          </cell>
          <cell r="AB46">
            <v>2833</v>
          </cell>
          <cell r="AC46">
            <v>2833</v>
          </cell>
          <cell r="AD46">
            <v>0.56418918918918914</v>
          </cell>
          <cell r="AE46">
            <v>16</v>
          </cell>
          <cell r="AF46">
            <v>4</v>
          </cell>
          <cell r="AG46">
            <v>1.9061066007765526E-2</v>
          </cell>
          <cell r="AH46">
            <v>8.9587010236498399E-2</v>
          </cell>
          <cell r="AI46">
            <v>0.10864807624426398</v>
          </cell>
          <cell r="AJ46">
            <v>0.14100000000000001</v>
          </cell>
          <cell r="AK46">
            <v>26</v>
          </cell>
          <cell r="AL46">
            <v>623</v>
          </cell>
          <cell r="AM46">
            <v>4</v>
          </cell>
          <cell r="AN46">
            <v>0</v>
          </cell>
          <cell r="AO46">
            <v>55</v>
          </cell>
          <cell r="AP46" t="str">
            <v>Watkins</v>
          </cell>
          <cell r="AQ46">
            <v>0.66572537945640664</v>
          </cell>
          <cell r="AR46">
            <v>0</v>
          </cell>
          <cell r="AS46">
            <v>1.4182845040593008</v>
          </cell>
          <cell r="AT46">
            <v>2.7207906812566183</v>
          </cell>
          <cell r="AU46">
            <v>0.63678079774091068</v>
          </cell>
          <cell r="AV46">
            <v>2.7207906812566183</v>
          </cell>
          <cell r="AW46">
            <v>2.7207906812566183</v>
          </cell>
          <cell r="AX46">
            <v>2.0600272300942968E-2</v>
          </cell>
          <cell r="AY46">
            <v>0</v>
          </cell>
          <cell r="AZ46">
            <v>4.5</v>
          </cell>
          <cell r="BA46">
            <v>167</v>
          </cell>
          <cell r="BB46" t="str">
            <v/>
          </cell>
          <cell r="BC46">
            <v>33</v>
          </cell>
          <cell r="BD46">
            <v>13</v>
          </cell>
          <cell r="BE46">
            <v>0.39393939393939392</v>
          </cell>
          <cell r="BF46">
            <v>82</v>
          </cell>
          <cell r="BG46">
            <v>0.91111111111111109</v>
          </cell>
          <cell r="BH46">
            <v>1</v>
          </cell>
          <cell r="BI46">
            <v>4</v>
          </cell>
          <cell r="BJ46">
            <v>33</v>
          </cell>
          <cell r="BK46">
            <v>0</v>
          </cell>
          <cell r="BL46">
            <v>0.89189189189189189</v>
          </cell>
          <cell r="BM46">
            <v>0.10810810810810811</v>
          </cell>
          <cell r="BN46">
            <v>0.93539881344759379</v>
          </cell>
          <cell r="BO46">
            <v>38</v>
          </cell>
          <cell r="BP46">
            <v>0</v>
          </cell>
          <cell r="BQ46">
            <v>0.82836257309941519</v>
          </cell>
          <cell r="BR46">
            <v>15.4</v>
          </cell>
          <cell r="BS46">
            <v>0.48923402753265094</v>
          </cell>
          <cell r="BT46">
            <v>1.18</v>
          </cell>
          <cell r="BU46">
            <v>3.7486763148605717E-2</v>
          </cell>
          <cell r="BV46">
            <v>0.52672079068125666</v>
          </cell>
          <cell r="BW46">
            <v>0</v>
          </cell>
          <cell r="BX46">
            <v>38</v>
          </cell>
          <cell r="BY46">
            <v>1.4915789473684211</v>
          </cell>
          <cell r="BZ46">
            <v>1.1514210526315787</v>
          </cell>
        </row>
        <row r="47">
          <cell r="A47" t="str">
            <v>Benjamin White</v>
          </cell>
          <cell r="B47" t="str">
            <v/>
          </cell>
          <cell r="C47" t="str">
            <v>White</v>
          </cell>
          <cell r="D47" t="str">
            <v/>
          </cell>
          <cell r="E47" t="str">
            <v>B White</v>
          </cell>
          <cell r="F47" t="str">
            <v/>
          </cell>
          <cell r="G47" t="str">
            <v>Ben White</v>
          </cell>
          <cell r="H47" t="str">
            <v/>
          </cell>
          <cell r="I47">
            <v>2.9</v>
          </cell>
          <cell r="J47">
            <v>3.9666666666666668</v>
          </cell>
          <cell r="K47">
            <v>4.9000000000000004</v>
          </cell>
          <cell r="M47">
            <v>4.418620126521569</v>
          </cell>
          <cell r="N47">
            <v>4.4291845493562239</v>
          </cell>
          <cell r="O47">
            <v>2.371019017200652</v>
          </cell>
          <cell r="P47">
            <v>4.418620126521569</v>
          </cell>
          <cell r="Q47">
            <v>4.4291845493562239</v>
          </cell>
          <cell r="R47">
            <v>4.688372093023256</v>
          </cell>
          <cell r="S47">
            <v>4.418620126521569</v>
          </cell>
          <cell r="T47" t="str">
            <v>DEF</v>
          </cell>
          <cell r="U47" t="str">
            <v>RB</v>
          </cell>
          <cell r="V47" t="str">
            <v>ARS</v>
          </cell>
          <cell r="W47" t="str">
            <v>Arsenal</v>
          </cell>
          <cell r="X47">
            <v>5.5</v>
          </cell>
          <cell r="Y47">
            <v>45</v>
          </cell>
          <cell r="Z47">
            <v>2</v>
          </cell>
          <cell r="AA47">
            <v>43</v>
          </cell>
          <cell r="AB47">
            <v>699</v>
          </cell>
          <cell r="AC47">
            <v>699</v>
          </cell>
          <cell r="AD47">
            <v>0.68181818181818177</v>
          </cell>
          <cell r="AE47">
            <v>0</v>
          </cell>
          <cell r="AF47">
            <v>1</v>
          </cell>
          <cell r="AG47">
            <v>-5.7939914163090134E-2</v>
          </cell>
          <cell r="AH47">
            <v>3.9914163090128754E-2</v>
          </cell>
          <cell r="AI47">
            <v>-1.8025751072961393E-2</v>
          </cell>
          <cell r="AJ47">
            <v>0</v>
          </cell>
          <cell r="AK47">
            <v>3</v>
          </cell>
          <cell r="AL47">
            <v>181</v>
          </cell>
          <cell r="AM47">
            <v>0</v>
          </cell>
          <cell r="AN47">
            <v>0</v>
          </cell>
          <cell r="AO47">
            <v>10</v>
          </cell>
          <cell r="AP47" t="str">
            <v>White</v>
          </cell>
          <cell r="AQ47">
            <v>3.9141630901287559</v>
          </cell>
          <cell r="AR47">
            <v>0</v>
          </cell>
          <cell r="AS47">
            <v>2.8841201716738198</v>
          </cell>
          <cell r="AT47">
            <v>5.459227467811159</v>
          </cell>
          <cell r="AU47">
            <v>1.5450643776824036</v>
          </cell>
          <cell r="AV47">
            <v>5.459227467811159</v>
          </cell>
          <cell r="AW47">
            <v>5.459227467811159</v>
          </cell>
          <cell r="AX47">
            <v>6.3686695278969974E-2</v>
          </cell>
          <cell r="AY47">
            <v>0</v>
          </cell>
          <cell r="AZ47">
            <v>3.8</v>
          </cell>
          <cell r="BA47">
            <v>45</v>
          </cell>
          <cell r="BB47">
            <v>0</v>
          </cell>
          <cell r="BC47">
            <v>9</v>
          </cell>
          <cell r="BD47">
            <v>4</v>
          </cell>
          <cell r="BE47">
            <v>0.44444444444444442</v>
          </cell>
          <cell r="BF47">
            <v>72</v>
          </cell>
          <cell r="BG47">
            <v>0.8</v>
          </cell>
          <cell r="BH47">
            <v>1</v>
          </cell>
          <cell r="BI47">
            <v>3</v>
          </cell>
          <cell r="BJ47">
            <v>19</v>
          </cell>
          <cell r="BK47">
            <v>17</v>
          </cell>
          <cell r="BL47">
            <v>0.31034482758620691</v>
          </cell>
          <cell r="BM47">
            <v>0.14999534482758625</v>
          </cell>
          <cell r="BN47">
            <v>0.4923371647509579</v>
          </cell>
          <cell r="BO47">
            <v>38</v>
          </cell>
          <cell r="BP47">
            <v>0</v>
          </cell>
          <cell r="BQ47">
            <v>0.2043859649122807</v>
          </cell>
          <cell r="BR47">
            <v>0.45</v>
          </cell>
          <cell r="BS47">
            <v>5.7939914163090134E-2</v>
          </cell>
          <cell r="BT47">
            <v>0.69</v>
          </cell>
          <cell r="BU47">
            <v>8.8841201716738191E-2</v>
          </cell>
          <cell r="BV47">
            <v>0.14678111587982834</v>
          </cell>
          <cell r="BW47">
            <v>0</v>
          </cell>
          <cell r="BX47">
            <v>38</v>
          </cell>
          <cell r="BY47">
            <v>0.87184210526315797</v>
          </cell>
          <cell r="BZ47">
            <v>1.7711578947368418</v>
          </cell>
        </row>
        <row r="48">
          <cell r="A48" t="str">
            <v>Maxim De Cuyper</v>
          </cell>
          <cell r="B48" t="str">
            <v/>
          </cell>
          <cell r="C48" t="str">
            <v>De Cuyper</v>
          </cell>
          <cell r="D48" t="str">
            <v/>
          </cell>
          <cell r="F48" t="str">
            <v/>
          </cell>
          <cell r="H48" t="str">
            <v/>
          </cell>
          <cell r="I48" t="e">
            <v>#N/A</v>
          </cell>
          <cell r="J48" t="e">
            <v>#N/A</v>
          </cell>
          <cell r="K48" t="e">
            <v>#N/A</v>
          </cell>
          <cell r="M48">
            <v>4.3973110966294433</v>
          </cell>
          <cell r="N48">
            <v>4.1880341880341883</v>
          </cell>
          <cell r="O48">
            <v>4.2967817817817817</v>
          </cell>
          <cell r="P48">
            <v>4.3973110966294433</v>
          </cell>
          <cell r="Q48">
            <v>4.1880341880341883</v>
          </cell>
          <cell r="R48">
            <v>6.2162162162162167</v>
          </cell>
          <cell r="S48">
            <v>4.3973110966294433</v>
          </cell>
          <cell r="T48" t="str">
            <v>DEF</v>
          </cell>
          <cell r="U48" t="str">
            <v>LB</v>
          </cell>
          <cell r="V48" t="str">
            <v>BHA</v>
          </cell>
          <cell r="W48" t="str">
            <v>Brighton</v>
          </cell>
          <cell r="X48">
            <v>4.5</v>
          </cell>
          <cell r="Y48">
            <v>84</v>
          </cell>
          <cell r="Z48">
            <v>0</v>
          </cell>
          <cell r="AA48">
            <v>84</v>
          </cell>
          <cell r="AB48">
            <v>1404</v>
          </cell>
          <cell r="AC48">
            <v>1404</v>
          </cell>
          <cell r="AD48">
            <v>0.62222222222222223</v>
          </cell>
          <cell r="AE48">
            <v>2</v>
          </cell>
          <cell r="AF48">
            <v>3</v>
          </cell>
          <cell r="AG48">
            <v>2.1794871794871815E-2</v>
          </cell>
          <cell r="AH48">
            <v>-6.9230769230769235E-2</v>
          </cell>
          <cell r="AI48">
            <v>-4.7435897435897434E-2</v>
          </cell>
          <cell r="AJ48">
            <v>2.4000000000000021E-2</v>
          </cell>
          <cell r="AK48">
            <v>9</v>
          </cell>
          <cell r="AL48">
            <v>318</v>
          </cell>
          <cell r="AM48">
            <v>2</v>
          </cell>
          <cell r="AN48">
            <v>0</v>
          </cell>
          <cell r="AO48">
            <v>115</v>
          </cell>
          <cell r="AP48" t="str">
            <v>De Cuyper</v>
          </cell>
          <cell r="AQ48">
            <v>2.0940170940170941</v>
          </cell>
          <cell r="AR48">
            <v>0</v>
          </cell>
          <cell r="AS48">
            <v>3.39031339031339</v>
          </cell>
          <cell r="AT48">
            <v>3.1908831908831914</v>
          </cell>
          <cell r="AU48">
            <v>1.096866096866097</v>
          </cell>
          <cell r="AV48">
            <v>3.1908831908831914</v>
          </cell>
          <cell r="AW48">
            <v>3.1908831908831914</v>
          </cell>
          <cell r="AX48">
            <v>2.0421652421652427E-2</v>
          </cell>
          <cell r="AY48">
            <v>0</v>
          </cell>
          <cell r="AZ48">
            <v>2.8</v>
          </cell>
          <cell r="BA48">
            <v>84</v>
          </cell>
          <cell r="BB48" t="str">
            <v/>
          </cell>
          <cell r="BC48">
            <v>17</v>
          </cell>
          <cell r="BD48">
            <v>5</v>
          </cell>
          <cell r="BE48">
            <v>0.29411764705882354</v>
          </cell>
          <cell r="BF48">
            <v>70</v>
          </cell>
          <cell r="BG48">
            <v>0.77777777777777779</v>
          </cell>
          <cell r="BH48">
            <v>1</v>
          </cell>
          <cell r="BI48">
            <v>13</v>
          </cell>
          <cell r="BJ48">
            <v>18</v>
          </cell>
          <cell r="BK48">
            <v>6</v>
          </cell>
          <cell r="BL48">
            <v>0.47222222222222221</v>
          </cell>
          <cell r="BM48">
            <v>0.36111111111111116</v>
          </cell>
          <cell r="BN48">
            <v>0.607936507936508</v>
          </cell>
          <cell r="BO48">
            <v>38</v>
          </cell>
          <cell r="BP48">
            <v>0</v>
          </cell>
          <cell r="BQ48">
            <v>0.41052631578947368</v>
          </cell>
          <cell r="BR48">
            <v>1.66</v>
          </cell>
          <cell r="BS48">
            <v>0.10641025641025641</v>
          </cell>
          <cell r="BT48">
            <v>4.08</v>
          </cell>
          <cell r="BU48">
            <v>0.26153846153846155</v>
          </cell>
          <cell r="BV48">
            <v>0.36794871794871797</v>
          </cell>
          <cell r="BW48">
            <v>0</v>
          </cell>
          <cell r="BX48">
            <v>38</v>
          </cell>
          <cell r="BY48">
            <v>1.4144736842105263</v>
          </cell>
          <cell r="BZ48">
            <v>1.2285263157894735</v>
          </cell>
        </row>
        <row r="49">
          <cell r="A49" t="str">
            <v>Mamadou Sarr</v>
          </cell>
          <cell r="B49" t="str">
            <v/>
          </cell>
          <cell r="C49" t="str">
            <v>M.Sarr</v>
          </cell>
          <cell r="D49" t="str">
            <v/>
          </cell>
          <cell r="F49" t="str">
            <v/>
          </cell>
          <cell r="H49" t="str">
            <v/>
          </cell>
          <cell r="I49">
            <v>0</v>
          </cell>
          <cell r="J49">
            <v>0</v>
          </cell>
          <cell r="K49">
            <v>0</v>
          </cell>
          <cell r="M49">
            <v>4.3972783263356368</v>
          </cell>
          <cell r="N49">
            <v>0</v>
          </cell>
          <cell r="O49">
            <v>1.4218333333333337</v>
          </cell>
          <cell r="P49">
            <v>4.5125826789888297</v>
          </cell>
          <cell r="Q49">
            <v>2.67</v>
          </cell>
          <cell r="R49">
            <v>9.8888888888888893</v>
          </cell>
          <cell r="S49">
            <v>4.3972783263356368</v>
          </cell>
          <cell r="T49" t="str">
            <v>DEF</v>
          </cell>
          <cell r="U49" t="str">
            <v>CB</v>
          </cell>
          <cell r="V49" t="str">
            <v>CHE</v>
          </cell>
          <cell r="W49" t="str">
            <v>Chelsea</v>
          </cell>
          <cell r="X49">
            <v>4.5</v>
          </cell>
          <cell r="Y49">
            <v>3</v>
          </cell>
          <cell r="Z49">
            <v>0</v>
          </cell>
          <cell r="AA49">
            <v>3</v>
          </cell>
          <cell r="AB49">
            <v>100</v>
          </cell>
          <cell r="AC49">
            <v>100</v>
          </cell>
          <cell r="AD49">
            <v>0.22222222222222221</v>
          </cell>
          <cell r="AE49">
            <v>0</v>
          </cell>
          <cell r="AF49">
            <v>0</v>
          </cell>
          <cell r="AG49">
            <v>-0.31499999999999995</v>
          </cell>
          <cell r="AH49">
            <v>0</v>
          </cell>
          <cell r="AI49">
            <v>-0.31499999999999995</v>
          </cell>
          <cell r="AJ49">
            <v>9.9999999999988987E-4</v>
          </cell>
          <cell r="AK49">
            <v>0</v>
          </cell>
          <cell r="AL49">
            <v>4</v>
          </cell>
          <cell r="AM49">
            <v>0</v>
          </cell>
          <cell r="AN49">
            <v>0</v>
          </cell>
          <cell r="AO49">
            <v>150</v>
          </cell>
          <cell r="AP49" t="str">
            <v>M.Sarr</v>
          </cell>
          <cell r="AQ49">
            <v>6.2300000000000013</v>
          </cell>
          <cell r="AR49">
            <v>0</v>
          </cell>
          <cell r="AS49">
            <v>1.78</v>
          </cell>
          <cell r="AT49">
            <v>7.12</v>
          </cell>
          <cell r="AU49">
            <v>0.89</v>
          </cell>
          <cell r="AV49">
            <v>7.12</v>
          </cell>
          <cell r="AW49">
            <v>7.12</v>
          </cell>
          <cell r="AX49">
            <v>0.18452000000000002</v>
          </cell>
          <cell r="AY49">
            <v>0</v>
          </cell>
          <cell r="AZ49">
            <v>1</v>
          </cell>
          <cell r="BA49">
            <v>3</v>
          </cell>
          <cell r="BB49" t="str">
            <v/>
          </cell>
          <cell r="BC49">
            <v>1</v>
          </cell>
          <cell r="BD49">
            <v>0</v>
          </cell>
          <cell r="BE49">
            <v>0</v>
          </cell>
          <cell r="BF49">
            <v>89</v>
          </cell>
          <cell r="BG49">
            <v>0.98888888888888893</v>
          </cell>
          <cell r="BH49">
            <v>1</v>
          </cell>
          <cell r="BI49">
            <v>2</v>
          </cell>
          <cell r="BJ49">
            <v>7</v>
          </cell>
          <cell r="BK49">
            <v>7</v>
          </cell>
          <cell r="BL49">
            <v>0.1</v>
          </cell>
          <cell r="BM49">
            <v>0.19999999999999996</v>
          </cell>
          <cell r="BN49">
            <v>0.17078651685393256</v>
          </cell>
          <cell r="BO49">
            <v>38</v>
          </cell>
          <cell r="BP49">
            <v>0</v>
          </cell>
          <cell r="BQ49">
            <v>2.9239766081871343E-2</v>
          </cell>
          <cell r="BR49">
            <v>0.35</v>
          </cell>
          <cell r="BS49">
            <v>0.31499999999999995</v>
          </cell>
          <cell r="BT49">
            <v>0</v>
          </cell>
          <cell r="BU49">
            <v>0</v>
          </cell>
          <cell r="BV49">
            <v>0.31499999999999995</v>
          </cell>
          <cell r="BW49">
            <v>0</v>
          </cell>
          <cell r="BX49">
            <v>38</v>
          </cell>
          <cell r="BY49">
            <v>1.4473684210526316</v>
          </cell>
          <cell r="BZ49">
            <v>1.1956315789473682</v>
          </cell>
        </row>
        <row r="50">
          <cell r="A50" t="str">
            <v>Ben Davies</v>
          </cell>
          <cell r="B50" t="str">
            <v/>
          </cell>
          <cell r="C50" t="str">
            <v>Davies</v>
          </cell>
          <cell r="D50" t="str">
            <v/>
          </cell>
          <cell r="E50" t="str">
            <v>Ben T Davies</v>
          </cell>
          <cell r="F50" t="str">
            <v/>
          </cell>
          <cell r="H50" t="str">
            <v/>
          </cell>
          <cell r="I50">
            <v>0</v>
          </cell>
          <cell r="J50">
            <v>1</v>
          </cell>
          <cell r="K50">
            <v>2</v>
          </cell>
          <cell r="M50">
            <v>4.3688812714263952</v>
          </cell>
          <cell r="N50">
            <v>0</v>
          </cell>
          <cell r="O50">
            <v>1.9047549019607843</v>
          </cell>
          <cell r="P50">
            <v>3.9791753890734545</v>
          </cell>
          <cell r="Q50">
            <v>3.8970588235294121</v>
          </cell>
          <cell r="R50">
            <v>0</v>
          </cell>
          <cell r="S50">
            <v>4.3688812714263952</v>
          </cell>
          <cell r="T50" t="str">
            <v>DEF</v>
          </cell>
          <cell r="U50" t="str">
            <v>CB</v>
          </cell>
          <cell r="V50" t="str">
            <v>TOT</v>
          </cell>
          <cell r="W50" t="str">
            <v>Spurs</v>
          </cell>
          <cell r="X50">
            <v>4</v>
          </cell>
          <cell r="Y50">
            <v>10</v>
          </cell>
          <cell r="Z50">
            <v>0</v>
          </cell>
          <cell r="AA50">
            <v>10</v>
          </cell>
          <cell r="AB50">
            <v>136</v>
          </cell>
          <cell r="AC50">
            <v>136</v>
          </cell>
          <cell r="AD50">
            <v>0.83333333333333337</v>
          </cell>
          <cell r="AE50">
            <v>1</v>
          </cell>
          <cell r="AF50">
            <v>0</v>
          </cell>
          <cell r="AG50">
            <v>0.33749999999999997</v>
          </cell>
          <cell r="AH50">
            <v>-4.6323529411764708E-2</v>
          </cell>
          <cell r="AI50">
            <v>0.29117647058823526</v>
          </cell>
          <cell r="AJ50">
            <v>6.9999999999998952E-3</v>
          </cell>
          <cell r="AK50">
            <v>1</v>
          </cell>
          <cell r="AL50">
            <v>29</v>
          </cell>
          <cell r="AM50">
            <v>1</v>
          </cell>
          <cell r="AN50">
            <v>0</v>
          </cell>
          <cell r="AO50">
            <v>508</v>
          </cell>
          <cell r="AP50" t="str">
            <v>Davies</v>
          </cell>
          <cell r="AQ50">
            <v>3.5073529411764706</v>
          </cell>
          <cell r="AR50">
            <v>0</v>
          </cell>
          <cell r="AS50">
            <v>1.9485294117647061</v>
          </cell>
          <cell r="AT50">
            <v>5.4558823529411757</v>
          </cell>
          <cell r="AU50">
            <v>1.9485294117647061</v>
          </cell>
          <cell r="AV50">
            <v>5.4558823529411757</v>
          </cell>
          <cell r="AW50">
            <v>5.4558823529411757</v>
          </cell>
          <cell r="AX50">
            <v>6.3455882352941126E-2</v>
          </cell>
          <cell r="AY50">
            <v>0</v>
          </cell>
          <cell r="AZ50">
            <v>3.3</v>
          </cell>
          <cell r="BA50">
            <v>10</v>
          </cell>
          <cell r="BB50" t="str">
            <v/>
          </cell>
          <cell r="BC50">
            <v>2</v>
          </cell>
          <cell r="BD50">
            <v>0</v>
          </cell>
          <cell r="BE50">
            <v>0</v>
          </cell>
          <cell r="BF50">
            <v>53</v>
          </cell>
          <cell r="BG50">
            <v>0.58888888888888891</v>
          </cell>
          <cell r="BH50">
            <v>1</v>
          </cell>
          <cell r="BI50">
            <v>1</v>
          </cell>
          <cell r="BJ50">
            <v>32</v>
          </cell>
          <cell r="BK50">
            <v>11</v>
          </cell>
          <cell r="BL50">
            <v>0.14285714285714285</v>
          </cell>
          <cell r="BM50">
            <v>7.1428571428571508E-2</v>
          </cell>
          <cell r="BN50">
            <v>0.660377358490566</v>
          </cell>
          <cell r="BO50">
            <v>38</v>
          </cell>
          <cell r="BP50">
            <v>0</v>
          </cell>
          <cell r="BQ50">
            <v>3.9766081871345033E-2</v>
          </cell>
          <cell r="BR50">
            <v>0.49</v>
          </cell>
          <cell r="BS50">
            <v>0.32426470588235295</v>
          </cell>
          <cell r="BT50">
            <v>7.0000000000000007E-2</v>
          </cell>
          <cell r="BU50">
            <v>4.6323529411764708E-2</v>
          </cell>
          <cell r="BV50">
            <v>0.37058823529411766</v>
          </cell>
          <cell r="BW50">
            <v>0</v>
          </cell>
          <cell r="BX50">
            <v>38</v>
          </cell>
          <cell r="BY50">
            <v>1.4628947368421052</v>
          </cell>
          <cell r="BZ50">
            <v>1.1801052631578945</v>
          </cell>
        </row>
        <row r="51">
          <cell r="A51" t="str">
            <v>Rico Lewis</v>
          </cell>
          <cell r="B51" t="str">
            <v/>
          </cell>
          <cell r="C51" t="str">
            <v>Lewis</v>
          </cell>
          <cell r="D51" t="str">
            <v/>
          </cell>
          <cell r="E51" t="str">
            <v>R Lewis</v>
          </cell>
          <cell r="F51" t="str">
            <v/>
          </cell>
          <cell r="H51" t="str">
            <v/>
          </cell>
          <cell r="I51">
            <v>2.1</v>
          </cell>
          <cell r="J51">
            <v>2.25</v>
          </cell>
          <cell r="K51">
            <v>2.4</v>
          </cell>
          <cell r="M51">
            <v>4.3508906722049456</v>
          </cell>
          <cell r="N51">
            <v>3.9800498753117206</v>
          </cell>
          <cell r="O51">
            <v>2.2501108656929096</v>
          </cell>
          <cell r="P51">
            <v>4.3508906722049456</v>
          </cell>
          <cell r="Q51">
            <v>3.9800498753117206</v>
          </cell>
          <cell r="R51">
            <v>0</v>
          </cell>
          <cell r="S51">
            <v>4.3508906722049456</v>
          </cell>
          <cell r="T51" t="str">
            <v>DEF</v>
          </cell>
          <cell r="U51" t="str">
            <v>RB</v>
          </cell>
          <cell r="V51" t="str">
            <v>MCI</v>
          </cell>
          <cell r="W51" t="str">
            <v>Man City</v>
          </cell>
          <cell r="X51">
            <v>4.5</v>
          </cell>
          <cell r="Y51">
            <v>19</v>
          </cell>
          <cell r="Z51">
            <v>0</v>
          </cell>
          <cell r="AA51">
            <v>19</v>
          </cell>
          <cell r="AB51">
            <v>401</v>
          </cell>
          <cell r="AC51">
            <v>401</v>
          </cell>
          <cell r="AD51">
            <v>0.38383838383838387</v>
          </cell>
          <cell r="AE51">
            <v>0</v>
          </cell>
          <cell r="AF51">
            <v>1</v>
          </cell>
          <cell r="AG51">
            <v>-4.2643391521197005E-2</v>
          </cell>
          <cell r="AH51">
            <v>-8.7531172069825441E-2</v>
          </cell>
          <cell r="AI51">
            <v>-0.13017456359102245</v>
          </cell>
          <cell r="AJ51">
            <v>2.0000000000000018E-3</v>
          </cell>
          <cell r="AK51">
            <v>2</v>
          </cell>
          <cell r="AL51">
            <v>72</v>
          </cell>
          <cell r="AM51">
            <v>2</v>
          </cell>
          <cell r="AN51">
            <v>0</v>
          </cell>
          <cell r="AO51">
            <v>395</v>
          </cell>
          <cell r="AP51" t="str">
            <v>Lewis</v>
          </cell>
          <cell r="AQ51">
            <v>2.9326683291770572</v>
          </cell>
          <cell r="AR51">
            <v>0</v>
          </cell>
          <cell r="AS51">
            <v>3.1421446384039902</v>
          </cell>
          <cell r="AT51">
            <v>3.9800498753117206</v>
          </cell>
          <cell r="AU51">
            <v>1.0473815461346634</v>
          </cell>
          <cell r="AV51">
            <v>3.9800498753117206</v>
          </cell>
          <cell r="AW51">
            <v>3.9800498753117206</v>
          </cell>
          <cell r="AX51">
            <v>2.5472319201995015E-2</v>
          </cell>
          <cell r="AY51">
            <v>0</v>
          </cell>
          <cell r="AZ51">
            <v>1.7</v>
          </cell>
          <cell r="BA51">
            <v>19</v>
          </cell>
          <cell r="BB51" t="str">
            <v/>
          </cell>
          <cell r="BC51">
            <v>4</v>
          </cell>
          <cell r="BD51">
            <v>3</v>
          </cell>
          <cell r="BE51">
            <v>0.75</v>
          </cell>
          <cell r="BF51">
            <v>84</v>
          </cell>
          <cell r="BG51">
            <v>0.93333333333333335</v>
          </cell>
          <cell r="BH51">
            <v>1</v>
          </cell>
          <cell r="BI51">
            <v>7</v>
          </cell>
          <cell r="BJ51">
            <v>10</v>
          </cell>
          <cell r="BK51">
            <v>16</v>
          </cell>
          <cell r="BL51">
            <v>0.14814814814814814</v>
          </cell>
          <cell r="BM51">
            <v>0.2592592592592593</v>
          </cell>
          <cell r="BN51">
            <v>0.24955908289241621</v>
          </cell>
          <cell r="BO51">
            <v>38</v>
          </cell>
          <cell r="BP51">
            <v>0</v>
          </cell>
          <cell r="BQ51">
            <v>0.11725146198830409</v>
          </cell>
          <cell r="BR51">
            <v>0.19</v>
          </cell>
          <cell r="BS51">
            <v>4.2643391521197005E-2</v>
          </cell>
          <cell r="BT51">
            <v>1.39</v>
          </cell>
          <cell r="BU51">
            <v>0.31197007481296757</v>
          </cell>
          <cell r="BV51">
            <v>0.35461346633416457</v>
          </cell>
          <cell r="BW51">
            <v>0</v>
          </cell>
          <cell r="BX51">
            <v>38</v>
          </cell>
          <cell r="BY51">
            <v>1.223421052631579</v>
          </cell>
          <cell r="BZ51">
            <v>1.4195789473684208</v>
          </cell>
        </row>
        <row r="52">
          <cell r="A52" t="str">
            <v>Kevin Schade</v>
          </cell>
          <cell r="B52" t="str">
            <v/>
          </cell>
          <cell r="C52" t="str">
            <v>Schade</v>
          </cell>
          <cell r="D52" t="str">
            <v/>
          </cell>
          <cell r="F52" t="str">
            <v/>
          </cell>
          <cell r="H52" t="str">
            <v/>
          </cell>
          <cell r="I52">
            <v>1.6</v>
          </cell>
          <cell r="J52">
            <v>2.8333333333333335</v>
          </cell>
          <cell r="K52">
            <v>3.9</v>
          </cell>
          <cell r="M52">
            <v>4.3370881213401571</v>
          </cell>
          <cell r="N52">
            <v>3.7354227405247808</v>
          </cell>
          <cell r="O52">
            <v>3.338775874635568</v>
          </cell>
          <cell r="P52">
            <v>4.3370881213401571</v>
          </cell>
          <cell r="Q52">
            <v>3.7354227405247808</v>
          </cell>
          <cell r="R52">
            <v>3.2946428571428572</v>
          </cell>
          <cell r="S52">
            <v>4.3370881213401571</v>
          </cell>
          <cell r="T52" t="str">
            <v>MID</v>
          </cell>
          <cell r="U52" t="str">
            <v>LW</v>
          </cell>
          <cell r="V52" t="str">
            <v>BRE</v>
          </cell>
          <cell r="W52" t="str">
            <v>Brentford</v>
          </cell>
          <cell r="X52">
            <v>6</v>
          </cell>
          <cell r="Y52">
            <v>125</v>
          </cell>
          <cell r="Z52">
            <v>0</v>
          </cell>
          <cell r="AA52">
            <v>125</v>
          </cell>
          <cell r="AB52">
            <v>2744</v>
          </cell>
          <cell r="AC52">
            <v>2744</v>
          </cell>
          <cell r="AD52">
            <v>0.59523809523809523</v>
          </cell>
          <cell r="AE52">
            <v>8</v>
          </cell>
          <cell r="AF52">
            <v>5</v>
          </cell>
          <cell r="AG52">
            <v>-0.13381924198250733</v>
          </cell>
          <cell r="AH52">
            <v>9.6756559766763839E-2</v>
          </cell>
          <cell r="AI52">
            <v>-3.7062682215743437E-2</v>
          </cell>
          <cell r="AJ52">
            <v>2.4000000000000021E-2</v>
          </cell>
          <cell r="AK52">
            <v>5</v>
          </cell>
          <cell r="AL52">
            <v>385</v>
          </cell>
          <cell r="AM52">
            <v>6</v>
          </cell>
          <cell r="AN52">
            <v>0</v>
          </cell>
          <cell r="AO52">
            <v>94</v>
          </cell>
          <cell r="AP52" t="str">
            <v>Schade</v>
          </cell>
          <cell r="AQ52">
            <v>1.6137026239067056</v>
          </cell>
          <cell r="AR52">
            <v>0</v>
          </cell>
          <cell r="AS52">
            <v>2.8090379008746353</v>
          </cell>
          <cell r="AT52">
            <v>5.6778425655976683</v>
          </cell>
          <cell r="AU52">
            <v>1.2551020408163265</v>
          </cell>
          <cell r="AV52">
            <v>5.6778425655976683</v>
          </cell>
          <cell r="AW52">
            <v>5.6778425655976683</v>
          </cell>
          <cell r="AX52">
            <v>4.2989379425239484E-2</v>
          </cell>
          <cell r="AY52">
            <v>0</v>
          </cell>
          <cell r="AZ52">
            <v>3.6</v>
          </cell>
          <cell r="BA52">
            <v>125</v>
          </cell>
          <cell r="BB52" t="str">
            <v/>
          </cell>
          <cell r="BC52">
            <v>32</v>
          </cell>
          <cell r="BD52">
            <v>18</v>
          </cell>
          <cell r="BE52">
            <v>0.5625</v>
          </cell>
          <cell r="BF52">
            <v>82</v>
          </cell>
          <cell r="BG52">
            <v>0.91111111111111109</v>
          </cell>
          <cell r="BH52">
            <v>1</v>
          </cell>
          <cell r="BI52">
            <v>3</v>
          </cell>
          <cell r="BJ52">
            <v>39</v>
          </cell>
          <cell r="BK52">
            <v>0</v>
          </cell>
          <cell r="BL52">
            <v>0.91428571428571426</v>
          </cell>
          <cell r="BM52">
            <v>8.5714285714285743E-2</v>
          </cell>
          <cell r="BN52">
            <v>0.95505226480836236</v>
          </cell>
          <cell r="BO52">
            <v>38</v>
          </cell>
          <cell r="BP52">
            <v>0</v>
          </cell>
          <cell r="BQ52">
            <v>0.80233918128654969</v>
          </cell>
          <cell r="BR52">
            <v>12.08</v>
          </cell>
          <cell r="BS52">
            <v>0.39620991253644317</v>
          </cell>
          <cell r="BT52">
            <v>2.0499999999999998</v>
          </cell>
          <cell r="BU52">
            <v>6.7237609329446058E-2</v>
          </cell>
          <cell r="BV52">
            <v>0.46344752186588922</v>
          </cell>
          <cell r="BW52">
            <v>0</v>
          </cell>
          <cell r="BX52">
            <v>38</v>
          </cell>
          <cell r="BY52">
            <v>1.5555263157894736</v>
          </cell>
          <cell r="BZ52">
            <v>1.0874736842105261</v>
          </cell>
        </row>
        <row r="53">
          <cell r="A53" t="str">
            <v>Danny Welbeck</v>
          </cell>
          <cell r="B53" t="str">
            <v/>
          </cell>
          <cell r="C53" t="str">
            <v>Welbeck</v>
          </cell>
          <cell r="D53" t="str">
            <v/>
          </cell>
          <cell r="F53" t="str">
            <v/>
          </cell>
          <cell r="H53" t="str">
            <v/>
          </cell>
          <cell r="I53">
            <v>2.7</v>
          </cell>
          <cell r="J53">
            <v>3.2666666666666671</v>
          </cell>
          <cell r="K53">
            <v>4.2</v>
          </cell>
          <cell r="M53">
            <v>4.3322276567363271</v>
          </cell>
          <cell r="N53">
            <v>4.4259670964873283</v>
          </cell>
          <cell r="O53">
            <v>3.3727659443924178</v>
          </cell>
          <cell r="P53">
            <v>4.3322276567363271</v>
          </cell>
          <cell r="Q53">
            <v>4.4259670964873283</v>
          </cell>
          <cell r="R53">
            <v>3.9720670391061454</v>
          </cell>
          <cell r="S53">
            <v>4.3322276567363271</v>
          </cell>
          <cell r="T53" t="str">
            <v>FWD</v>
          </cell>
          <cell r="U53" t="str">
            <v>CF</v>
          </cell>
          <cell r="V53" t="str">
            <v>BHA</v>
          </cell>
          <cell r="W53" t="str">
            <v>Brighton</v>
          </cell>
          <cell r="X53">
            <v>6</v>
          </cell>
          <cell r="Y53">
            <v>126.00000000000001</v>
          </cell>
          <cell r="Z53">
            <v>0</v>
          </cell>
          <cell r="AA53">
            <v>126.00000000000001</v>
          </cell>
          <cell r="AB53">
            <v>2249</v>
          </cell>
          <cell r="AC53">
            <v>2249</v>
          </cell>
          <cell r="AD53">
            <v>0.56756756756756765</v>
          </cell>
          <cell r="AE53">
            <v>13</v>
          </cell>
          <cell r="AF53">
            <v>1</v>
          </cell>
          <cell r="AG53">
            <v>2.5611382836816354E-2</v>
          </cell>
          <cell r="AH53">
            <v>-1.6007114273010228E-2</v>
          </cell>
          <cell r="AI53">
            <v>9.6042685638061398E-3</v>
          </cell>
          <cell r="AJ53">
            <v>3.0999999999999917E-2</v>
          </cell>
          <cell r="AK53">
            <v>18</v>
          </cell>
          <cell r="AL53">
            <v>511</v>
          </cell>
          <cell r="AM53">
            <v>5</v>
          </cell>
          <cell r="AN53">
            <v>0</v>
          </cell>
          <cell r="AO53">
            <v>136</v>
          </cell>
          <cell r="AP53" t="str">
            <v>Welbeck</v>
          </cell>
          <cell r="AQ53">
            <v>1.3699421965317917</v>
          </cell>
          <cell r="AR53">
            <v>0</v>
          </cell>
          <cell r="AS53">
            <v>1.7212094264117386</v>
          </cell>
          <cell r="AT53">
            <v>3.9341929746554021</v>
          </cell>
          <cell r="AU53">
            <v>0.84304135171187189</v>
          </cell>
          <cell r="AV53">
            <v>3.9341929746554021</v>
          </cell>
          <cell r="AW53">
            <v>3.9341929746554021</v>
          </cell>
          <cell r="AX53">
            <v>2.9787461093819474E-2</v>
          </cell>
          <cell r="AY53">
            <v>0</v>
          </cell>
          <cell r="AZ53">
            <v>3.4</v>
          </cell>
          <cell r="BA53">
            <v>126.00000000000001</v>
          </cell>
          <cell r="BB53" t="str">
            <v/>
          </cell>
          <cell r="BC53">
            <v>26</v>
          </cell>
          <cell r="BD53">
            <v>7</v>
          </cell>
          <cell r="BE53">
            <v>0.26923076923076922</v>
          </cell>
          <cell r="BF53">
            <v>79</v>
          </cell>
          <cell r="BG53">
            <v>0.87777777777777777</v>
          </cell>
          <cell r="BH53">
            <v>1</v>
          </cell>
          <cell r="BI53">
            <v>11</v>
          </cell>
          <cell r="BJ53">
            <v>18</v>
          </cell>
          <cell r="BK53">
            <v>0</v>
          </cell>
          <cell r="BL53">
            <v>0.70270270270270274</v>
          </cell>
          <cell r="BM53">
            <v>0.29729729729729726</v>
          </cell>
          <cell r="BN53">
            <v>0.7704413274033528</v>
          </cell>
          <cell r="BO53">
            <v>38</v>
          </cell>
          <cell r="BP53">
            <v>0</v>
          </cell>
          <cell r="BQ53">
            <v>0.65760233918128652</v>
          </cell>
          <cell r="BR53">
            <v>12.36</v>
          </cell>
          <cell r="BS53">
            <v>0.49461983103601598</v>
          </cell>
          <cell r="BT53">
            <v>1.4</v>
          </cell>
          <cell r="BU53">
            <v>5.6024899955535792E-2</v>
          </cell>
          <cell r="BV53">
            <v>0.55064473099155176</v>
          </cell>
          <cell r="BW53">
            <v>0</v>
          </cell>
          <cell r="BX53">
            <v>38</v>
          </cell>
          <cell r="BY53">
            <v>1.4144736842105263</v>
          </cell>
          <cell r="BZ53">
            <v>1.2285263157894735</v>
          </cell>
        </row>
        <row r="54">
          <cell r="A54" t="str">
            <v>Patrick Dorgu</v>
          </cell>
          <cell r="B54" t="str">
            <v/>
          </cell>
          <cell r="C54" t="str">
            <v>Dorgu</v>
          </cell>
          <cell r="D54" t="str">
            <v/>
          </cell>
          <cell r="F54" t="str">
            <v/>
          </cell>
          <cell r="H54" t="str">
            <v/>
          </cell>
          <cell r="I54">
            <v>1.5</v>
          </cell>
          <cell r="J54">
            <v>1.5</v>
          </cell>
          <cell r="K54">
            <v>1.5</v>
          </cell>
          <cell r="M54">
            <v>4.3220258022334033</v>
          </cell>
          <cell r="N54">
            <v>5.4250000000000007</v>
          </cell>
          <cell r="O54">
            <v>5.5930326576576581</v>
          </cell>
          <cell r="P54">
            <v>3.6989907707337899</v>
          </cell>
          <cell r="Q54">
            <v>5.541666666666667</v>
          </cell>
          <cell r="R54">
            <v>15.891891891891893</v>
          </cell>
          <cell r="S54">
            <v>4.3220258022334033</v>
          </cell>
          <cell r="T54" t="str">
            <v>MID</v>
          </cell>
          <cell r="U54" t="str">
            <v>LB</v>
          </cell>
          <cell r="V54" t="str">
            <v>MUN</v>
          </cell>
          <cell r="W54" t="str">
            <v>Man Utd</v>
          </cell>
          <cell r="X54">
            <v>6</v>
          </cell>
          <cell r="Y54">
            <v>95</v>
          </cell>
          <cell r="Z54">
            <v>0</v>
          </cell>
          <cell r="AA54">
            <v>95</v>
          </cell>
          <cell r="AB54">
            <v>1440</v>
          </cell>
          <cell r="AC54">
            <v>1440</v>
          </cell>
          <cell r="AD54">
            <v>0.60897435897435892</v>
          </cell>
          <cell r="AE54">
            <v>4</v>
          </cell>
          <cell r="AF54">
            <v>4</v>
          </cell>
          <cell r="AG54">
            <v>0.10062499999999999</v>
          </cell>
          <cell r="AH54">
            <v>0.13500000000000001</v>
          </cell>
          <cell r="AI54">
            <v>0.23562499999999997</v>
          </cell>
          <cell r="AJ54">
            <v>2.0000000000000018E-2</v>
          </cell>
          <cell r="AK54">
            <v>11</v>
          </cell>
          <cell r="AL54">
            <v>321</v>
          </cell>
          <cell r="AM54">
            <v>5</v>
          </cell>
          <cell r="AN54">
            <v>0</v>
          </cell>
          <cell r="AO54">
            <v>415</v>
          </cell>
          <cell r="AP54" t="str">
            <v>Dorgu</v>
          </cell>
          <cell r="AQ54">
            <v>2.9166666666666665</v>
          </cell>
          <cell r="AR54">
            <v>0</v>
          </cell>
          <cell r="AS54">
            <v>4.4916666666666671</v>
          </cell>
          <cell r="AT54">
            <v>5.7166666666666659</v>
          </cell>
          <cell r="AU54">
            <v>2.8</v>
          </cell>
          <cell r="AV54">
            <v>5.7166666666666659</v>
          </cell>
          <cell r="AW54">
            <v>5.7166666666666659</v>
          </cell>
          <cell r="AX54">
            <v>4.3283333333333326E-2</v>
          </cell>
          <cell r="AY54">
            <v>0</v>
          </cell>
          <cell r="AZ54">
            <v>3.7</v>
          </cell>
          <cell r="BA54">
            <v>95</v>
          </cell>
          <cell r="BB54" t="str">
            <v/>
          </cell>
          <cell r="BC54">
            <v>15</v>
          </cell>
          <cell r="BD54">
            <v>10</v>
          </cell>
          <cell r="BE54">
            <v>0.66666666666666663</v>
          </cell>
          <cell r="BF54">
            <v>84</v>
          </cell>
          <cell r="BG54">
            <v>0.93333333333333335</v>
          </cell>
          <cell r="BH54">
            <v>1</v>
          </cell>
          <cell r="BI54">
            <v>11</v>
          </cell>
          <cell r="BJ54">
            <v>17</v>
          </cell>
          <cell r="BK54">
            <v>2</v>
          </cell>
          <cell r="BL54">
            <v>0.5357142857142857</v>
          </cell>
          <cell r="BM54">
            <v>0.39285714285714285</v>
          </cell>
          <cell r="BN54">
            <v>0.62967687074829937</v>
          </cell>
          <cell r="BO54">
            <v>38</v>
          </cell>
          <cell r="BP54">
            <v>0</v>
          </cell>
          <cell r="BQ54">
            <v>0.42105263157894735</v>
          </cell>
          <cell r="BR54">
            <v>2.39</v>
          </cell>
          <cell r="BS54">
            <v>0.14937500000000001</v>
          </cell>
          <cell r="BT54">
            <v>1.84</v>
          </cell>
          <cell r="BU54">
            <v>0.115</v>
          </cell>
          <cell r="BV54">
            <v>0.26437500000000003</v>
          </cell>
          <cell r="BW54">
            <v>0</v>
          </cell>
          <cell r="BX54">
            <v>38</v>
          </cell>
          <cell r="BY54">
            <v>1.3231578947368421</v>
          </cell>
          <cell r="BZ54">
            <v>1.3198421052631577</v>
          </cell>
        </row>
        <row r="55">
          <cell r="A55" t="str">
            <v>Rayan Aït-Nouri</v>
          </cell>
          <cell r="B55" t="str">
            <v/>
          </cell>
          <cell r="C55" t="str">
            <v>Aït-Nouri</v>
          </cell>
          <cell r="D55" t="str">
            <v/>
          </cell>
          <cell r="E55" t="str">
            <v>Rayan Aït Nouri</v>
          </cell>
          <cell r="F55" t="str">
            <v/>
          </cell>
          <cell r="H55" t="str">
            <v/>
          </cell>
          <cell r="I55">
            <v>2</v>
          </cell>
          <cell r="J55">
            <v>2.5666666666666664</v>
          </cell>
          <cell r="K55">
            <v>3.4</v>
          </cell>
          <cell r="M55">
            <v>4.3218705397348849</v>
          </cell>
          <cell r="N55">
            <v>4.5993820803295566</v>
          </cell>
          <cell r="O55">
            <v>2.9125295414761174</v>
          </cell>
          <cell r="P55">
            <v>4.3218705397348849</v>
          </cell>
          <cell r="Q55">
            <v>4.5993820803295566</v>
          </cell>
          <cell r="R55">
            <v>6.9161676646706587</v>
          </cell>
          <cell r="S55">
            <v>4.3218705397348849</v>
          </cell>
          <cell r="T55" t="str">
            <v>DEF</v>
          </cell>
          <cell r="U55" t="str">
            <v>LB</v>
          </cell>
          <cell r="V55" t="str">
            <v>MCI</v>
          </cell>
          <cell r="W55" t="str">
            <v>Man City</v>
          </cell>
          <cell r="X55">
            <v>5.5</v>
          </cell>
          <cell r="Y55">
            <v>60</v>
          </cell>
          <cell r="Z55">
            <v>2</v>
          </cell>
          <cell r="AA55">
            <v>58</v>
          </cell>
          <cell r="AB55">
            <v>971</v>
          </cell>
          <cell r="AC55">
            <v>971</v>
          </cell>
          <cell r="AD55">
            <v>0.64171122994652408</v>
          </cell>
          <cell r="AE55">
            <v>0</v>
          </cell>
          <cell r="AF55">
            <v>2</v>
          </cell>
          <cell r="AG55">
            <v>-4.9124613800205975E-2</v>
          </cell>
          <cell r="AH55">
            <v>-9.2687950566425203E-4</v>
          </cell>
          <cell r="AI55">
            <v>-5.005149330587022E-2</v>
          </cell>
          <cell r="AJ55">
            <v>1.0000000000000009E-2</v>
          </cell>
          <cell r="AK55">
            <v>9</v>
          </cell>
          <cell r="AL55">
            <v>237</v>
          </cell>
          <cell r="AM55">
            <v>2</v>
          </cell>
          <cell r="AN55">
            <v>0</v>
          </cell>
          <cell r="AO55">
            <v>392</v>
          </cell>
          <cell r="AP55" t="str">
            <v>Aït-Nouri</v>
          </cell>
          <cell r="AQ55">
            <v>2.5375901132852725</v>
          </cell>
          <cell r="AR55">
            <v>0</v>
          </cell>
          <cell r="AS55">
            <v>3.8856848609680741</v>
          </cell>
          <cell r="AT55">
            <v>5.3130792996910401</v>
          </cell>
          <cell r="AU55">
            <v>2.7754891864057671</v>
          </cell>
          <cell r="AV55">
            <v>5.3130792996910401</v>
          </cell>
          <cell r="AW55">
            <v>5.3130792996910401</v>
          </cell>
          <cell r="AX55">
            <v>5.3602471678681769E-2</v>
          </cell>
          <cell r="AY55">
            <v>0</v>
          </cell>
          <cell r="AZ55">
            <v>3.5</v>
          </cell>
          <cell r="BA55">
            <v>60</v>
          </cell>
          <cell r="BB55" t="str">
            <v/>
          </cell>
          <cell r="BC55">
            <v>12</v>
          </cell>
          <cell r="BD55">
            <v>7</v>
          </cell>
          <cell r="BE55">
            <v>0.58333333333333337</v>
          </cell>
          <cell r="BF55">
            <v>77</v>
          </cell>
          <cell r="BG55">
            <v>0.85555555555555551</v>
          </cell>
          <cell r="BH55">
            <v>1</v>
          </cell>
          <cell r="BI55">
            <v>5</v>
          </cell>
          <cell r="BJ55">
            <v>11</v>
          </cell>
          <cell r="BK55">
            <v>9</v>
          </cell>
          <cell r="BL55">
            <v>0.46153846153846156</v>
          </cell>
          <cell r="BM55">
            <v>0.19230769230769229</v>
          </cell>
          <cell r="BN55">
            <v>0.53846153846153844</v>
          </cell>
          <cell r="BO55">
            <v>38</v>
          </cell>
          <cell r="BP55">
            <v>0</v>
          </cell>
          <cell r="BQ55">
            <v>0.28391812865497074</v>
          </cell>
          <cell r="BR55">
            <v>0.53</v>
          </cell>
          <cell r="BS55">
            <v>4.9124613800205975E-2</v>
          </cell>
          <cell r="BT55">
            <v>2.0099999999999998</v>
          </cell>
          <cell r="BU55">
            <v>0.18630278063851696</v>
          </cell>
          <cell r="BV55">
            <v>0.23542739443872293</v>
          </cell>
          <cell r="BW55">
            <v>0</v>
          </cell>
          <cell r="BX55">
            <v>38</v>
          </cell>
          <cell r="BY55">
            <v>1.223421052631579</v>
          </cell>
          <cell r="BZ55">
            <v>1.4195789473684208</v>
          </cell>
        </row>
        <row r="56">
          <cell r="A56" t="str">
            <v>Viktor Gyökeres</v>
          </cell>
          <cell r="B56" t="str">
            <v/>
          </cell>
          <cell r="C56" t="str">
            <v>Gyökeres</v>
          </cell>
          <cell r="D56" t="str">
            <v/>
          </cell>
          <cell r="F56" t="str">
            <v/>
          </cell>
          <cell r="H56" t="str">
            <v/>
          </cell>
          <cell r="I56">
            <v>4.9000000000000004</v>
          </cell>
          <cell r="J56">
            <v>5.9</v>
          </cell>
          <cell r="K56">
            <v>6.9</v>
          </cell>
          <cell r="M56">
            <v>4.3062192151556156</v>
          </cell>
          <cell r="N56">
            <v>4.3879115922417684</v>
          </cell>
          <cell r="O56">
            <v>5.1294813338542218</v>
          </cell>
          <cell r="P56">
            <v>4.3062192151556156</v>
          </cell>
          <cell r="Q56">
            <v>4.3879115922417684</v>
          </cell>
          <cell r="R56">
            <v>6.99581589958159</v>
          </cell>
          <cell r="S56">
            <v>4.3062192151556156</v>
          </cell>
          <cell r="T56" t="str">
            <v>FWD</v>
          </cell>
          <cell r="U56" t="str">
            <v>CF</v>
          </cell>
          <cell r="V56" t="str">
            <v>ARS</v>
          </cell>
          <cell r="W56" t="str">
            <v>Arsenal</v>
          </cell>
          <cell r="X56">
            <v>7.5</v>
          </cell>
          <cell r="Y56">
            <v>128</v>
          </cell>
          <cell r="Z56">
            <v>0</v>
          </cell>
          <cell r="AA56">
            <v>128</v>
          </cell>
          <cell r="AB56">
            <v>2217</v>
          </cell>
          <cell r="AC56">
            <v>2217</v>
          </cell>
          <cell r="AD56">
            <v>0.47407407407407404</v>
          </cell>
          <cell r="AE56">
            <v>14</v>
          </cell>
          <cell r="AF56">
            <v>1</v>
          </cell>
          <cell r="AG56">
            <v>7.0635994587280149E-2</v>
          </cell>
          <cell r="AH56">
            <v>-3.8159675236806495E-2</v>
          </cell>
          <cell r="AI56">
            <v>3.247631935047357E-2</v>
          </cell>
          <cell r="AJ56">
            <v>0.15700000000000003</v>
          </cell>
          <cell r="AK56">
            <v>16</v>
          </cell>
          <cell r="AL56">
            <v>474</v>
          </cell>
          <cell r="AM56">
            <v>5</v>
          </cell>
          <cell r="AN56">
            <v>0</v>
          </cell>
          <cell r="AO56">
            <v>25</v>
          </cell>
          <cell r="AP56" t="str">
            <v>Gyökeres</v>
          </cell>
          <cell r="AQ56">
            <v>0.78845286423094274</v>
          </cell>
          <cell r="AR56">
            <v>0</v>
          </cell>
          <cell r="AS56">
            <v>1.8854307622913848</v>
          </cell>
          <cell r="AT56">
            <v>2.9138475417230487</v>
          </cell>
          <cell r="AU56">
            <v>0.23996391520072172</v>
          </cell>
          <cell r="AV56">
            <v>2.9138475417230487</v>
          </cell>
          <cell r="AW56">
            <v>2.9138475417230487</v>
          </cell>
          <cell r="AX56">
            <v>2.2061988530188797E-2</v>
          </cell>
          <cell r="AY56">
            <v>0</v>
          </cell>
          <cell r="AZ56">
            <v>3.6</v>
          </cell>
          <cell r="BA56">
            <v>128</v>
          </cell>
          <cell r="BB56" t="str">
            <v/>
          </cell>
          <cell r="BC56">
            <v>26</v>
          </cell>
          <cell r="BD56">
            <v>10</v>
          </cell>
          <cell r="BE56">
            <v>0.38461538461538464</v>
          </cell>
          <cell r="BF56">
            <v>76</v>
          </cell>
          <cell r="BG56">
            <v>0.84444444444444444</v>
          </cell>
          <cell r="BH56">
            <v>1</v>
          </cell>
          <cell r="BI56">
            <v>10</v>
          </cell>
          <cell r="BJ56">
            <v>26</v>
          </cell>
          <cell r="BK56">
            <v>0</v>
          </cell>
          <cell r="BL56">
            <v>0.72222222222222221</v>
          </cell>
          <cell r="BM56">
            <v>0.27777777777777779</v>
          </cell>
          <cell r="BN56">
            <v>0.81725146198830401</v>
          </cell>
          <cell r="BO56">
            <v>38</v>
          </cell>
          <cell r="BP56">
            <v>0</v>
          </cell>
          <cell r="BQ56">
            <v>0.64824561403508774</v>
          </cell>
          <cell r="BR56">
            <v>12.26</v>
          </cell>
          <cell r="BS56">
            <v>0.49769959404600811</v>
          </cell>
          <cell r="BT56">
            <v>1.94</v>
          </cell>
          <cell r="BU56">
            <v>7.8755074424898514E-2</v>
          </cell>
          <cell r="BV56">
            <v>0.57645466847090665</v>
          </cell>
          <cell r="BW56">
            <v>0</v>
          </cell>
          <cell r="BX56">
            <v>38</v>
          </cell>
          <cell r="BY56">
            <v>0.87184210526315797</v>
          </cell>
          <cell r="BZ56">
            <v>1.7711578947368418</v>
          </cell>
        </row>
        <row r="57">
          <cell r="A57" t="str">
            <v>Igor Thiago Nascimento Rodrigues</v>
          </cell>
          <cell r="B57" t="str">
            <v/>
          </cell>
          <cell r="C57" t="str">
            <v>Thiago</v>
          </cell>
          <cell r="D57" t="str">
            <v/>
          </cell>
          <cell r="E57" t="str">
            <v>Igor Thiago</v>
          </cell>
          <cell r="F57" t="str">
            <v/>
          </cell>
          <cell r="H57" t="str">
            <v/>
          </cell>
          <cell r="I57">
            <v>1</v>
          </cell>
          <cell r="J57">
            <v>1.2666666666666668</v>
          </cell>
          <cell r="K57">
            <v>1.7</v>
          </cell>
          <cell r="M57">
            <v>4.274737355271176</v>
          </cell>
          <cell r="N57">
            <v>4.7995124923826937</v>
          </cell>
          <cell r="O57">
            <v>4.5350532602071905</v>
          </cell>
          <cell r="P57">
            <v>4.274737355271176</v>
          </cell>
          <cell r="Q57">
            <v>4.7995124923826937</v>
          </cell>
          <cell r="R57">
            <v>2.4444444444444442</v>
          </cell>
          <cell r="S57">
            <v>4.274737355271176</v>
          </cell>
          <cell r="T57" t="str">
            <v>FWD</v>
          </cell>
          <cell r="U57" t="str">
            <v>CF</v>
          </cell>
          <cell r="V57" t="str">
            <v>BRE</v>
          </cell>
          <cell r="W57" t="str">
            <v>Brentford</v>
          </cell>
          <cell r="X57">
            <v>8</v>
          </cell>
          <cell r="Y57">
            <v>181</v>
          </cell>
          <cell r="Z57">
            <v>2</v>
          </cell>
          <cell r="AA57">
            <v>179</v>
          </cell>
          <cell r="AB57">
            <v>3282</v>
          </cell>
          <cell r="AC57">
            <v>3282</v>
          </cell>
          <cell r="AD57">
            <v>0.59539473684210531</v>
          </cell>
          <cell r="AE57">
            <v>22</v>
          </cell>
          <cell r="AF57">
            <v>1</v>
          </cell>
          <cell r="AG57">
            <v>0.15329067641681898</v>
          </cell>
          <cell r="AH57">
            <v>-2.2760511882998172E-2</v>
          </cell>
          <cell r="AI57">
            <v>0.13053016453382071</v>
          </cell>
          <cell r="AJ57">
            <v>0.18900000000000006</v>
          </cell>
          <cell r="AK57">
            <v>22</v>
          </cell>
          <cell r="AL57">
            <v>710</v>
          </cell>
          <cell r="AM57">
            <v>7</v>
          </cell>
          <cell r="AN57">
            <v>0</v>
          </cell>
          <cell r="AO57">
            <v>106</v>
          </cell>
          <cell r="AP57" t="str">
            <v>Thiago</v>
          </cell>
          <cell r="AQ57">
            <v>2.2522851919561244</v>
          </cell>
          <cell r="AR57">
            <v>0</v>
          </cell>
          <cell r="AS57">
            <v>2.493601462522852</v>
          </cell>
          <cell r="AT57">
            <v>5.7379646556977457</v>
          </cell>
          <cell r="AU57">
            <v>0.9920780012187691</v>
          </cell>
          <cell r="AV57">
            <v>5.7379646556977457</v>
          </cell>
          <cell r="AW57">
            <v>5.7379646556977457</v>
          </cell>
          <cell r="AX57">
            <v>4.3444589535997211E-2</v>
          </cell>
          <cell r="AY57">
            <v>0</v>
          </cell>
          <cell r="AZ57">
            <v>4.8</v>
          </cell>
          <cell r="BA57">
            <v>181</v>
          </cell>
          <cell r="BB57" t="str">
            <v/>
          </cell>
          <cell r="BC57">
            <v>37</v>
          </cell>
          <cell r="BD57">
            <v>30</v>
          </cell>
          <cell r="BE57">
            <v>0.81081081081081086</v>
          </cell>
          <cell r="BF57">
            <v>88</v>
          </cell>
          <cell r="BG57">
            <v>0.97777777777777775</v>
          </cell>
          <cell r="BH57">
            <v>1</v>
          </cell>
          <cell r="BI57">
            <v>1</v>
          </cell>
          <cell r="BJ57">
            <v>31</v>
          </cell>
          <cell r="BK57">
            <v>0</v>
          </cell>
          <cell r="BL57">
            <v>0.97368421052631582</v>
          </cell>
          <cell r="BM57">
            <v>2.6315789473684181E-2</v>
          </cell>
          <cell r="BN57">
            <v>0.98295454545454541</v>
          </cell>
          <cell r="BO57">
            <v>38</v>
          </cell>
          <cell r="BP57">
            <v>0</v>
          </cell>
          <cell r="BQ57">
            <v>0.95964912280701753</v>
          </cell>
          <cell r="BR57">
            <v>20.6</v>
          </cell>
          <cell r="BS57">
            <v>0.45</v>
          </cell>
          <cell r="BT57">
            <v>1.83</v>
          </cell>
          <cell r="BU57">
            <v>5.0182815356489947E-2</v>
          </cell>
          <cell r="BV57">
            <v>0.50018281535649001</v>
          </cell>
          <cell r="BW57">
            <v>0</v>
          </cell>
          <cell r="BX57">
            <v>38</v>
          </cell>
          <cell r="BY57">
            <v>1.5555263157894736</v>
          </cell>
          <cell r="BZ57">
            <v>1.0874736842105261</v>
          </cell>
        </row>
        <row r="58">
          <cell r="A58" t="str">
            <v>James Trafford</v>
          </cell>
          <cell r="B58" t="str">
            <v/>
          </cell>
          <cell r="C58" t="str">
            <v>Trafford</v>
          </cell>
          <cell r="D58" t="str">
            <v/>
          </cell>
          <cell r="F58" t="str">
            <v/>
          </cell>
          <cell r="H58" t="str">
            <v/>
          </cell>
          <cell r="I58" t="e">
            <v>#N/A</v>
          </cell>
          <cell r="J58" t="e">
            <v>#N/A</v>
          </cell>
          <cell r="K58" t="e">
            <v>#N/A</v>
          </cell>
          <cell r="M58">
            <v>4.2562493588217363</v>
          </cell>
          <cell r="N58">
            <v>3.2499999999999996</v>
          </cell>
          <cell r="O58">
            <v>2.8555952380952379</v>
          </cell>
          <cell r="P58">
            <v>4.2562493588217363</v>
          </cell>
          <cell r="Q58">
            <v>3.2499999999999996</v>
          </cell>
          <cell r="R58">
            <v>2</v>
          </cell>
          <cell r="S58">
            <v>4.2562493588217363</v>
          </cell>
          <cell r="T58" t="str">
            <v>GK</v>
          </cell>
          <cell r="U58" t="str">
            <v>GK</v>
          </cell>
          <cell r="V58" t="str">
            <v>MCI</v>
          </cell>
          <cell r="W58" t="str">
            <v>Man City</v>
          </cell>
          <cell r="X58">
            <v>5</v>
          </cell>
          <cell r="Y58">
            <v>13</v>
          </cell>
          <cell r="Z58">
            <v>0</v>
          </cell>
          <cell r="AA58">
            <v>13</v>
          </cell>
          <cell r="AB58">
            <v>360</v>
          </cell>
          <cell r="AC58">
            <v>360</v>
          </cell>
          <cell r="AD58">
            <v>0.65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1.0000000000000009E-2</v>
          </cell>
          <cell r="AK58">
            <v>0</v>
          </cell>
          <cell r="AL58">
            <v>67</v>
          </cell>
          <cell r="AM58">
            <v>0</v>
          </cell>
          <cell r="AN58">
            <v>14</v>
          </cell>
          <cell r="AO58">
            <v>385</v>
          </cell>
          <cell r="AP58" t="str">
            <v>Trafford</v>
          </cell>
          <cell r="AQ58">
            <v>1.5</v>
          </cell>
          <cell r="AR58">
            <v>0</v>
          </cell>
          <cell r="AS58">
            <v>8.75</v>
          </cell>
          <cell r="AT58">
            <v>0</v>
          </cell>
          <cell r="AU58">
            <v>0.5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3.2</v>
          </cell>
          <cell r="BA58">
            <v>13</v>
          </cell>
          <cell r="BB58" t="str">
            <v/>
          </cell>
          <cell r="BC58">
            <v>4</v>
          </cell>
          <cell r="BD58">
            <v>4</v>
          </cell>
          <cell r="BE58">
            <v>1</v>
          </cell>
          <cell r="BF58">
            <v>90</v>
          </cell>
          <cell r="BG58">
            <v>1</v>
          </cell>
          <cell r="BH58">
            <v>1</v>
          </cell>
          <cell r="BI58">
            <v>0</v>
          </cell>
          <cell r="BJ58">
            <v>0</v>
          </cell>
          <cell r="BK58">
            <v>34</v>
          </cell>
          <cell r="BL58">
            <v>0.10526315789473684</v>
          </cell>
          <cell r="BM58">
            <v>0</v>
          </cell>
          <cell r="BN58">
            <v>0.10526315789473684</v>
          </cell>
          <cell r="BO58">
            <v>38</v>
          </cell>
          <cell r="BP58">
            <v>0</v>
          </cell>
          <cell r="BQ58">
            <v>0.10526315789473684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38</v>
          </cell>
          <cell r="BY58">
            <v>1.223421052631579</v>
          </cell>
          <cell r="BZ58">
            <v>1.4195789473684208</v>
          </cell>
        </row>
        <row r="59">
          <cell r="A59" t="str">
            <v>Cody Gakpo</v>
          </cell>
          <cell r="B59" t="str">
            <v/>
          </cell>
          <cell r="C59" t="str">
            <v>Gakpo</v>
          </cell>
          <cell r="D59" t="str">
            <v/>
          </cell>
          <cell r="F59" t="str">
            <v/>
          </cell>
          <cell r="H59" t="str">
            <v/>
          </cell>
          <cell r="I59">
            <v>3</v>
          </cell>
          <cell r="J59">
            <v>3.6333333333333333</v>
          </cell>
          <cell r="K59">
            <v>4.3</v>
          </cell>
          <cell r="M59">
            <v>4.2561874957627159</v>
          </cell>
          <cell r="N59">
            <v>3.8662280701754383</v>
          </cell>
          <cell r="O59">
            <v>3.718276909904243</v>
          </cell>
          <cell r="P59">
            <v>4.2561874957627159</v>
          </cell>
          <cell r="Q59">
            <v>3.8662280701754383</v>
          </cell>
          <cell r="R59">
            <v>3.1035856573705178</v>
          </cell>
          <cell r="S59">
            <v>4.2561874957627159</v>
          </cell>
          <cell r="T59" t="str">
            <v>MID</v>
          </cell>
          <cell r="U59" t="str">
            <v>LW</v>
          </cell>
          <cell r="V59" t="str">
            <v>LIV</v>
          </cell>
          <cell r="W59" t="str">
            <v>Liverpool</v>
          </cell>
          <cell r="X59">
            <v>7</v>
          </cell>
          <cell r="Y59">
            <v>131</v>
          </cell>
          <cell r="Z59">
            <v>2</v>
          </cell>
          <cell r="AA59">
            <v>129</v>
          </cell>
          <cell r="AB59">
            <v>2736</v>
          </cell>
          <cell r="AC59">
            <v>2736</v>
          </cell>
          <cell r="AD59">
            <v>0.51984126984126988</v>
          </cell>
          <cell r="AE59">
            <v>7</v>
          </cell>
          <cell r="AF59">
            <v>5</v>
          </cell>
          <cell r="AG59">
            <v>-4.4407894736842091E-2</v>
          </cell>
          <cell r="AH59">
            <v>1.0855263157894729E-2</v>
          </cell>
          <cell r="AI59">
            <v>-3.3552631578947334E-2</v>
          </cell>
          <cell r="AJ59">
            <v>4.0999999999999925E-2</v>
          </cell>
          <cell r="AK59">
            <v>5</v>
          </cell>
          <cell r="AL59">
            <v>449</v>
          </cell>
          <cell r="AM59">
            <v>3</v>
          </cell>
          <cell r="AN59">
            <v>0</v>
          </cell>
          <cell r="AO59">
            <v>367</v>
          </cell>
          <cell r="AP59" t="str">
            <v>Gakpo</v>
          </cell>
          <cell r="AQ59">
            <v>1.1089181286549707</v>
          </cell>
          <cell r="AR59">
            <v>0</v>
          </cell>
          <cell r="AS59">
            <v>2.6074561403508771</v>
          </cell>
          <cell r="AT59">
            <v>4.5555555555555554</v>
          </cell>
          <cell r="AU59">
            <v>0.83918128654970758</v>
          </cell>
          <cell r="AV59">
            <v>4.5555555555555554</v>
          </cell>
          <cell r="AW59">
            <v>4.5555555555555554</v>
          </cell>
          <cell r="AX59">
            <v>3.4492063492063491E-2</v>
          </cell>
          <cell r="AY59">
            <v>0</v>
          </cell>
          <cell r="AZ59">
            <v>3.6</v>
          </cell>
          <cell r="BA59">
            <v>131</v>
          </cell>
          <cell r="BB59" t="str">
            <v/>
          </cell>
          <cell r="BC59">
            <v>32</v>
          </cell>
          <cell r="BD59">
            <v>16</v>
          </cell>
          <cell r="BE59">
            <v>0.5</v>
          </cell>
          <cell r="BF59">
            <v>82</v>
          </cell>
          <cell r="BG59">
            <v>0.91111111111111109</v>
          </cell>
          <cell r="BH59">
            <v>1</v>
          </cell>
          <cell r="BI59">
            <v>4</v>
          </cell>
          <cell r="BJ59">
            <v>28</v>
          </cell>
          <cell r="BK59">
            <v>0</v>
          </cell>
          <cell r="BL59">
            <v>0.88888888888888884</v>
          </cell>
          <cell r="BM59">
            <v>0.11111111111111116</v>
          </cell>
          <cell r="BN59">
            <v>0.92682926829268297</v>
          </cell>
          <cell r="BO59">
            <v>38</v>
          </cell>
          <cell r="BP59">
            <v>0</v>
          </cell>
          <cell r="BQ59">
            <v>0.8</v>
          </cell>
          <cell r="BR59">
            <v>8.35</v>
          </cell>
          <cell r="BS59">
            <v>0.27467105263157893</v>
          </cell>
          <cell r="BT59">
            <v>4.67</v>
          </cell>
          <cell r="BU59">
            <v>0.15361842105263157</v>
          </cell>
          <cell r="BV59">
            <v>0.4282894736842105</v>
          </cell>
          <cell r="BW59">
            <v>0</v>
          </cell>
          <cell r="BX59">
            <v>38</v>
          </cell>
          <cell r="BY59">
            <v>1.4176315789473684</v>
          </cell>
          <cell r="BZ59">
            <v>1.2253684210526314</v>
          </cell>
        </row>
        <row r="60">
          <cell r="A60" t="str">
            <v>Melker Ellborg</v>
          </cell>
          <cell r="B60" t="str">
            <v/>
          </cell>
          <cell r="C60" t="str">
            <v>Ellborg</v>
          </cell>
          <cell r="D60" t="str">
            <v/>
          </cell>
          <cell r="F60" t="str">
            <v/>
          </cell>
          <cell r="H60" t="str">
            <v/>
          </cell>
          <cell r="I60" t="e">
            <v>#N/A</v>
          </cell>
          <cell r="J60" t="e">
            <v>#N/A</v>
          </cell>
          <cell r="K60" t="e">
            <v>#N/A</v>
          </cell>
          <cell r="M60">
            <v>4.2560126224178738</v>
          </cell>
          <cell r="N60">
            <v>5.3333333333333339</v>
          </cell>
          <cell r="O60">
            <v>3.2466111111111102</v>
          </cell>
          <cell r="P60">
            <v>4.2560126224178738</v>
          </cell>
          <cell r="Q60">
            <v>5.3333333333333339</v>
          </cell>
          <cell r="R60">
            <v>5.3333333333333339</v>
          </cell>
          <cell r="S60">
            <v>4.2560126224178738</v>
          </cell>
          <cell r="T60" t="str">
            <v>GK</v>
          </cell>
          <cell r="U60" t="str">
            <v>GK</v>
          </cell>
          <cell r="V60" t="str">
            <v>SUN</v>
          </cell>
          <cell r="W60" t="str">
            <v>Sunderland</v>
          </cell>
          <cell r="X60">
            <v>4.5</v>
          </cell>
          <cell r="Y60">
            <v>16</v>
          </cell>
          <cell r="Z60">
            <v>0</v>
          </cell>
          <cell r="AA60">
            <v>16</v>
          </cell>
          <cell r="AB60">
            <v>270</v>
          </cell>
          <cell r="AC60">
            <v>270</v>
          </cell>
          <cell r="AD60">
            <v>1.1851851851851851</v>
          </cell>
          <cell r="AE60">
            <v>0</v>
          </cell>
          <cell r="AF60">
            <v>0</v>
          </cell>
          <cell r="AG60">
            <v>0</v>
          </cell>
          <cell r="AH60">
            <v>-6.6666666666666662E-3</v>
          </cell>
          <cell r="AI60">
            <v>-6.6666666666666662E-3</v>
          </cell>
          <cell r="AJ60">
            <v>9.9999999999988987E-4</v>
          </cell>
          <cell r="AK60">
            <v>3</v>
          </cell>
          <cell r="AL60">
            <v>62</v>
          </cell>
          <cell r="AM60">
            <v>0</v>
          </cell>
          <cell r="AN60">
            <v>10</v>
          </cell>
          <cell r="AO60">
            <v>531</v>
          </cell>
          <cell r="AP60" t="str">
            <v>Ellborg</v>
          </cell>
          <cell r="AQ60">
            <v>2</v>
          </cell>
          <cell r="AR60">
            <v>0</v>
          </cell>
          <cell r="AS60">
            <v>11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5.3</v>
          </cell>
          <cell r="BA60">
            <v>16</v>
          </cell>
          <cell r="BB60" t="str">
            <v/>
          </cell>
          <cell r="BC60">
            <v>3</v>
          </cell>
          <cell r="BD60">
            <v>3</v>
          </cell>
          <cell r="BE60">
            <v>1</v>
          </cell>
          <cell r="BF60">
            <v>90</v>
          </cell>
          <cell r="BG60">
            <v>1</v>
          </cell>
          <cell r="BH60">
            <v>1</v>
          </cell>
          <cell r="BI60">
            <v>0</v>
          </cell>
          <cell r="BJ60">
            <v>0</v>
          </cell>
          <cell r="BK60">
            <v>11</v>
          </cell>
          <cell r="BL60">
            <v>0.21428571428571427</v>
          </cell>
          <cell r="BM60">
            <v>0</v>
          </cell>
          <cell r="BN60">
            <v>0.21428571428571427</v>
          </cell>
          <cell r="BO60">
            <v>38</v>
          </cell>
          <cell r="BP60">
            <v>0</v>
          </cell>
          <cell r="BQ60">
            <v>7.8947368421052627E-2</v>
          </cell>
          <cell r="BR60">
            <v>0</v>
          </cell>
          <cell r="BS60">
            <v>0</v>
          </cell>
          <cell r="BT60">
            <v>0.02</v>
          </cell>
          <cell r="BU60">
            <v>6.6666666666666662E-3</v>
          </cell>
          <cell r="BV60">
            <v>6.6666666666666662E-3</v>
          </cell>
          <cell r="BW60">
            <v>0</v>
          </cell>
          <cell r="BX60">
            <v>38</v>
          </cell>
          <cell r="BY60">
            <v>1.5878947368421052</v>
          </cell>
          <cell r="BZ60">
            <v>1.0551052631578945</v>
          </cell>
        </row>
        <row r="61">
          <cell r="A61" t="str">
            <v>Matheus Santos Carneiro Da Cunha</v>
          </cell>
          <cell r="B61" t="str">
            <v/>
          </cell>
          <cell r="C61" t="str">
            <v>Cunha</v>
          </cell>
          <cell r="D61" t="str">
            <v/>
          </cell>
          <cell r="E61" t="str">
            <v>Matheus Cunha</v>
          </cell>
          <cell r="F61" t="str">
            <v/>
          </cell>
          <cell r="H61" t="str">
            <v/>
          </cell>
          <cell r="I61">
            <v>2.2999999999999998</v>
          </cell>
          <cell r="J61">
            <v>3.9666666666666668</v>
          </cell>
          <cell r="K61">
            <v>5.4</v>
          </cell>
          <cell r="M61">
            <v>4.2497412621096418</v>
          </cell>
          <cell r="N61">
            <v>4.6943441636582435</v>
          </cell>
          <cell r="O61">
            <v>4.1985338889188233</v>
          </cell>
          <cell r="P61">
            <v>4.2497412621096418</v>
          </cell>
          <cell r="Q61">
            <v>4.6943441636582435</v>
          </cell>
          <cell r="R61">
            <v>6.1940298507462686</v>
          </cell>
          <cell r="S61">
            <v>4.2497412621096418</v>
          </cell>
          <cell r="T61" t="str">
            <v>MID</v>
          </cell>
          <cell r="U61" t="str">
            <v>CF</v>
          </cell>
          <cell r="V61" t="str">
            <v>MUN</v>
          </cell>
          <cell r="W61" t="str">
            <v>Man Utd</v>
          </cell>
          <cell r="X61">
            <v>8</v>
          </cell>
          <cell r="Y61">
            <v>143</v>
          </cell>
          <cell r="Z61">
            <v>2</v>
          </cell>
          <cell r="AA61">
            <v>141</v>
          </cell>
          <cell r="AB61">
            <v>2493</v>
          </cell>
          <cell r="AC61">
            <v>2493</v>
          </cell>
          <cell r="AD61">
            <v>0.54166666666666663</v>
          </cell>
          <cell r="AE61">
            <v>10</v>
          </cell>
          <cell r="AF61">
            <v>4</v>
          </cell>
          <cell r="AG61">
            <v>0.11191335740072206</v>
          </cell>
          <cell r="AH61">
            <v>2.3104693140794219E-2</v>
          </cell>
          <cell r="AI61">
            <v>0.13501805054151622</v>
          </cell>
          <cell r="AJ61">
            <v>0.14599999999999991</v>
          </cell>
          <cell r="AK61">
            <v>14</v>
          </cell>
          <cell r="AL61">
            <v>591</v>
          </cell>
          <cell r="AM61">
            <v>4</v>
          </cell>
          <cell r="AN61">
            <v>0</v>
          </cell>
          <cell r="AO61">
            <v>428</v>
          </cell>
          <cell r="AP61" t="str">
            <v>Cunha</v>
          </cell>
          <cell r="AQ61">
            <v>1.5314881668672284</v>
          </cell>
          <cell r="AR61">
            <v>0</v>
          </cell>
          <cell r="AS61">
            <v>4.1949458483754514</v>
          </cell>
          <cell r="AT61">
            <v>7.0248696349779385</v>
          </cell>
          <cell r="AU61">
            <v>1.2984356197352589</v>
          </cell>
          <cell r="AV61">
            <v>7.0248696349779385</v>
          </cell>
          <cell r="AW61">
            <v>7.0248696349779385</v>
          </cell>
          <cell r="AX61">
            <v>5.4790613718411568E-2</v>
          </cell>
          <cell r="AY61">
            <v>0</v>
          </cell>
          <cell r="AZ61">
            <v>4.3</v>
          </cell>
          <cell r="BA61">
            <v>143</v>
          </cell>
          <cell r="BB61" t="str">
            <v/>
          </cell>
          <cell r="BC61">
            <v>29</v>
          </cell>
          <cell r="BD61">
            <v>16</v>
          </cell>
          <cell r="BE61">
            <v>0.55172413793103448</v>
          </cell>
          <cell r="BF61">
            <v>83</v>
          </cell>
          <cell r="BG61">
            <v>0.92222222222222228</v>
          </cell>
          <cell r="BH61">
            <v>1</v>
          </cell>
          <cell r="BI61">
            <v>4</v>
          </cell>
          <cell r="BJ61">
            <v>24</v>
          </cell>
          <cell r="BK61">
            <v>1</v>
          </cell>
          <cell r="BL61">
            <v>0.8529411764705882</v>
          </cell>
          <cell r="BM61">
            <v>0.11764705882352944</v>
          </cell>
          <cell r="BN61">
            <v>0.89546420978029773</v>
          </cell>
          <cell r="BO61">
            <v>38</v>
          </cell>
          <cell r="BP61">
            <v>0</v>
          </cell>
          <cell r="BQ61">
            <v>0.72894736842105268</v>
          </cell>
          <cell r="BR61">
            <v>6.9</v>
          </cell>
          <cell r="BS61">
            <v>0.24909747292418771</v>
          </cell>
          <cell r="BT61">
            <v>3.36</v>
          </cell>
          <cell r="BU61">
            <v>0.12129963898916968</v>
          </cell>
          <cell r="BV61">
            <v>0.37039711191335739</v>
          </cell>
          <cell r="BW61">
            <v>0</v>
          </cell>
          <cell r="BX61">
            <v>38</v>
          </cell>
          <cell r="BY61">
            <v>1.3231578947368421</v>
          </cell>
          <cell r="BZ61">
            <v>1.3198421052631577</v>
          </cell>
        </row>
        <row r="62">
          <cell r="A62" t="str">
            <v>David Raya Martín</v>
          </cell>
          <cell r="B62" t="str">
            <v/>
          </cell>
          <cell r="C62" t="str">
            <v>Raya</v>
          </cell>
          <cell r="D62" t="str">
            <v/>
          </cell>
          <cell r="E62" t="str">
            <v>David Raya</v>
          </cell>
          <cell r="F62" t="str">
            <v/>
          </cell>
          <cell r="H62" t="str">
            <v/>
          </cell>
          <cell r="I62">
            <v>3.7</v>
          </cell>
          <cell r="J62">
            <v>4.1000000000000005</v>
          </cell>
          <cell r="K62">
            <v>4.4000000000000004</v>
          </cell>
          <cell r="M62">
            <v>4.24906508650301</v>
          </cell>
          <cell r="N62">
            <v>4.378378378378379</v>
          </cell>
          <cell r="O62">
            <v>2.5333099099099092</v>
          </cell>
          <cell r="P62">
            <v>4.24906508650301</v>
          </cell>
          <cell r="Q62">
            <v>4.378378378378379</v>
          </cell>
          <cell r="R62">
            <v>6.4</v>
          </cell>
          <cell r="S62">
            <v>4.24906508650301</v>
          </cell>
          <cell r="T62" t="str">
            <v>GK</v>
          </cell>
          <cell r="U62" t="str">
            <v>GK</v>
          </cell>
          <cell r="V62" t="str">
            <v>ARS</v>
          </cell>
          <cell r="W62" t="str">
            <v>Arsenal</v>
          </cell>
          <cell r="X62">
            <v>6</v>
          </cell>
          <cell r="Y62">
            <v>162</v>
          </cell>
          <cell r="Z62">
            <v>0</v>
          </cell>
          <cell r="AA62">
            <v>162</v>
          </cell>
          <cell r="AB62">
            <v>3330</v>
          </cell>
          <cell r="AC62">
            <v>3330</v>
          </cell>
          <cell r="AD62">
            <v>0.72972972972972971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0.29299999999999993</v>
          </cell>
          <cell r="AK62">
            <v>11</v>
          </cell>
          <cell r="AL62">
            <v>633</v>
          </cell>
          <cell r="AM62">
            <v>1</v>
          </cell>
          <cell r="AN62">
            <v>60</v>
          </cell>
          <cell r="AO62">
            <v>1</v>
          </cell>
          <cell r="AP62" t="str">
            <v>Raya</v>
          </cell>
          <cell r="AQ62">
            <v>1</v>
          </cell>
          <cell r="AR62">
            <v>0</v>
          </cell>
          <cell r="AS62">
            <v>8.2162162162162158</v>
          </cell>
          <cell r="AT62">
            <v>0</v>
          </cell>
          <cell r="AU62">
            <v>2.7027027027027025E-2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4.4000000000000004</v>
          </cell>
          <cell r="BA62">
            <v>162</v>
          </cell>
          <cell r="BB62" t="str">
            <v/>
          </cell>
          <cell r="BC62">
            <v>37</v>
          </cell>
          <cell r="BD62">
            <v>37</v>
          </cell>
          <cell r="BE62">
            <v>1</v>
          </cell>
          <cell r="BF62">
            <v>90</v>
          </cell>
          <cell r="BG62">
            <v>1</v>
          </cell>
          <cell r="BH62">
            <v>1</v>
          </cell>
          <cell r="BI62">
            <v>0</v>
          </cell>
          <cell r="BJ62">
            <v>0</v>
          </cell>
          <cell r="BK62">
            <v>0</v>
          </cell>
          <cell r="BL62">
            <v>1</v>
          </cell>
          <cell r="BM62">
            <v>0</v>
          </cell>
          <cell r="BN62">
            <v>1</v>
          </cell>
          <cell r="BO62">
            <v>38</v>
          </cell>
          <cell r="BP62">
            <v>0</v>
          </cell>
          <cell r="BQ62">
            <v>0.97368421052631582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38</v>
          </cell>
          <cell r="BY62">
            <v>0.87184210526315797</v>
          </cell>
          <cell r="BZ62">
            <v>1.7711578947368418</v>
          </cell>
        </row>
        <row r="63">
          <cell r="A63" t="str">
            <v>Callum Wilson</v>
          </cell>
          <cell r="B63" t="str">
            <v/>
          </cell>
          <cell r="C63" t="str">
            <v>Wilson</v>
          </cell>
          <cell r="D63" t="str">
            <v/>
          </cell>
          <cell r="F63" t="str">
            <v/>
          </cell>
          <cell r="H63" t="str">
            <v/>
          </cell>
          <cell r="I63" t="e">
            <v>#N/A</v>
          </cell>
          <cell r="J63" t="e">
            <v>#N/A</v>
          </cell>
          <cell r="K63" t="e">
            <v>#N/A</v>
          </cell>
          <cell r="M63">
            <v>4.2418897893030794</v>
          </cell>
          <cell r="N63">
            <v>4.473257698541329</v>
          </cell>
          <cell r="O63">
            <v>3.8962222222222214</v>
          </cell>
          <cell r="P63">
            <v>2</v>
          </cell>
          <cell r="Q63">
            <v>0</v>
          </cell>
          <cell r="R63">
            <v>5.1111111111111107</v>
          </cell>
          <cell r="S63">
            <v>4.2418897893030794</v>
          </cell>
          <cell r="T63" t="str">
            <v>FWD</v>
          </cell>
          <cell r="U63" t="str">
            <v>CF</v>
          </cell>
          <cell r="V63" t="str">
            <v>BRE</v>
          </cell>
          <cell r="W63" t="str">
            <v>Brentford</v>
          </cell>
          <cell r="X63">
            <v>5.5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e">
            <v>#DIV/0!</v>
          </cell>
          <cell r="AH63" t="e">
            <v>#DIV/0!</v>
          </cell>
          <cell r="AI63" t="e">
            <v>#DIV/0!</v>
          </cell>
          <cell r="AJ63">
            <v>4.0000000000000036E-3</v>
          </cell>
          <cell r="AK63">
            <v>0</v>
          </cell>
          <cell r="AL63">
            <v>0</v>
          </cell>
          <cell r="AM63">
            <v>1</v>
          </cell>
          <cell r="AN63">
            <v>0</v>
          </cell>
          <cell r="AO63">
            <v>108</v>
          </cell>
          <cell r="AP63" t="str">
            <v>Wilson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 t="str">
            <v/>
          </cell>
          <cell r="BC63">
            <v>11</v>
          </cell>
          <cell r="BD63">
            <v>2</v>
          </cell>
          <cell r="BE63">
            <v>0.18181818181818182</v>
          </cell>
          <cell r="BF63">
            <v>69</v>
          </cell>
          <cell r="BG63">
            <v>0.76666666666666672</v>
          </cell>
          <cell r="BH63">
            <v>1</v>
          </cell>
          <cell r="BI63">
            <v>21</v>
          </cell>
          <cell r="BJ63">
            <v>23</v>
          </cell>
          <cell r="BK63">
            <v>5</v>
          </cell>
          <cell r="BL63">
            <v>0.29729729729729731</v>
          </cell>
          <cell r="BM63">
            <v>0.56756756756756754</v>
          </cell>
          <cell r="BN63">
            <v>0.53153153153153154</v>
          </cell>
          <cell r="BO63">
            <v>38</v>
          </cell>
          <cell r="BP63">
            <v>0</v>
          </cell>
          <cell r="BQ63">
            <v>0</v>
          </cell>
          <cell r="BR63">
            <v>7.6</v>
          </cell>
          <cell r="BS63">
            <v>0</v>
          </cell>
          <cell r="BT63">
            <v>0.54</v>
          </cell>
          <cell r="BU63">
            <v>0</v>
          </cell>
          <cell r="BV63">
            <v>0</v>
          </cell>
          <cell r="BW63">
            <v>0</v>
          </cell>
          <cell r="BX63">
            <v>38</v>
          </cell>
          <cell r="BY63">
            <v>1.5555263157894736</v>
          </cell>
          <cell r="BZ63">
            <v>1.0874736842105261</v>
          </cell>
        </row>
        <row r="64">
          <cell r="A64" t="str">
            <v>Eberechi Eze</v>
          </cell>
          <cell r="B64" t="str">
            <v/>
          </cell>
          <cell r="C64" t="str">
            <v>Eze</v>
          </cell>
          <cell r="D64" t="str">
            <v/>
          </cell>
          <cell r="F64" t="str">
            <v/>
          </cell>
          <cell r="H64" t="str">
            <v/>
          </cell>
          <cell r="I64">
            <v>4.2</v>
          </cell>
          <cell r="J64">
            <v>4.5333333333333332</v>
          </cell>
          <cell r="K64">
            <v>5</v>
          </cell>
          <cell r="M64">
            <v>4.2171084030179289</v>
          </cell>
          <cell r="N64">
            <v>4.4360742705570289</v>
          </cell>
          <cell r="O64">
            <v>4.0226783726230053</v>
          </cell>
          <cell r="P64">
            <v>4.2171084030179289</v>
          </cell>
          <cell r="Q64">
            <v>4.4360742705570289</v>
          </cell>
          <cell r="R64">
            <v>3.7521126760563379</v>
          </cell>
          <cell r="S64">
            <v>4.2171084030179289</v>
          </cell>
          <cell r="T64" t="str">
            <v>MID</v>
          </cell>
          <cell r="U64" t="str">
            <v>AM</v>
          </cell>
          <cell r="V64" t="str">
            <v>ARS</v>
          </cell>
          <cell r="W64" t="str">
            <v>Arsenal</v>
          </cell>
          <cell r="X64">
            <v>6.5</v>
          </cell>
          <cell r="Y64">
            <v>113</v>
          </cell>
          <cell r="Z64">
            <v>0</v>
          </cell>
          <cell r="AA64">
            <v>113</v>
          </cell>
          <cell r="AB64">
            <v>1885</v>
          </cell>
          <cell r="AC64">
            <v>1885</v>
          </cell>
          <cell r="AD64">
            <v>0.54326923076923073</v>
          </cell>
          <cell r="AE64">
            <v>7</v>
          </cell>
          <cell r="AF64">
            <v>3</v>
          </cell>
          <cell r="AG64">
            <v>8.689655172413796E-2</v>
          </cell>
          <cell r="AH64">
            <v>1.6233421750663113E-2</v>
          </cell>
          <cell r="AI64">
            <v>0.10312997347480107</v>
          </cell>
          <cell r="AJ64">
            <v>3.0999999999999917E-2</v>
          </cell>
          <cell r="AK64">
            <v>8</v>
          </cell>
          <cell r="AL64">
            <v>439</v>
          </cell>
          <cell r="AM64">
            <v>1</v>
          </cell>
          <cell r="AN64">
            <v>0</v>
          </cell>
          <cell r="AO64">
            <v>14</v>
          </cell>
          <cell r="AP64" t="str">
            <v>Eze</v>
          </cell>
          <cell r="AQ64">
            <v>0.86366047745358077</v>
          </cell>
          <cell r="AR64">
            <v>0</v>
          </cell>
          <cell r="AS64">
            <v>3.1013262599469495</v>
          </cell>
          <cell r="AT64">
            <v>4.7108753315649867</v>
          </cell>
          <cell r="AU64">
            <v>0.74588859416445619</v>
          </cell>
          <cell r="AV64">
            <v>4.7108753315649867</v>
          </cell>
          <cell r="AW64">
            <v>4.7108753315649867</v>
          </cell>
          <cell r="AX64">
            <v>3.5668056081849184E-2</v>
          </cell>
          <cell r="AY64">
            <v>0</v>
          </cell>
          <cell r="AZ64">
            <v>3.4</v>
          </cell>
          <cell r="BA64">
            <v>113</v>
          </cell>
          <cell r="BB64" t="str">
            <v/>
          </cell>
          <cell r="BC64">
            <v>21</v>
          </cell>
          <cell r="BD64">
            <v>5</v>
          </cell>
          <cell r="BE64">
            <v>0.23809523809523808</v>
          </cell>
          <cell r="BF64">
            <v>74</v>
          </cell>
          <cell r="BG64">
            <v>0.82222222222222219</v>
          </cell>
          <cell r="BH64">
            <v>1</v>
          </cell>
          <cell r="BI64">
            <v>11</v>
          </cell>
          <cell r="BJ64">
            <v>24</v>
          </cell>
          <cell r="BK64">
            <v>4</v>
          </cell>
          <cell r="BL64">
            <v>0.58333333333333337</v>
          </cell>
          <cell r="BM64">
            <v>0.30555555555555552</v>
          </cell>
          <cell r="BN64">
            <v>0.71846846846846857</v>
          </cell>
          <cell r="BO64">
            <v>38</v>
          </cell>
          <cell r="BP64">
            <v>0</v>
          </cell>
          <cell r="BQ64">
            <v>0.55116959064327486</v>
          </cell>
          <cell r="BR64">
            <v>5.18</v>
          </cell>
          <cell r="BS64">
            <v>0.24732095490716177</v>
          </cell>
          <cell r="BT64">
            <v>2.66</v>
          </cell>
          <cell r="BU64">
            <v>0.1270026525198939</v>
          </cell>
          <cell r="BV64">
            <v>0.37432360742705567</v>
          </cell>
          <cell r="BW64">
            <v>0</v>
          </cell>
          <cell r="BX64">
            <v>38</v>
          </cell>
          <cell r="BY64">
            <v>0.87184210526315797</v>
          </cell>
          <cell r="BZ64">
            <v>1.7711578947368418</v>
          </cell>
        </row>
        <row r="65">
          <cell r="A65" t="str">
            <v>Omar Marmoush</v>
          </cell>
          <cell r="B65" t="str">
            <v/>
          </cell>
          <cell r="C65" t="str">
            <v>Marmoush</v>
          </cell>
          <cell r="D65" t="str">
            <v/>
          </cell>
          <cell r="F65" t="str">
            <v/>
          </cell>
          <cell r="H65" t="str">
            <v/>
          </cell>
          <cell r="I65">
            <v>4.5999999999999996</v>
          </cell>
          <cell r="J65">
            <v>4.5999999999999996</v>
          </cell>
          <cell r="K65">
            <v>4.5999999999999996</v>
          </cell>
          <cell r="M65">
            <v>4.2131480151821137</v>
          </cell>
          <cell r="N65">
            <v>5.2677279305354556</v>
          </cell>
          <cell r="O65">
            <v>3.6418230969609251</v>
          </cell>
          <cell r="P65">
            <v>3.6306946454413889</v>
          </cell>
          <cell r="Q65">
            <v>5.2677279305354556</v>
          </cell>
          <cell r="R65">
            <v>8.32</v>
          </cell>
          <cell r="S65">
            <v>4.2131480151821137</v>
          </cell>
          <cell r="T65" t="str">
            <v>FWD</v>
          </cell>
          <cell r="U65" t="str">
            <v>CF</v>
          </cell>
          <cell r="V65" t="str">
            <v>MCI</v>
          </cell>
          <cell r="W65" t="str">
            <v>Man City</v>
          </cell>
          <cell r="X65">
            <v>7</v>
          </cell>
          <cell r="Y65">
            <v>56</v>
          </cell>
          <cell r="Z65">
            <v>0</v>
          </cell>
          <cell r="AA65">
            <v>56</v>
          </cell>
          <cell r="AB65">
            <v>691</v>
          </cell>
          <cell r="AC65">
            <v>691</v>
          </cell>
          <cell r="AD65">
            <v>0.38095238095238093</v>
          </cell>
          <cell r="AE65">
            <v>3</v>
          </cell>
          <cell r="AF65">
            <v>3</v>
          </cell>
          <cell r="AG65">
            <v>2.8654124457308305E-2</v>
          </cell>
          <cell r="AH65">
            <v>0.29044862518089731</v>
          </cell>
          <cell r="AI65">
            <v>0.31910274963820562</v>
          </cell>
          <cell r="AJ65">
            <v>4.9999999999998934E-3</v>
          </cell>
          <cell r="AK65">
            <v>5</v>
          </cell>
          <cell r="AL65">
            <v>182</v>
          </cell>
          <cell r="AM65">
            <v>3</v>
          </cell>
          <cell r="AN65">
            <v>0</v>
          </cell>
          <cell r="AO65">
            <v>401</v>
          </cell>
          <cell r="AP65" t="str">
            <v>Marmoush</v>
          </cell>
          <cell r="AQ65">
            <v>0.56439942112879893</v>
          </cell>
          <cell r="AR65">
            <v>0</v>
          </cell>
          <cell r="AS65">
            <v>1.8813314037626627</v>
          </cell>
          <cell r="AT65">
            <v>3.6685962373371925</v>
          </cell>
          <cell r="AU65">
            <v>1.222865412445731</v>
          </cell>
          <cell r="AV65">
            <v>3.6685962373371925</v>
          </cell>
          <cell r="AW65">
            <v>3.6685962373371925</v>
          </cell>
          <cell r="AX65">
            <v>2.7776514368410169E-2</v>
          </cell>
          <cell r="AY65">
            <v>0</v>
          </cell>
          <cell r="AZ65">
            <v>2.7</v>
          </cell>
          <cell r="BA65">
            <v>56</v>
          </cell>
          <cell r="BB65" t="str">
            <v/>
          </cell>
          <cell r="BC65">
            <v>8</v>
          </cell>
          <cell r="BD65">
            <v>0</v>
          </cell>
          <cell r="BE65">
            <v>0</v>
          </cell>
          <cell r="BF65">
            <v>65</v>
          </cell>
          <cell r="BG65">
            <v>0.72222222222222221</v>
          </cell>
          <cell r="BH65">
            <v>1</v>
          </cell>
          <cell r="BI65">
            <v>13</v>
          </cell>
          <cell r="BJ65">
            <v>14</v>
          </cell>
          <cell r="BK65">
            <v>7</v>
          </cell>
          <cell r="BL65">
            <v>0.2857142857142857</v>
          </cell>
          <cell r="BM65">
            <v>0.4642857142857143</v>
          </cell>
          <cell r="BN65">
            <v>0.43956043956043955</v>
          </cell>
          <cell r="BO65">
            <v>38</v>
          </cell>
          <cell r="BP65">
            <v>0</v>
          </cell>
          <cell r="BQ65">
            <v>0.202046783625731</v>
          </cell>
          <cell r="BR65">
            <v>2.78</v>
          </cell>
          <cell r="BS65">
            <v>0.36208393632416785</v>
          </cell>
          <cell r="BT65">
            <v>0.77</v>
          </cell>
          <cell r="BU65">
            <v>0.10028943560057887</v>
          </cell>
          <cell r="BV65">
            <v>0.4623733719247467</v>
          </cell>
          <cell r="BW65">
            <v>0</v>
          </cell>
          <cell r="BX65">
            <v>38</v>
          </cell>
          <cell r="BY65">
            <v>1.223421052631579</v>
          </cell>
          <cell r="BZ65">
            <v>1.4195789473684208</v>
          </cell>
        </row>
        <row r="66">
          <cell r="A66" t="str">
            <v>Declan Rice</v>
          </cell>
          <cell r="B66" t="str">
            <v/>
          </cell>
          <cell r="C66" t="str">
            <v>Rice</v>
          </cell>
          <cell r="D66" t="str">
            <v/>
          </cell>
          <cell r="F66" t="str">
            <v/>
          </cell>
          <cell r="H66" t="str">
            <v/>
          </cell>
          <cell r="I66">
            <v>3.1</v>
          </cell>
          <cell r="J66">
            <v>3.6666666666666665</v>
          </cell>
          <cell r="K66">
            <v>4.3</v>
          </cell>
          <cell r="M66">
            <v>4.2023988665528558</v>
          </cell>
          <cell r="N66">
            <v>4.4953119948270279</v>
          </cell>
          <cell r="O66">
            <v>2.9684514242868252</v>
          </cell>
          <cell r="P66">
            <v>4.2023988665528558</v>
          </cell>
          <cell r="Q66">
            <v>4.4953119948270279</v>
          </cell>
          <cell r="R66">
            <v>3.5366430260047279</v>
          </cell>
          <cell r="S66">
            <v>4.2023988665528558</v>
          </cell>
          <cell r="T66" t="str">
            <v>MID</v>
          </cell>
          <cell r="U66" t="str">
            <v>CM</v>
          </cell>
          <cell r="V66" t="str">
            <v>ARS</v>
          </cell>
          <cell r="W66" t="str">
            <v>Arsenal</v>
          </cell>
          <cell r="X66">
            <v>7.5</v>
          </cell>
          <cell r="Y66">
            <v>183.99999999999997</v>
          </cell>
          <cell r="Z66">
            <v>26</v>
          </cell>
          <cell r="AA66">
            <v>157.99999999999997</v>
          </cell>
          <cell r="AB66">
            <v>3093</v>
          </cell>
          <cell r="AC66">
            <v>3093</v>
          </cell>
          <cell r="AD66">
            <v>0.68148148148148147</v>
          </cell>
          <cell r="AE66">
            <v>4</v>
          </cell>
          <cell r="AF66">
            <v>9</v>
          </cell>
          <cell r="AG66">
            <v>2.4733268671193021E-2</v>
          </cell>
          <cell r="AH66">
            <v>4.8884578079534446E-2</v>
          </cell>
          <cell r="AI66">
            <v>7.3617846750727411E-2</v>
          </cell>
          <cell r="AJ66">
            <v>0.23100000000000009</v>
          </cell>
          <cell r="AK66">
            <v>23</v>
          </cell>
          <cell r="AL66">
            <v>790</v>
          </cell>
          <cell r="AM66">
            <v>3</v>
          </cell>
          <cell r="AN66">
            <v>0</v>
          </cell>
          <cell r="AO66">
            <v>13</v>
          </cell>
          <cell r="AP66" t="str">
            <v>Rice</v>
          </cell>
          <cell r="AQ66">
            <v>3.6133204009052697</v>
          </cell>
          <cell r="AR66">
            <v>0</v>
          </cell>
          <cell r="AS66">
            <v>5.1212415130940832</v>
          </cell>
          <cell r="AT66">
            <v>10.697704494018751</v>
          </cell>
          <cell r="AU66">
            <v>1.9631425800193985</v>
          </cell>
          <cell r="AV66">
            <v>10.697704494018751</v>
          </cell>
          <cell r="AW66">
            <v>10.697704494018751</v>
          </cell>
          <cell r="AX66">
            <v>0.38714290342517155</v>
          </cell>
          <cell r="AY66">
            <v>0</v>
          </cell>
          <cell r="AZ66">
            <v>5.0999999999999996</v>
          </cell>
          <cell r="BA66">
            <v>183.99999999999997</v>
          </cell>
          <cell r="BB66" t="str">
            <v/>
          </cell>
          <cell r="BC66">
            <v>35</v>
          </cell>
          <cell r="BD66">
            <v>29</v>
          </cell>
          <cell r="BE66">
            <v>0.82857142857142863</v>
          </cell>
          <cell r="BF66">
            <v>88</v>
          </cell>
          <cell r="BG66">
            <v>0.97777777777777775</v>
          </cell>
          <cell r="BH66">
            <v>1</v>
          </cell>
          <cell r="BI66">
            <v>1</v>
          </cell>
          <cell r="BJ66">
            <v>23</v>
          </cell>
          <cell r="BK66">
            <v>1</v>
          </cell>
          <cell r="BL66">
            <v>0.94594594594594594</v>
          </cell>
          <cell r="BM66">
            <v>2.7027027027027029E-2</v>
          </cell>
          <cell r="BN66">
            <v>0.96007371007371001</v>
          </cell>
          <cell r="BO66">
            <v>38</v>
          </cell>
          <cell r="BP66">
            <v>0</v>
          </cell>
          <cell r="BQ66">
            <v>0.90438596491228074</v>
          </cell>
          <cell r="BR66">
            <v>3.15</v>
          </cell>
          <cell r="BS66">
            <v>9.1658583899127066E-2</v>
          </cell>
          <cell r="BT66">
            <v>7.32</v>
          </cell>
          <cell r="BU66">
            <v>0.21299709020368573</v>
          </cell>
          <cell r="BV66">
            <v>0.3046556741028128</v>
          </cell>
          <cell r="BW66">
            <v>0</v>
          </cell>
          <cell r="BX66">
            <v>38</v>
          </cell>
          <cell r="BY66">
            <v>0.87184210526315797</v>
          </cell>
          <cell r="BZ66">
            <v>1.7711578947368418</v>
          </cell>
        </row>
        <row r="67">
          <cell r="A67" t="str">
            <v>Amad Diallo</v>
          </cell>
          <cell r="B67" t="str">
            <v/>
          </cell>
          <cell r="C67" t="str">
            <v>Amad</v>
          </cell>
          <cell r="D67" t="str">
            <v/>
          </cell>
          <cell r="F67" t="str">
            <v/>
          </cell>
          <cell r="H67" t="str">
            <v/>
          </cell>
          <cell r="I67">
            <v>2.6</v>
          </cell>
          <cell r="J67">
            <v>3.8</v>
          </cell>
          <cell r="K67">
            <v>5</v>
          </cell>
          <cell r="M67">
            <v>4.1961143670000007</v>
          </cell>
          <cell r="N67">
            <v>3.1902522445489523</v>
          </cell>
          <cell r="O67">
            <v>4.4025071702378957</v>
          </cell>
          <cell r="P67">
            <v>4.1961143670000007</v>
          </cell>
          <cell r="Q67">
            <v>3.1902522445489523</v>
          </cell>
          <cell r="R67">
            <v>3.4745762711864403</v>
          </cell>
          <cell r="S67">
            <v>4.1961143670000007</v>
          </cell>
          <cell r="T67" t="str">
            <v>MID</v>
          </cell>
          <cell r="U67" t="str">
            <v>RW</v>
          </cell>
          <cell r="V67" t="str">
            <v>MUN</v>
          </cell>
          <cell r="W67" t="str">
            <v>Man Utd</v>
          </cell>
          <cell r="X67">
            <v>6</v>
          </cell>
          <cell r="Y67">
            <v>91</v>
          </cell>
          <cell r="Z67">
            <v>0</v>
          </cell>
          <cell r="AA67">
            <v>91</v>
          </cell>
          <cell r="AB67">
            <v>2339</v>
          </cell>
          <cell r="AC67">
            <v>2339</v>
          </cell>
          <cell r="AD67">
            <v>0.47395833333333331</v>
          </cell>
          <cell r="AE67">
            <v>2</v>
          </cell>
          <cell r="AF67">
            <v>5</v>
          </cell>
          <cell r="AG67">
            <v>-0.13313381787088499</v>
          </cell>
          <cell r="AH67">
            <v>1.0004275331338186E-2</v>
          </cell>
          <cell r="AI67">
            <v>-0.12312954253954683</v>
          </cell>
          <cell r="AJ67">
            <v>1.4000000000000012E-2</v>
          </cell>
          <cell r="AK67">
            <v>7</v>
          </cell>
          <cell r="AL67">
            <v>463</v>
          </cell>
          <cell r="AM67">
            <v>2</v>
          </cell>
          <cell r="AN67">
            <v>0</v>
          </cell>
          <cell r="AO67">
            <v>431</v>
          </cell>
          <cell r="AP67" t="str">
            <v>Amad</v>
          </cell>
          <cell r="AQ67">
            <v>1.6827704147071398</v>
          </cell>
          <cell r="AR67">
            <v>0</v>
          </cell>
          <cell r="AS67">
            <v>3.926464300983326</v>
          </cell>
          <cell r="AT67">
            <v>6.9414279606669513</v>
          </cell>
          <cell r="AU67">
            <v>1.3321932449764855</v>
          </cell>
          <cell r="AV67">
            <v>6.9414279606669513</v>
          </cell>
          <cell r="AW67">
            <v>6.9414279606669513</v>
          </cell>
          <cell r="AX67">
            <v>5.2556525987906916E-2</v>
          </cell>
          <cell r="AY67">
            <v>0</v>
          </cell>
          <cell r="AZ67">
            <v>2.8</v>
          </cell>
          <cell r="BA67">
            <v>91</v>
          </cell>
          <cell r="BB67" t="str">
            <v/>
          </cell>
          <cell r="BC67">
            <v>27</v>
          </cell>
          <cell r="BD67">
            <v>17</v>
          </cell>
          <cell r="BE67">
            <v>0.62962962962962965</v>
          </cell>
          <cell r="BF67">
            <v>82</v>
          </cell>
          <cell r="BG67">
            <v>0.91111111111111109</v>
          </cell>
          <cell r="BH67">
            <v>1</v>
          </cell>
          <cell r="BI67">
            <v>5</v>
          </cell>
          <cell r="BJ67">
            <v>25</v>
          </cell>
          <cell r="BK67">
            <v>0</v>
          </cell>
          <cell r="BL67">
            <v>0.84375</v>
          </cell>
          <cell r="BM67">
            <v>0.15625</v>
          </cell>
          <cell r="BN67">
            <v>0.89138719512195119</v>
          </cell>
          <cell r="BO67">
            <v>38</v>
          </cell>
          <cell r="BP67">
            <v>0</v>
          </cell>
          <cell r="BQ67">
            <v>0.68391812865497081</v>
          </cell>
          <cell r="BR67">
            <v>5.46</v>
          </cell>
          <cell r="BS67">
            <v>0.21008978195810174</v>
          </cell>
          <cell r="BT67">
            <v>4.74</v>
          </cell>
          <cell r="BU67">
            <v>0.18238563488670373</v>
          </cell>
          <cell r="BV67">
            <v>0.39247541684480547</v>
          </cell>
          <cell r="BW67">
            <v>0</v>
          </cell>
          <cell r="BX67">
            <v>38</v>
          </cell>
          <cell r="BY67">
            <v>1.3231578947368421</v>
          </cell>
          <cell r="BZ67">
            <v>1.3198421052631577</v>
          </cell>
        </row>
        <row r="68">
          <cell r="A68" t="str">
            <v>Kepa Arrizabalaga Revuelta</v>
          </cell>
          <cell r="B68" t="str">
            <v/>
          </cell>
          <cell r="C68" t="str">
            <v>Arrizabalaga</v>
          </cell>
          <cell r="D68" t="str">
            <v/>
          </cell>
          <cell r="E68" t="str">
            <v>Kepa</v>
          </cell>
          <cell r="F68" t="str">
            <v/>
          </cell>
          <cell r="H68" t="str">
            <v/>
          </cell>
          <cell r="I68">
            <v>3.4</v>
          </cell>
          <cell r="J68">
            <v>3.75</v>
          </cell>
          <cell r="K68">
            <v>4.0999999999999996</v>
          </cell>
          <cell r="M68">
            <v>4.1924885099264335</v>
          </cell>
          <cell r="N68">
            <v>0</v>
          </cell>
          <cell r="O68">
            <v>2.4683333333333328</v>
          </cell>
          <cell r="P68">
            <v>4.1924885099264335</v>
          </cell>
          <cell r="Q68">
            <v>1.8</v>
          </cell>
          <cell r="R68">
            <v>1.8</v>
          </cell>
          <cell r="S68">
            <v>4.1924885099264335</v>
          </cell>
          <cell r="T68" t="str">
            <v>GK</v>
          </cell>
          <cell r="U68" t="str">
            <v/>
          </cell>
          <cell r="V68" t="str">
            <v>ARS</v>
          </cell>
          <cell r="W68" t="str">
            <v>Arsenal</v>
          </cell>
          <cell r="X68">
            <v>5</v>
          </cell>
          <cell r="Y68">
            <v>2</v>
          </cell>
          <cell r="Z68">
            <v>0</v>
          </cell>
          <cell r="AA68">
            <v>2</v>
          </cell>
          <cell r="AB68">
            <v>90</v>
          </cell>
          <cell r="AC68">
            <v>90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2.9999999999998916E-3</v>
          </cell>
          <cell r="AK68">
            <v>0</v>
          </cell>
          <cell r="AL68">
            <v>11</v>
          </cell>
          <cell r="AM68">
            <v>0</v>
          </cell>
          <cell r="AN68">
            <v>2</v>
          </cell>
          <cell r="AO68">
            <v>2</v>
          </cell>
          <cell r="AP68" t="str">
            <v>Arrizabalaga</v>
          </cell>
          <cell r="AQ68">
            <v>2.7</v>
          </cell>
          <cell r="AR68">
            <v>0</v>
          </cell>
          <cell r="AS68">
            <v>7.2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2</v>
          </cell>
          <cell r="BA68">
            <v>2</v>
          </cell>
          <cell r="BB68" t="str">
            <v/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0.9</v>
          </cell>
          <cell r="BH68">
            <v>1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 t="e">
            <v>#DIV/0!</v>
          </cell>
          <cell r="BO68">
            <v>38</v>
          </cell>
          <cell r="BP68">
            <v>0</v>
          </cell>
          <cell r="BQ68">
            <v>2.6315789473684209E-2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38</v>
          </cell>
          <cell r="BY68">
            <v>0.87184210526315797</v>
          </cell>
          <cell r="BZ68">
            <v>1.7711578947368418</v>
          </cell>
        </row>
        <row r="69">
          <cell r="A69" t="str">
            <v>Norberto Bercique Gomes Betuncal</v>
          </cell>
          <cell r="B69" t="str">
            <v/>
          </cell>
          <cell r="C69" t="str">
            <v>Beto</v>
          </cell>
          <cell r="D69" t="str">
            <v/>
          </cell>
          <cell r="F69" t="str">
            <v/>
          </cell>
          <cell r="H69" t="str">
            <v/>
          </cell>
          <cell r="I69">
            <v>1.7</v>
          </cell>
          <cell r="J69">
            <v>2.2999999999999998</v>
          </cell>
          <cell r="K69">
            <v>2.9</v>
          </cell>
          <cell r="M69">
            <v>4.1707840103159253</v>
          </cell>
          <cell r="N69">
            <v>4.7607994842037398</v>
          </cell>
          <cell r="O69">
            <v>3.6857775628626692</v>
          </cell>
          <cell r="P69">
            <v>4.1707840103159253</v>
          </cell>
          <cell r="Q69">
            <v>4.7607994842037398</v>
          </cell>
          <cell r="R69">
            <v>5.287234042553191</v>
          </cell>
          <cell r="S69">
            <v>4.1707840103159253</v>
          </cell>
          <cell r="T69" t="str">
            <v>FWD</v>
          </cell>
          <cell r="U69" t="str">
            <v>CF</v>
          </cell>
          <cell r="V69" t="str">
            <v>EVE</v>
          </cell>
          <cell r="W69" t="str">
            <v>Everton</v>
          </cell>
          <cell r="X69">
            <v>5.5</v>
          </cell>
          <cell r="Y69">
            <v>104</v>
          </cell>
          <cell r="Z69">
            <v>0</v>
          </cell>
          <cell r="AA69">
            <v>104</v>
          </cell>
          <cell r="AB69">
            <v>1551</v>
          </cell>
          <cell r="AC69">
            <v>1551</v>
          </cell>
          <cell r="AD69">
            <v>0.51105651105651106</v>
          </cell>
          <cell r="AE69">
            <v>9</v>
          </cell>
          <cell r="AF69">
            <v>1</v>
          </cell>
          <cell r="AG69">
            <v>5.8027079303675233E-3</v>
          </cell>
          <cell r="AH69">
            <v>4.4680851063829782E-2</v>
          </cell>
          <cell r="AI69">
            <v>5.048355899419732E-2</v>
          </cell>
          <cell r="AJ69">
            <v>3.400000000000003E-2</v>
          </cell>
          <cell r="AK69">
            <v>15</v>
          </cell>
          <cell r="AL69">
            <v>343</v>
          </cell>
          <cell r="AM69">
            <v>3</v>
          </cell>
          <cell r="AN69">
            <v>0</v>
          </cell>
          <cell r="AO69">
            <v>248</v>
          </cell>
          <cell r="AP69" t="str">
            <v>Beto</v>
          </cell>
          <cell r="AQ69">
            <v>2.2430689877498389</v>
          </cell>
          <cell r="AR69">
            <v>0</v>
          </cell>
          <cell r="AS69">
            <v>1.1901998710509349</v>
          </cell>
          <cell r="AT69">
            <v>4.0741457124435847</v>
          </cell>
          <cell r="AU69">
            <v>0.640876853642811</v>
          </cell>
          <cell r="AV69">
            <v>4.0741457124435847</v>
          </cell>
          <cell r="AW69">
            <v>4.0741457124435847</v>
          </cell>
          <cell r="AX69">
            <v>3.0847103251358567E-2</v>
          </cell>
          <cell r="AY69">
            <v>0</v>
          </cell>
          <cell r="AZ69">
            <v>2.8</v>
          </cell>
          <cell r="BA69">
            <v>104</v>
          </cell>
          <cell r="BB69" t="str">
            <v/>
          </cell>
          <cell r="BC69">
            <v>17</v>
          </cell>
          <cell r="BD69">
            <v>1</v>
          </cell>
          <cell r="BE69">
            <v>5.8823529411764705E-2</v>
          </cell>
          <cell r="BF69">
            <v>71</v>
          </cell>
          <cell r="BG69">
            <v>0.78888888888888886</v>
          </cell>
          <cell r="BH69">
            <v>1</v>
          </cell>
          <cell r="BI69">
            <v>20</v>
          </cell>
          <cell r="BJ69">
            <v>18</v>
          </cell>
          <cell r="BK69">
            <v>0</v>
          </cell>
          <cell r="BL69">
            <v>0.45945945945945948</v>
          </cell>
          <cell r="BM69">
            <v>0.54054054054054057</v>
          </cell>
          <cell r="BN69">
            <v>0.59649790635706135</v>
          </cell>
          <cell r="BO69">
            <v>38</v>
          </cell>
          <cell r="BP69">
            <v>0</v>
          </cell>
          <cell r="BQ69">
            <v>0.45350877192982458</v>
          </cell>
          <cell r="BR69">
            <v>8.9</v>
          </cell>
          <cell r="BS69">
            <v>0.51644100580270791</v>
          </cell>
          <cell r="BT69">
            <v>0.23</v>
          </cell>
          <cell r="BU69">
            <v>1.3346228239845262E-2</v>
          </cell>
          <cell r="BV69">
            <v>0.52978723404255312</v>
          </cell>
          <cell r="BW69">
            <v>0</v>
          </cell>
          <cell r="BX69">
            <v>38</v>
          </cell>
          <cell r="BY69">
            <v>1.5786842105263159</v>
          </cell>
          <cell r="BZ69">
            <v>1.0643157894736839</v>
          </cell>
        </row>
        <row r="70">
          <cell r="A70" t="str">
            <v>Alejandro Garnacho Ferreyra</v>
          </cell>
          <cell r="B70" t="str">
            <v/>
          </cell>
          <cell r="C70" t="str">
            <v>Garnacho</v>
          </cell>
          <cell r="D70" t="str">
            <v/>
          </cell>
          <cell r="E70" t="str">
            <v>Alejandro Garnacho</v>
          </cell>
          <cell r="F70" t="str">
            <v/>
          </cell>
          <cell r="H70" t="str">
            <v/>
          </cell>
          <cell r="I70">
            <v>2.1</v>
          </cell>
          <cell r="J70">
            <v>2.8666666666666667</v>
          </cell>
          <cell r="K70">
            <v>3.6</v>
          </cell>
          <cell r="M70">
            <v>4.1703961394536044</v>
          </cell>
          <cell r="N70">
            <v>3.0198255352894527</v>
          </cell>
          <cell r="O70">
            <v>3.3113859899550619</v>
          </cell>
          <cell r="P70">
            <v>4.1789636457314021</v>
          </cell>
          <cell r="Q70">
            <v>3.0198255352894527</v>
          </cell>
          <cell r="R70">
            <v>2.2666666666666666</v>
          </cell>
          <cell r="S70">
            <v>4.1703961394536044</v>
          </cell>
          <cell r="T70" t="str">
            <v>MID</v>
          </cell>
          <cell r="U70" t="str">
            <v>LW</v>
          </cell>
          <cell r="V70" t="str">
            <v>AVL</v>
          </cell>
          <cell r="W70" t="str">
            <v>Aston Villa</v>
          </cell>
          <cell r="X70">
            <v>6</v>
          </cell>
          <cell r="Y70">
            <v>56</v>
          </cell>
          <cell r="Z70">
            <v>0</v>
          </cell>
          <cell r="AA70">
            <v>56</v>
          </cell>
          <cell r="AB70">
            <v>1261</v>
          </cell>
          <cell r="AC70">
            <v>1261</v>
          </cell>
          <cell r="AD70">
            <v>0.3888888888888889</v>
          </cell>
          <cell r="AE70">
            <v>1</v>
          </cell>
          <cell r="AF70">
            <v>4</v>
          </cell>
          <cell r="AG70">
            <v>-0.17414750198255355</v>
          </cell>
          <cell r="AH70">
            <v>2.2839016653449618E-2</v>
          </cell>
          <cell r="AI70">
            <v>-0.1513084853291039</v>
          </cell>
          <cell r="AJ70">
            <v>8.999999999999897E-3</v>
          </cell>
          <cell r="AK70">
            <v>3</v>
          </cell>
          <cell r="AL70">
            <v>222</v>
          </cell>
          <cell r="AM70">
            <v>2</v>
          </cell>
          <cell r="AN70">
            <v>0</v>
          </cell>
          <cell r="AO70">
            <v>160</v>
          </cell>
          <cell r="AP70" t="str">
            <v>Garnacho</v>
          </cell>
          <cell r="AQ70">
            <v>0.53925455987311643</v>
          </cell>
          <cell r="AR70">
            <v>0</v>
          </cell>
          <cell r="AS70">
            <v>2.4266455194290244</v>
          </cell>
          <cell r="AT70">
            <v>3.8287073750991274</v>
          </cell>
          <cell r="AU70">
            <v>0.86280729579698645</v>
          </cell>
          <cell r="AV70">
            <v>3.8287073750991274</v>
          </cell>
          <cell r="AW70">
            <v>3.8287073750991274</v>
          </cell>
          <cell r="AX70">
            <v>2.8988784411464821E-2</v>
          </cell>
          <cell r="AY70">
            <v>0</v>
          </cell>
          <cell r="AZ70">
            <v>2.2999999999999998</v>
          </cell>
          <cell r="BA70">
            <v>56</v>
          </cell>
          <cell r="BB70" t="str">
            <v/>
          </cell>
          <cell r="BC70">
            <v>14</v>
          </cell>
          <cell r="BD70">
            <v>4</v>
          </cell>
          <cell r="BE70">
            <v>0.2857142857142857</v>
          </cell>
          <cell r="BF70">
            <v>68</v>
          </cell>
          <cell r="BG70">
            <v>0.75555555555555554</v>
          </cell>
          <cell r="BH70">
            <v>1</v>
          </cell>
          <cell r="BI70">
            <v>10</v>
          </cell>
          <cell r="BJ70">
            <v>31</v>
          </cell>
          <cell r="BK70">
            <v>9</v>
          </cell>
          <cell r="BL70">
            <v>0.42424242424242425</v>
          </cell>
          <cell r="BM70">
            <v>0.30303030303030298</v>
          </cell>
          <cell r="BN70">
            <v>0.68672014260249548</v>
          </cell>
          <cell r="BO70">
            <v>38</v>
          </cell>
          <cell r="BP70">
            <v>0</v>
          </cell>
          <cell r="BQ70">
            <v>0.36871345029239766</v>
          </cell>
          <cell r="BR70">
            <v>3.44</v>
          </cell>
          <cell r="BS70">
            <v>0.24551942902458368</v>
          </cell>
          <cell r="BT70">
            <v>3.68</v>
          </cell>
          <cell r="BU70">
            <v>0.26264869151467091</v>
          </cell>
          <cell r="BV70">
            <v>0.50816812053925453</v>
          </cell>
          <cell r="BW70">
            <v>0</v>
          </cell>
          <cell r="BX70">
            <v>38</v>
          </cell>
          <cell r="BY70">
            <v>1.4915789473684211</v>
          </cell>
          <cell r="BZ70">
            <v>1.1514210526315787</v>
          </cell>
        </row>
        <row r="71">
          <cell r="A71" t="str">
            <v>Sávio Moreira de Oliveira</v>
          </cell>
          <cell r="B71" t="str">
            <v/>
          </cell>
          <cell r="C71" t="str">
            <v>Savinho</v>
          </cell>
          <cell r="D71" t="str">
            <v/>
          </cell>
          <cell r="E71" t="str">
            <v>Sávio</v>
          </cell>
          <cell r="F71" t="str">
            <v/>
          </cell>
          <cell r="H71" t="str">
            <v/>
          </cell>
          <cell r="I71">
            <v>3.7</v>
          </cell>
          <cell r="J71">
            <v>3.7</v>
          </cell>
          <cell r="K71">
            <v>3.7</v>
          </cell>
          <cell r="M71">
            <v>4.1702555261599432</v>
          </cell>
          <cell r="N71">
            <v>4.1052631578947363</v>
          </cell>
          <cell r="O71">
            <v>3.6956821671707623</v>
          </cell>
          <cell r="P71">
            <v>4.1702555261599432</v>
          </cell>
          <cell r="Q71">
            <v>4.1052631578947363</v>
          </cell>
          <cell r="R71">
            <v>4.8347107438016534</v>
          </cell>
          <cell r="S71">
            <v>4.1702555261599432</v>
          </cell>
          <cell r="T71" t="str">
            <v>MID</v>
          </cell>
          <cell r="U71" t="str">
            <v>LW</v>
          </cell>
          <cell r="V71" t="str">
            <v>MCI</v>
          </cell>
          <cell r="W71" t="str">
            <v>Man City</v>
          </cell>
          <cell r="X71">
            <v>6.5</v>
          </cell>
          <cell r="Y71">
            <v>43</v>
          </cell>
          <cell r="Z71">
            <v>0</v>
          </cell>
          <cell r="AA71">
            <v>43</v>
          </cell>
          <cell r="AB71">
            <v>817</v>
          </cell>
          <cell r="AC71">
            <v>817</v>
          </cell>
          <cell r="AD71">
            <v>0.27564102564102566</v>
          </cell>
          <cell r="AE71">
            <v>1</v>
          </cell>
          <cell r="AF71">
            <v>2</v>
          </cell>
          <cell r="AG71">
            <v>-0.16523867809057532</v>
          </cell>
          <cell r="AH71">
            <v>4.5165238678090552E-2</v>
          </cell>
          <cell r="AI71">
            <v>-0.12007343941248477</v>
          </cell>
          <cell r="AJ71">
            <v>9.9999999999988987E-4</v>
          </cell>
          <cell r="AK71">
            <v>1</v>
          </cell>
          <cell r="AL71">
            <v>140</v>
          </cell>
          <cell r="AM71">
            <v>2</v>
          </cell>
          <cell r="AN71">
            <v>0</v>
          </cell>
          <cell r="AO71">
            <v>403</v>
          </cell>
          <cell r="AP71" t="str">
            <v>Savinho</v>
          </cell>
          <cell r="AQ71">
            <v>1.0501835985312118</v>
          </cell>
          <cell r="AR71">
            <v>0</v>
          </cell>
          <cell r="AS71">
            <v>3.7233782129742963</v>
          </cell>
          <cell r="AT71">
            <v>5.6328029375764999</v>
          </cell>
          <cell r="AU71">
            <v>0.85924112607099146</v>
          </cell>
          <cell r="AV71">
            <v>5.6328029375764999</v>
          </cell>
          <cell r="AW71">
            <v>5.6328029375764999</v>
          </cell>
          <cell r="AX71">
            <v>4.2648365098793495E-2</v>
          </cell>
          <cell r="AY71">
            <v>0</v>
          </cell>
          <cell r="AZ71">
            <v>1.8</v>
          </cell>
          <cell r="BA71">
            <v>43</v>
          </cell>
          <cell r="BB71" t="str">
            <v/>
          </cell>
          <cell r="BC71">
            <v>7</v>
          </cell>
          <cell r="BD71">
            <v>3</v>
          </cell>
          <cell r="BE71">
            <v>0.42857142857142855</v>
          </cell>
          <cell r="BF71">
            <v>78</v>
          </cell>
          <cell r="BG71">
            <v>0.8666666666666667</v>
          </cell>
          <cell r="BH71">
            <v>1</v>
          </cell>
          <cell r="BI71">
            <v>17</v>
          </cell>
          <cell r="BJ71">
            <v>17</v>
          </cell>
          <cell r="BK71">
            <v>3</v>
          </cell>
          <cell r="BL71">
            <v>0.25925925925925924</v>
          </cell>
          <cell r="BM71">
            <v>0.62962962962962954</v>
          </cell>
          <cell r="BN71">
            <v>0.42070275403608731</v>
          </cell>
          <cell r="BO71">
            <v>38</v>
          </cell>
          <cell r="BP71">
            <v>0</v>
          </cell>
          <cell r="BQ71">
            <v>0.2388888888888889</v>
          </cell>
          <cell r="BR71">
            <v>2.5</v>
          </cell>
          <cell r="BS71">
            <v>0.2753977968176255</v>
          </cell>
          <cell r="BT71">
            <v>1.59</v>
          </cell>
          <cell r="BU71">
            <v>0.17515299877600979</v>
          </cell>
          <cell r="BV71">
            <v>0.45055079559363531</v>
          </cell>
          <cell r="BW71">
            <v>0</v>
          </cell>
          <cell r="BX71">
            <v>38</v>
          </cell>
          <cell r="BY71">
            <v>1.223421052631579</v>
          </cell>
          <cell r="BZ71">
            <v>1.4195789473684208</v>
          </cell>
        </row>
        <row r="72">
          <cell r="A72" t="str">
            <v>Joško Gvardiol</v>
          </cell>
          <cell r="B72" t="str">
            <v/>
          </cell>
          <cell r="C72" t="str">
            <v>Gvardiol</v>
          </cell>
          <cell r="D72" t="str">
            <v/>
          </cell>
          <cell r="E72" t="str">
            <v>Josko Gvardiol</v>
          </cell>
          <cell r="F72" t="str">
            <v/>
          </cell>
          <cell r="H72" t="str">
            <v/>
          </cell>
          <cell r="I72">
            <v>4.0999999999999996</v>
          </cell>
          <cell r="J72">
            <v>4.25</v>
          </cell>
          <cell r="K72">
            <v>4.4000000000000004</v>
          </cell>
          <cell r="M72">
            <v>4.1601994804762379</v>
          </cell>
          <cell r="N72">
            <v>4.4226277372262777</v>
          </cell>
          <cell r="O72">
            <v>2.499719272793218</v>
          </cell>
          <cell r="P72">
            <v>4.1601994804762379</v>
          </cell>
          <cell r="Q72">
            <v>4.4226277372262777</v>
          </cell>
          <cell r="R72">
            <v>2.4057971014492754</v>
          </cell>
          <cell r="S72">
            <v>4.1601994804762379</v>
          </cell>
          <cell r="T72" t="str">
            <v>DEF</v>
          </cell>
          <cell r="U72" t="str">
            <v>CB</v>
          </cell>
          <cell r="V72" t="str">
            <v>MCI</v>
          </cell>
          <cell r="W72" t="str">
            <v>Man City</v>
          </cell>
          <cell r="X72">
            <v>5.5</v>
          </cell>
          <cell r="Y72">
            <v>79</v>
          </cell>
          <cell r="Z72">
            <v>6</v>
          </cell>
          <cell r="AA72">
            <v>73</v>
          </cell>
          <cell r="AB72">
            <v>1370</v>
          </cell>
          <cell r="AC72">
            <v>1370</v>
          </cell>
          <cell r="AD72">
            <v>0.79797979797979801</v>
          </cell>
          <cell r="AE72">
            <v>2</v>
          </cell>
          <cell r="AF72">
            <v>2</v>
          </cell>
          <cell r="AG72">
            <v>-1.6423357664233612E-2</v>
          </cell>
          <cell r="AH72">
            <v>8.540145985401458E-2</v>
          </cell>
          <cell r="AI72">
            <v>6.8978102189780954E-2</v>
          </cell>
          <cell r="AJ72">
            <v>6.2000000000000055E-2</v>
          </cell>
          <cell r="AK72">
            <v>5</v>
          </cell>
          <cell r="AL72">
            <v>303</v>
          </cell>
          <cell r="AM72">
            <v>2</v>
          </cell>
          <cell r="AN72">
            <v>0</v>
          </cell>
          <cell r="AO72">
            <v>391</v>
          </cell>
          <cell r="AP72" t="str">
            <v>Gvardiol</v>
          </cell>
          <cell r="AQ72">
            <v>5.2102189781021906</v>
          </cell>
          <cell r="AR72">
            <v>0</v>
          </cell>
          <cell r="AS72">
            <v>2.968613138686131</v>
          </cell>
          <cell r="AT72">
            <v>6.2401459854014609</v>
          </cell>
          <cell r="AU72">
            <v>1.0299270072992701</v>
          </cell>
          <cell r="AV72">
            <v>6.2401459854014609</v>
          </cell>
          <cell r="AW72">
            <v>6.2401459854014609</v>
          </cell>
          <cell r="AX72">
            <v>0.11757007299270081</v>
          </cell>
          <cell r="AY72">
            <v>0</v>
          </cell>
          <cell r="AZ72">
            <v>4.4000000000000004</v>
          </cell>
          <cell r="BA72">
            <v>79</v>
          </cell>
          <cell r="BB72" t="str">
            <v/>
          </cell>
          <cell r="BC72">
            <v>16</v>
          </cell>
          <cell r="BD72">
            <v>12</v>
          </cell>
          <cell r="BE72">
            <v>0.75</v>
          </cell>
          <cell r="BF72">
            <v>83</v>
          </cell>
          <cell r="BG72">
            <v>0.92222222222222228</v>
          </cell>
          <cell r="BH72">
            <v>1</v>
          </cell>
          <cell r="BI72">
            <v>2</v>
          </cell>
          <cell r="BJ72">
            <v>24</v>
          </cell>
          <cell r="BK72">
            <v>2</v>
          </cell>
          <cell r="BL72">
            <v>0.8</v>
          </cell>
          <cell r="BM72">
            <v>9.9999999999999978E-2</v>
          </cell>
          <cell r="BN72">
            <v>0.85783132530120487</v>
          </cell>
          <cell r="BO72">
            <v>38</v>
          </cell>
          <cell r="BP72">
            <v>0</v>
          </cell>
          <cell r="BQ72">
            <v>0.40058479532163743</v>
          </cell>
          <cell r="BR72">
            <v>2.25</v>
          </cell>
          <cell r="BS72">
            <v>0.1478102189781022</v>
          </cell>
          <cell r="BT72">
            <v>0.7</v>
          </cell>
          <cell r="BU72">
            <v>4.5985401459854011E-2</v>
          </cell>
          <cell r="BV72">
            <v>0.19379562043795623</v>
          </cell>
          <cell r="BW72">
            <v>0</v>
          </cell>
          <cell r="BX72">
            <v>38</v>
          </cell>
          <cell r="BY72">
            <v>1.223421052631579</v>
          </cell>
          <cell r="BZ72">
            <v>1.4195789473684208</v>
          </cell>
        </row>
        <row r="73">
          <cell r="A73" t="str">
            <v>Marc Guiu Paz</v>
          </cell>
          <cell r="B73" t="str">
            <v/>
          </cell>
          <cell r="C73" t="str">
            <v>Marc Guiu</v>
          </cell>
          <cell r="D73" t="str">
            <v/>
          </cell>
          <cell r="F73" t="str">
            <v/>
          </cell>
          <cell r="H73" t="str">
            <v/>
          </cell>
          <cell r="I73">
            <v>1</v>
          </cell>
          <cell r="J73">
            <v>1</v>
          </cell>
          <cell r="K73">
            <v>1</v>
          </cell>
          <cell r="M73">
            <v>4.1526415094339626</v>
          </cell>
          <cell r="N73">
            <v>0</v>
          </cell>
          <cell r="O73">
            <v>3.1148427672955989</v>
          </cell>
          <cell r="P73">
            <v>3.8696226415094341</v>
          </cell>
          <cell r="Q73">
            <v>3.6792452830188682</v>
          </cell>
          <cell r="R73">
            <v>4.166666666666667</v>
          </cell>
          <cell r="S73">
            <v>4.1526415094339626</v>
          </cell>
          <cell r="T73" t="str">
            <v>FWD</v>
          </cell>
          <cell r="U73" t="str">
            <v>CF</v>
          </cell>
          <cell r="V73" t="str">
            <v>CHE</v>
          </cell>
          <cell r="W73" t="str">
            <v>Chelsea</v>
          </cell>
          <cell r="X73">
            <v>5</v>
          </cell>
          <cell r="Y73">
            <v>13</v>
          </cell>
          <cell r="Z73">
            <v>0</v>
          </cell>
          <cell r="AA73">
            <v>13</v>
          </cell>
          <cell r="AB73">
            <v>265</v>
          </cell>
          <cell r="AC73">
            <v>265</v>
          </cell>
          <cell r="AD73">
            <v>0.32500000000000001</v>
          </cell>
          <cell r="AE73">
            <v>0</v>
          </cell>
          <cell r="AF73">
            <v>1</v>
          </cell>
          <cell r="AG73">
            <v>-0.52301886792452834</v>
          </cell>
          <cell r="AH73">
            <v>0.24113207547169813</v>
          </cell>
          <cell r="AI73">
            <v>-0.28188679245283027</v>
          </cell>
          <cell r="AJ73">
            <v>4.9999999999998934E-3</v>
          </cell>
          <cell r="AK73">
            <v>0</v>
          </cell>
          <cell r="AL73">
            <v>19</v>
          </cell>
          <cell r="AM73">
            <v>1</v>
          </cell>
          <cell r="AN73">
            <v>0</v>
          </cell>
          <cell r="AO73">
            <v>168</v>
          </cell>
          <cell r="AP73" t="str">
            <v>Marc Guiu</v>
          </cell>
          <cell r="AQ73">
            <v>1.1320754716981132</v>
          </cell>
          <cell r="AR73">
            <v>0</v>
          </cell>
          <cell r="AS73">
            <v>1.1320754716981132</v>
          </cell>
          <cell r="AT73">
            <v>2.2641509433962264</v>
          </cell>
          <cell r="AU73">
            <v>0</v>
          </cell>
          <cell r="AV73">
            <v>2.2641509433962264</v>
          </cell>
          <cell r="AW73">
            <v>2.2641509433962264</v>
          </cell>
          <cell r="AX73">
            <v>1.714285714285714E-2</v>
          </cell>
          <cell r="AY73">
            <v>0</v>
          </cell>
          <cell r="AZ73">
            <v>1.3</v>
          </cell>
          <cell r="BA73">
            <v>13</v>
          </cell>
          <cell r="BB73" t="str">
            <v/>
          </cell>
          <cell r="BC73">
            <v>1</v>
          </cell>
          <cell r="BD73">
            <v>0</v>
          </cell>
          <cell r="BE73">
            <v>0</v>
          </cell>
          <cell r="BF73">
            <v>75</v>
          </cell>
          <cell r="BG73">
            <v>0.83333333333333337</v>
          </cell>
          <cell r="BH73">
            <v>1</v>
          </cell>
          <cell r="BI73">
            <v>7</v>
          </cell>
          <cell r="BJ73">
            <v>26</v>
          </cell>
          <cell r="BK73">
            <v>17</v>
          </cell>
          <cell r="BL73">
            <v>0.04</v>
          </cell>
          <cell r="BM73">
            <v>0.27999999999999992</v>
          </cell>
          <cell r="BN73">
            <v>0.37280000000000002</v>
          </cell>
          <cell r="BO73">
            <v>38</v>
          </cell>
          <cell r="BP73">
            <v>0</v>
          </cell>
          <cell r="BQ73">
            <v>7.748538011695906E-2</v>
          </cell>
          <cell r="BR73">
            <v>1.54</v>
          </cell>
          <cell r="BS73">
            <v>0.52301886792452834</v>
          </cell>
          <cell r="BT73">
            <v>0.28999999999999998</v>
          </cell>
          <cell r="BU73">
            <v>9.849056603773583E-2</v>
          </cell>
          <cell r="BV73">
            <v>0.62150943396226421</v>
          </cell>
          <cell r="BW73">
            <v>0</v>
          </cell>
          <cell r="BX73">
            <v>38</v>
          </cell>
          <cell r="BY73">
            <v>1.4473684210526316</v>
          </cell>
          <cell r="BZ73">
            <v>1.1956315789473682</v>
          </cell>
        </row>
        <row r="74">
          <cell r="A74" t="str">
            <v>Pedro Lomba Neto</v>
          </cell>
          <cell r="B74" t="str">
            <v/>
          </cell>
          <cell r="D74" t="str">
            <v/>
          </cell>
          <cell r="E74" t="str">
            <v>P Neto</v>
          </cell>
          <cell r="F74" t="str">
            <v/>
          </cell>
          <cell r="G74" t="str">
            <v>Pedro Neto</v>
          </cell>
          <cell r="H74" t="str">
            <v/>
          </cell>
          <cell r="I74">
            <v>2.1</v>
          </cell>
          <cell r="J74">
            <v>3.1333333333333333</v>
          </cell>
          <cell r="K74">
            <v>4.3</v>
          </cell>
          <cell r="M74">
            <v>4.1411779077435451</v>
          </cell>
          <cell r="N74">
            <v>3.8988208444275387</v>
          </cell>
          <cell r="O74">
            <v>3.5742447538346616</v>
          </cell>
          <cell r="P74">
            <v>4.1597408380121061</v>
          </cell>
          <cell r="Q74">
            <v>3.8988208444275387</v>
          </cell>
          <cell r="R74">
            <v>3.7048192771084336</v>
          </cell>
          <cell r="S74">
            <v>4.1411779077435451</v>
          </cell>
          <cell r="T74" t="str">
            <v>MID</v>
          </cell>
          <cell r="U74" t="str">
            <v>RW</v>
          </cell>
          <cell r="V74" t="str">
            <v>CHE</v>
          </cell>
          <cell r="W74" t="str">
            <v>Chelsea</v>
          </cell>
          <cell r="X74">
            <v>6.5</v>
          </cell>
          <cell r="Y74">
            <v>125</v>
          </cell>
          <cell r="Z74">
            <v>0</v>
          </cell>
          <cell r="AA74">
            <v>125</v>
          </cell>
          <cell r="AB74">
            <v>2629</v>
          </cell>
          <cell r="AC74">
            <v>2629</v>
          </cell>
          <cell r="AD74">
            <v>0.56561085972850678</v>
          </cell>
          <cell r="AE74">
            <v>5</v>
          </cell>
          <cell r="AF74">
            <v>7</v>
          </cell>
          <cell r="AG74">
            <v>1.4035755039939146E-2</v>
          </cell>
          <cell r="AH74">
            <v>5.477367820464013E-3</v>
          </cell>
          <cell r="AI74">
            <v>1.9513122860403243E-2</v>
          </cell>
          <cell r="AJ74">
            <v>1.2000000000000011E-2</v>
          </cell>
          <cell r="AK74">
            <v>9</v>
          </cell>
          <cell r="AL74">
            <v>543</v>
          </cell>
          <cell r="AM74">
            <v>2</v>
          </cell>
          <cell r="AN74">
            <v>0</v>
          </cell>
          <cell r="AO74">
            <v>156</v>
          </cell>
          <cell r="AP74" t="str">
            <v>Neto</v>
          </cell>
          <cell r="AQ74">
            <v>0.59262076835298594</v>
          </cell>
          <cell r="AR74">
            <v>0</v>
          </cell>
          <cell r="AS74">
            <v>2.6200076074553063</v>
          </cell>
          <cell r="AT74">
            <v>3.8052491441612779</v>
          </cell>
          <cell r="AU74">
            <v>0.59262076835298594</v>
          </cell>
          <cell r="AV74">
            <v>3.8052491441612779</v>
          </cell>
          <cell r="AW74">
            <v>3.8052491441612779</v>
          </cell>
          <cell r="AX74">
            <v>2.8811172091506819E-2</v>
          </cell>
          <cell r="AY74">
            <v>0</v>
          </cell>
          <cell r="AZ74">
            <v>3.7</v>
          </cell>
          <cell r="BA74">
            <v>125</v>
          </cell>
          <cell r="BB74" t="str">
            <v/>
          </cell>
          <cell r="BC74">
            <v>30</v>
          </cell>
          <cell r="BD74">
            <v>16</v>
          </cell>
          <cell r="BE74">
            <v>0.53333333333333333</v>
          </cell>
          <cell r="BF74">
            <v>82</v>
          </cell>
          <cell r="BG74">
            <v>0.91111111111111109</v>
          </cell>
          <cell r="BH74">
            <v>1</v>
          </cell>
          <cell r="BI74">
            <v>4</v>
          </cell>
          <cell r="BJ74">
            <v>46</v>
          </cell>
          <cell r="BK74">
            <v>0</v>
          </cell>
          <cell r="BL74">
            <v>0.88235294117647056</v>
          </cell>
          <cell r="BM74">
            <v>0.11764705882352944</v>
          </cell>
          <cell r="BN74">
            <v>0.94835007173601127</v>
          </cell>
          <cell r="BO74">
            <v>38</v>
          </cell>
          <cell r="BP74">
            <v>0</v>
          </cell>
          <cell r="BQ74">
            <v>0.76871345029239768</v>
          </cell>
          <cell r="BR74">
            <v>4.59</v>
          </cell>
          <cell r="BS74">
            <v>0.15713198934956255</v>
          </cell>
          <cell r="BT74">
            <v>6.84</v>
          </cell>
          <cell r="BU74">
            <v>0.23415747432483835</v>
          </cell>
          <cell r="BV74">
            <v>0.39128946367440087</v>
          </cell>
          <cell r="BW74">
            <v>0</v>
          </cell>
          <cell r="BX74">
            <v>38</v>
          </cell>
          <cell r="BY74">
            <v>1.4473684210526316</v>
          </cell>
          <cell r="BZ74">
            <v>1.1956315789473682</v>
          </cell>
        </row>
        <row r="75">
          <cell r="A75" t="str">
            <v>Tijjani Reijnders</v>
          </cell>
          <cell r="B75" t="str">
            <v/>
          </cell>
          <cell r="C75" t="str">
            <v>Reijnders</v>
          </cell>
          <cell r="D75" t="str">
            <v/>
          </cell>
          <cell r="F75" t="str">
            <v/>
          </cell>
          <cell r="H75" t="str">
            <v/>
          </cell>
          <cell r="I75" t="e">
            <v>#N/A</v>
          </cell>
          <cell r="J75" t="e">
            <v>#N/A</v>
          </cell>
          <cell r="K75" t="e">
            <v>#N/A</v>
          </cell>
          <cell r="M75">
            <v>4.1411208246423614</v>
          </cell>
          <cell r="N75">
            <v>4.269870609981516</v>
          </cell>
          <cell r="O75">
            <v>4.3036968850551123</v>
          </cell>
          <cell r="P75">
            <v>4.1411208246423614</v>
          </cell>
          <cell r="Q75">
            <v>4.269870609981516</v>
          </cell>
          <cell r="R75">
            <v>3.4222222222222221</v>
          </cell>
          <cell r="S75">
            <v>4.1411208246423614</v>
          </cell>
          <cell r="T75" t="str">
            <v>MID</v>
          </cell>
          <cell r="U75" t="str">
            <v>CM</v>
          </cell>
          <cell r="V75" t="str">
            <v>MCI</v>
          </cell>
          <cell r="W75" t="str">
            <v>Man City</v>
          </cell>
          <cell r="X75">
            <v>6</v>
          </cell>
          <cell r="Y75">
            <v>92</v>
          </cell>
          <cell r="Z75">
            <v>2</v>
          </cell>
          <cell r="AA75">
            <v>90</v>
          </cell>
          <cell r="AB75">
            <v>1623</v>
          </cell>
          <cell r="AC75">
            <v>1623</v>
          </cell>
          <cell r="AD75">
            <v>0.54761904761904756</v>
          </cell>
          <cell r="AE75">
            <v>5</v>
          </cell>
          <cell r="AF75">
            <v>3</v>
          </cell>
          <cell r="AG75">
            <v>2.1626617375231028E-2</v>
          </cell>
          <cell r="AH75">
            <v>3.6044362292051768E-2</v>
          </cell>
          <cell r="AI75">
            <v>5.7670979667282851E-2</v>
          </cell>
          <cell r="AJ75">
            <v>2.9999999999998916E-3</v>
          </cell>
          <cell r="AK75">
            <v>6</v>
          </cell>
          <cell r="AL75">
            <v>337</v>
          </cell>
          <cell r="AM75">
            <v>2</v>
          </cell>
          <cell r="AN75">
            <v>0</v>
          </cell>
          <cell r="AO75">
            <v>404</v>
          </cell>
          <cell r="AP75" t="str">
            <v>Reijnders</v>
          </cell>
          <cell r="AQ75">
            <v>1.5181762168823167</v>
          </cell>
          <cell r="AR75">
            <v>0</v>
          </cell>
          <cell r="AS75">
            <v>2.7516943930991986</v>
          </cell>
          <cell r="AT75">
            <v>4.7443006777572396</v>
          </cell>
          <cell r="AU75">
            <v>0.47443006777572388</v>
          </cell>
          <cell r="AV75">
            <v>4.7443006777572396</v>
          </cell>
          <cell r="AW75">
            <v>4.7443006777572396</v>
          </cell>
          <cell r="AX75">
            <v>3.5921133703019102E-2</v>
          </cell>
          <cell r="AY75">
            <v>0</v>
          </cell>
          <cell r="AZ75">
            <v>3.3</v>
          </cell>
          <cell r="BA75">
            <v>92</v>
          </cell>
          <cell r="BB75" t="str">
            <v/>
          </cell>
          <cell r="BC75">
            <v>19</v>
          </cell>
          <cell r="BD75">
            <v>6</v>
          </cell>
          <cell r="BE75">
            <v>0.31578947368421051</v>
          </cell>
          <cell r="BF75">
            <v>77</v>
          </cell>
          <cell r="BG75">
            <v>0.85555555555555551</v>
          </cell>
          <cell r="BH75">
            <v>1</v>
          </cell>
          <cell r="BI75">
            <v>9</v>
          </cell>
          <cell r="BJ75">
            <v>18</v>
          </cell>
          <cell r="BK75">
            <v>10</v>
          </cell>
          <cell r="BL75">
            <v>0.5</v>
          </cell>
          <cell r="BM75">
            <v>0.23684210526315791</v>
          </cell>
          <cell r="BN75">
            <v>0.61688311688311692</v>
          </cell>
          <cell r="BO75">
            <v>38</v>
          </cell>
          <cell r="BP75">
            <v>0</v>
          </cell>
          <cell r="BQ75">
            <v>0.47456140350877191</v>
          </cell>
          <cell r="BR75">
            <v>4.6100000000000003</v>
          </cell>
          <cell r="BS75">
            <v>0.25563770794824398</v>
          </cell>
          <cell r="BT75">
            <v>2.35</v>
          </cell>
          <cell r="BU75">
            <v>0.13031423290203326</v>
          </cell>
          <cell r="BV75">
            <v>0.38595194085027723</v>
          </cell>
          <cell r="BW75">
            <v>0</v>
          </cell>
          <cell r="BX75">
            <v>38</v>
          </cell>
          <cell r="BY75">
            <v>1.223421052631579</v>
          </cell>
          <cell r="BZ75">
            <v>1.4195789473684208</v>
          </cell>
        </row>
        <row r="76">
          <cell r="A76" t="str">
            <v>Richarlison de Andrade</v>
          </cell>
          <cell r="B76" t="str">
            <v/>
          </cell>
          <cell r="C76" t="str">
            <v>Richarlison</v>
          </cell>
          <cell r="D76" t="str">
            <v/>
          </cell>
          <cell r="F76" t="str">
            <v/>
          </cell>
          <cell r="H76" t="str">
            <v/>
          </cell>
          <cell r="I76">
            <v>2</v>
          </cell>
          <cell r="J76">
            <v>2.9</v>
          </cell>
          <cell r="K76">
            <v>4.4000000000000004</v>
          </cell>
          <cell r="M76">
            <v>4.1401924257932441</v>
          </cell>
          <cell r="N76">
            <v>5.0547594677584451</v>
          </cell>
          <cell r="O76">
            <v>4.3846634271927813</v>
          </cell>
          <cell r="P76">
            <v>4.1401924257932441</v>
          </cell>
          <cell r="Q76">
            <v>5.0547594677584451</v>
          </cell>
          <cell r="R76">
            <v>5.0816326530612246</v>
          </cell>
          <cell r="S76">
            <v>4.1401924257932441</v>
          </cell>
          <cell r="T76" t="str">
            <v>FWD</v>
          </cell>
          <cell r="U76" t="str">
            <v>CF</v>
          </cell>
          <cell r="V76" t="str">
            <v>TOT</v>
          </cell>
          <cell r="W76" t="str">
            <v>Spurs</v>
          </cell>
          <cell r="X76">
            <v>6</v>
          </cell>
          <cell r="Y76">
            <v>119</v>
          </cell>
          <cell r="Z76">
            <v>0</v>
          </cell>
          <cell r="AA76">
            <v>119</v>
          </cell>
          <cell r="AB76">
            <v>1954</v>
          </cell>
          <cell r="AC76">
            <v>1954</v>
          </cell>
          <cell r="AD76">
            <v>0.61979166666666663</v>
          </cell>
          <cell r="AE76">
            <v>11</v>
          </cell>
          <cell r="AF76">
            <v>4</v>
          </cell>
          <cell r="AG76">
            <v>0.10870010235414529</v>
          </cell>
          <cell r="AH76">
            <v>0.11699078812691915</v>
          </cell>
          <cell r="AI76">
            <v>0.22569089048106439</v>
          </cell>
          <cell r="AJ76">
            <v>1.4999999999999902E-2</v>
          </cell>
          <cell r="AK76">
            <v>17</v>
          </cell>
          <cell r="AL76">
            <v>505</v>
          </cell>
          <cell r="AM76">
            <v>5</v>
          </cell>
          <cell r="AN76">
            <v>0</v>
          </cell>
          <cell r="AO76">
            <v>527</v>
          </cell>
          <cell r="AP76" t="str">
            <v>Richarlison</v>
          </cell>
          <cell r="AQ76">
            <v>2.5486182190378708</v>
          </cell>
          <cell r="AR76">
            <v>0</v>
          </cell>
          <cell r="AS76">
            <v>2.5486182190378708</v>
          </cell>
          <cell r="AT76">
            <v>6.2441146366427844</v>
          </cell>
          <cell r="AU76">
            <v>1.146878198567042</v>
          </cell>
          <cell r="AV76">
            <v>6.2441146366427844</v>
          </cell>
          <cell r="AW76">
            <v>6.2441146366427844</v>
          </cell>
          <cell r="AX76">
            <v>4.7276867963152509E-2</v>
          </cell>
          <cell r="AY76">
            <v>0</v>
          </cell>
          <cell r="AZ76">
            <v>3.7</v>
          </cell>
          <cell r="BA76">
            <v>119</v>
          </cell>
          <cell r="BB76" t="str">
            <v/>
          </cell>
          <cell r="BC76">
            <v>20</v>
          </cell>
          <cell r="BD76">
            <v>12</v>
          </cell>
          <cell r="BE76">
            <v>0.6</v>
          </cell>
          <cell r="BF76">
            <v>83</v>
          </cell>
          <cell r="BG76">
            <v>0.92222222222222228</v>
          </cell>
          <cell r="BH76">
            <v>1</v>
          </cell>
          <cell r="BI76">
            <v>12</v>
          </cell>
          <cell r="BJ76">
            <v>25</v>
          </cell>
          <cell r="BK76">
            <v>1</v>
          </cell>
          <cell r="BL76">
            <v>0.60606060606060608</v>
          </cell>
          <cell r="BM76">
            <v>0.36363636363636365</v>
          </cell>
          <cell r="BN76">
            <v>0.72471705001825493</v>
          </cell>
          <cell r="BO76">
            <v>38</v>
          </cell>
          <cell r="BP76">
            <v>0</v>
          </cell>
          <cell r="BQ76">
            <v>0.57134502923976604</v>
          </cell>
          <cell r="BR76">
            <v>8.64</v>
          </cell>
          <cell r="BS76">
            <v>0.39795291709314229</v>
          </cell>
          <cell r="BT76">
            <v>1.46</v>
          </cell>
          <cell r="BU76">
            <v>6.7246673490276354E-2</v>
          </cell>
          <cell r="BV76">
            <v>0.46519959058341864</v>
          </cell>
          <cell r="BW76">
            <v>0</v>
          </cell>
          <cell r="BX76">
            <v>38</v>
          </cell>
          <cell r="BY76">
            <v>1.4628947368421052</v>
          </cell>
          <cell r="BZ76">
            <v>1.1801052631578945</v>
          </cell>
        </row>
        <row r="77">
          <cell r="A77" t="str">
            <v>Marc Guéhi</v>
          </cell>
          <cell r="B77" t="str">
            <v/>
          </cell>
          <cell r="C77" t="str">
            <v>Guéhi</v>
          </cell>
          <cell r="D77" t="str">
            <v/>
          </cell>
          <cell r="E77" t="str">
            <v>Guehi</v>
          </cell>
          <cell r="F77" t="str">
            <v/>
          </cell>
          <cell r="G77" t="str">
            <v>Marc Guehi</v>
          </cell>
          <cell r="H77" t="str">
            <v/>
          </cell>
          <cell r="I77">
            <v>2.6</v>
          </cell>
          <cell r="J77">
            <v>2.8666666666666667</v>
          </cell>
          <cell r="K77">
            <v>3.4</v>
          </cell>
          <cell r="M77">
            <v>4.1259112635836415</v>
          </cell>
          <cell r="N77">
            <v>4.4285714285714288</v>
          </cell>
          <cell r="O77">
            <v>2.1475714285714287</v>
          </cell>
          <cell r="P77">
            <v>4.1259112635836415</v>
          </cell>
          <cell r="Q77">
            <v>4.4285714285714288</v>
          </cell>
          <cell r="R77">
            <v>4.833333333333333</v>
          </cell>
          <cell r="S77">
            <v>4.1259112635836415</v>
          </cell>
          <cell r="T77" t="str">
            <v>DEF</v>
          </cell>
          <cell r="U77" t="str">
            <v>CB</v>
          </cell>
          <cell r="V77" t="str">
            <v>MCI</v>
          </cell>
          <cell r="W77" t="str">
            <v>Man City</v>
          </cell>
          <cell r="X77">
            <v>6</v>
          </cell>
          <cell r="Y77">
            <v>179</v>
          </cell>
          <cell r="Z77">
            <v>24</v>
          </cell>
          <cell r="AA77">
            <v>155</v>
          </cell>
          <cell r="AB77">
            <v>3150</v>
          </cell>
          <cell r="AC77">
            <v>3150</v>
          </cell>
          <cell r="AD77">
            <v>1.4916666666666665</v>
          </cell>
          <cell r="AE77">
            <v>3</v>
          </cell>
          <cell r="AF77">
            <v>5</v>
          </cell>
          <cell r="AG77">
            <v>-0.03</v>
          </cell>
          <cell r="AH77">
            <v>7.5142857142857136E-2</v>
          </cell>
          <cell r="AI77">
            <v>4.5142857142857123E-2</v>
          </cell>
          <cell r="AJ77">
            <v>0.25700000000000012</v>
          </cell>
          <cell r="AK77">
            <v>14</v>
          </cell>
          <cell r="AL77">
            <v>688</v>
          </cell>
          <cell r="AM77">
            <v>6</v>
          </cell>
          <cell r="AN77">
            <v>0</v>
          </cell>
          <cell r="AO77">
            <v>388</v>
          </cell>
          <cell r="AP77" t="str">
            <v>Guéhi</v>
          </cell>
          <cell r="AQ77">
            <v>6.6285714285714281</v>
          </cell>
          <cell r="AR77">
            <v>0</v>
          </cell>
          <cell r="AS77">
            <v>3.9714285714285715</v>
          </cell>
          <cell r="AT77">
            <v>7.9428571428571431</v>
          </cell>
          <cell r="AU77">
            <v>1.3142857142857143</v>
          </cell>
          <cell r="AV77">
            <v>7.9428571428571431</v>
          </cell>
          <cell r="AW77">
            <v>7.9428571428571431</v>
          </cell>
          <cell r="AX77">
            <v>0.28408571428571427</v>
          </cell>
          <cell r="AY77">
            <v>0</v>
          </cell>
          <cell r="AZ77">
            <v>5.0999999999999996</v>
          </cell>
          <cell r="BA77">
            <v>179</v>
          </cell>
          <cell r="BB77" t="str">
            <v/>
          </cell>
          <cell r="BC77">
            <v>20</v>
          </cell>
          <cell r="BD77">
            <v>20</v>
          </cell>
          <cell r="BE77">
            <v>1</v>
          </cell>
          <cell r="BF77">
            <v>90</v>
          </cell>
          <cell r="BG77">
            <v>1</v>
          </cell>
          <cell r="BH77">
            <v>1</v>
          </cell>
          <cell r="BI77">
            <v>0</v>
          </cell>
          <cell r="BJ77">
            <v>0</v>
          </cell>
          <cell r="BK77">
            <v>0</v>
          </cell>
          <cell r="BL77">
            <v>1</v>
          </cell>
          <cell r="BM77">
            <v>0</v>
          </cell>
          <cell r="BN77">
            <v>1</v>
          </cell>
          <cell r="BO77">
            <v>38</v>
          </cell>
          <cell r="BP77">
            <v>0</v>
          </cell>
          <cell r="BQ77">
            <v>0.92105263157894735</v>
          </cell>
          <cell r="BR77">
            <v>4.05</v>
          </cell>
          <cell r="BS77">
            <v>0.11571428571428571</v>
          </cell>
          <cell r="BT77">
            <v>2.37</v>
          </cell>
          <cell r="BU77">
            <v>6.7714285714285713E-2</v>
          </cell>
          <cell r="BV77">
            <v>0.18342857142857144</v>
          </cell>
          <cell r="BW77">
            <v>0</v>
          </cell>
          <cell r="BX77">
            <v>38</v>
          </cell>
          <cell r="BY77">
            <v>1.223421052631579</v>
          </cell>
          <cell r="BZ77">
            <v>1.4195789473684208</v>
          </cell>
        </row>
        <row r="78">
          <cell r="A78" t="str">
            <v>Noah Okafor</v>
          </cell>
          <cell r="B78" t="str">
            <v/>
          </cell>
          <cell r="C78" t="str">
            <v>Okafor</v>
          </cell>
          <cell r="D78" t="str">
            <v/>
          </cell>
          <cell r="F78" t="str">
            <v/>
          </cell>
          <cell r="H78" t="str">
            <v/>
          </cell>
          <cell r="I78" t="e">
            <v>#N/A</v>
          </cell>
          <cell r="J78" t="e">
            <v>#N/A</v>
          </cell>
          <cell r="K78" t="e">
            <v>#N/A</v>
          </cell>
          <cell r="M78">
            <v>4.1212369044002646</v>
          </cell>
          <cell r="N78">
            <v>4.9607211848036066</v>
          </cell>
          <cell r="O78">
            <v>4.496306196597593</v>
          </cell>
          <cell r="P78">
            <v>4.1212369044002646</v>
          </cell>
          <cell r="Q78">
            <v>4.9607211848036066</v>
          </cell>
          <cell r="R78">
            <v>9.6994818652849748</v>
          </cell>
          <cell r="S78">
            <v>4.1212369044002646</v>
          </cell>
          <cell r="T78" t="str">
            <v>MID</v>
          </cell>
          <cell r="U78" t="str">
            <v>LW</v>
          </cell>
          <cell r="V78" t="str">
            <v>LEE</v>
          </cell>
          <cell r="W78" t="str">
            <v>Leeds</v>
          </cell>
          <cell r="X78">
            <v>6</v>
          </cell>
          <cell r="Y78">
            <v>109</v>
          </cell>
          <cell r="Z78">
            <v>2</v>
          </cell>
          <cell r="AA78">
            <v>107</v>
          </cell>
          <cell r="AB78">
            <v>1553</v>
          </cell>
          <cell r="AC78">
            <v>1553</v>
          </cell>
          <cell r="AD78">
            <v>0.64880952380952384</v>
          </cell>
          <cell r="AE78">
            <v>8</v>
          </cell>
          <cell r="AF78">
            <v>3</v>
          </cell>
          <cell r="AG78">
            <v>0.1593689632968448</v>
          </cell>
          <cell r="AH78">
            <v>9.7359948486799755E-2</v>
          </cell>
          <cell r="AI78">
            <v>0.2567289117836446</v>
          </cell>
          <cell r="AJ78">
            <v>1.0000000000000009E-2</v>
          </cell>
          <cell r="AK78">
            <v>11</v>
          </cell>
          <cell r="AL78">
            <v>354</v>
          </cell>
          <cell r="AM78">
            <v>3</v>
          </cell>
          <cell r="AN78">
            <v>0</v>
          </cell>
          <cell r="AO78">
            <v>336</v>
          </cell>
          <cell r="AP78" t="str">
            <v>Okafor</v>
          </cell>
          <cell r="AQ78">
            <v>1.3444945267224728</v>
          </cell>
          <cell r="AR78">
            <v>0</v>
          </cell>
          <cell r="AS78">
            <v>2.8280746941403736</v>
          </cell>
          <cell r="AT78">
            <v>5.2388924661944625</v>
          </cell>
          <cell r="AU78">
            <v>1.0663232453316163</v>
          </cell>
          <cell r="AV78">
            <v>5.2388924661944625</v>
          </cell>
          <cell r="AW78">
            <v>5.2388924661944625</v>
          </cell>
          <cell r="AX78">
            <v>3.9665900101186646E-2</v>
          </cell>
          <cell r="AY78">
            <v>0</v>
          </cell>
          <cell r="AZ78">
            <v>3.9</v>
          </cell>
          <cell r="BA78">
            <v>109</v>
          </cell>
          <cell r="BB78" t="str">
            <v/>
          </cell>
          <cell r="BC78">
            <v>19</v>
          </cell>
          <cell r="BD78">
            <v>1</v>
          </cell>
          <cell r="BE78">
            <v>5.2631578947368418E-2</v>
          </cell>
          <cell r="BF78">
            <v>72</v>
          </cell>
          <cell r="BG78">
            <v>0.8</v>
          </cell>
          <cell r="BH78">
            <v>1</v>
          </cell>
          <cell r="BI78">
            <v>9</v>
          </cell>
          <cell r="BJ78">
            <v>22</v>
          </cell>
          <cell r="BK78">
            <v>1</v>
          </cell>
          <cell r="BL78">
            <v>0.65517241379310343</v>
          </cell>
          <cell r="BM78">
            <v>0.31034482758620691</v>
          </cell>
          <cell r="BN78">
            <v>0.76053639846743293</v>
          </cell>
          <cell r="BO78">
            <v>38</v>
          </cell>
          <cell r="BP78">
            <v>0</v>
          </cell>
          <cell r="BQ78">
            <v>0.45409356725146199</v>
          </cell>
          <cell r="BR78">
            <v>5.25</v>
          </cell>
          <cell r="BS78">
            <v>0.30424983902124919</v>
          </cell>
          <cell r="BT78">
            <v>1.32</v>
          </cell>
          <cell r="BU78">
            <v>7.6497102382485513E-2</v>
          </cell>
          <cell r="BV78">
            <v>0.38074694140373472</v>
          </cell>
          <cell r="BW78">
            <v>0</v>
          </cell>
          <cell r="BX78">
            <v>38</v>
          </cell>
          <cell r="BY78">
            <v>1.4823684210526316</v>
          </cell>
          <cell r="BZ78">
            <v>1.1606315789473682</v>
          </cell>
        </row>
        <row r="79">
          <cell r="A79" t="str">
            <v>Piero Hincapié</v>
          </cell>
          <cell r="B79" t="str">
            <v/>
          </cell>
          <cell r="C79" t="str">
            <v>Hincapie</v>
          </cell>
          <cell r="D79" t="str">
            <v/>
          </cell>
          <cell r="F79" t="str">
            <v/>
          </cell>
          <cell r="H79" t="str">
            <v/>
          </cell>
          <cell r="I79">
            <v>2.2999999999999998</v>
          </cell>
          <cell r="J79">
            <v>2.9333333333333336</v>
          </cell>
          <cell r="K79">
            <v>3.7</v>
          </cell>
          <cell r="M79">
            <v>4.1020501588725251</v>
          </cell>
          <cell r="N79">
            <v>4.1382204812534971</v>
          </cell>
          <cell r="O79">
            <v>2.341735100727476</v>
          </cell>
          <cell r="P79">
            <v>4.1020501588725251</v>
          </cell>
          <cell r="Q79">
            <v>4.1382204812534971</v>
          </cell>
          <cell r="R79">
            <v>3.8368055555555554</v>
          </cell>
          <cell r="S79">
            <v>4.1020501588725251</v>
          </cell>
          <cell r="T79" t="str">
            <v>DEF</v>
          </cell>
          <cell r="U79" t="str">
            <v>CB</v>
          </cell>
          <cell r="V79" t="str">
            <v>ARS</v>
          </cell>
          <cell r="W79" t="str">
            <v>Arsenal</v>
          </cell>
          <cell r="X79">
            <v>5.5</v>
          </cell>
          <cell r="Y79">
            <v>87</v>
          </cell>
          <cell r="Z79">
            <v>0</v>
          </cell>
          <cell r="AA79">
            <v>87</v>
          </cell>
          <cell r="AB79">
            <v>1787</v>
          </cell>
          <cell r="AC79">
            <v>1787</v>
          </cell>
          <cell r="AD79">
            <v>0.63272727272727269</v>
          </cell>
          <cell r="AE79">
            <v>1</v>
          </cell>
          <cell r="AF79">
            <v>2</v>
          </cell>
          <cell r="AG79">
            <v>3.2232792389479584E-2</v>
          </cell>
          <cell r="AH79">
            <v>1.6620033575825421E-2</v>
          </cell>
          <cell r="AI79">
            <v>4.8852825965304991E-2</v>
          </cell>
          <cell r="AJ79">
            <v>6.0999999999999943E-2</v>
          </cell>
          <cell r="AK79">
            <v>7</v>
          </cell>
          <cell r="AL79">
            <v>335</v>
          </cell>
          <cell r="AM79">
            <v>2</v>
          </cell>
          <cell r="AN79">
            <v>0</v>
          </cell>
          <cell r="AO79">
            <v>9</v>
          </cell>
          <cell r="AP79" t="str">
            <v>Hincapie</v>
          </cell>
          <cell r="AQ79">
            <v>5.8505875769446005</v>
          </cell>
          <cell r="AR79">
            <v>0</v>
          </cell>
          <cell r="AS79">
            <v>2.9966424174594288</v>
          </cell>
          <cell r="AT79">
            <v>8.1337437045327352</v>
          </cell>
          <cell r="AU79">
            <v>2.2831561275881365</v>
          </cell>
          <cell r="AV79">
            <v>8.1337437045327352</v>
          </cell>
          <cell r="AW79">
            <v>8.1337437045327352</v>
          </cell>
          <cell r="AX79">
            <v>0.30718298824846096</v>
          </cell>
          <cell r="AY79">
            <v>0</v>
          </cell>
          <cell r="AZ79">
            <v>3.5</v>
          </cell>
          <cell r="BA79">
            <v>87</v>
          </cell>
          <cell r="BB79" t="str">
            <v/>
          </cell>
          <cell r="BC79">
            <v>20</v>
          </cell>
          <cell r="BD79">
            <v>15</v>
          </cell>
          <cell r="BE79">
            <v>0.75</v>
          </cell>
          <cell r="BF79">
            <v>85</v>
          </cell>
          <cell r="BG79">
            <v>0.94444444444444442</v>
          </cell>
          <cell r="BH79">
            <v>1</v>
          </cell>
          <cell r="BI79">
            <v>5</v>
          </cell>
          <cell r="BJ79">
            <v>18</v>
          </cell>
          <cell r="BK79">
            <v>5</v>
          </cell>
          <cell r="BL79">
            <v>0.66666666666666663</v>
          </cell>
          <cell r="BM79">
            <v>0.16666666666666669</v>
          </cell>
          <cell r="BN79">
            <v>0.73725490196078425</v>
          </cell>
          <cell r="BO79">
            <v>38</v>
          </cell>
          <cell r="BP79">
            <v>0</v>
          </cell>
          <cell r="BQ79">
            <v>0.52251461988304093</v>
          </cell>
          <cell r="BR79">
            <v>0.36</v>
          </cell>
          <cell r="BS79">
            <v>1.8130945719082258E-2</v>
          </cell>
          <cell r="BT79">
            <v>1.67</v>
          </cell>
          <cell r="BU79">
            <v>8.4107442641298255E-2</v>
          </cell>
          <cell r="BV79">
            <v>0.10223838836038052</v>
          </cell>
          <cell r="BW79">
            <v>0</v>
          </cell>
          <cell r="BX79">
            <v>38</v>
          </cell>
          <cell r="BY79">
            <v>0.87184210526315797</v>
          </cell>
          <cell r="BZ79">
            <v>1.7711578947368418</v>
          </cell>
        </row>
        <row r="80">
          <cell r="A80" t="str">
            <v>William Saliba</v>
          </cell>
          <cell r="B80" t="str">
            <v/>
          </cell>
          <cell r="C80" t="str">
            <v>Saliba</v>
          </cell>
          <cell r="D80" t="str">
            <v/>
          </cell>
          <cell r="F80" t="str">
            <v/>
          </cell>
          <cell r="H80" t="str">
            <v/>
          </cell>
          <cell r="I80">
            <v>3.7</v>
          </cell>
          <cell r="J80">
            <v>4.1000000000000005</v>
          </cell>
          <cell r="K80">
            <v>4.3</v>
          </cell>
          <cell r="M80">
            <v>4.0975479335428577</v>
          </cell>
          <cell r="N80">
            <v>4.2440703902065797</v>
          </cell>
          <cell r="O80">
            <v>2.4418453353736287</v>
          </cell>
          <cell r="P80">
            <v>4.0975479335428577</v>
          </cell>
          <cell r="Q80">
            <v>4.2440703902065797</v>
          </cell>
          <cell r="R80">
            <v>5.5422222222222226</v>
          </cell>
          <cell r="S80">
            <v>4.0975479335428577</v>
          </cell>
          <cell r="T80" t="str">
            <v>DEF</v>
          </cell>
          <cell r="U80" t="str">
            <v>CB</v>
          </cell>
          <cell r="V80" t="str">
            <v>ARS</v>
          </cell>
          <cell r="W80" t="str">
            <v>Arsenal</v>
          </cell>
          <cell r="X80">
            <v>6</v>
          </cell>
          <cell r="Y80">
            <v>137</v>
          </cell>
          <cell r="Z80">
            <v>8</v>
          </cell>
          <cell r="AA80">
            <v>129</v>
          </cell>
          <cell r="AB80">
            <v>2614</v>
          </cell>
          <cell r="AC80">
            <v>2614</v>
          </cell>
          <cell r="AD80">
            <v>0.73655913978494614</v>
          </cell>
          <cell r="AE80">
            <v>1</v>
          </cell>
          <cell r="AF80">
            <v>0</v>
          </cell>
          <cell r="AG80">
            <v>4.1315990818668741E-3</v>
          </cell>
          <cell r="AH80">
            <v>-4.1660290742157616E-2</v>
          </cell>
          <cell r="AI80">
            <v>-3.7528691660290742E-2</v>
          </cell>
          <cell r="AJ80">
            <v>4.9999999999998934E-3</v>
          </cell>
          <cell r="AK80">
            <v>12</v>
          </cell>
          <cell r="AL80">
            <v>581</v>
          </cell>
          <cell r="AM80">
            <v>2</v>
          </cell>
          <cell r="AN80">
            <v>0</v>
          </cell>
          <cell r="AO80">
            <v>6</v>
          </cell>
          <cell r="AP80" t="str">
            <v>Saliba</v>
          </cell>
          <cell r="AQ80">
            <v>5.1981637337413931</v>
          </cell>
          <cell r="AR80">
            <v>0</v>
          </cell>
          <cell r="AS80">
            <v>3.7176740627390976</v>
          </cell>
          <cell r="AT80">
            <v>6.3496557000765117</v>
          </cell>
          <cell r="AU80">
            <v>1.1514919663351186</v>
          </cell>
          <cell r="AV80">
            <v>6.3496557000765117</v>
          </cell>
          <cell r="AW80">
            <v>6.3496557000765117</v>
          </cell>
          <cell r="AX80">
            <v>0.12512624330527933</v>
          </cell>
          <cell r="AY80">
            <v>0</v>
          </cell>
          <cell r="AZ80">
            <v>4.4000000000000004</v>
          </cell>
          <cell r="BA80">
            <v>137</v>
          </cell>
          <cell r="BB80">
            <v>0</v>
          </cell>
          <cell r="BC80">
            <v>30</v>
          </cell>
          <cell r="BD80">
            <v>28</v>
          </cell>
          <cell r="BE80">
            <v>0.93333333333333335</v>
          </cell>
          <cell r="BF80">
            <v>86</v>
          </cell>
          <cell r="BG80">
            <v>0.9555555555555556</v>
          </cell>
          <cell r="BH80">
            <v>1</v>
          </cell>
          <cell r="BI80">
            <v>1</v>
          </cell>
          <cell r="BJ80">
            <v>45</v>
          </cell>
          <cell r="BK80">
            <v>0</v>
          </cell>
          <cell r="BL80">
            <v>0.967741935483871</v>
          </cell>
          <cell r="BM80">
            <v>0.99990999999999997</v>
          </cell>
          <cell r="BN80">
            <v>0.98462115528882233</v>
          </cell>
          <cell r="BO80">
            <v>38</v>
          </cell>
          <cell r="BP80">
            <v>0</v>
          </cell>
          <cell r="BQ80">
            <v>0.76432748538011697</v>
          </cell>
          <cell r="BR80">
            <v>0.88</v>
          </cell>
          <cell r="BS80">
            <v>3.0298393267023715E-2</v>
          </cell>
          <cell r="BT80">
            <v>1.21</v>
          </cell>
          <cell r="BU80">
            <v>4.1660290742157616E-2</v>
          </cell>
          <cell r="BV80">
            <v>7.1958684009181331E-2</v>
          </cell>
          <cell r="BW80">
            <v>0</v>
          </cell>
          <cell r="BX80">
            <v>38</v>
          </cell>
          <cell r="BY80">
            <v>0.87184210526315797</v>
          </cell>
          <cell r="BZ80">
            <v>1.7711578947368418</v>
          </cell>
        </row>
        <row r="81">
          <cell r="A81" t="str">
            <v>Iliman Ndiaye</v>
          </cell>
          <cell r="B81" t="str">
            <v/>
          </cell>
          <cell r="C81" t="str">
            <v>Ndiaye</v>
          </cell>
          <cell r="D81" t="str">
            <v/>
          </cell>
          <cell r="F81" t="str">
            <v/>
          </cell>
          <cell r="H81" t="str">
            <v/>
          </cell>
          <cell r="I81">
            <v>3.5</v>
          </cell>
          <cell r="J81">
            <v>3.5</v>
          </cell>
          <cell r="K81">
            <v>3.5</v>
          </cell>
          <cell r="M81">
            <v>4.0903992385492316</v>
          </cell>
          <cell r="N81">
            <v>3.6289104638619198</v>
          </cell>
          <cell r="O81">
            <v>3.6454918015102482</v>
          </cell>
          <cell r="P81">
            <v>4.0903992385492316</v>
          </cell>
          <cell r="Q81">
            <v>3.6289104638619198</v>
          </cell>
          <cell r="R81">
            <v>2.2555555555555555</v>
          </cell>
          <cell r="S81">
            <v>4.0903992385492316</v>
          </cell>
          <cell r="T81" t="str">
            <v>MID</v>
          </cell>
          <cell r="U81" t="str">
            <v>RW</v>
          </cell>
          <cell r="V81" t="str">
            <v>EVE</v>
          </cell>
          <cell r="W81" t="str">
            <v>Everton</v>
          </cell>
          <cell r="X81">
            <v>6</v>
          </cell>
          <cell r="Y81">
            <v>128</v>
          </cell>
          <cell r="Z81">
            <v>12</v>
          </cell>
          <cell r="AA81">
            <v>116</v>
          </cell>
          <cell r="AB81">
            <v>2781</v>
          </cell>
          <cell r="AC81">
            <v>2781</v>
          </cell>
          <cell r="AD81">
            <v>0.66666666666666663</v>
          </cell>
          <cell r="AE81">
            <v>6</v>
          </cell>
          <cell r="AF81">
            <v>3</v>
          </cell>
          <cell r="AG81">
            <v>-2.2006472491909401E-2</v>
          </cell>
          <cell r="AH81">
            <v>-4.5631067961165062E-2</v>
          </cell>
          <cell r="AI81">
            <v>-6.7637540453074407E-2</v>
          </cell>
          <cell r="AJ81">
            <v>0.18700000000000006</v>
          </cell>
          <cell r="AK81">
            <v>7</v>
          </cell>
          <cell r="AL81">
            <v>540</v>
          </cell>
          <cell r="AM81">
            <v>2</v>
          </cell>
          <cell r="AN81">
            <v>0</v>
          </cell>
          <cell r="AO81">
            <v>237</v>
          </cell>
          <cell r="AP81" t="str">
            <v>Ndiaye</v>
          </cell>
          <cell r="AQ81">
            <v>1.1887810140237325</v>
          </cell>
          <cell r="AR81">
            <v>0</v>
          </cell>
          <cell r="AS81">
            <v>5.5685005393743259</v>
          </cell>
          <cell r="AT81">
            <v>8.853290183387271</v>
          </cell>
          <cell r="AU81">
            <v>2.0960086299892122</v>
          </cell>
          <cell r="AV81">
            <v>8.853290183387271</v>
          </cell>
          <cell r="AW81">
            <v>8.853290183387271</v>
          </cell>
          <cell r="AX81">
            <v>0.18643689320388351</v>
          </cell>
          <cell r="AY81">
            <v>0</v>
          </cell>
          <cell r="AZ81">
            <v>4</v>
          </cell>
          <cell r="BA81">
            <v>128</v>
          </cell>
          <cell r="BB81" t="str">
            <v/>
          </cell>
          <cell r="BC81">
            <v>32</v>
          </cell>
          <cell r="BD81">
            <v>21</v>
          </cell>
          <cell r="BE81">
            <v>0.65625</v>
          </cell>
          <cell r="BF81">
            <v>87</v>
          </cell>
          <cell r="BG81">
            <v>0.96666666666666667</v>
          </cell>
          <cell r="BH81">
            <v>1</v>
          </cell>
          <cell r="BI81">
            <v>0</v>
          </cell>
          <cell r="BJ81">
            <v>0</v>
          </cell>
          <cell r="BK81">
            <v>0</v>
          </cell>
          <cell r="BL81">
            <v>1</v>
          </cell>
          <cell r="BM81">
            <v>0</v>
          </cell>
          <cell r="BN81">
            <v>1</v>
          </cell>
          <cell r="BO81">
            <v>38</v>
          </cell>
          <cell r="BP81">
            <v>0</v>
          </cell>
          <cell r="BQ81">
            <v>0.81315789473684208</v>
          </cell>
          <cell r="BR81">
            <v>6.68</v>
          </cell>
          <cell r="BS81">
            <v>0.21618122977346277</v>
          </cell>
          <cell r="BT81">
            <v>4.41</v>
          </cell>
          <cell r="BU81">
            <v>0.14271844660194175</v>
          </cell>
          <cell r="BV81">
            <v>0.35889967637540454</v>
          </cell>
          <cell r="BW81">
            <v>0</v>
          </cell>
          <cell r="BX81">
            <v>38</v>
          </cell>
          <cell r="BY81">
            <v>1.5786842105263159</v>
          </cell>
          <cell r="BZ81">
            <v>1.0643157894736839</v>
          </cell>
        </row>
        <row r="82">
          <cell r="A82" t="str">
            <v>Harry Wilson</v>
          </cell>
          <cell r="B82" t="str">
            <v/>
          </cell>
          <cell r="C82" t="str">
            <v>Wilson</v>
          </cell>
          <cell r="D82" t="str">
            <v/>
          </cell>
          <cell r="E82" t="str">
            <v>H Wilson</v>
          </cell>
          <cell r="F82" t="str">
            <v/>
          </cell>
          <cell r="H82" t="str">
            <v/>
          </cell>
          <cell r="I82">
            <v>2.2999999999999998</v>
          </cell>
          <cell r="J82">
            <v>2.6999999999999997</v>
          </cell>
          <cell r="K82">
            <v>3.1</v>
          </cell>
          <cell r="M82">
            <v>4.088769677576189</v>
          </cell>
          <cell r="N82">
            <v>5.0284218399401652</v>
          </cell>
          <cell r="O82">
            <v>3.6298672704117725</v>
          </cell>
          <cell r="P82">
            <v>4.1156026312656797</v>
          </cell>
          <cell r="Q82">
            <v>5.0284218399401652</v>
          </cell>
          <cell r="R82">
            <v>3.4054054054054057</v>
          </cell>
          <cell r="S82">
            <v>4.088769677576189</v>
          </cell>
          <cell r="T82" t="str">
            <v>MID</v>
          </cell>
          <cell r="U82" t="str">
            <v>RW</v>
          </cell>
          <cell r="V82" t="str">
            <v>LEE</v>
          </cell>
          <cell r="W82" t="str">
            <v>Leeds</v>
          </cell>
          <cell r="X82">
            <v>6.5</v>
          </cell>
          <cell r="Y82">
            <v>168</v>
          </cell>
          <cell r="Z82">
            <v>2</v>
          </cell>
          <cell r="AA82">
            <v>166</v>
          </cell>
          <cell r="AB82">
            <v>2674</v>
          </cell>
          <cell r="AC82">
            <v>2674</v>
          </cell>
          <cell r="AD82">
            <v>0.71794871794871795</v>
          </cell>
          <cell r="AE82">
            <v>10</v>
          </cell>
          <cell r="AF82">
            <v>9</v>
          </cell>
          <cell r="AG82">
            <v>0.13866866118175014</v>
          </cell>
          <cell r="AH82">
            <v>0.14237097980553479</v>
          </cell>
          <cell r="AI82">
            <v>0.28103964098728496</v>
          </cell>
          <cell r="AJ82">
            <v>0.10299999999999998</v>
          </cell>
          <cell r="AK82">
            <v>21</v>
          </cell>
          <cell r="AL82">
            <v>637</v>
          </cell>
          <cell r="AM82">
            <v>7</v>
          </cell>
          <cell r="AN82">
            <v>0</v>
          </cell>
          <cell r="AO82">
            <v>260</v>
          </cell>
          <cell r="AP82" t="str">
            <v>Wilson</v>
          </cell>
          <cell r="AQ82">
            <v>1.9992520568436798</v>
          </cell>
          <cell r="AR82">
            <v>0</v>
          </cell>
          <cell r="AS82">
            <v>2.4839192221391175</v>
          </cell>
          <cell r="AT82">
            <v>5.3616305160807789</v>
          </cell>
          <cell r="AU82">
            <v>0.87845923709798057</v>
          </cell>
          <cell r="AV82">
            <v>5.3616305160807789</v>
          </cell>
          <cell r="AW82">
            <v>5.3616305160807789</v>
          </cell>
          <cell r="AX82">
            <v>4.0595202478897321E-2</v>
          </cell>
          <cell r="AY82">
            <v>0</v>
          </cell>
          <cell r="AZ82">
            <v>4.7</v>
          </cell>
          <cell r="BA82">
            <v>168</v>
          </cell>
          <cell r="BB82" t="str">
            <v/>
          </cell>
          <cell r="BC82">
            <v>32</v>
          </cell>
          <cell r="BD82">
            <v>8</v>
          </cell>
          <cell r="BE82">
            <v>0.25</v>
          </cell>
          <cell r="BF82">
            <v>81</v>
          </cell>
          <cell r="BG82">
            <v>0.9</v>
          </cell>
          <cell r="BH82">
            <v>1</v>
          </cell>
          <cell r="BI82">
            <v>4</v>
          </cell>
          <cell r="BJ82">
            <v>23</v>
          </cell>
          <cell r="BK82">
            <v>0</v>
          </cell>
          <cell r="BL82">
            <v>0.88888888888888884</v>
          </cell>
          <cell r="BM82">
            <v>0.11111111111111116</v>
          </cell>
          <cell r="BN82">
            <v>0.92043895747599458</v>
          </cell>
          <cell r="BO82">
            <v>38</v>
          </cell>
          <cell r="BP82">
            <v>0</v>
          </cell>
          <cell r="BQ82">
            <v>0.78187134502923972</v>
          </cell>
          <cell r="BR82">
            <v>5.88</v>
          </cell>
          <cell r="BS82">
            <v>0.19790575916230368</v>
          </cell>
          <cell r="BT82">
            <v>4.7699999999999996</v>
          </cell>
          <cell r="BU82">
            <v>0.16054599850411369</v>
          </cell>
          <cell r="BV82">
            <v>0.35845175766641735</v>
          </cell>
          <cell r="BW82">
            <v>0</v>
          </cell>
          <cell r="BX82">
            <v>38</v>
          </cell>
          <cell r="BY82">
            <v>1.4823684210526316</v>
          </cell>
          <cell r="BZ82">
            <v>1.1606315789473682</v>
          </cell>
        </row>
        <row r="83">
          <cell r="A83" t="str">
            <v>Junior Kroupi</v>
          </cell>
          <cell r="B83" t="str">
            <v/>
          </cell>
          <cell r="C83" t="str">
            <v>Kroupi.Jr</v>
          </cell>
          <cell r="D83" t="str">
            <v/>
          </cell>
          <cell r="E83" t="str">
            <v>Eli Kroupi</v>
          </cell>
          <cell r="F83" t="str">
            <v/>
          </cell>
          <cell r="G83" t="str">
            <v>Eli Junior Kroupi</v>
          </cell>
          <cell r="H83" t="str">
            <v/>
          </cell>
          <cell r="I83" t="e">
            <v>#N/A</v>
          </cell>
          <cell r="J83" t="e">
            <v>#N/A</v>
          </cell>
          <cell r="K83" t="e">
            <v>#N/A</v>
          </cell>
          <cell r="M83">
            <v>4.087986770895971</v>
          </cell>
          <cell r="N83">
            <v>4.8244137101623563</v>
          </cell>
          <cell r="O83">
            <v>4.2404516367563163</v>
          </cell>
          <cell r="P83">
            <v>4.7025591305084378</v>
          </cell>
          <cell r="Q83">
            <v>4.8244137101623563</v>
          </cell>
          <cell r="R83">
            <v>4.6125290023201853</v>
          </cell>
          <cell r="S83">
            <v>4.087986770895971</v>
          </cell>
          <cell r="T83" t="str">
            <v>MID</v>
          </cell>
          <cell r="U83" t="str">
            <v>CF</v>
          </cell>
          <cell r="V83" t="str">
            <v>BOU</v>
          </cell>
          <cell r="W83" t="str">
            <v>Bournemouth</v>
          </cell>
          <cell r="X83">
            <v>7.5</v>
          </cell>
          <cell r="Y83">
            <v>113</v>
          </cell>
          <cell r="Z83">
            <v>0</v>
          </cell>
          <cell r="AA83">
            <v>113</v>
          </cell>
          <cell r="AB83">
            <v>1663</v>
          </cell>
          <cell r="AC83">
            <v>1663</v>
          </cell>
          <cell r="AD83">
            <v>0.45656565656565656</v>
          </cell>
          <cell r="AE83">
            <v>13</v>
          </cell>
          <cell r="AF83">
            <v>0</v>
          </cell>
          <cell r="AG83">
            <v>0.2538184004810583</v>
          </cell>
          <cell r="AH83">
            <v>-8.1719783523752254E-2</v>
          </cell>
          <cell r="AI83">
            <v>0.17209861695730599</v>
          </cell>
          <cell r="AJ83">
            <v>0.17300000000000004</v>
          </cell>
          <cell r="AK83">
            <v>13</v>
          </cell>
          <cell r="AL83">
            <v>480</v>
          </cell>
          <cell r="AM83">
            <v>5</v>
          </cell>
          <cell r="AN83">
            <v>0</v>
          </cell>
          <cell r="AO83">
            <v>78</v>
          </cell>
          <cell r="AP83" t="str">
            <v>Kroupi.Jr</v>
          </cell>
          <cell r="AQ83">
            <v>1.7931449188214073</v>
          </cell>
          <cell r="AR83">
            <v>0</v>
          </cell>
          <cell r="AS83">
            <v>2.6043295249549008</v>
          </cell>
          <cell r="AT83">
            <v>4.7817197835237524</v>
          </cell>
          <cell r="AU83">
            <v>0.38424533974744435</v>
          </cell>
          <cell r="AV83">
            <v>4.7817197835237524</v>
          </cell>
          <cell r="AW83">
            <v>4.7817197835237524</v>
          </cell>
          <cell r="AX83">
            <v>3.6204449789536984E-2</v>
          </cell>
          <cell r="AY83">
            <v>0</v>
          </cell>
          <cell r="AZ83">
            <v>3.4</v>
          </cell>
          <cell r="BA83">
            <v>113</v>
          </cell>
          <cell r="BB83" t="str">
            <v/>
          </cell>
          <cell r="BC83">
            <v>21</v>
          </cell>
          <cell r="BD83">
            <v>0</v>
          </cell>
          <cell r="BE83">
            <v>0</v>
          </cell>
          <cell r="BF83">
            <v>71</v>
          </cell>
          <cell r="BG83">
            <v>0.78888888888888886</v>
          </cell>
          <cell r="BH83">
            <v>1</v>
          </cell>
          <cell r="BI83">
            <v>12</v>
          </cell>
          <cell r="BJ83">
            <v>16</v>
          </cell>
          <cell r="BK83">
            <v>5</v>
          </cell>
          <cell r="BL83">
            <v>0.55263157894736847</v>
          </cell>
          <cell r="BM83">
            <v>0.31578947368421051</v>
          </cell>
          <cell r="BN83">
            <v>0.65344699777613058</v>
          </cell>
          <cell r="BO83">
            <v>38</v>
          </cell>
          <cell r="BP83">
            <v>0</v>
          </cell>
          <cell r="BQ83">
            <v>0.48625730994152044</v>
          </cell>
          <cell r="BR83">
            <v>8.31</v>
          </cell>
          <cell r="BS83">
            <v>0.44972940469031875</v>
          </cell>
          <cell r="BT83">
            <v>1.51</v>
          </cell>
          <cell r="BU83">
            <v>8.1719783523752254E-2</v>
          </cell>
          <cell r="BV83">
            <v>0.53144918821407106</v>
          </cell>
          <cell r="BW83">
            <v>0</v>
          </cell>
          <cell r="BX83">
            <v>38</v>
          </cell>
          <cell r="BY83">
            <v>1.4939473684210527</v>
          </cell>
          <cell r="BZ83">
            <v>1.1490526315789471</v>
          </cell>
        </row>
        <row r="84">
          <cell r="A84" t="str">
            <v>Giorgi Mamardashvili</v>
          </cell>
          <cell r="B84" t="str">
            <v/>
          </cell>
          <cell r="C84" t="str">
            <v>Mamardashvili</v>
          </cell>
          <cell r="D84" t="str">
            <v/>
          </cell>
          <cell r="F84" t="str">
            <v/>
          </cell>
          <cell r="H84" t="str">
            <v/>
          </cell>
          <cell r="I84" t="e">
            <v>#N/A</v>
          </cell>
          <cell r="J84" t="e">
            <v>#N/A</v>
          </cell>
          <cell r="K84" t="e">
            <v>#N/A</v>
          </cell>
          <cell r="M84">
            <v>4.0739110243507692</v>
          </cell>
          <cell r="N84">
            <v>3.4117647058823528</v>
          </cell>
          <cell r="O84">
            <v>2.772900807381776</v>
          </cell>
          <cell r="P84">
            <v>4.0739110243507692</v>
          </cell>
          <cell r="Q84">
            <v>3.4117647058823528</v>
          </cell>
          <cell r="R84">
            <v>1.4683544303797467</v>
          </cell>
          <cell r="S84">
            <v>4.0739110243507692</v>
          </cell>
          <cell r="T84" t="str">
            <v>GK</v>
          </cell>
          <cell r="U84" t="str">
            <v>GK</v>
          </cell>
          <cell r="V84" t="str">
            <v>LIV</v>
          </cell>
          <cell r="W84" t="str">
            <v>Liverpool</v>
          </cell>
          <cell r="X84">
            <v>5</v>
          </cell>
          <cell r="Y84">
            <v>34</v>
          </cell>
          <cell r="Z84">
            <v>0</v>
          </cell>
          <cell r="AA84">
            <v>34</v>
          </cell>
          <cell r="AB84">
            <v>867</v>
          </cell>
          <cell r="AC84">
            <v>867</v>
          </cell>
          <cell r="AD84">
            <v>0.67999999999999994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2.0000000000000018E-3</v>
          </cell>
          <cell r="AK84">
            <v>2</v>
          </cell>
          <cell r="AL84">
            <v>139</v>
          </cell>
          <cell r="AM84">
            <v>0</v>
          </cell>
          <cell r="AN84">
            <v>34</v>
          </cell>
          <cell r="AO84">
            <v>351</v>
          </cell>
          <cell r="AP84" t="str">
            <v>Mamardashvili</v>
          </cell>
          <cell r="AQ84">
            <v>1.0034602076124568</v>
          </cell>
          <cell r="AR84">
            <v>0</v>
          </cell>
          <cell r="AS84">
            <v>7.6262975778546727</v>
          </cell>
          <cell r="AT84">
            <v>0</v>
          </cell>
          <cell r="AU84">
            <v>0.10034602076124569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3.4</v>
          </cell>
          <cell r="BA84">
            <v>34</v>
          </cell>
          <cell r="BB84" t="str">
            <v/>
          </cell>
          <cell r="BC84">
            <v>10</v>
          </cell>
          <cell r="BD84">
            <v>9</v>
          </cell>
          <cell r="BE84">
            <v>0.9</v>
          </cell>
          <cell r="BF84">
            <v>87</v>
          </cell>
          <cell r="BG84">
            <v>0.96666666666666667</v>
          </cell>
          <cell r="BH84">
            <v>1</v>
          </cell>
          <cell r="BI84">
            <v>0</v>
          </cell>
          <cell r="BJ84">
            <v>0</v>
          </cell>
          <cell r="BK84">
            <v>26</v>
          </cell>
          <cell r="BL84">
            <v>0.27777777777777779</v>
          </cell>
          <cell r="BM84">
            <v>0</v>
          </cell>
          <cell r="BN84">
            <v>0.27777777777777779</v>
          </cell>
          <cell r="BO84">
            <v>38</v>
          </cell>
          <cell r="BP84">
            <v>0</v>
          </cell>
          <cell r="BQ84">
            <v>0.25350877192982457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38</v>
          </cell>
          <cell r="BY84">
            <v>1.4176315789473684</v>
          </cell>
          <cell r="BZ84">
            <v>1.2253684210526314</v>
          </cell>
        </row>
        <row r="85">
          <cell r="A85" t="str">
            <v>Gabriel Martinelli Silva</v>
          </cell>
          <cell r="B85" t="str">
            <v/>
          </cell>
          <cell r="C85" t="str">
            <v>Martinelli</v>
          </cell>
          <cell r="D85" t="str">
            <v/>
          </cell>
          <cell r="E85" t="str">
            <v>Gabriel Martinelli</v>
          </cell>
          <cell r="F85" t="str">
            <v/>
          </cell>
          <cell r="H85" t="str">
            <v/>
          </cell>
          <cell r="I85">
            <v>3.4</v>
          </cell>
          <cell r="J85">
            <v>4.2333333333333334</v>
          </cell>
          <cell r="K85">
            <v>5.5</v>
          </cell>
          <cell r="M85">
            <v>4.0701784469775317</v>
          </cell>
          <cell r="N85">
            <v>3.4253521126760562</v>
          </cell>
          <cell r="O85">
            <v>3.6065739640153058</v>
          </cell>
          <cell r="P85">
            <v>4.0701784469775317</v>
          </cell>
          <cell r="Q85">
            <v>3.4253521126760562</v>
          </cell>
          <cell r="R85">
            <v>3.3294797687861277</v>
          </cell>
          <cell r="S85">
            <v>4.0701784469775317</v>
          </cell>
          <cell r="T85" t="str">
            <v>MID</v>
          </cell>
          <cell r="U85" t="str">
            <v>LW</v>
          </cell>
          <cell r="V85" t="str">
            <v>ARS</v>
          </cell>
          <cell r="W85" t="str">
            <v>Arsenal</v>
          </cell>
          <cell r="X85">
            <v>6.5</v>
          </cell>
          <cell r="Y85">
            <v>57</v>
          </cell>
          <cell r="Z85">
            <v>0</v>
          </cell>
          <cell r="AA85">
            <v>57</v>
          </cell>
          <cell r="AB85">
            <v>1065</v>
          </cell>
          <cell r="AC85">
            <v>1065</v>
          </cell>
          <cell r="AD85">
            <v>0.29230769230769227</v>
          </cell>
          <cell r="AE85">
            <v>1</v>
          </cell>
          <cell r="AF85">
            <v>5</v>
          </cell>
          <cell r="AG85">
            <v>-0.26366197183098594</v>
          </cell>
          <cell r="AH85">
            <v>0.31521126760563378</v>
          </cell>
          <cell r="AI85">
            <v>5.1549295774647841E-2</v>
          </cell>
          <cell r="AJ85">
            <v>2.9999999999998916E-3</v>
          </cell>
          <cell r="AK85">
            <v>3</v>
          </cell>
          <cell r="AL85">
            <v>195</v>
          </cell>
          <cell r="AM85">
            <v>3</v>
          </cell>
          <cell r="AN85">
            <v>0</v>
          </cell>
          <cell r="AO85">
            <v>18</v>
          </cell>
          <cell r="AP85" t="str">
            <v>Martinelli</v>
          </cell>
          <cell r="AQ85">
            <v>0.78122065727699541</v>
          </cell>
          <cell r="AR85">
            <v>0</v>
          </cell>
          <cell r="AS85">
            <v>3.1248826291079816</v>
          </cell>
          <cell r="AT85">
            <v>4.6272300469483572</v>
          </cell>
          <cell r="AU85">
            <v>0.72112676056338032</v>
          </cell>
          <cell r="AV85">
            <v>4.6272300469483572</v>
          </cell>
          <cell r="AW85">
            <v>4.6272300469483572</v>
          </cell>
          <cell r="AX85">
            <v>3.5034741784037565E-2</v>
          </cell>
          <cell r="AY85">
            <v>0</v>
          </cell>
          <cell r="AZ85">
            <v>1.9</v>
          </cell>
          <cell r="BA85">
            <v>57</v>
          </cell>
          <cell r="BB85" t="str">
            <v/>
          </cell>
          <cell r="BC85">
            <v>11</v>
          </cell>
          <cell r="BD85">
            <v>2</v>
          </cell>
          <cell r="BE85">
            <v>0.18181818181818182</v>
          </cell>
          <cell r="BF85">
            <v>64</v>
          </cell>
          <cell r="BG85">
            <v>0.71111111111111114</v>
          </cell>
          <cell r="BH85">
            <v>1</v>
          </cell>
          <cell r="BI85">
            <v>19</v>
          </cell>
          <cell r="BJ85">
            <v>20</v>
          </cell>
          <cell r="BK85">
            <v>6</v>
          </cell>
          <cell r="BL85">
            <v>0.30555555555555558</v>
          </cell>
          <cell r="BM85">
            <v>0.52777777777777779</v>
          </cell>
          <cell r="BN85">
            <v>0.52256944444444442</v>
          </cell>
          <cell r="BO85">
            <v>38</v>
          </cell>
          <cell r="BP85">
            <v>0</v>
          </cell>
          <cell r="BQ85">
            <v>0.31140350877192985</v>
          </cell>
          <cell r="BR85">
            <v>4.12</v>
          </cell>
          <cell r="BS85">
            <v>0.34816901408450707</v>
          </cell>
          <cell r="BT85">
            <v>1.27</v>
          </cell>
          <cell r="BU85">
            <v>0.10732394366197183</v>
          </cell>
          <cell r="BV85">
            <v>0.45549295774647891</v>
          </cell>
          <cell r="BW85">
            <v>0</v>
          </cell>
          <cell r="BX85">
            <v>38</v>
          </cell>
          <cell r="BY85">
            <v>0.87184210526315797</v>
          </cell>
          <cell r="BZ85">
            <v>1.7711578947368418</v>
          </cell>
        </row>
        <row r="86">
          <cell r="A86" t="str">
            <v>Freddie Woodman</v>
          </cell>
          <cell r="B86" t="str">
            <v/>
          </cell>
          <cell r="C86" t="str">
            <v>Woodman</v>
          </cell>
          <cell r="D86" t="str">
            <v/>
          </cell>
          <cell r="F86" t="str">
            <v/>
          </cell>
          <cell r="H86" t="str">
            <v/>
          </cell>
          <cell r="I86" t="e">
            <v>#N/A</v>
          </cell>
          <cell r="J86" t="e">
            <v>#N/A</v>
          </cell>
          <cell r="K86" t="e">
            <v>#N/A</v>
          </cell>
          <cell r="M86">
            <v>4.0672680786042132</v>
          </cell>
          <cell r="N86">
            <v>0</v>
          </cell>
          <cell r="O86">
            <v>2.76625786163522</v>
          </cell>
          <cell r="P86">
            <v>4.0672680786042132</v>
          </cell>
          <cell r="Q86">
            <v>2.5471698113207548</v>
          </cell>
          <cell r="R86">
            <v>2.5471698113207548</v>
          </cell>
          <cell r="S86">
            <v>4.0672680786042132</v>
          </cell>
          <cell r="T86" t="str">
            <v>GK</v>
          </cell>
          <cell r="U86" t="str">
            <v>GK</v>
          </cell>
          <cell r="V86" t="str">
            <v>LIV</v>
          </cell>
          <cell r="W86" t="str">
            <v>Liverpool</v>
          </cell>
          <cell r="X86">
            <v>4</v>
          </cell>
          <cell r="Y86">
            <v>6</v>
          </cell>
          <cell r="Z86">
            <v>0</v>
          </cell>
          <cell r="AA86">
            <v>6</v>
          </cell>
          <cell r="AB86">
            <v>212</v>
          </cell>
          <cell r="AC86">
            <v>212</v>
          </cell>
          <cell r="AD86">
            <v>0.5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1.2000000000000011E-2</v>
          </cell>
          <cell r="AK86">
            <v>0</v>
          </cell>
          <cell r="AL86">
            <v>34</v>
          </cell>
          <cell r="AM86">
            <v>0</v>
          </cell>
          <cell r="AN86">
            <v>9</v>
          </cell>
          <cell r="AO86">
            <v>352</v>
          </cell>
          <cell r="AP86" t="str">
            <v>Woodman</v>
          </cell>
          <cell r="AQ86">
            <v>1.6981132075471697</v>
          </cell>
          <cell r="AR86">
            <v>0</v>
          </cell>
          <cell r="AS86">
            <v>9.3396226415094343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2</v>
          </cell>
          <cell r="BA86">
            <v>6</v>
          </cell>
          <cell r="BB86" t="str">
            <v/>
          </cell>
          <cell r="BC86">
            <v>2</v>
          </cell>
          <cell r="BD86">
            <v>2</v>
          </cell>
          <cell r="BE86">
            <v>1</v>
          </cell>
          <cell r="BF86">
            <v>90</v>
          </cell>
          <cell r="BG86">
            <v>1</v>
          </cell>
          <cell r="BH86">
            <v>1</v>
          </cell>
          <cell r="BI86">
            <v>1</v>
          </cell>
          <cell r="BJ86">
            <v>33</v>
          </cell>
          <cell r="BK86">
            <v>16</v>
          </cell>
          <cell r="BL86">
            <v>0.10526315789473684</v>
          </cell>
          <cell r="BM86">
            <v>5.2631578947368474E-2</v>
          </cell>
          <cell r="BN86">
            <v>0.43333333333333335</v>
          </cell>
          <cell r="BO86">
            <v>38</v>
          </cell>
          <cell r="BP86">
            <v>0</v>
          </cell>
          <cell r="BQ86">
            <v>6.1988304093567252E-2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38</v>
          </cell>
          <cell r="BY86">
            <v>1.4176315789473684</v>
          </cell>
          <cell r="BZ86">
            <v>1.2253684210526314</v>
          </cell>
        </row>
        <row r="87">
          <cell r="A87" t="str">
            <v>Kai Havertz</v>
          </cell>
          <cell r="B87" t="str">
            <v/>
          </cell>
          <cell r="C87" t="str">
            <v>Havertz</v>
          </cell>
          <cell r="D87" t="str">
            <v/>
          </cell>
          <cell r="F87" t="str">
            <v/>
          </cell>
          <cell r="H87" t="str">
            <v/>
          </cell>
          <cell r="I87">
            <v>2.9</v>
          </cell>
          <cell r="J87">
            <v>4</v>
          </cell>
          <cell r="K87">
            <v>4.9000000000000004</v>
          </cell>
          <cell r="M87">
            <v>4.061067590987868</v>
          </cell>
          <cell r="N87">
            <v>3.8682842287694972</v>
          </cell>
          <cell r="O87">
            <v>4.8078785115089859</v>
          </cell>
          <cell r="P87">
            <v>4.061067590987868</v>
          </cell>
          <cell r="Q87">
            <v>3.8682842287694972</v>
          </cell>
          <cell r="R87">
            <v>5.422053231939163</v>
          </cell>
          <cell r="S87">
            <v>4.061067590987868</v>
          </cell>
          <cell r="T87" t="str">
            <v>FWD</v>
          </cell>
          <cell r="U87" t="str">
            <v>CF</v>
          </cell>
          <cell r="V87" t="str">
            <v>ARS</v>
          </cell>
          <cell r="W87" t="str">
            <v>Arsenal</v>
          </cell>
          <cell r="X87">
            <v>7.5</v>
          </cell>
          <cell r="Y87">
            <v>36</v>
          </cell>
          <cell r="Z87">
            <v>0</v>
          </cell>
          <cell r="AA87">
            <v>36</v>
          </cell>
          <cell r="AB87">
            <v>577</v>
          </cell>
          <cell r="AC87">
            <v>577</v>
          </cell>
          <cell r="AD87">
            <v>0.4</v>
          </cell>
          <cell r="AE87">
            <v>2</v>
          </cell>
          <cell r="AF87">
            <v>3</v>
          </cell>
          <cell r="AG87">
            <v>-0.2043327556325823</v>
          </cell>
          <cell r="AH87">
            <v>0.36811091854419414</v>
          </cell>
          <cell r="AI87">
            <v>0.16377816291161185</v>
          </cell>
          <cell r="AJ87">
            <v>5.2000000000000046E-2</v>
          </cell>
          <cell r="AK87">
            <v>3</v>
          </cell>
          <cell r="AL87">
            <v>143</v>
          </cell>
          <cell r="AM87">
            <v>1</v>
          </cell>
          <cell r="AN87">
            <v>0</v>
          </cell>
          <cell r="AO87">
            <v>26</v>
          </cell>
          <cell r="AP87" t="str">
            <v>Havertz</v>
          </cell>
          <cell r="AQ87">
            <v>1.074523396880416</v>
          </cell>
          <cell r="AR87">
            <v>0</v>
          </cell>
          <cell r="AS87">
            <v>1.5043327556325821</v>
          </cell>
          <cell r="AT87">
            <v>3.4384748700173309</v>
          </cell>
          <cell r="AU87">
            <v>0.85961871750433272</v>
          </cell>
          <cell r="AV87">
            <v>3.4384748700173309</v>
          </cell>
          <cell r="AW87">
            <v>3.4384748700173309</v>
          </cell>
          <cell r="AX87">
            <v>2.6034166872988363E-2</v>
          </cell>
          <cell r="AY87">
            <v>0</v>
          </cell>
          <cell r="AZ87">
            <v>3</v>
          </cell>
          <cell r="BA87">
            <v>36</v>
          </cell>
          <cell r="BB87" t="str">
            <v/>
          </cell>
          <cell r="BC87">
            <v>7</v>
          </cell>
          <cell r="BD87">
            <v>1</v>
          </cell>
          <cell r="BE87">
            <v>0.14285714285714285</v>
          </cell>
          <cell r="BF87">
            <v>62</v>
          </cell>
          <cell r="BG87">
            <v>0.68888888888888888</v>
          </cell>
          <cell r="BH87">
            <v>1</v>
          </cell>
          <cell r="BI87">
            <v>5</v>
          </cell>
          <cell r="BJ87">
            <v>29</v>
          </cell>
          <cell r="BK87">
            <v>2</v>
          </cell>
          <cell r="BL87">
            <v>0.5</v>
          </cell>
          <cell r="BM87">
            <v>0.35714285714285715</v>
          </cell>
          <cell r="BN87">
            <v>0.7338709677419355</v>
          </cell>
          <cell r="BO87">
            <v>38</v>
          </cell>
          <cell r="BP87">
            <v>0</v>
          </cell>
          <cell r="BQ87">
            <v>0.16871345029239765</v>
          </cell>
          <cell r="BR87">
            <v>3.31</v>
          </cell>
          <cell r="BS87">
            <v>0.51629116117850948</v>
          </cell>
          <cell r="BT87">
            <v>0.64</v>
          </cell>
          <cell r="BU87">
            <v>9.982668977469672E-2</v>
          </cell>
          <cell r="BV87">
            <v>0.61611785095320615</v>
          </cell>
          <cell r="BW87">
            <v>0</v>
          </cell>
          <cell r="BX87">
            <v>38</v>
          </cell>
          <cell r="BY87">
            <v>0.87184210526315797</v>
          </cell>
          <cell r="BZ87">
            <v>1.7711578947368418</v>
          </cell>
        </row>
        <row r="88">
          <cell r="A88" t="str">
            <v>Rayan Vitor Simplício Rocha</v>
          </cell>
          <cell r="B88" t="str">
            <v/>
          </cell>
          <cell r="C88" t="str">
            <v>Rayan</v>
          </cell>
          <cell r="D88" t="str">
            <v/>
          </cell>
          <cell r="E88" t="str">
            <v>Rayan Vitor</v>
          </cell>
          <cell r="F88" t="str">
            <v/>
          </cell>
          <cell r="H88" t="str">
            <v/>
          </cell>
          <cell r="I88" t="e">
            <v>#N/A</v>
          </cell>
          <cell r="J88" t="e">
            <v>#N/A</v>
          </cell>
          <cell r="K88" t="e">
            <v>#N/A</v>
          </cell>
          <cell r="M88">
            <v>4.0576200634798951</v>
          </cell>
          <cell r="N88">
            <v>4.9495495495495492</v>
          </cell>
          <cell r="O88">
            <v>4.0458977542135441</v>
          </cell>
          <cell r="P88">
            <v>4.0576200634798951</v>
          </cell>
          <cell r="Q88">
            <v>4.9495495495495492</v>
          </cell>
          <cell r="R88">
            <v>6.473684210526315</v>
          </cell>
          <cell r="S88">
            <v>4.0576200634798951</v>
          </cell>
          <cell r="T88" t="str">
            <v>MID</v>
          </cell>
          <cell r="U88" t="str">
            <v>RW</v>
          </cell>
          <cell r="V88" t="str">
            <v>BOU</v>
          </cell>
          <cell r="W88" t="str">
            <v>Bournemouth</v>
          </cell>
          <cell r="X88">
            <v>6.5</v>
          </cell>
          <cell r="Y88">
            <v>67</v>
          </cell>
          <cell r="Z88">
            <v>0</v>
          </cell>
          <cell r="AA88">
            <v>67</v>
          </cell>
          <cell r="AB88">
            <v>1110</v>
          </cell>
          <cell r="AC88">
            <v>1110</v>
          </cell>
          <cell r="AD88">
            <v>0.68717948717948718</v>
          </cell>
          <cell r="AE88">
            <v>5</v>
          </cell>
          <cell r="AF88">
            <v>2</v>
          </cell>
          <cell r="AG88">
            <v>0.18891891891891896</v>
          </cell>
          <cell r="AH88">
            <v>1.2972972972972979E-2</v>
          </cell>
          <cell r="AI88">
            <v>0.20189189189189188</v>
          </cell>
          <cell r="AJ88">
            <v>4.2000000000000037E-2</v>
          </cell>
          <cell r="AK88">
            <v>3</v>
          </cell>
          <cell r="AL88">
            <v>238</v>
          </cell>
          <cell r="AM88">
            <v>1</v>
          </cell>
          <cell r="AN88">
            <v>0</v>
          </cell>
          <cell r="AO88">
            <v>67</v>
          </cell>
          <cell r="AP88" t="str">
            <v>Rayan</v>
          </cell>
          <cell r="AQ88">
            <v>2.0684684684684682</v>
          </cell>
          <cell r="AR88">
            <v>0</v>
          </cell>
          <cell r="AS88">
            <v>3.1765765765765765</v>
          </cell>
          <cell r="AT88">
            <v>6.0576576576576571</v>
          </cell>
          <cell r="AU88">
            <v>0.81261261261261264</v>
          </cell>
          <cell r="AV88">
            <v>6.0576576576576571</v>
          </cell>
          <cell r="AW88">
            <v>6.0576576576576571</v>
          </cell>
          <cell r="AX88">
            <v>4.5865122265122259E-2</v>
          </cell>
          <cell r="AY88">
            <v>0</v>
          </cell>
          <cell r="AZ88">
            <v>4.5</v>
          </cell>
          <cell r="BA88">
            <v>67</v>
          </cell>
          <cell r="BB88" t="str">
            <v/>
          </cell>
          <cell r="BC88">
            <v>13</v>
          </cell>
          <cell r="BD88">
            <v>2</v>
          </cell>
          <cell r="BE88">
            <v>0.15384615384615385</v>
          </cell>
          <cell r="BF88">
            <v>82</v>
          </cell>
          <cell r="BG88">
            <v>0.91111111111111109</v>
          </cell>
          <cell r="BH88">
            <v>1</v>
          </cell>
          <cell r="BI88">
            <v>2</v>
          </cell>
          <cell r="BJ88">
            <v>24</v>
          </cell>
          <cell r="BK88">
            <v>0</v>
          </cell>
          <cell r="BL88">
            <v>0.8666666666666667</v>
          </cell>
          <cell r="BM88">
            <v>0.5</v>
          </cell>
          <cell r="BN88">
            <v>0.90569105691056906</v>
          </cell>
          <cell r="BO88">
            <v>38</v>
          </cell>
          <cell r="BP88">
            <v>0</v>
          </cell>
          <cell r="BQ88">
            <v>0.32456140350877194</v>
          </cell>
          <cell r="BR88">
            <v>2.67</v>
          </cell>
          <cell r="BS88">
            <v>0.21648648648648647</v>
          </cell>
          <cell r="BT88">
            <v>1.84</v>
          </cell>
          <cell r="BU88">
            <v>0.14918918918918919</v>
          </cell>
          <cell r="BV88">
            <v>0.36567567567567566</v>
          </cell>
          <cell r="BW88">
            <v>0</v>
          </cell>
          <cell r="BX88">
            <v>38</v>
          </cell>
          <cell r="BY88">
            <v>1.4939473684210527</v>
          </cell>
          <cell r="BZ88">
            <v>1.1490526315789471</v>
          </cell>
        </row>
        <row r="89">
          <cell r="A89" t="str">
            <v>Frank Onyeka</v>
          </cell>
          <cell r="B89" t="str">
            <v/>
          </cell>
          <cell r="C89" t="str">
            <v>Onyeka</v>
          </cell>
          <cell r="D89" t="str">
            <v/>
          </cell>
          <cell r="F89" t="str">
            <v/>
          </cell>
          <cell r="H89" t="str">
            <v/>
          </cell>
          <cell r="I89">
            <v>1</v>
          </cell>
          <cell r="J89">
            <v>1.4333333333333333</v>
          </cell>
          <cell r="K89">
            <v>1.8</v>
          </cell>
          <cell r="M89">
            <v>4.0569090860896937</v>
          </cell>
          <cell r="N89">
            <v>0</v>
          </cell>
          <cell r="O89">
            <v>2.4193181818181819</v>
          </cell>
          <cell r="P89">
            <v>4.0033026752820851</v>
          </cell>
          <cell r="Q89">
            <v>11.045454545454545</v>
          </cell>
          <cell r="R89">
            <v>0</v>
          </cell>
          <cell r="S89">
            <v>4.0569090860896937</v>
          </cell>
          <cell r="T89" t="str">
            <v>MID</v>
          </cell>
          <cell r="U89" t="str">
            <v>CM</v>
          </cell>
          <cell r="V89" t="str">
            <v>COV</v>
          </cell>
          <cell r="W89" t="str">
            <v>Coventry City</v>
          </cell>
          <cell r="X89">
            <v>5</v>
          </cell>
          <cell r="Y89">
            <v>12</v>
          </cell>
          <cell r="Z89">
            <v>0</v>
          </cell>
          <cell r="AA89">
            <v>12</v>
          </cell>
          <cell r="AB89">
            <v>88</v>
          </cell>
          <cell r="AC89">
            <v>88</v>
          </cell>
          <cell r="AD89">
            <v>0.4</v>
          </cell>
          <cell r="AE89">
            <v>0</v>
          </cell>
          <cell r="AF89">
            <v>2</v>
          </cell>
          <cell r="AG89">
            <v>0</v>
          </cell>
          <cell r="AH89">
            <v>1.6772727272727272</v>
          </cell>
          <cell r="AI89">
            <v>1.6772727272727272</v>
          </cell>
          <cell r="AJ89">
            <v>2.0000000000000018E-3</v>
          </cell>
          <cell r="AK89">
            <v>0</v>
          </cell>
          <cell r="AL89">
            <v>41</v>
          </cell>
          <cell r="AM89">
            <v>0</v>
          </cell>
          <cell r="AN89">
            <v>0</v>
          </cell>
          <cell r="AO89">
            <v>104</v>
          </cell>
          <cell r="AP89" t="str">
            <v>Onyeka</v>
          </cell>
          <cell r="AQ89">
            <v>2.7613636363636362</v>
          </cell>
          <cell r="AR89">
            <v>0</v>
          </cell>
          <cell r="AS89">
            <v>4.6022727272727275</v>
          </cell>
          <cell r="AT89">
            <v>9.204545454545455</v>
          </cell>
          <cell r="AU89">
            <v>1.8409090909090908</v>
          </cell>
          <cell r="AV89">
            <v>9.204545454545455</v>
          </cell>
          <cell r="AW89">
            <v>9.204545454545455</v>
          </cell>
          <cell r="AX89">
            <v>0.2199090909205455</v>
          </cell>
          <cell r="AY89">
            <v>0</v>
          </cell>
          <cell r="AZ89">
            <v>2</v>
          </cell>
          <cell r="BA89">
            <v>12</v>
          </cell>
          <cell r="BB89" t="str">
            <v/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0.9</v>
          </cell>
          <cell r="BH89">
            <v>1</v>
          </cell>
          <cell r="BI89">
            <v>6</v>
          </cell>
          <cell r="BJ89">
            <v>15</v>
          </cell>
          <cell r="BK89">
            <v>10</v>
          </cell>
          <cell r="BL89">
            <v>0</v>
          </cell>
          <cell r="BM89">
            <v>0.375</v>
          </cell>
          <cell r="BN89" t="e">
            <v>#DIV/0!</v>
          </cell>
          <cell r="BO89">
            <v>38</v>
          </cell>
          <cell r="BP89">
            <v>0</v>
          </cell>
          <cell r="BQ89">
            <v>2.5730994152046785E-2</v>
          </cell>
          <cell r="BR89">
            <v>0</v>
          </cell>
          <cell r="BS89">
            <v>0</v>
          </cell>
          <cell r="BT89">
            <v>0.36</v>
          </cell>
          <cell r="BU89">
            <v>0.36818181818181811</v>
          </cell>
          <cell r="BV89">
            <v>0.36818181818181811</v>
          </cell>
          <cell r="BW89">
            <v>0</v>
          </cell>
          <cell r="BX89">
            <v>38</v>
          </cell>
          <cell r="BY89">
            <v>1.7926315789473686</v>
          </cell>
          <cell r="BZ89">
            <v>0.85036842105263122</v>
          </cell>
        </row>
        <row r="90">
          <cell r="A90" t="str">
            <v>Enzo Le Fée</v>
          </cell>
          <cell r="B90" t="str">
            <v/>
          </cell>
          <cell r="C90" t="str">
            <v>E.Le Fée</v>
          </cell>
          <cell r="D90" t="str">
            <v/>
          </cell>
          <cell r="F90" t="str">
            <v/>
          </cell>
          <cell r="H90" t="str">
            <v/>
          </cell>
          <cell r="I90" t="e">
            <v>#N/A</v>
          </cell>
          <cell r="J90" t="e">
            <v>#N/A</v>
          </cell>
          <cell r="K90" t="e">
            <v>#N/A</v>
          </cell>
          <cell r="M90">
            <v>4.0435728570195533</v>
          </cell>
          <cell r="N90">
            <v>3.8897610921501706</v>
          </cell>
          <cell r="O90">
            <v>4.2178093667045884</v>
          </cell>
          <cell r="P90">
            <v>4.0435728570195533</v>
          </cell>
          <cell r="Q90">
            <v>3.8897610921501706</v>
          </cell>
          <cell r="R90">
            <v>5.8</v>
          </cell>
          <cell r="S90">
            <v>4.0435728570195533</v>
          </cell>
          <cell r="T90" t="str">
            <v>MID</v>
          </cell>
          <cell r="U90" t="str">
            <v>CM</v>
          </cell>
          <cell r="V90" t="str">
            <v>SUN</v>
          </cell>
          <cell r="W90" t="str">
            <v>Sunderland</v>
          </cell>
          <cell r="X90">
            <v>6</v>
          </cell>
          <cell r="Y90">
            <v>147</v>
          </cell>
          <cell r="Z90">
            <v>16</v>
          </cell>
          <cell r="AA90">
            <v>131</v>
          </cell>
          <cell r="AB90">
            <v>2930</v>
          </cell>
          <cell r="AC90">
            <v>2930</v>
          </cell>
          <cell r="AD90">
            <v>0.68055555555555547</v>
          </cell>
          <cell r="AE90">
            <v>5</v>
          </cell>
          <cell r="AF90">
            <v>6</v>
          </cell>
          <cell r="AG90">
            <v>-6.7576791808873493E-3</v>
          </cell>
          <cell r="AH90">
            <v>1.5358361774743812E-3</v>
          </cell>
          <cell r="AI90">
            <v>-5.2218430034129959E-3</v>
          </cell>
          <cell r="AJ90">
            <v>3.499999999999992E-2</v>
          </cell>
          <cell r="AK90">
            <v>16</v>
          </cell>
          <cell r="AL90">
            <v>621</v>
          </cell>
          <cell r="AM90">
            <v>5</v>
          </cell>
          <cell r="AN90">
            <v>0</v>
          </cell>
          <cell r="AO90">
            <v>542</v>
          </cell>
          <cell r="AP90" t="str">
            <v>E.Le Fée</v>
          </cell>
          <cell r="AQ90">
            <v>2.2863481228668943</v>
          </cell>
          <cell r="AR90">
            <v>0</v>
          </cell>
          <cell r="AS90">
            <v>4.5430034129692833</v>
          </cell>
          <cell r="AT90">
            <v>9.4720136518771323</v>
          </cell>
          <cell r="AU90">
            <v>2.6426621160409556</v>
          </cell>
          <cell r="AV90">
            <v>9.4720136518771323</v>
          </cell>
          <cell r="AW90">
            <v>9.4720136518771323</v>
          </cell>
          <cell r="AX90">
            <v>0.24986552903667159</v>
          </cell>
          <cell r="AY90">
            <v>0</v>
          </cell>
          <cell r="AZ90">
            <v>4.0999999999999996</v>
          </cell>
          <cell r="BA90">
            <v>147</v>
          </cell>
          <cell r="BB90" t="str">
            <v/>
          </cell>
          <cell r="BC90">
            <v>33</v>
          </cell>
          <cell r="BD90">
            <v>25</v>
          </cell>
          <cell r="BE90">
            <v>0.75757575757575757</v>
          </cell>
          <cell r="BF90">
            <v>87</v>
          </cell>
          <cell r="BG90">
            <v>0.96666666666666667</v>
          </cell>
          <cell r="BH90">
            <v>1</v>
          </cell>
          <cell r="BI90">
            <v>3</v>
          </cell>
          <cell r="BJ90">
            <v>16</v>
          </cell>
          <cell r="BK90">
            <v>0</v>
          </cell>
          <cell r="BL90">
            <v>0.91666666666666663</v>
          </cell>
          <cell r="BM90">
            <v>8.333333333333337E-2</v>
          </cell>
          <cell r="BN90">
            <v>0.93199233716475094</v>
          </cell>
          <cell r="BO90">
            <v>38</v>
          </cell>
          <cell r="BP90">
            <v>0</v>
          </cell>
          <cell r="BQ90">
            <v>0.85672514619883045</v>
          </cell>
          <cell r="BR90">
            <v>5.22</v>
          </cell>
          <cell r="BS90">
            <v>0.16034129692832763</v>
          </cell>
          <cell r="BT90">
            <v>5.95</v>
          </cell>
          <cell r="BU90">
            <v>0.18276450511945394</v>
          </cell>
          <cell r="BV90">
            <v>0.34310580204778157</v>
          </cell>
          <cell r="BW90">
            <v>0</v>
          </cell>
          <cell r="BX90">
            <v>38</v>
          </cell>
          <cell r="BY90">
            <v>1.5878947368421052</v>
          </cell>
          <cell r="BZ90">
            <v>1.0551052631578945</v>
          </cell>
        </row>
        <row r="91">
          <cell r="A91" t="str">
            <v>Dominik Szoboszlai</v>
          </cell>
          <cell r="B91" t="str">
            <v/>
          </cell>
          <cell r="C91" t="str">
            <v>Szoboszlai</v>
          </cell>
          <cell r="D91" t="str">
            <v/>
          </cell>
          <cell r="F91" t="str">
            <v/>
          </cell>
          <cell r="H91" t="str">
            <v/>
          </cell>
          <cell r="I91">
            <v>3</v>
          </cell>
          <cell r="J91">
            <v>3.5</v>
          </cell>
          <cell r="K91">
            <v>4</v>
          </cell>
          <cell r="M91">
            <v>4.0254123596964781</v>
          </cell>
          <cell r="N91">
            <v>3.8985148514851482</v>
          </cell>
          <cell r="O91">
            <v>4.1734859735973595</v>
          </cell>
          <cell r="P91">
            <v>4.0254123596964781</v>
          </cell>
          <cell r="Q91">
            <v>3.8985148514851482</v>
          </cell>
          <cell r="R91">
            <v>5.3333333333333339</v>
          </cell>
          <cell r="S91">
            <v>4.0254123596964781</v>
          </cell>
          <cell r="T91" t="str">
            <v>MID</v>
          </cell>
          <cell r="U91" t="str">
            <v>AM</v>
          </cell>
          <cell r="V91" t="str">
            <v>LIV</v>
          </cell>
          <cell r="W91" t="str">
            <v>Liverpool</v>
          </cell>
          <cell r="X91">
            <v>7</v>
          </cell>
          <cell r="Y91">
            <v>160</v>
          </cell>
          <cell r="Z91">
            <v>20</v>
          </cell>
          <cell r="AA91">
            <v>140</v>
          </cell>
          <cell r="AB91">
            <v>3232</v>
          </cell>
          <cell r="AC91">
            <v>3232</v>
          </cell>
          <cell r="AD91">
            <v>0.634920634920635</v>
          </cell>
          <cell r="AE91">
            <v>6</v>
          </cell>
          <cell r="AF91">
            <v>7</v>
          </cell>
          <cell r="AG91">
            <v>3.4529702970297005E-2</v>
          </cell>
          <cell r="AH91">
            <v>4.7339108910890992E-3</v>
          </cell>
          <cell r="AI91">
            <v>3.9263613861386104E-2</v>
          </cell>
          <cell r="AJ91">
            <v>0.38300000000000001</v>
          </cell>
          <cell r="AK91">
            <v>21</v>
          </cell>
          <cell r="AL91">
            <v>780</v>
          </cell>
          <cell r="AM91">
            <v>8</v>
          </cell>
          <cell r="AN91">
            <v>0</v>
          </cell>
          <cell r="AO91">
            <v>368</v>
          </cell>
          <cell r="AP91" t="str">
            <v>Szoboszlai</v>
          </cell>
          <cell r="AQ91">
            <v>2.673267326732673</v>
          </cell>
          <cell r="AR91">
            <v>0</v>
          </cell>
          <cell r="AS91">
            <v>5.1794554455445549</v>
          </cell>
          <cell r="AT91">
            <v>9.4121287128712865</v>
          </cell>
          <cell r="AU91">
            <v>1.5594059405940595</v>
          </cell>
          <cell r="AV91">
            <v>9.4121287128712865</v>
          </cell>
          <cell r="AW91">
            <v>9.4121287128712865</v>
          </cell>
          <cell r="AX91">
            <v>0.2431584158646633</v>
          </cell>
          <cell r="AY91">
            <v>0</v>
          </cell>
          <cell r="AZ91">
            <v>4.4000000000000004</v>
          </cell>
          <cell r="BA91">
            <v>160</v>
          </cell>
          <cell r="BB91" t="str">
            <v/>
          </cell>
          <cell r="BC91">
            <v>36</v>
          </cell>
          <cell r="BD91">
            <v>34</v>
          </cell>
          <cell r="BE91">
            <v>0.94444444444444442</v>
          </cell>
          <cell r="BF91">
            <v>90</v>
          </cell>
          <cell r="BG91">
            <v>1</v>
          </cell>
          <cell r="BH91">
            <v>1</v>
          </cell>
          <cell r="BI91">
            <v>0</v>
          </cell>
          <cell r="BJ91">
            <v>0</v>
          </cell>
          <cell r="BK91">
            <v>0</v>
          </cell>
          <cell r="BL91">
            <v>1</v>
          </cell>
          <cell r="BM91">
            <v>0</v>
          </cell>
          <cell r="BN91">
            <v>1</v>
          </cell>
          <cell r="BO91">
            <v>38</v>
          </cell>
          <cell r="BP91">
            <v>0</v>
          </cell>
          <cell r="BQ91">
            <v>0.94502923976608189</v>
          </cell>
          <cell r="BR91">
            <v>4.76</v>
          </cell>
          <cell r="BS91">
            <v>0.13254950495049506</v>
          </cell>
          <cell r="BT91">
            <v>6.83</v>
          </cell>
          <cell r="BU91">
            <v>0.19019183168316833</v>
          </cell>
          <cell r="BV91">
            <v>0.32274133663366339</v>
          </cell>
          <cell r="BW91">
            <v>0</v>
          </cell>
          <cell r="BX91">
            <v>38</v>
          </cell>
          <cell r="BY91">
            <v>1.4176315789473684</v>
          </cell>
          <cell r="BZ91">
            <v>1.2253684210526314</v>
          </cell>
        </row>
        <row r="92">
          <cell r="A92" t="str">
            <v>Martin Dubravka</v>
          </cell>
          <cell r="B92" t="str">
            <v/>
          </cell>
          <cell r="C92" t="str">
            <v>Dubravka</v>
          </cell>
          <cell r="D92" t="str">
            <v/>
          </cell>
          <cell r="H92" t="str">
            <v/>
          </cell>
          <cell r="I92" t="e">
            <v>#N/A</v>
          </cell>
          <cell r="J92" t="e">
            <v>#N/A</v>
          </cell>
          <cell r="K92" t="e">
            <v>#N/A</v>
          </cell>
          <cell r="M92">
            <v>4.0198735683451625</v>
          </cell>
          <cell r="N92">
            <v>2.4685714285714284</v>
          </cell>
          <cell r="O92">
            <v>3.2057619047619044</v>
          </cell>
          <cell r="P92">
            <v>4.0198735683451625</v>
          </cell>
          <cell r="Q92">
            <v>2.4685714285714284</v>
          </cell>
          <cell r="R92">
            <v>0</v>
          </cell>
          <cell r="S92">
            <v>4.0198735683451625</v>
          </cell>
          <cell r="T92" t="str">
            <v>GK</v>
          </cell>
          <cell r="U92" t="str">
            <v/>
          </cell>
          <cell r="V92" t="str">
            <v>TOT</v>
          </cell>
          <cell r="W92" t="str">
            <v>Spurs</v>
          </cell>
          <cell r="X92">
            <v>4</v>
          </cell>
          <cell r="Y92">
            <v>95.999999999999986</v>
          </cell>
          <cell r="Z92">
            <v>0</v>
          </cell>
          <cell r="AA92">
            <v>95.999999999999986</v>
          </cell>
          <cell r="AB92">
            <v>3150</v>
          </cell>
          <cell r="AC92">
            <v>3150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0.23599999999999999</v>
          </cell>
          <cell r="AK92">
            <v>7</v>
          </cell>
          <cell r="AL92">
            <v>436</v>
          </cell>
          <cell r="AM92">
            <v>0</v>
          </cell>
          <cell r="AN92">
            <v>127</v>
          </cell>
          <cell r="AO92">
            <v>497</v>
          </cell>
          <cell r="AP92" t="str">
            <v>Dubravka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2.7</v>
          </cell>
          <cell r="BA92">
            <v>95.999999999999986</v>
          </cell>
          <cell r="BB92" t="str">
            <v/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0.9</v>
          </cell>
          <cell r="BH92">
            <v>1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 t="e">
            <v>#DIV/0!</v>
          </cell>
          <cell r="BO92">
            <v>38</v>
          </cell>
          <cell r="BP92">
            <v>0</v>
          </cell>
          <cell r="BQ92">
            <v>0.92105263157894735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38</v>
          </cell>
          <cell r="BY92">
            <v>1.4628947368421052</v>
          </cell>
          <cell r="BZ92">
            <v>1.1801052631578945</v>
          </cell>
        </row>
        <row r="93">
          <cell r="A93" t="str">
            <v>Mikkel Damsgaard</v>
          </cell>
          <cell r="B93" t="str">
            <v/>
          </cell>
          <cell r="C93" t="str">
            <v>Damsgaard</v>
          </cell>
          <cell r="D93" t="str">
            <v/>
          </cell>
          <cell r="F93" t="str">
            <v/>
          </cell>
          <cell r="H93" t="str">
            <v/>
          </cell>
          <cell r="I93">
            <v>1.3</v>
          </cell>
          <cell r="J93">
            <v>2.2333333333333329</v>
          </cell>
          <cell r="K93">
            <v>3.4</v>
          </cell>
          <cell r="M93">
            <v>4.0161803470867614</v>
          </cell>
          <cell r="N93">
            <v>3.8504398826979469</v>
          </cell>
          <cell r="O93">
            <v>4.0548207098796638</v>
          </cell>
          <cell r="P93">
            <v>4.0161803470867614</v>
          </cell>
          <cell r="Q93">
            <v>3.8504398826979469</v>
          </cell>
          <cell r="R93">
            <v>4.4827586206896557</v>
          </cell>
          <cell r="S93">
            <v>4.0161803470867614</v>
          </cell>
          <cell r="T93" t="str">
            <v>MID</v>
          </cell>
          <cell r="U93" t="str">
            <v>AM</v>
          </cell>
          <cell r="V93" t="str">
            <v>BRE</v>
          </cell>
          <cell r="W93" t="str">
            <v>Brentford</v>
          </cell>
          <cell r="X93">
            <v>5.5</v>
          </cell>
          <cell r="Y93">
            <v>113</v>
          </cell>
          <cell r="Z93">
            <v>12</v>
          </cell>
          <cell r="AA93">
            <v>101</v>
          </cell>
          <cell r="AB93">
            <v>2046</v>
          </cell>
          <cell r="AC93">
            <v>2046</v>
          </cell>
          <cell r="AD93">
            <v>0.62258953168044073</v>
          </cell>
          <cell r="AE93">
            <v>4</v>
          </cell>
          <cell r="AF93">
            <v>4</v>
          </cell>
          <cell r="AG93">
            <v>6.1143695014662783E-2</v>
          </cell>
          <cell r="AH93">
            <v>-6.2903225806451579E-2</v>
          </cell>
          <cell r="AI93">
            <v>-1.7595307917888103E-3</v>
          </cell>
          <cell r="AJ93">
            <v>6.9999999999998952E-3</v>
          </cell>
          <cell r="AK93">
            <v>9</v>
          </cell>
          <cell r="AL93">
            <v>467</v>
          </cell>
          <cell r="AM93">
            <v>0</v>
          </cell>
          <cell r="AN93">
            <v>0</v>
          </cell>
          <cell r="AO93">
            <v>96</v>
          </cell>
          <cell r="AP93" t="str">
            <v>Damsgaard</v>
          </cell>
          <cell r="AQ93">
            <v>1.7155425219941349</v>
          </cell>
          <cell r="AR93">
            <v>0</v>
          </cell>
          <cell r="AS93">
            <v>5.2991202346041053</v>
          </cell>
          <cell r="AT93">
            <v>9.1876832844574778</v>
          </cell>
          <cell r="AU93">
            <v>2.1730205278592378</v>
          </cell>
          <cell r="AV93">
            <v>9.1876832844574778</v>
          </cell>
          <cell r="AW93">
            <v>9.1876832844574778</v>
          </cell>
          <cell r="AX93">
            <v>0.21802052786974779</v>
          </cell>
          <cell r="AY93">
            <v>0</v>
          </cell>
          <cell r="AZ93">
            <v>3.4</v>
          </cell>
          <cell r="BA93">
            <v>113</v>
          </cell>
          <cell r="BB93" t="str">
            <v/>
          </cell>
          <cell r="BC93">
            <v>24</v>
          </cell>
          <cell r="BD93">
            <v>9</v>
          </cell>
          <cell r="BE93">
            <v>0.375</v>
          </cell>
          <cell r="BF93">
            <v>78</v>
          </cell>
          <cell r="BG93">
            <v>0.8666666666666667</v>
          </cell>
          <cell r="BH93">
            <v>1</v>
          </cell>
          <cell r="BI93">
            <v>9</v>
          </cell>
          <cell r="BJ93">
            <v>21</v>
          </cell>
          <cell r="BK93">
            <v>2</v>
          </cell>
          <cell r="BL93">
            <v>0.68571428571428572</v>
          </cell>
          <cell r="BM93">
            <v>0.25714285714285712</v>
          </cell>
          <cell r="BN93">
            <v>0.77032967032967037</v>
          </cell>
          <cell r="BO93">
            <v>38</v>
          </cell>
          <cell r="BP93">
            <v>0</v>
          </cell>
          <cell r="BQ93">
            <v>0.59824561403508769</v>
          </cell>
          <cell r="BR93">
            <v>2.61</v>
          </cell>
          <cell r="BS93">
            <v>0.11480938416422286</v>
          </cell>
          <cell r="BT93">
            <v>5.43</v>
          </cell>
          <cell r="BU93">
            <v>0.23885630498533722</v>
          </cell>
          <cell r="BV93">
            <v>0.35366568914956009</v>
          </cell>
          <cell r="BW93">
            <v>0</v>
          </cell>
          <cell r="BX93">
            <v>38</v>
          </cell>
          <cell r="BY93">
            <v>1.5555263157894736</v>
          </cell>
          <cell r="BZ93">
            <v>1.0874736842105261</v>
          </cell>
        </row>
        <row r="94">
          <cell r="A94" t="str">
            <v>Max Alleyne</v>
          </cell>
          <cell r="B94" t="str">
            <v/>
          </cell>
          <cell r="C94" t="str">
            <v>Alleyne</v>
          </cell>
          <cell r="D94" t="str">
            <v/>
          </cell>
          <cell r="F94" t="str">
            <v/>
          </cell>
          <cell r="H94" t="str">
            <v/>
          </cell>
          <cell r="I94" t="e">
            <v>#N/A</v>
          </cell>
          <cell r="J94" t="e">
            <v>#N/A</v>
          </cell>
          <cell r="K94" t="e">
            <v>#N/A</v>
          </cell>
          <cell r="M94">
            <v>4.0147938032661807</v>
          </cell>
          <cell r="N94">
            <v>2.5185185185185182</v>
          </cell>
          <cell r="O94">
            <v>2.6141396825396823</v>
          </cell>
          <cell r="P94">
            <v>4.0147938032661807</v>
          </cell>
          <cell r="Q94">
            <v>2.5185185185185182</v>
          </cell>
          <cell r="R94">
            <v>2.5185185185185182</v>
          </cell>
          <cell r="S94">
            <v>4.0147938032661807</v>
          </cell>
          <cell r="T94" t="str">
            <v>DEF</v>
          </cell>
          <cell r="U94" t="str">
            <v>CB</v>
          </cell>
          <cell r="V94" t="str">
            <v>MCI</v>
          </cell>
          <cell r="W94" t="str">
            <v>Man City</v>
          </cell>
          <cell r="X94">
            <v>5</v>
          </cell>
          <cell r="Y94">
            <v>5</v>
          </cell>
          <cell r="Z94">
            <v>0</v>
          </cell>
          <cell r="AA94">
            <v>5</v>
          </cell>
          <cell r="AB94">
            <v>135</v>
          </cell>
          <cell r="AC94">
            <v>135</v>
          </cell>
          <cell r="AD94">
            <v>0.5</v>
          </cell>
          <cell r="AE94">
            <v>0</v>
          </cell>
          <cell r="AF94">
            <v>0</v>
          </cell>
          <cell r="AG94">
            <v>-0.17333333333333334</v>
          </cell>
          <cell r="AH94">
            <v>-3.9999999999999994E-2</v>
          </cell>
          <cell r="AI94">
            <v>-0.21333333333333332</v>
          </cell>
          <cell r="AJ94">
            <v>9.9999999999988987E-4</v>
          </cell>
          <cell r="AK94">
            <v>0</v>
          </cell>
          <cell r="AL94">
            <v>27</v>
          </cell>
          <cell r="AM94">
            <v>0</v>
          </cell>
          <cell r="AN94">
            <v>0</v>
          </cell>
          <cell r="AO94">
            <v>394</v>
          </cell>
          <cell r="AP94" t="str">
            <v>Alleyne</v>
          </cell>
          <cell r="AQ94">
            <v>4.0296296296296301</v>
          </cell>
          <cell r="AR94">
            <v>0</v>
          </cell>
          <cell r="AS94">
            <v>2.0148148148148151</v>
          </cell>
          <cell r="AT94">
            <v>5.5407407407407412</v>
          </cell>
          <cell r="AU94">
            <v>1.5111111111111111</v>
          </cell>
          <cell r="AV94">
            <v>5.5407407407407412</v>
          </cell>
          <cell r="AW94">
            <v>5.5407407407407412</v>
          </cell>
          <cell r="AX94">
            <v>6.9311111111111143E-2</v>
          </cell>
          <cell r="AY94">
            <v>0</v>
          </cell>
          <cell r="AZ94">
            <v>2.5</v>
          </cell>
          <cell r="BA94">
            <v>5</v>
          </cell>
          <cell r="BB94" t="str">
            <v/>
          </cell>
          <cell r="BC94">
            <v>2</v>
          </cell>
          <cell r="BD94">
            <v>1</v>
          </cell>
          <cell r="BE94">
            <v>0.5</v>
          </cell>
          <cell r="BF94">
            <v>68</v>
          </cell>
          <cell r="BG94">
            <v>0.75555555555555554</v>
          </cell>
          <cell r="BH94">
            <v>1</v>
          </cell>
          <cell r="BI94">
            <v>0</v>
          </cell>
          <cell r="BJ94">
            <v>0</v>
          </cell>
          <cell r="BK94">
            <v>5</v>
          </cell>
          <cell r="BL94">
            <v>0.2857142857142857</v>
          </cell>
          <cell r="BM94">
            <v>0</v>
          </cell>
          <cell r="BN94">
            <v>0.2857142857142857</v>
          </cell>
          <cell r="BO94">
            <v>38</v>
          </cell>
          <cell r="BP94">
            <v>0</v>
          </cell>
          <cell r="BQ94">
            <v>3.9473684210526314E-2</v>
          </cell>
          <cell r="BR94">
            <v>0.26</v>
          </cell>
          <cell r="BS94">
            <v>0.17333333333333334</v>
          </cell>
          <cell r="BT94">
            <v>0.06</v>
          </cell>
          <cell r="BU94">
            <v>3.9999999999999994E-2</v>
          </cell>
          <cell r="BV94">
            <v>0.21333333333333332</v>
          </cell>
          <cell r="BW94">
            <v>0</v>
          </cell>
          <cell r="BX94">
            <v>38</v>
          </cell>
          <cell r="BY94">
            <v>1.223421052631579</v>
          </cell>
          <cell r="BZ94">
            <v>1.4195789473684208</v>
          </cell>
        </row>
        <row r="95">
          <cell r="A95" t="str">
            <v>Yéremy Pino Santos</v>
          </cell>
          <cell r="B95" t="str">
            <v/>
          </cell>
          <cell r="C95" t="str">
            <v>Yeremy</v>
          </cell>
          <cell r="D95" t="str">
            <v/>
          </cell>
          <cell r="E95" t="str">
            <v>Yeremi Pino</v>
          </cell>
          <cell r="F95" t="str">
            <v/>
          </cell>
          <cell r="H95" t="str">
            <v/>
          </cell>
          <cell r="I95" t="e">
            <v>#N/A</v>
          </cell>
          <cell r="J95" t="e">
            <v>#N/A</v>
          </cell>
          <cell r="K95" t="e">
            <v>#N/A</v>
          </cell>
          <cell r="M95">
            <v>4.0101561997367616</v>
          </cell>
          <cell r="N95">
            <v>2.7102217936354869</v>
          </cell>
          <cell r="O95">
            <v>3.3355052594634556</v>
          </cell>
          <cell r="P95">
            <v>3.9985543683189104</v>
          </cell>
          <cell r="Q95">
            <v>2.7102217936354869</v>
          </cell>
          <cell r="R95">
            <v>2.3215547703180213</v>
          </cell>
          <cell r="S95">
            <v>4.0101561997367616</v>
          </cell>
          <cell r="T95" t="str">
            <v>MID</v>
          </cell>
          <cell r="U95" t="str">
            <v/>
          </cell>
          <cell r="V95" t="str">
            <v>CRY</v>
          </cell>
          <cell r="W95" t="str">
            <v>Crystal Palace</v>
          </cell>
          <cell r="X95">
            <v>5.5</v>
          </cell>
          <cell r="Y95">
            <v>77</v>
          </cell>
          <cell r="Z95">
            <v>0</v>
          </cell>
          <cell r="AA95">
            <v>77</v>
          </cell>
          <cell r="AB95">
            <v>2074</v>
          </cell>
          <cell r="AC95">
            <v>2074</v>
          </cell>
          <cell r="AD95">
            <v>0.41176470588235292</v>
          </cell>
          <cell r="AE95">
            <v>2</v>
          </cell>
          <cell r="AF95">
            <v>2</v>
          </cell>
          <cell r="AG95">
            <v>-0.10978784956605596</v>
          </cell>
          <cell r="AH95">
            <v>-0.17878495660559302</v>
          </cell>
          <cell r="AI95">
            <v>-0.28857280617164893</v>
          </cell>
          <cell r="AJ95">
            <v>2.0000000000000018E-3</v>
          </cell>
          <cell r="AK95">
            <v>3</v>
          </cell>
          <cell r="AL95">
            <v>331</v>
          </cell>
          <cell r="AM95">
            <v>4</v>
          </cell>
          <cell r="AN95">
            <v>0</v>
          </cell>
          <cell r="AO95">
            <v>211</v>
          </cell>
          <cell r="AP95" t="str">
            <v>Yeremy</v>
          </cell>
          <cell r="AQ95">
            <v>1.0559305689488909</v>
          </cell>
          <cell r="AR95">
            <v>0</v>
          </cell>
          <cell r="AS95">
            <v>3.5549662487945999</v>
          </cell>
          <cell r="AT95">
            <v>5.8780135004821608</v>
          </cell>
          <cell r="AU95">
            <v>1.2671166827386693</v>
          </cell>
          <cell r="AV95">
            <v>5.8780135004821608</v>
          </cell>
          <cell r="AW95">
            <v>5.8780135004821608</v>
          </cell>
          <cell r="AX95">
            <v>4.4504959360793503E-2</v>
          </cell>
          <cell r="AY95">
            <v>0</v>
          </cell>
          <cell r="AZ95">
            <v>2.2999999999999998</v>
          </cell>
          <cell r="BA95">
            <v>77</v>
          </cell>
          <cell r="BB95" t="str">
            <v/>
          </cell>
          <cell r="BC95">
            <v>26</v>
          </cell>
          <cell r="BD95">
            <v>4</v>
          </cell>
          <cell r="BE95">
            <v>0.15384615384615385</v>
          </cell>
          <cell r="BF95">
            <v>73</v>
          </cell>
          <cell r="BG95">
            <v>0.81111111111111112</v>
          </cell>
          <cell r="BH95">
            <v>1</v>
          </cell>
          <cell r="BI95">
            <v>8</v>
          </cell>
          <cell r="BJ95">
            <v>23</v>
          </cell>
          <cell r="BK95">
            <v>2</v>
          </cell>
          <cell r="BL95">
            <v>0.72222222222222221</v>
          </cell>
          <cell r="BM95">
            <v>0.22222222222222224</v>
          </cell>
          <cell r="BN95">
            <v>0.80974124809741255</v>
          </cell>
          <cell r="BO95">
            <v>38</v>
          </cell>
          <cell r="BP95">
            <v>0</v>
          </cell>
          <cell r="BQ95">
            <v>0.60643274853801166</v>
          </cell>
          <cell r="BR95">
            <v>4.53</v>
          </cell>
          <cell r="BS95">
            <v>0.19657666345226618</v>
          </cell>
          <cell r="BT95">
            <v>6.12</v>
          </cell>
          <cell r="BU95">
            <v>0.26557377049180325</v>
          </cell>
          <cell r="BV95">
            <v>0.46215043394406941</v>
          </cell>
          <cell r="BW95">
            <v>0</v>
          </cell>
          <cell r="BX95">
            <v>38</v>
          </cell>
          <cell r="BY95">
            <v>1.631578947368421</v>
          </cell>
          <cell r="BZ95">
            <v>1.0114210526315788</v>
          </cell>
        </row>
        <row r="96">
          <cell r="A96" t="str">
            <v>Matthijs de Ligt</v>
          </cell>
          <cell r="B96" t="str">
            <v/>
          </cell>
          <cell r="C96" t="str">
            <v>De Ligt</v>
          </cell>
          <cell r="D96" t="str">
            <v/>
          </cell>
          <cell r="F96" t="str">
            <v/>
          </cell>
          <cell r="H96" t="str">
            <v/>
          </cell>
          <cell r="I96">
            <v>2.2999999999999998</v>
          </cell>
          <cell r="J96">
            <v>2.2999999999999998</v>
          </cell>
          <cell r="K96">
            <v>2.2999999999999998</v>
          </cell>
          <cell r="M96">
            <v>4.0094020842846856</v>
          </cell>
          <cell r="N96">
            <v>2.6923076923076925</v>
          </cell>
          <cell r="O96">
            <v>1.9556410256410257</v>
          </cell>
          <cell r="P96">
            <v>4.0094020842846856</v>
          </cell>
          <cell r="Q96">
            <v>2.6923076923076925</v>
          </cell>
          <cell r="R96">
            <v>0</v>
          </cell>
          <cell r="S96">
            <v>4.0094020842846856</v>
          </cell>
          <cell r="T96" t="str">
            <v>DEF</v>
          </cell>
          <cell r="U96" t="str">
            <v>CB</v>
          </cell>
          <cell r="V96" t="str">
            <v>MUN</v>
          </cell>
          <cell r="W96" t="str">
            <v>Man Utd</v>
          </cell>
          <cell r="X96">
            <v>5</v>
          </cell>
          <cell r="Y96">
            <v>43</v>
          </cell>
          <cell r="Z96">
            <v>8</v>
          </cell>
          <cell r="AA96">
            <v>35</v>
          </cell>
          <cell r="AB96">
            <v>1170</v>
          </cell>
          <cell r="AC96">
            <v>1170</v>
          </cell>
          <cell r="AD96">
            <v>0.66153846153846152</v>
          </cell>
          <cell r="AE96">
            <v>1</v>
          </cell>
          <cell r="AF96">
            <v>0</v>
          </cell>
          <cell r="AG96">
            <v>-2.9230769230769213E-2</v>
          </cell>
          <cell r="AH96">
            <v>-6.3846153846153844E-2</v>
          </cell>
          <cell r="AI96">
            <v>-9.3076923076923057E-2</v>
          </cell>
          <cell r="AJ96">
            <v>0</v>
          </cell>
          <cell r="AK96">
            <v>5</v>
          </cell>
          <cell r="AL96">
            <v>169</v>
          </cell>
          <cell r="AM96">
            <v>0</v>
          </cell>
          <cell r="AN96">
            <v>0</v>
          </cell>
          <cell r="AO96">
            <v>416</v>
          </cell>
          <cell r="AP96" t="str">
            <v>De Ligt</v>
          </cell>
          <cell r="AQ96">
            <v>6.7692307692307692</v>
          </cell>
          <cell r="AR96">
            <v>0</v>
          </cell>
          <cell r="AS96">
            <v>3.0769230769230771</v>
          </cell>
          <cell r="AT96">
            <v>8.2307692307692299</v>
          </cell>
          <cell r="AU96">
            <v>1.4615384615384617</v>
          </cell>
          <cell r="AV96">
            <v>8.2307692307692299</v>
          </cell>
          <cell r="AW96">
            <v>8.2307692307692299</v>
          </cell>
          <cell r="AX96">
            <v>0.31892307692307681</v>
          </cell>
          <cell r="AY96">
            <v>0</v>
          </cell>
          <cell r="AZ96">
            <v>3.3</v>
          </cell>
          <cell r="BA96">
            <v>43</v>
          </cell>
          <cell r="BB96">
            <v>0</v>
          </cell>
          <cell r="BC96">
            <v>13</v>
          </cell>
          <cell r="BD96">
            <v>13</v>
          </cell>
          <cell r="BE96">
            <v>1</v>
          </cell>
          <cell r="BF96">
            <v>90</v>
          </cell>
          <cell r="BG96">
            <v>1</v>
          </cell>
          <cell r="BH96">
            <v>1</v>
          </cell>
          <cell r="BI96">
            <v>0</v>
          </cell>
          <cell r="BJ96">
            <v>0</v>
          </cell>
          <cell r="BK96">
            <v>0</v>
          </cell>
          <cell r="BL96">
            <v>1</v>
          </cell>
          <cell r="BM96">
            <v>0</v>
          </cell>
          <cell r="BN96">
            <v>1</v>
          </cell>
          <cell r="BO96">
            <v>38</v>
          </cell>
          <cell r="BP96">
            <v>0</v>
          </cell>
          <cell r="BQ96">
            <v>0.34210526315789475</v>
          </cell>
          <cell r="BR96">
            <v>1.38</v>
          </cell>
          <cell r="BS96">
            <v>0.10615384615384614</v>
          </cell>
          <cell r="BT96">
            <v>0.83</v>
          </cell>
          <cell r="BU96">
            <v>6.3846153846153844E-2</v>
          </cell>
          <cell r="BV96">
            <v>0.16999999999999998</v>
          </cell>
          <cell r="BW96">
            <v>0</v>
          </cell>
          <cell r="BX96">
            <v>38</v>
          </cell>
          <cell r="BY96">
            <v>1.3231578947368421</v>
          </cell>
          <cell r="BZ96">
            <v>1.3198421052631577</v>
          </cell>
        </row>
        <row r="97">
          <cell r="A97" t="str">
            <v>Jack Hinshelwood</v>
          </cell>
          <cell r="B97" t="str">
            <v/>
          </cell>
          <cell r="C97" t="str">
            <v>Hinshelwood</v>
          </cell>
          <cell r="D97" t="str">
            <v/>
          </cell>
          <cell r="F97" t="str">
            <v/>
          </cell>
          <cell r="H97" t="str">
            <v/>
          </cell>
          <cell r="I97">
            <v>1</v>
          </cell>
          <cell r="J97">
            <v>2.6333333333333333</v>
          </cell>
          <cell r="K97">
            <v>3.5</v>
          </cell>
          <cell r="M97">
            <v>4.0055348997912699</v>
          </cell>
          <cell r="N97">
            <v>3.8963133640552998</v>
          </cell>
          <cell r="O97">
            <v>4.2678776928552704</v>
          </cell>
          <cell r="P97">
            <v>4.0055348997912699</v>
          </cell>
          <cell r="Q97">
            <v>3.8963133640552998</v>
          </cell>
          <cell r="R97">
            <v>4.6341463414634143</v>
          </cell>
          <cell r="S97">
            <v>4.0055348997912699</v>
          </cell>
          <cell r="T97" t="str">
            <v>MID</v>
          </cell>
          <cell r="U97" t="str">
            <v>DM</v>
          </cell>
          <cell r="V97" t="str">
            <v>BHA</v>
          </cell>
          <cell r="W97" t="str">
            <v>Brighton</v>
          </cell>
          <cell r="X97">
            <v>6</v>
          </cell>
          <cell r="Y97">
            <v>91</v>
          </cell>
          <cell r="Z97">
            <v>2</v>
          </cell>
          <cell r="AA97">
            <v>89</v>
          </cell>
          <cell r="AB97">
            <v>1736</v>
          </cell>
          <cell r="AC97">
            <v>1736</v>
          </cell>
          <cell r="AD97">
            <v>0.56172839506172834</v>
          </cell>
          <cell r="AE97">
            <v>4</v>
          </cell>
          <cell r="AF97">
            <v>5</v>
          </cell>
          <cell r="AG97">
            <v>-4.8732718894009264E-2</v>
          </cell>
          <cell r="AH97">
            <v>0.13790322580645165</v>
          </cell>
          <cell r="AI97">
            <v>8.9170506912442382E-2</v>
          </cell>
          <cell r="AJ97">
            <v>4.0000000000000036E-3</v>
          </cell>
          <cell r="AK97">
            <v>2</v>
          </cell>
          <cell r="AL97">
            <v>317</v>
          </cell>
          <cell r="AM97">
            <v>0</v>
          </cell>
          <cell r="AN97">
            <v>0</v>
          </cell>
          <cell r="AO97">
            <v>123</v>
          </cell>
          <cell r="AP97" t="str">
            <v>Hinshelwood</v>
          </cell>
          <cell r="AQ97">
            <v>1.532258064516129</v>
          </cell>
          <cell r="AR97">
            <v>0</v>
          </cell>
          <cell r="AS97">
            <v>2.6705069124423964</v>
          </cell>
          <cell r="AT97">
            <v>4.9907834101382482</v>
          </cell>
          <cell r="AU97">
            <v>0.78801843317972353</v>
          </cell>
          <cell r="AV97">
            <v>4.9907834101382482</v>
          </cell>
          <cell r="AW97">
            <v>4.9907834101382482</v>
          </cell>
          <cell r="AX97">
            <v>3.778736010533245E-2</v>
          </cell>
          <cell r="AY97">
            <v>0</v>
          </cell>
          <cell r="AZ97">
            <v>3.4</v>
          </cell>
          <cell r="BA97">
            <v>91</v>
          </cell>
          <cell r="BB97" t="str">
            <v/>
          </cell>
          <cell r="BC97">
            <v>20</v>
          </cell>
          <cell r="BD97">
            <v>4</v>
          </cell>
          <cell r="BE97">
            <v>0.2</v>
          </cell>
          <cell r="BF97">
            <v>76</v>
          </cell>
          <cell r="BG97">
            <v>0.84444444444444444</v>
          </cell>
          <cell r="BH97">
            <v>1</v>
          </cell>
          <cell r="BI97">
            <v>7</v>
          </cell>
          <cell r="BJ97">
            <v>32</v>
          </cell>
          <cell r="BK97">
            <v>2</v>
          </cell>
          <cell r="BL97">
            <v>0.68965517241379315</v>
          </cell>
          <cell r="BM97">
            <v>0.24137931034482757</v>
          </cell>
          <cell r="BN97">
            <v>0.82032667876588017</v>
          </cell>
          <cell r="BO97">
            <v>38</v>
          </cell>
          <cell r="BP97">
            <v>0</v>
          </cell>
          <cell r="BQ97">
            <v>0.5076023391812865</v>
          </cell>
          <cell r="BR97">
            <v>4.9400000000000004</v>
          </cell>
          <cell r="BS97">
            <v>0.25610599078341018</v>
          </cell>
          <cell r="BT97">
            <v>2.34</v>
          </cell>
          <cell r="BU97">
            <v>0.12131336405529952</v>
          </cell>
          <cell r="BV97">
            <v>0.3774193548387097</v>
          </cell>
          <cell r="BW97">
            <v>0</v>
          </cell>
          <cell r="BX97">
            <v>38</v>
          </cell>
          <cell r="BY97">
            <v>1.4144736842105263</v>
          </cell>
          <cell r="BZ97">
            <v>1.2285263157894735</v>
          </cell>
        </row>
        <row r="98">
          <cell r="A98" t="str">
            <v>Kiernan Dewsbury-Hall</v>
          </cell>
          <cell r="B98" t="str">
            <v/>
          </cell>
          <cell r="C98" t="str">
            <v>Dewsbury-Hall</v>
          </cell>
          <cell r="D98" t="str">
            <v/>
          </cell>
          <cell r="F98" t="str">
            <v/>
          </cell>
          <cell r="H98" t="str">
            <v/>
          </cell>
          <cell r="I98">
            <v>1.4</v>
          </cell>
          <cell r="J98">
            <v>2</v>
          </cell>
          <cell r="K98">
            <v>2.6</v>
          </cell>
          <cell r="M98">
            <v>4.0023274387787682</v>
          </cell>
          <cell r="N98">
            <v>4.6124001521491067</v>
          </cell>
          <cell r="O98">
            <v>3.6935143203566505</v>
          </cell>
          <cell r="P98">
            <v>4.0023274387787682</v>
          </cell>
          <cell r="Q98">
            <v>4.6124001521491067</v>
          </cell>
          <cell r="R98">
            <v>4.0337711069418383</v>
          </cell>
          <cell r="S98">
            <v>4.0023274387787682</v>
          </cell>
          <cell r="T98" t="str">
            <v>MID</v>
          </cell>
          <cell r="U98" t="str">
            <v>CM</v>
          </cell>
          <cell r="V98" t="str">
            <v>EVE</v>
          </cell>
          <cell r="W98" t="str">
            <v>Everton</v>
          </cell>
          <cell r="X98">
            <v>6.5</v>
          </cell>
          <cell r="Y98">
            <v>151</v>
          </cell>
          <cell r="Z98">
            <v>10</v>
          </cell>
          <cell r="AA98">
            <v>141</v>
          </cell>
          <cell r="AB98">
            <v>2629</v>
          </cell>
          <cell r="AC98">
            <v>2629</v>
          </cell>
          <cell r="AD98">
            <v>0.74937965260545902</v>
          </cell>
          <cell r="AE98">
            <v>8</v>
          </cell>
          <cell r="AF98">
            <v>7</v>
          </cell>
          <cell r="AG98">
            <v>0.12495245340433628</v>
          </cell>
          <cell r="AH98">
            <v>5.6827691137314534E-2</v>
          </cell>
          <cell r="AI98">
            <v>0.18178014454165081</v>
          </cell>
          <cell r="AJ98">
            <v>4.8999999999999932E-2</v>
          </cell>
          <cell r="AK98">
            <v>18</v>
          </cell>
          <cell r="AL98">
            <v>598</v>
          </cell>
          <cell r="AM98">
            <v>6</v>
          </cell>
          <cell r="AN98">
            <v>0</v>
          </cell>
          <cell r="AO98">
            <v>236</v>
          </cell>
          <cell r="AP98" t="str">
            <v>Dewsbury-Hall</v>
          </cell>
          <cell r="AQ98">
            <v>1.4393305439330544</v>
          </cell>
          <cell r="AR98">
            <v>0</v>
          </cell>
          <cell r="AS98">
            <v>4.3834157474324842</v>
          </cell>
          <cell r="AT98">
            <v>7.523773297831875</v>
          </cell>
          <cell r="AU98">
            <v>1.7010270064663373</v>
          </cell>
          <cell r="AV98">
            <v>7.523773297831875</v>
          </cell>
          <cell r="AW98">
            <v>7.523773297831875</v>
          </cell>
          <cell r="AX98">
            <v>9.0711677443894995E-2</v>
          </cell>
          <cell r="AY98">
            <v>0</v>
          </cell>
          <cell r="AZ98">
            <v>4.9000000000000004</v>
          </cell>
          <cell r="BA98">
            <v>151</v>
          </cell>
          <cell r="BB98" t="str">
            <v/>
          </cell>
          <cell r="BC98">
            <v>30</v>
          </cell>
          <cell r="BD98">
            <v>18</v>
          </cell>
          <cell r="BE98">
            <v>0.6</v>
          </cell>
          <cell r="BF98">
            <v>86</v>
          </cell>
          <cell r="BG98">
            <v>0.9555555555555556</v>
          </cell>
          <cell r="BH98">
            <v>1</v>
          </cell>
          <cell r="BI98">
            <v>1</v>
          </cell>
          <cell r="BJ98">
            <v>45</v>
          </cell>
          <cell r="BK98">
            <v>0</v>
          </cell>
          <cell r="BL98">
            <v>0.967741935483871</v>
          </cell>
          <cell r="BM98">
            <v>3.2258064516129004E-2</v>
          </cell>
          <cell r="BN98">
            <v>0.98462115528882233</v>
          </cell>
          <cell r="BO98">
            <v>38</v>
          </cell>
          <cell r="BP98">
            <v>0</v>
          </cell>
          <cell r="BQ98">
            <v>0.76871345029239768</v>
          </cell>
          <cell r="BR98">
            <v>4.3499999999999996</v>
          </cell>
          <cell r="BS98">
            <v>0.14891593761886648</v>
          </cell>
          <cell r="BT98">
            <v>5.34</v>
          </cell>
          <cell r="BU98">
            <v>0.18280715100798783</v>
          </cell>
          <cell r="BV98">
            <v>0.33172308862685429</v>
          </cell>
          <cell r="BW98">
            <v>0</v>
          </cell>
          <cell r="BX98">
            <v>38</v>
          </cell>
          <cell r="BY98">
            <v>1.5786842105263159</v>
          </cell>
          <cell r="BZ98">
            <v>1.0643157894736839</v>
          </cell>
        </row>
        <row r="99">
          <cell r="A99" t="str">
            <v>Ben Gannon-Doak</v>
          </cell>
          <cell r="B99" t="str">
            <v/>
          </cell>
          <cell r="C99" t="str">
            <v>Gannon-Doak</v>
          </cell>
          <cell r="D99" t="str">
            <v/>
          </cell>
          <cell r="H99" t="str">
            <v/>
          </cell>
          <cell r="I99">
            <v>2.5</v>
          </cell>
          <cell r="J99">
            <v>3.1999999999999997</v>
          </cell>
          <cell r="K99">
            <v>3.7</v>
          </cell>
          <cell r="M99">
            <v>3.9667001149599468</v>
          </cell>
          <cell r="N99">
            <v>0</v>
          </cell>
          <cell r="O99">
            <v>3.8962448979591837</v>
          </cell>
          <cell r="P99">
            <v>3.9667001149599468</v>
          </cell>
          <cell r="Q99">
            <v>8.4857142857142858</v>
          </cell>
          <cell r="R99">
            <v>4.9591836734693873</v>
          </cell>
          <cell r="S99">
            <v>3.9667001149599468</v>
          </cell>
          <cell r="T99" t="str">
            <v>MID</v>
          </cell>
          <cell r="U99" t="str">
            <v>RW</v>
          </cell>
          <cell r="V99" t="str">
            <v>BOU</v>
          </cell>
          <cell r="W99" t="str">
            <v>Bournemouth</v>
          </cell>
          <cell r="X99">
            <v>5</v>
          </cell>
          <cell r="Y99">
            <v>11</v>
          </cell>
          <cell r="Z99">
            <v>0</v>
          </cell>
          <cell r="AA99">
            <v>11</v>
          </cell>
          <cell r="AB99">
            <v>105</v>
          </cell>
          <cell r="AC99">
            <v>105</v>
          </cell>
          <cell r="AD99">
            <v>0.27500000000000002</v>
          </cell>
          <cell r="AE99">
            <v>0</v>
          </cell>
          <cell r="AF99">
            <v>1</v>
          </cell>
          <cell r="AG99">
            <v>-0.22285714285714289</v>
          </cell>
          <cell r="AH99">
            <v>0.74571428571428577</v>
          </cell>
          <cell r="AI99">
            <v>0.52285714285714291</v>
          </cell>
          <cell r="AJ99">
            <v>9.9999999999988987E-4</v>
          </cell>
          <cell r="AK99">
            <v>0</v>
          </cell>
          <cell r="AL99">
            <v>33</v>
          </cell>
          <cell r="AM99">
            <v>0</v>
          </cell>
          <cell r="AN99">
            <v>0</v>
          </cell>
          <cell r="AO99">
            <v>72</v>
          </cell>
          <cell r="AP99" t="str">
            <v>Gannon-Doak</v>
          </cell>
          <cell r="AQ99">
            <v>0.77142857142857146</v>
          </cell>
          <cell r="AR99">
            <v>0</v>
          </cell>
          <cell r="AS99">
            <v>4.6285714285714281</v>
          </cell>
          <cell r="AT99">
            <v>10.028571428571428</v>
          </cell>
          <cell r="AU99">
            <v>4.6285714285714281</v>
          </cell>
          <cell r="AV99">
            <v>10.028571428571428</v>
          </cell>
          <cell r="AW99">
            <v>10.028571428571428</v>
          </cell>
          <cell r="AX99">
            <v>0.31220000005759996</v>
          </cell>
          <cell r="AY99">
            <v>0</v>
          </cell>
          <cell r="AZ99">
            <v>1.4</v>
          </cell>
          <cell r="BA99">
            <v>11</v>
          </cell>
          <cell r="BB99" t="str">
            <v/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0.9</v>
          </cell>
          <cell r="BH99">
            <v>1</v>
          </cell>
          <cell r="BI99">
            <v>8</v>
          </cell>
          <cell r="BJ99">
            <v>14</v>
          </cell>
          <cell r="BK99">
            <v>11</v>
          </cell>
          <cell r="BL99">
            <v>0</v>
          </cell>
          <cell r="BM99">
            <v>0.42105263157894735</v>
          </cell>
          <cell r="BN99" t="e">
            <v>#DIV/0!</v>
          </cell>
          <cell r="BO99">
            <v>38</v>
          </cell>
          <cell r="BP99">
            <v>0</v>
          </cell>
          <cell r="BQ99">
            <v>3.0701754385964911E-2</v>
          </cell>
          <cell r="BR99">
            <v>0.26</v>
          </cell>
          <cell r="BS99">
            <v>0.22285714285714289</v>
          </cell>
          <cell r="BT99">
            <v>0.13</v>
          </cell>
          <cell r="BU99">
            <v>0.11142857142857145</v>
          </cell>
          <cell r="BV99">
            <v>0.33428571428571435</v>
          </cell>
          <cell r="BW99">
            <v>0</v>
          </cell>
          <cell r="BX99">
            <v>38</v>
          </cell>
          <cell r="BY99">
            <v>1.4939473684210527</v>
          </cell>
          <cell r="BZ99">
            <v>1.1490526315789471</v>
          </cell>
        </row>
        <row r="100">
          <cell r="A100" t="str">
            <v>Pascal Groß</v>
          </cell>
          <cell r="B100" t="str">
            <v/>
          </cell>
          <cell r="D100" t="str">
            <v/>
          </cell>
          <cell r="F100" t="str">
            <v/>
          </cell>
          <cell r="G100" t="str">
            <v>Pascal Gross</v>
          </cell>
          <cell r="H100" t="str">
            <v/>
          </cell>
          <cell r="I100" t="e">
            <v>#N/A</v>
          </cell>
          <cell r="J100" t="e">
            <v>#N/A</v>
          </cell>
          <cell r="K100" t="e">
            <v>#N/A</v>
          </cell>
          <cell r="M100">
            <v>3.9517757986904605</v>
          </cell>
          <cell r="N100">
            <v>4.2909535452322736</v>
          </cell>
          <cell r="O100">
            <v>3.8393675631621842</v>
          </cell>
          <cell r="P100">
            <v>3.9517757986904605</v>
          </cell>
          <cell r="Q100">
            <v>4.2909535452322736</v>
          </cell>
          <cell r="R100">
            <v>4.833333333333333</v>
          </cell>
          <cell r="S100">
            <v>3.9517757986904605</v>
          </cell>
          <cell r="T100" t="str">
            <v>MID</v>
          </cell>
          <cell r="U100" t="str">
            <v>CM</v>
          </cell>
          <cell r="V100" t="str">
            <v>BHA</v>
          </cell>
          <cell r="W100" t="str">
            <v>Brighton</v>
          </cell>
          <cell r="X100">
            <v>5.5</v>
          </cell>
          <cell r="Y100">
            <v>78</v>
          </cell>
          <cell r="Z100">
            <v>0</v>
          </cell>
          <cell r="AA100">
            <v>78</v>
          </cell>
          <cell r="AB100">
            <v>1636</v>
          </cell>
          <cell r="AC100">
            <v>1636</v>
          </cell>
          <cell r="AD100">
            <v>0.74641148325358853</v>
          </cell>
          <cell r="AE100">
            <v>1</v>
          </cell>
          <cell r="AF100">
            <v>6</v>
          </cell>
          <cell r="AG100">
            <v>-2.145476772616136E-2</v>
          </cell>
          <cell r="AH100">
            <v>0.11277506112469438</v>
          </cell>
          <cell r="AI100">
            <v>9.1320293398532981E-2</v>
          </cell>
          <cell r="AJ100">
            <v>1.8000000000000016E-2</v>
          </cell>
          <cell r="AK100">
            <v>10</v>
          </cell>
          <cell r="AL100">
            <v>389</v>
          </cell>
          <cell r="AM100">
            <v>2</v>
          </cell>
          <cell r="AN100">
            <v>0</v>
          </cell>
          <cell r="AO100">
            <v>124</v>
          </cell>
          <cell r="AP100" t="str">
            <v>Groß</v>
          </cell>
          <cell r="AQ100">
            <v>2.2004889975550124</v>
          </cell>
          <cell r="AR100">
            <v>0</v>
          </cell>
          <cell r="AS100">
            <v>4.1809290953545233</v>
          </cell>
          <cell r="AT100">
            <v>7.9767726161369197</v>
          </cell>
          <cell r="AU100">
            <v>1.5953545232273838</v>
          </cell>
          <cell r="AV100">
            <v>7.9767726161369197</v>
          </cell>
          <cell r="AW100">
            <v>7.9767726161369197</v>
          </cell>
          <cell r="AX100">
            <v>0.12332762836185823</v>
          </cell>
          <cell r="AY100">
            <v>0</v>
          </cell>
          <cell r="AZ100">
            <v>4.0999999999999996</v>
          </cell>
          <cell r="BA100">
            <v>78</v>
          </cell>
          <cell r="BB100" t="str">
            <v/>
          </cell>
          <cell r="BC100">
            <v>18</v>
          </cell>
          <cell r="BD100">
            <v>16</v>
          </cell>
          <cell r="BE100">
            <v>0.88888888888888884</v>
          </cell>
          <cell r="BF100">
            <v>90</v>
          </cell>
          <cell r="BG100">
            <v>1</v>
          </cell>
          <cell r="BH100">
            <v>1</v>
          </cell>
          <cell r="BI100">
            <v>1</v>
          </cell>
          <cell r="BJ100">
            <v>20</v>
          </cell>
          <cell r="BK100">
            <v>0</v>
          </cell>
          <cell r="BL100">
            <v>0.94736842105263153</v>
          </cell>
          <cell r="BM100">
            <v>5.2631578947368474E-2</v>
          </cell>
          <cell r="BN100">
            <v>0.95906432748538006</v>
          </cell>
          <cell r="BO100">
            <v>38</v>
          </cell>
          <cell r="BP100">
            <v>0</v>
          </cell>
          <cell r="BQ100">
            <v>0.47836257309941521</v>
          </cell>
          <cell r="BR100">
            <v>1.39</v>
          </cell>
          <cell r="BS100">
            <v>7.6466992665036662E-2</v>
          </cell>
          <cell r="BT100">
            <v>3.95</v>
          </cell>
          <cell r="BU100">
            <v>0.21729828850855748</v>
          </cell>
          <cell r="BV100">
            <v>0.29376528117359413</v>
          </cell>
          <cell r="BW100">
            <v>0</v>
          </cell>
          <cell r="BX100">
            <v>38</v>
          </cell>
          <cell r="BY100">
            <v>1.4144736842105263</v>
          </cell>
          <cell r="BZ100">
            <v>1.2285263157894735</v>
          </cell>
        </row>
        <row r="101">
          <cell r="A101" t="str">
            <v>Federico Chiesa</v>
          </cell>
          <cell r="B101" t="str">
            <v/>
          </cell>
          <cell r="C101" t="str">
            <v>Chiesa</v>
          </cell>
          <cell r="D101" t="str">
            <v/>
          </cell>
          <cell r="F101" t="str">
            <v/>
          </cell>
          <cell r="H101" t="str">
            <v/>
          </cell>
          <cell r="I101">
            <v>1.2</v>
          </cell>
          <cell r="J101">
            <v>1.2</v>
          </cell>
          <cell r="K101">
            <v>1.2</v>
          </cell>
          <cell r="M101">
            <v>3.9496581314739707</v>
          </cell>
          <cell r="N101">
            <v>7.0031545741324921</v>
          </cell>
          <cell r="O101">
            <v>2.4904574132492101</v>
          </cell>
          <cell r="P101">
            <v>3.9496581314739707</v>
          </cell>
          <cell r="Q101">
            <v>7.0031545741324921</v>
          </cell>
          <cell r="R101">
            <v>4.5</v>
          </cell>
          <cell r="S101">
            <v>3.9496581314739707</v>
          </cell>
          <cell r="T101" t="str">
            <v>MID</v>
          </cell>
          <cell r="U101" t="str">
            <v>RW</v>
          </cell>
          <cell r="V101" t="str">
            <v>LIV</v>
          </cell>
          <cell r="W101" t="str">
            <v>Liverpool</v>
          </cell>
          <cell r="X101">
            <v>5.5</v>
          </cell>
          <cell r="Y101">
            <v>37</v>
          </cell>
          <cell r="Z101">
            <v>0</v>
          </cell>
          <cell r="AA101">
            <v>37</v>
          </cell>
          <cell r="AB101">
            <v>317</v>
          </cell>
          <cell r="AC101">
            <v>317</v>
          </cell>
          <cell r="AD101">
            <v>0.25874125874125875</v>
          </cell>
          <cell r="AE101">
            <v>2</v>
          </cell>
          <cell r="AF101">
            <v>1</v>
          </cell>
          <cell r="AG101">
            <v>0.15615141955835971</v>
          </cell>
          <cell r="AH101">
            <v>0.11072555205047319</v>
          </cell>
          <cell r="AI101">
            <v>0.26687697160883284</v>
          </cell>
          <cell r="AJ101">
            <v>9.9999999999988987E-4</v>
          </cell>
          <cell r="AK101">
            <v>0</v>
          </cell>
          <cell r="AL101">
            <v>135</v>
          </cell>
          <cell r="AM101">
            <v>3</v>
          </cell>
          <cell r="AN101">
            <v>0</v>
          </cell>
          <cell r="AO101">
            <v>370</v>
          </cell>
          <cell r="AP101" t="str">
            <v>Chiesa</v>
          </cell>
          <cell r="AQ101">
            <v>2.4605678233438484</v>
          </cell>
          <cell r="AR101">
            <v>0</v>
          </cell>
          <cell r="AS101">
            <v>1.7034700315457414</v>
          </cell>
          <cell r="AT101">
            <v>5.6782334384858046</v>
          </cell>
          <cell r="AU101">
            <v>1.5141955835962144</v>
          </cell>
          <cell r="AV101">
            <v>5.6782334384858046</v>
          </cell>
          <cell r="AW101">
            <v>5.6782334384858046</v>
          </cell>
          <cell r="AX101">
            <v>4.299233889139252E-2</v>
          </cell>
          <cell r="AY101">
            <v>0</v>
          </cell>
          <cell r="AZ101">
            <v>1.4</v>
          </cell>
          <cell r="BA101">
            <v>37</v>
          </cell>
          <cell r="BB101" t="str">
            <v/>
          </cell>
          <cell r="BC101">
            <v>1</v>
          </cell>
          <cell r="BD101">
            <v>0</v>
          </cell>
          <cell r="BE101">
            <v>0</v>
          </cell>
          <cell r="BF101">
            <v>60</v>
          </cell>
          <cell r="BG101">
            <v>0.66666666666666663</v>
          </cell>
          <cell r="BH101">
            <v>1</v>
          </cell>
          <cell r="BI101">
            <v>25</v>
          </cell>
          <cell r="BJ101">
            <v>11</v>
          </cell>
          <cell r="BK101">
            <v>10</v>
          </cell>
          <cell r="BL101">
            <v>2.7777777777777776E-2</v>
          </cell>
          <cell r="BM101">
            <v>0.35714285714285715</v>
          </cell>
          <cell r="BN101">
            <v>0.20601851851851852</v>
          </cell>
          <cell r="BO101">
            <v>38</v>
          </cell>
          <cell r="BP101">
            <v>0</v>
          </cell>
          <cell r="BQ101">
            <v>9.269005847953217E-2</v>
          </cell>
          <cell r="BR101">
            <v>1.45</v>
          </cell>
          <cell r="BS101">
            <v>0.41167192429022076</v>
          </cell>
          <cell r="BT101">
            <v>0.61</v>
          </cell>
          <cell r="BU101">
            <v>0.17318611987381705</v>
          </cell>
          <cell r="BV101">
            <v>0.58485804416403786</v>
          </cell>
          <cell r="BW101">
            <v>0</v>
          </cell>
          <cell r="BX101">
            <v>38</v>
          </cell>
          <cell r="BY101">
            <v>1.4176315789473684</v>
          </cell>
          <cell r="BZ101">
            <v>1.2253684210526314</v>
          </cell>
        </row>
        <row r="102">
          <cell r="A102" t="str">
            <v>Mathys Tel</v>
          </cell>
          <cell r="B102" t="str">
            <v/>
          </cell>
          <cell r="C102" t="str">
            <v>Tel</v>
          </cell>
          <cell r="D102" t="str">
            <v/>
          </cell>
          <cell r="F102" t="str">
            <v/>
          </cell>
          <cell r="H102" t="str">
            <v/>
          </cell>
          <cell r="I102">
            <v>3.2</v>
          </cell>
          <cell r="J102">
            <v>3.2</v>
          </cell>
          <cell r="K102">
            <v>3.2</v>
          </cell>
          <cell r="M102">
            <v>3.9427944306647453</v>
          </cell>
          <cell r="N102">
            <v>4.5607196401799106</v>
          </cell>
          <cell r="O102">
            <v>3.5192083958020994</v>
          </cell>
          <cell r="P102">
            <v>3.9427944306647453</v>
          </cell>
          <cell r="Q102">
            <v>4.5607196401799106</v>
          </cell>
          <cell r="R102">
            <v>3.9565217391304346</v>
          </cell>
          <cell r="S102">
            <v>3.9427944306647453</v>
          </cell>
          <cell r="T102" t="str">
            <v>MID</v>
          </cell>
          <cell r="U102" t="str">
            <v>CF</v>
          </cell>
          <cell r="V102" t="str">
            <v>TOT</v>
          </cell>
          <cell r="W102" t="str">
            <v>Spurs</v>
          </cell>
          <cell r="X102">
            <v>6</v>
          </cell>
          <cell r="Y102">
            <v>78</v>
          </cell>
          <cell r="Z102">
            <v>0</v>
          </cell>
          <cell r="AA102">
            <v>78</v>
          </cell>
          <cell r="AB102">
            <v>1334</v>
          </cell>
          <cell r="AC102">
            <v>1334</v>
          </cell>
          <cell r="AD102">
            <v>0.41935483870967744</v>
          </cell>
          <cell r="AE102">
            <v>4</v>
          </cell>
          <cell r="AF102">
            <v>2</v>
          </cell>
          <cell r="AG102">
            <v>0.10322338830584707</v>
          </cell>
          <cell r="AH102">
            <v>-2.9010494752623711E-2</v>
          </cell>
          <cell r="AI102">
            <v>7.4212893553223303E-2</v>
          </cell>
          <cell r="AJ102">
            <v>2.0000000000000018E-3</v>
          </cell>
          <cell r="AK102">
            <v>7</v>
          </cell>
          <cell r="AL102">
            <v>266</v>
          </cell>
          <cell r="AM102">
            <v>1</v>
          </cell>
          <cell r="AN102">
            <v>0</v>
          </cell>
          <cell r="AO102">
            <v>514</v>
          </cell>
          <cell r="AP102" t="str">
            <v>Tel</v>
          </cell>
          <cell r="AQ102">
            <v>1.1109445277361321</v>
          </cell>
          <cell r="AR102">
            <v>0</v>
          </cell>
          <cell r="AS102">
            <v>4.2098950524737635</v>
          </cell>
          <cell r="AT102">
            <v>6.4902548725637184</v>
          </cell>
          <cell r="AU102">
            <v>1.169415292353823</v>
          </cell>
          <cell r="AV102">
            <v>6.4902548725637184</v>
          </cell>
          <cell r="AW102">
            <v>6.4902548725637184</v>
          </cell>
          <cell r="AX102">
            <v>4.9140501177982437E-2</v>
          </cell>
          <cell r="AY102">
            <v>0</v>
          </cell>
          <cell r="AZ102">
            <v>2.5</v>
          </cell>
          <cell r="BA102">
            <v>78</v>
          </cell>
          <cell r="BB102" t="str">
            <v/>
          </cell>
          <cell r="BC102">
            <v>13</v>
          </cell>
          <cell r="BD102">
            <v>3</v>
          </cell>
          <cell r="BE102">
            <v>0.23076923076923078</v>
          </cell>
          <cell r="BF102">
            <v>78</v>
          </cell>
          <cell r="BG102">
            <v>0.8666666666666667</v>
          </cell>
          <cell r="BH102">
            <v>1</v>
          </cell>
          <cell r="BI102">
            <v>18</v>
          </cell>
          <cell r="BJ102">
            <v>19</v>
          </cell>
          <cell r="BK102">
            <v>7</v>
          </cell>
          <cell r="BL102">
            <v>0.34210526315789475</v>
          </cell>
          <cell r="BM102">
            <v>0.47368421052631582</v>
          </cell>
          <cell r="BN102">
            <v>0.50236167341430504</v>
          </cell>
          <cell r="BO102">
            <v>38</v>
          </cell>
          <cell r="BP102">
            <v>0</v>
          </cell>
          <cell r="BQ102">
            <v>0.39005847953216372</v>
          </cell>
          <cell r="BR102">
            <v>2.4700000000000002</v>
          </cell>
          <cell r="BS102">
            <v>0.1666416791604198</v>
          </cell>
          <cell r="BT102">
            <v>2.4300000000000002</v>
          </cell>
          <cell r="BU102">
            <v>0.16394302848575715</v>
          </cell>
          <cell r="BV102">
            <v>0.33058470764617698</v>
          </cell>
          <cell r="BW102">
            <v>0</v>
          </cell>
          <cell r="BX102">
            <v>38</v>
          </cell>
          <cell r="BY102">
            <v>1.4628947368421052</v>
          </cell>
          <cell r="BZ102">
            <v>1.1801052631578945</v>
          </cell>
        </row>
        <row r="103">
          <cell r="A103" t="str">
            <v>Jack Grealish</v>
          </cell>
          <cell r="B103" t="str">
            <v/>
          </cell>
          <cell r="C103" t="str">
            <v>Grealish</v>
          </cell>
          <cell r="D103" t="str">
            <v/>
          </cell>
          <cell r="F103" t="str">
            <v/>
          </cell>
          <cell r="H103" t="str">
            <v/>
          </cell>
          <cell r="I103">
            <v>1.9</v>
          </cell>
          <cell r="J103">
            <v>2.9</v>
          </cell>
          <cell r="K103">
            <v>4.3</v>
          </cell>
          <cell r="M103">
            <v>3.9271380746278375</v>
          </cell>
          <cell r="N103">
            <v>4.2728948985863555</v>
          </cell>
          <cell r="O103">
            <v>2.3665642286416717</v>
          </cell>
          <cell r="P103">
            <v>4.0074584459821896</v>
          </cell>
          <cell r="Q103">
            <v>4.2728948985863555</v>
          </cell>
          <cell r="R103">
            <v>0</v>
          </cell>
          <cell r="S103">
            <v>3.9271380746278375</v>
          </cell>
          <cell r="T103" t="str">
            <v>MID</v>
          </cell>
          <cell r="U103" t="str">
            <v>LW</v>
          </cell>
          <cell r="V103" t="str">
            <v>MCI</v>
          </cell>
          <cell r="W103" t="str">
            <v>Man City</v>
          </cell>
          <cell r="X103">
            <v>6.5</v>
          </cell>
          <cell r="Y103">
            <v>79</v>
          </cell>
          <cell r="Z103">
            <v>0</v>
          </cell>
          <cell r="AA103">
            <v>79</v>
          </cell>
          <cell r="AB103">
            <v>1627</v>
          </cell>
          <cell r="AC103">
            <v>1627</v>
          </cell>
          <cell r="AD103">
            <v>0.60769230769230775</v>
          </cell>
          <cell r="AE103">
            <v>2</v>
          </cell>
          <cell r="AF103">
            <v>6</v>
          </cell>
          <cell r="AG103">
            <v>-2.7658266748616933E-3</v>
          </cell>
          <cell r="AH103">
            <v>0.14548248309772585</v>
          </cell>
          <cell r="AI103">
            <v>0.14271665642286413</v>
          </cell>
          <cell r="AJ103">
            <v>4.0000000000000036E-3</v>
          </cell>
          <cell r="AK103">
            <v>12</v>
          </cell>
          <cell r="AL103">
            <v>356</v>
          </cell>
          <cell r="AM103">
            <v>3</v>
          </cell>
          <cell r="AN103">
            <v>0</v>
          </cell>
          <cell r="AO103">
            <v>238</v>
          </cell>
          <cell r="AP103" t="str">
            <v>Grealish</v>
          </cell>
          <cell r="AQ103">
            <v>1.4603564843269823</v>
          </cell>
          <cell r="AR103">
            <v>0</v>
          </cell>
          <cell r="AS103">
            <v>4.7596803933620153</v>
          </cell>
          <cell r="AT103">
            <v>7.3017824216349103</v>
          </cell>
          <cell r="AU103">
            <v>1.0817455439459125</v>
          </cell>
          <cell r="AV103">
            <v>7.3017824216349103</v>
          </cell>
          <cell r="AW103">
            <v>7.3017824216349103</v>
          </cell>
          <cell r="AX103">
            <v>7.4728334357713547E-2</v>
          </cell>
          <cell r="AY103">
            <v>0</v>
          </cell>
          <cell r="AZ103">
            <v>4</v>
          </cell>
          <cell r="BA103">
            <v>79</v>
          </cell>
          <cell r="BB103" t="str">
            <v/>
          </cell>
          <cell r="BC103">
            <v>18</v>
          </cell>
          <cell r="BD103">
            <v>11</v>
          </cell>
          <cell r="BE103">
            <v>0.61111111111111116</v>
          </cell>
          <cell r="BF103">
            <v>88</v>
          </cell>
          <cell r="BG103">
            <v>0.97777777777777775</v>
          </cell>
          <cell r="BH103">
            <v>1</v>
          </cell>
          <cell r="BI103">
            <v>2</v>
          </cell>
          <cell r="BJ103">
            <v>20</v>
          </cell>
          <cell r="BK103">
            <v>0</v>
          </cell>
          <cell r="BL103">
            <v>0.9</v>
          </cell>
          <cell r="BM103">
            <v>9.9999999999999978E-2</v>
          </cell>
          <cell r="BN103">
            <v>0.92272727272727273</v>
          </cell>
          <cell r="BO103">
            <v>38</v>
          </cell>
          <cell r="BP103">
            <v>0</v>
          </cell>
          <cell r="BQ103">
            <v>0.47573099415204678</v>
          </cell>
          <cell r="BR103">
            <v>2.0499999999999998</v>
          </cell>
          <cell r="BS103">
            <v>0.11339889366933004</v>
          </cell>
          <cell r="BT103">
            <v>3.37</v>
          </cell>
          <cell r="BU103">
            <v>0.18641671788567918</v>
          </cell>
          <cell r="BV103">
            <v>0.29981561155500924</v>
          </cell>
          <cell r="BW103">
            <v>0</v>
          </cell>
          <cell r="BX103">
            <v>38</v>
          </cell>
          <cell r="BY103">
            <v>1.223421052631579</v>
          </cell>
          <cell r="BZ103">
            <v>1.4195789473684208</v>
          </cell>
        </row>
        <row r="104">
          <cell r="A104" t="str">
            <v>Arnaud Kalimuendo</v>
          </cell>
          <cell r="B104" t="str">
            <v/>
          </cell>
          <cell r="C104" t="str">
            <v>Kalimuendo</v>
          </cell>
          <cell r="D104" t="str">
            <v/>
          </cell>
          <cell r="F104" t="str">
            <v/>
          </cell>
          <cell r="H104" t="str">
            <v/>
          </cell>
          <cell r="I104" t="e">
            <v>#N/A</v>
          </cell>
          <cell r="J104" t="e">
            <v>#N/A</v>
          </cell>
          <cell r="K104" t="e">
            <v>#N/A</v>
          </cell>
          <cell r="M104">
            <v>3.9209438202247191</v>
          </cell>
          <cell r="N104">
            <v>8.191011235955056</v>
          </cell>
          <cell r="O104">
            <v>2.2426966292134831</v>
          </cell>
          <cell r="P104">
            <v>3.9209438202247191</v>
          </cell>
          <cell r="Q104">
            <v>8.191011235955056</v>
          </cell>
          <cell r="R104">
            <v>0</v>
          </cell>
          <cell r="S104">
            <v>3.9209438202247191</v>
          </cell>
          <cell r="T104" t="str">
            <v>FWD</v>
          </cell>
          <cell r="U104" t="str">
            <v>CF</v>
          </cell>
          <cell r="V104" t="str">
            <v>NFO</v>
          </cell>
          <cell r="W104" t="str">
            <v>Nott'm Forest</v>
          </cell>
          <cell r="X104">
            <v>5.5</v>
          </cell>
          <cell r="Y104">
            <v>9</v>
          </cell>
          <cell r="Z104">
            <v>0</v>
          </cell>
          <cell r="AA104">
            <v>9</v>
          </cell>
          <cell r="AB104">
            <v>89</v>
          </cell>
          <cell r="AC104">
            <v>89</v>
          </cell>
          <cell r="AD104">
            <v>0.18181818181818182</v>
          </cell>
          <cell r="AE104">
            <v>0</v>
          </cell>
          <cell r="AF104">
            <v>0</v>
          </cell>
          <cell r="AG104">
            <v>-0.44494382022471907</v>
          </cell>
          <cell r="AH104">
            <v>-2.0224719101123598E-2</v>
          </cell>
          <cell r="AI104">
            <v>-0.46516853932584268</v>
          </cell>
          <cell r="AJ104">
            <v>9.9999999999988987E-4</v>
          </cell>
          <cell r="AK104">
            <v>0</v>
          </cell>
          <cell r="AL104">
            <v>24</v>
          </cell>
          <cell r="AM104">
            <v>0</v>
          </cell>
          <cell r="AN104">
            <v>0</v>
          </cell>
          <cell r="AO104">
            <v>493</v>
          </cell>
          <cell r="AP104" t="str">
            <v>Kalimuendo</v>
          </cell>
          <cell r="AQ104">
            <v>0.9101123595505618</v>
          </cell>
          <cell r="AR104">
            <v>0</v>
          </cell>
          <cell r="AS104">
            <v>3.6404494382022472</v>
          </cell>
          <cell r="AT104">
            <v>5.4606741573033704</v>
          </cell>
          <cell r="AU104">
            <v>0.9101123595505618</v>
          </cell>
          <cell r="AV104">
            <v>5.4606741573033704</v>
          </cell>
          <cell r="AW104">
            <v>5.4606741573033704</v>
          </cell>
          <cell r="AX104">
            <v>4.1345104333868378E-2</v>
          </cell>
          <cell r="AY104">
            <v>0</v>
          </cell>
          <cell r="AZ104">
            <v>1</v>
          </cell>
          <cell r="BA104">
            <v>9</v>
          </cell>
          <cell r="BB104" t="str">
            <v/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0.9</v>
          </cell>
          <cell r="BH104">
            <v>1</v>
          </cell>
          <cell r="BI104">
            <v>9</v>
          </cell>
          <cell r="BJ104">
            <v>11</v>
          </cell>
          <cell r="BK104">
            <v>9</v>
          </cell>
          <cell r="BL104">
            <v>0</v>
          </cell>
          <cell r="BM104">
            <v>0.5</v>
          </cell>
          <cell r="BN104" t="e">
            <v>#DIV/0!</v>
          </cell>
          <cell r="BO104">
            <v>38</v>
          </cell>
          <cell r="BP104">
            <v>0</v>
          </cell>
          <cell r="BQ104">
            <v>2.6023391812865497E-2</v>
          </cell>
          <cell r="BR104">
            <v>0.44</v>
          </cell>
          <cell r="BS104">
            <v>0.44494382022471907</v>
          </cell>
          <cell r="BT104">
            <v>0.02</v>
          </cell>
          <cell r="BU104">
            <v>2.0224719101123598E-2</v>
          </cell>
          <cell r="BV104">
            <v>0.46516853932584268</v>
          </cell>
          <cell r="BW104">
            <v>0</v>
          </cell>
          <cell r="BX104">
            <v>38</v>
          </cell>
          <cell r="BY104">
            <v>1.7036842105263157</v>
          </cell>
          <cell r="BZ104">
            <v>0.9393157894736841</v>
          </cell>
        </row>
        <row r="105">
          <cell r="A105" t="str">
            <v>Karl Darlow</v>
          </cell>
          <cell r="B105" t="str">
            <v/>
          </cell>
          <cell r="C105" t="str">
            <v>Darlow</v>
          </cell>
          <cell r="D105" t="str">
            <v/>
          </cell>
          <cell r="F105" t="str">
            <v/>
          </cell>
          <cell r="H105" t="str">
            <v/>
          </cell>
          <cell r="I105" t="e">
            <v>#N/A</v>
          </cell>
          <cell r="J105" t="e">
            <v>#N/A</v>
          </cell>
          <cell r="K105" t="e">
            <v>#N/A</v>
          </cell>
          <cell r="M105">
            <v>3.9206538325364337</v>
          </cell>
          <cell r="N105">
            <v>3.2272727272727275</v>
          </cell>
          <cell r="O105">
            <v>2.7694242424242428</v>
          </cell>
          <cell r="P105">
            <v>3.9206538325364337</v>
          </cell>
          <cell r="Q105">
            <v>3.2272727272727275</v>
          </cell>
          <cell r="R105">
            <v>4.1666666666666661</v>
          </cell>
          <cell r="S105">
            <v>3.9206538325364337</v>
          </cell>
          <cell r="T105" t="str">
            <v>GK</v>
          </cell>
          <cell r="U105" t="str">
            <v>GK</v>
          </cell>
          <cell r="V105" t="str">
            <v>MUN</v>
          </cell>
          <cell r="W105" t="str">
            <v>Man Utd</v>
          </cell>
          <cell r="X105">
            <v>4.5</v>
          </cell>
          <cell r="Y105">
            <v>71</v>
          </cell>
          <cell r="Z105">
            <v>0</v>
          </cell>
          <cell r="AA105">
            <v>71</v>
          </cell>
          <cell r="AB105">
            <v>1980</v>
          </cell>
          <cell r="AC105">
            <v>1980</v>
          </cell>
          <cell r="AD105">
            <v>0.71717171717171713</v>
          </cell>
          <cell r="AE105">
            <v>0</v>
          </cell>
          <cell r="AF105">
            <v>0</v>
          </cell>
          <cell r="AG105">
            <v>0</v>
          </cell>
          <cell r="AH105">
            <v>-2.2727272727272726E-3</v>
          </cell>
          <cell r="AI105">
            <v>-2.2727272727272726E-3</v>
          </cell>
          <cell r="AJ105">
            <v>9.9999999999988987E-4</v>
          </cell>
          <cell r="AK105">
            <v>3</v>
          </cell>
          <cell r="AL105">
            <v>334</v>
          </cell>
          <cell r="AM105">
            <v>1</v>
          </cell>
          <cell r="AN105">
            <v>63</v>
          </cell>
          <cell r="AO105">
            <v>325</v>
          </cell>
          <cell r="AP105" t="str">
            <v>Darlow</v>
          </cell>
          <cell r="AQ105">
            <v>1.3636363636363638</v>
          </cell>
          <cell r="AR105">
            <v>0</v>
          </cell>
          <cell r="AS105">
            <v>9.1818181818181817</v>
          </cell>
          <cell r="AT105">
            <v>0</v>
          </cell>
          <cell r="AU105">
            <v>4.5454545454545456E-2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3.2</v>
          </cell>
          <cell r="BA105">
            <v>71</v>
          </cell>
          <cell r="BB105">
            <v>75</v>
          </cell>
          <cell r="BC105">
            <v>22</v>
          </cell>
          <cell r="BD105">
            <v>22</v>
          </cell>
          <cell r="BE105">
            <v>1</v>
          </cell>
          <cell r="BF105">
            <v>90</v>
          </cell>
          <cell r="BG105">
            <v>1</v>
          </cell>
          <cell r="BH105">
            <v>1</v>
          </cell>
          <cell r="BI105">
            <v>0</v>
          </cell>
          <cell r="BJ105">
            <v>0</v>
          </cell>
          <cell r="BK105">
            <v>15</v>
          </cell>
          <cell r="BL105">
            <v>0.59459459459459463</v>
          </cell>
          <cell r="BM105">
            <v>0</v>
          </cell>
          <cell r="BN105">
            <v>0.59459459459459463</v>
          </cell>
          <cell r="BO105">
            <v>38</v>
          </cell>
          <cell r="BP105">
            <v>0</v>
          </cell>
          <cell r="BQ105">
            <v>0.57894736842105265</v>
          </cell>
          <cell r="BR105">
            <v>0</v>
          </cell>
          <cell r="BS105">
            <v>0</v>
          </cell>
          <cell r="BT105">
            <v>0.05</v>
          </cell>
          <cell r="BU105">
            <v>2.2727272727272726E-3</v>
          </cell>
          <cell r="BV105">
            <v>2.2727272727272726E-3</v>
          </cell>
          <cell r="BW105">
            <v>0</v>
          </cell>
          <cell r="BX105">
            <v>38</v>
          </cell>
          <cell r="BY105">
            <v>1.3231578947368421</v>
          </cell>
          <cell r="BZ105">
            <v>1.3198421052631577</v>
          </cell>
        </row>
        <row r="106">
          <cell r="A106" t="str">
            <v>Yankuba Minteh</v>
          </cell>
          <cell r="B106" t="str">
            <v/>
          </cell>
          <cell r="C106" t="str">
            <v>Minteh</v>
          </cell>
          <cell r="D106" t="str">
            <v/>
          </cell>
          <cell r="F106" t="str">
            <v/>
          </cell>
          <cell r="H106" t="str">
            <v/>
          </cell>
          <cell r="I106">
            <v>3.2</v>
          </cell>
          <cell r="J106">
            <v>3.2</v>
          </cell>
          <cell r="K106">
            <v>3.2</v>
          </cell>
          <cell r="M106">
            <v>3.9188027682667901</v>
          </cell>
          <cell r="N106">
            <v>3.9259104227710337</v>
          </cell>
          <cell r="O106">
            <v>3.4197645166820547</v>
          </cell>
          <cell r="P106">
            <v>3.9188027682667901</v>
          </cell>
          <cell r="Q106">
            <v>3.9259104227710337</v>
          </cell>
          <cell r="R106">
            <v>3.2785862785862792</v>
          </cell>
          <cell r="S106">
            <v>3.9188027682667901</v>
          </cell>
          <cell r="T106" t="str">
            <v>MID</v>
          </cell>
          <cell r="U106" t="str">
            <v>RW</v>
          </cell>
          <cell r="V106" t="str">
            <v>BHA</v>
          </cell>
          <cell r="W106" t="str">
            <v>Brighton</v>
          </cell>
          <cell r="X106">
            <v>6</v>
          </cell>
          <cell r="Y106">
            <v>117</v>
          </cell>
          <cell r="Z106">
            <v>4</v>
          </cell>
          <cell r="AA106">
            <v>113</v>
          </cell>
          <cell r="AB106">
            <v>2389</v>
          </cell>
          <cell r="AC106">
            <v>2389</v>
          </cell>
          <cell r="AD106">
            <v>0.57352941176470595</v>
          </cell>
          <cell r="AE106">
            <v>3</v>
          </cell>
          <cell r="AF106">
            <v>8</v>
          </cell>
          <cell r="AG106">
            <v>-3.0514859773963995E-2</v>
          </cell>
          <cell r="AH106">
            <v>0.11075763917957307</v>
          </cell>
          <cell r="AI106">
            <v>8.0242779405609088E-2</v>
          </cell>
          <cell r="AJ106">
            <v>8.0000000000000071E-3</v>
          </cell>
          <cell r="AK106">
            <v>9</v>
          </cell>
          <cell r="AL106">
            <v>466</v>
          </cell>
          <cell r="AM106">
            <v>3</v>
          </cell>
          <cell r="AN106">
            <v>0</v>
          </cell>
          <cell r="AO106">
            <v>122</v>
          </cell>
          <cell r="AP106" t="str">
            <v>Minteh</v>
          </cell>
          <cell r="AQ106">
            <v>1.1465048137295941</v>
          </cell>
          <cell r="AR106">
            <v>0</v>
          </cell>
          <cell r="AS106">
            <v>3.3352867308497278</v>
          </cell>
          <cell r="AT106">
            <v>6.4273754709083297</v>
          </cell>
          <cell r="AU106">
            <v>1.945583926329008</v>
          </cell>
          <cell r="AV106">
            <v>6.4273754709083297</v>
          </cell>
          <cell r="AW106">
            <v>6.4273754709083297</v>
          </cell>
          <cell r="AX106">
            <v>4.8664414279734496E-2</v>
          </cell>
          <cell r="AY106">
            <v>0</v>
          </cell>
          <cell r="AZ106">
            <v>3.4</v>
          </cell>
          <cell r="BA106">
            <v>117</v>
          </cell>
          <cell r="BB106" t="str">
            <v/>
          </cell>
          <cell r="BC106">
            <v>26</v>
          </cell>
          <cell r="BD106">
            <v>11</v>
          </cell>
          <cell r="BE106">
            <v>0.42307692307692307</v>
          </cell>
          <cell r="BF106">
            <v>83</v>
          </cell>
          <cell r="BG106">
            <v>0.92222222222222228</v>
          </cell>
          <cell r="BH106">
            <v>1</v>
          </cell>
          <cell r="BI106">
            <v>8</v>
          </cell>
          <cell r="BJ106">
            <v>29</v>
          </cell>
          <cell r="BK106">
            <v>2</v>
          </cell>
          <cell r="BL106">
            <v>0.72222222222222221</v>
          </cell>
          <cell r="BM106">
            <v>0.22222222222222224</v>
          </cell>
          <cell r="BN106">
            <v>0.81927710843373491</v>
          </cell>
          <cell r="BO106">
            <v>38</v>
          </cell>
          <cell r="BP106">
            <v>0</v>
          </cell>
          <cell r="BQ106">
            <v>0.69853801169590646</v>
          </cell>
          <cell r="BR106">
            <v>3.81</v>
          </cell>
          <cell r="BS106">
            <v>0.14353285893679363</v>
          </cell>
          <cell r="BT106">
            <v>5.0599999999999996</v>
          </cell>
          <cell r="BU106">
            <v>0.19062369192130599</v>
          </cell>
          <cell r="BV106">
            <v>0.33415655085809959</v>
          </cell>
          <cell r="BW106">
            <v>0</v>
          </cell>
          <cell r="BX106">
            <v>38</v>
          </cell>
          <cell r="BY106">
            <v>1.4144736842105263</v>
          </cell>
          <cell r="BZ106">
            <v>1.2285263157894735</v>
          </cell>
        </row>
        <row r="107">
          <cell r="A107" t="str">
            <v>Estêvão Almeida de Oliveira Gonçalves</v>
          </cell>
          <cell r="B107" t="str">
            <v/>
          </cell>
          <cell r="C107" t="str">
            <v>Estêvão</v>
          </cell>
          <cell r="D107" t="str">
            <v/>
          </cell>
          <cell r="E107" t="str">
            <v>Estêvão Willian</v>
          </cell>
          <cell r="F107" t="str">
            <v/>
          </cell>
          <cell r="H107" t="str">
            <v/>
          </cell>
          <cell r="I107" t="e">
            <v>#N/A</v>
          </cell>
          <cell r="J107" t="e">
            <v>#N/A</v>
          </cell>
          <cell r="K107" t="e">
            <v>#N/A</v>
          </cell>
          <cell r="M107">
            <v>3.9083115990232171</v>
          </cell>
          <cell r="N107">
            <v>3.7330154946364718</v>
          </cell>
          <cell r="O107">
            <v>3.7615971394517338</v>
          </cell>
          <cell r="P107">
            <v>3.9268745292917782</v>
          </cell>
          <cell r="Q107">
            <v>3.7330154946364718</v>
          </cell>
          <cell r="R107">
            <v>3.5999999999999996</v>
          </cell>
          <cell r="S107">
            <v>3.9083115990232171</v>
          </cell>
          <cell r="T107" t="str">
            <v>MID</v>
          </cell>
          <cell r="U107" t="str">
            <v>RW</v>
          </cell>
          <cell r="V107" t="str">
            <v>CHE</v>
          </cell>
          <cell r="W107" t="str">
            <v>Chelsea</v>
          </cell>
          <cell r="X107">
            <v>6.5</v>
          </cell>
          <cell r="Y107">
            <v>58</v>
          </cell>
          <cell r="Z107">
            <v>0</v>
          </cell>
          <cell r="AA107">
            <v>58</v>
          </cell>
          <cell r="AB107">
            <v>839</v>
          </cell>
          <cell r="AC107">
            <v>839</v>
          </cell>
          <cell r="AD107">
            <v>0.40559440559440557</v>
          </cell>
          <cell r="AE107">
            <v>2</v>
          </cell>
          <cell r="AF107">
            <v>5</v>
          </cell>
          <cell r="AG107">
            <v>-9.7616209773539964E-2</v>
          </cell>
          <cell r="AH107">
            <v>0.30679380214541119</v>
          </cell>
          <cell r="AI107">
            <v>0.20917759237187128</v>
          </cell>
          <cell r="AJ107">
            <v>1.4999999999999902E-2</v>
          </cell>
          <cell r="AK107">
            <v>4</v>
          </cell>
          <cell r="AL107">
            <v>172</v>
          </cell>
          <cell r="AM107">
            <v>4</v>
          </cell>
          <cell r="AN107">
            <v>0</v>
          </cell>
          <cell r="AO107">
            <v>157</v>
          </cell>
          <cell r="AP107" t="str">
            <v>Estêvão</v>
          </cell>
          <cell r="AQ107">
            <v>0.57926102502979737</v>
          </cell>
          <cell r="AR107">
            <v>0</v>
          </cell>
          <cell r="AS107">
            <v>2.3170441001191895</v>
          </cell>
          <cell r="AT107">
            <v>3.6042908224076284</v>
          </cell>
          <cell r="AU107">
            <v>0.70798569725864124</v>
          </cell>
          <cell r="AV107">
            <v>3.6042908224076284</v>
          </cell>
          <cell r="AW107">
            <v>3.6042908224076284</v>
          </cell>
          <cell r="AX107">
            <v>2.7289630512514901E-2</v>
          </cell>
          <cell r="AY107">
            <v>0</v>
          </cell>
          <cell r="AZ107">
            <v>2.6</v>
          </cell>
          <cell r="BA107">
            <v>58</v>
          </cell>
          <cell r="BB107" t="str">
            <v/>
          </cell>
          <cell r="BC107">
            <v>12</v>
          </cell>
          <cell r="BD107">
            <v>0</v>
          </cell>
          <cell r="BE107">
            <v>0</v>
          </cell>
          <cell r="BF107">
            <v>54</v>
          </cell>
          <cell r="BG107">
            <v>0.6</v>
          </cell>
          <cell r="BH107">
            <v>1</v>
          </cell>
          <cell r="BI107">
            <v>10</v>
          </cell>
          <cell r="BJ107">
            <v>20</v>
          </cell>
          <cell r="BK107">
            <v>3</v>
          </cell>
          <cell r="BL107">
            <v>0.48</v>
          </cell>
          <cell r="BM107">
            <v>0.38461538461538458</v>
          </cell>
          <cell r="BN107">
            <v>0.67259259259259263</v>
          </cell>
          <cell r="BO107">
            <v>38</v>
          </cell>
          <cell r="BP107">
            <v>0</v>
          </cell>
          <cell r="BQ107">
            <v>0.24532163742690058</v>
          </cell>
          <cell r="BR107">
            <v>2.91</v>
          </cell>
          <cell r="BS107">
            <v>0.3121573301549464</v>
          </cell>
          <cell r="BT107">
            <v>2.14</v>
          </cell>
          <cell r="BU107">
            <v>0.22955899880810493</v>
          </cell>
          <cell r="BV107">
            <v>0.54171632896305133</v>
          </cell>
          <cell r="BW107">
            <v>0</v>
          </cell>
          <cell r="BX107">
            <v>38</v>
          </cell>
          <cell r="BY107">
            <v>1.4473684210526316</v>
          </cell>
          <cell r="BZ107">
            <v>1.1956315789473682</v>
          </cell>
        </row>
        <row r="108">
          <cell r="A108" t="str">
            <v>Martin Ødegaard</v>
          </cell>
          <cell r="B108" t="str">
            <v/>
          </cell>
          <cell r="C108" t="str">
            <v>Ødegaard</v>
          </cell>
          <cell r="D108" t="str">
            <v/>
          </cell>
          <cell r="E108" t="str">
            <v>Odegaard</v>
          </cell>
          <cell r="F108" t="str">
            <v/>
          </cell>
          <cell r="G108" t="str">
            <v>Martin Odegaard</v>
          </cell>
          <cell r="H108" t="str">
            <v/>
          </cell>
          <cell r="I108">
            <v>3.9</v>
          </cell>
          <cell r="J108">
            <v>4.9666666666666668</v>
          </cell>
          <cell r="K108">
            <v>5.7</v>
          </cell>
          <cell r="M108">
            <v>3.9075230313829614</v>
          </cell>
          <cell r="N108">
            <v>3.8033749082905359</v>
          </cell>
          <cell r="O108">
            <v>3.4257524883626007</v>
          </cell>
          <cell r="P108">
            <v>3.9075230313829614</v>
          </cell>
          <cell r="Q108">
            <v>3.8033749082905359</v>
          </cell>
          <cell r="R108">
            <v>2.9488054607508531</v>
          </cell>
          <cell r="S108">
            <v>3.9075230313829614</v>
          </cell>
          <cell r="T108" t="str">
            <v>MID</v>
          </cell>
          <cell r="U108" t="str">
            <v>AM</v>
          </cell>
          <cell r="V108" t="str">
            <v>ARS</v>
          </cell>
          <cell r="W108" t="str">
            <v>Arsenal</v>
          </cell>
          <cell r="X108">
            <v>6.5</v>
          </cell>
          <cell r="Y108">
            <v>74</v>
          </cell>
          <cell r="Z108">
            <v>2</v>
          </cell>
          <cell r="AA108">
            <v>72</v>
          </cell>
          <cell r="AB108">
            <v>1363</v>
          </cell>
          <cell r="AC108">
            <v>1363</v>
          </cell>
          <cell r="AD108">
            <v>0.47435897435897439</v>
          </cell>
          <cell r="AE108">
            <v>1</v>
          </cell>
          <cell r="AF108">
            <v>7</v>
          </cell>
          <cell r="AG108">
            <v>-1.6507703595011011E-2</v>
          </cell>
          <cell r="AH108">
            <v>0.22120322817314741</v>
          </cell>
          <cell r="AI108">
            <v>0.20469552457813645</v>
          </cell>
          <cell r="AJ108">
            <v>2.6999999999999913E-2</v>
          </cell>
          <cell r="AK108">
            <v>5</v>
          </cell>
          <cell r="AL108">
            <v>306</v>
          </cell>
          <cell r="AM108">
            <v>0</v>
          </cell>
          <cell r="AN108">
            <v>0</v>
          </cell>
          <cell r="AO108">
            <v>15</v>
          </cell>
          <cell r="AP108" t="str">
            <v>Ødegaard</v>
          </cell>
          <cell r="AQ108">
            <v>0.68672046955245791</v>
          </cell>
          <cell r="AR108">
            <v>0</v>
          </cell>
          <cell r="AS108">
            <v>3.6977256052824652</v>
          </cell>
          <cell r="AT108">
            <v>5.3881144534115926</v>
          </cell>
          <cell r="AU108">
            <v>1.0036683785766691</v>
          </cell>
          <cell r="AV108">
            <v>5.3881144534115926</v>
          </cell>
          <cell r="AW108">
            <v>5.3881144534115926</v>
          </cell>
          <cell r="AX108">
            <v>4.0795723718687768E-2</v>
          </cell>
          <cell r="AY108">
            <v>0</v>
          </cell>
          <cell r="AZ108">
            <v>3.1</v>
          </cell>
          <cell r="BA108">
            <v>74</v>
          </cell>
          <cell r="BB108" t="str">
            <v/>
          </cell>
          <cell r="BC108">
            <v>16</v>
          </cell>
          <cell r="BD108">
            <v>7</v>
          </cell>
          <cell r="BE108">
            <v>0.4375</v>
          </cell>
          <cell r="BF108">
            <v>72</v>
          </cell>
          <cell r="BG108">
            <v>0.8</v>
          </cell>
          <cell r="BH108">
            <v>1</v>
          </cell>
          <cell r="BI108">
            <v>8</v>
          </cell>
          <cell r="BJ108">
            <v>26</v>
          </cell>
          <cell r="BK108">
            <v>1</v>
          </cell>
          <cell r="BL108">
            <v>0.64</v>
          </cell>
          <cell r="BM108">
            <v>0.32</v>
          </cell>
          <cell r="BN108">
            <v>0.77</v>
          </cell>
          <cell r="BO108">
            <v>38</v>
          </cell>
          <cell r="BP108">
            <v>0</v>
          </cell>
          <cell r="BQ108">
            <v>0.39853801169590641</v>
          </cell>
          <cell r="BR108">
            <v>1.25</v>
          </cell>
          <cell r="BS108">
            <v>8.2538517975055029E-2</v>
          </cell>
          <cell r="BT108">
            <v>3.65</v>
          </cell>
          <cell r="BU108">
            <v>0.24101247248716068</v>
          </cell>
          <cell r="BV108">
            <v>0.32355099046221569</v>
          </cell>
          <cell r="BW108">
            <v>0</v>
          </cell>
          <cell r="BX108">
            <v>38</v>
          </cell>
          <cell r="BY108">
            <v>0.87184210526315797</v>
          </cell>
          <cell r="BZ108">
            <v>1.7711578947368418</v>
          </cell>
        </row>
        <row r="109">
          <cell r="A109" t="str">
            <v>Senne Lammens</v>
          </cell>
          <cell r="B109" t="str">
            <v/>
          </cell>
          <cell r="C109" t="str">
            <v>Lammens</v>
          </cell>
          <cell r="D109" t="str">
            <v/>
          </cell>
          <cell r="F109" t="str">
            <v/>
          </cell>
          <cell r="H109" t="str">
            <v/>
          </cell>
          <cell r="I109" t="e">
            <v>#N/A</v>
          </cell>
          <cell r="J109" t="e">
            <v>#N/A</v>
          </cell>
          <cell r="K109" t="e">
            <v>#N/A</v>
          </cell>
          <cell r="M109">
            <v>3.9058716355667369</v>
          </cell>
          <cell r="N109">
            <v>3.4062500000000004</v>
          </cell>
          <cell r="O109">
            <v>2.7571874999999997</v>
          </cell>
          <cell r="P109">
            <v>3.9058716355667369</v>
          </cell>
          <cell r="Q109">
            <v>3.4062500000000004</v>
          </cell>
          <cell r="R109">
            <v>5.166666666666667</v>
          </cell>
          <cell r="S109">
            <v>3.9058716355667369</v>
          </cell>
          <cell r="T109" t="str">
            <v>GK</v>
          </cell>
          <cell r="U109" t="str">
            <v>GK</v>
          </cell>
          <cell r="V109" t="str">
            <v>MUN</v>
          </cell>
          <cell r="W109" t="str">
            <v>Man Utd</v>
          </cell>
          <cell r="X109">
            <v>5</v>
          </cell>
          <cell r="Y109">
            <v>109.00000000000001</v>
          </cell>
          <cell r="Z109">
            <v>0</v>
          </cell>
          <cell r="AA109">
            <v>109.00000000000001</v>
          </cell>
          <cell r="AB109">
            <v>2880</v>
          </cell>
          <cell r="AC109">
            <v>2880</v>
          </cell>
          <cell r="AD109">
            <v>0.68125000000000013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0.19300000000000006</v>
          </cell>
          <cell r="AK109">
            <v>11</v>
          </cell>
          <cell r="AL109">
            <v>413</v>
          </cell>
          <cell r="AM109">
            <v>0</v>
          </cell>
          <cell r="AN109">
            <v>79</v>
          </cell>
          <cell r="AO109">
            <v>412</v>
          </cell>
          <cell r="AP109" t="str">
            <v>Lammens</v>
          </cell>
          <cell r="AQ109">
            <v>0.81249999999999989</v>
          </cell>
          <cell r="AR109">
            <v>0</v>
          </cell>
          <cell r="AS109">
            <v>7</v>
          </cell>
          <cell r="AT109">
            <v>0</v>
          </cell>
          <cell r="AU109">
            <v>3.125E-2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3.4</v>
          </cell>
          <cell r="BA109">
            <v>109.00000000000001</v>
          </cell>
          <cell r="BB109" t="str">
            <v/>
          </cell>
          <cell r="BC109">
            <v>32</v>
          </cell>
          <cell r="BD109">
            <v>32</v>
          </cell>
          <cell r="BE109">
            <v>1</v>
          </cell>
          <cell r="BF109">
            <v>90</v>
          </cell>
          <cell r="BG109">
            <v>1</v>
          </cell>
          <cell r="BH109">
            <v>1</v>
          </cell>
          <cell r="BI109">
            <v>0</v>
          </cell>
          <cell r="BJ109">
            <v>0</v>
          </cell>
          <cell r="BK109">
            <v>3</v>
          </cell>
          <cell r="BL109">
            <v>0.91428571428571426</v>
          </cell>
          <cell r="BM109">
            <v>0</v>
          </cell>
          <cell r="BN109">
            <v>0.91428571428571415</v>
          </cell>
          <cell r="BO109">
            <v>38</v>
          </cell>
          <cell r="BP109">
            <v>0</v>
          </cell>
          <cell r="BQ109">
            <v>0.84210526315789469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38</v>
          </cell>
          <cell r="BY109">
            <v>1.3231578947368421</v>
          </cell>
          <cell r="BZ109">
            <v>1.3198421052631577</v>
          </cell>
        </row>
        <row r="110">
          <cell r="A110" t="str">
            <v>Noni Madueke</v>
          </cell>
          <cell r="B110" t="str">
            <v/>
          </cell>
          <cell r="C110" t="str">
            <v>Madueke</v>
          </cell>
          <cell r="D110" t="str">
            <v/>
          </cell>
          <cell r="F110" t="str">
            <v/>
          </cell>
          <cell r="H110" t="str">
            <v/>
          </cell>
          <cell r="I110">
            <v>2.2000000000000002</v>
          </cell>
          <cell r="J110">
            <v>3.1</v>
          </cell>
          <cell r="K110">
            <v>3.8</v>
          </cell>
          <cell r="M110">
            <v>3.8908655994915082</v>
          </cell>
          <cell r="N110">
            <v>3.8240663900414944</v>
          </cell>
          <cell r="O110">
            <v>3.5152539955508573</v>
          </cell>
          <cell r="P110">
            <v>3.8908655994915082</v>
          </cell>
          <cell r="Q110">
            <v>3.8240663900414944</v>
          </cell>
          <cell r="R110">
            <v>4.1368821292775673</v>
          </cell>
          <cell r="S110">
            <v>3.8908655994915082</v>
          </cell>
          <cell r="T110" t="str">
            <v>MID</v>
          </cell>
          <cell r="U110" t="str">
            <v>RW</v>
          </cell>
          <cell r="V110" t="str">
            <v>ARS</v>
          </cell>
          <cell r="W110" t="str">
            <v>Arsenal</v>
          </cell>
          <cell r="X110">
            <v>6.5</v>
          </cell>
          <cell r="Y110">
            <v>72</v>
          </cell>
          <cell r="Z110">
            <v>0</v>
          </cell>
          <cell r="AA110">
            <v>72</v>
          </cell>
          <cell r="AB110">
            <v>1205</v>
          </cell>
          <cell r="AC110">
            <v>1205</v>
          </cell>
          <cell r="AD110">
            <v>0.42603550295857989</v>
          </cell>
          <cell r="AE110">
            <v>3</v>
          </cell>
          <cell r="AF110">
            <v>1</v>
          </cell>
          <cell r="AG110">
            <v>0.13219917012448129</v>
          </cell>
          <cell r="AH110">
            <v>-0.13892116182572611</v>
          </cell>
          <cell r="AI110">
            <v>-6.7219917012448227E-3</v>
          </cell>
          <cell r="AJ110">
            <v>2.9999999999998916E-3</v>
          </cell>
          <cell r="AK110">
            <v>9</v>
          </cell>
          <cell r="AL110">
            <v>254</v>
          </cell>
          <cell r="AM110">
            <v>0</v>
          </cell>
          <cell r="AN110">
            <v>0</v>
          </cell>
          <cell r="AO110">
            <v>16</v>
          </cell>
          <cell r="AP110" t="str">
            <v>Madueke</v>
          </cell>
          <cell r="AQ110">
            <v>0.74356846473029048</v>
          </cell>
          <cell r="AR110">
            <v>0</v>
          </cell>
          <cell r="AS110">
            <v>1.8589211618257262</v>
          </cell>
          <cell r="AT110">
            <v>3.7178423236514524</v>
          </cell>
          <cell r="AU110">
            <v>1.1153526970954357</v>
          </cell>
          <cell r="AV110">
            <v>3.7178423236514524</v>
          </cell>
          <cell r="AW110">
            <v>3.7178423236514524</v>
          </cell>
          <cell r="AX110">
            <v>2.8149377593360995E-2</v>
          </cell>
          <cell r="AY110">
            <v>0</v>
          </cell>
          <cell r="AZ110">
            <v>2.8</v>
          </cell>
          <cell r="BA110">
            <v>72</v>
          </cell>
          <cell r="BB110" t="str">
            <v/>
          </cell>
          <cell r="BC110">
            <v>16</v>
          </cell>
          <cell r="BD110">
            <v>0</v>
          </cell>
          <cell r="BE110">
            <v>0</v>
          </cell>
          <cell r="BF110">
            <v>64</v>
          </cell>
          <cell r="BG110">
            <v>0.71111111111111114</v>
          </cell>
          <cell r="BH110">
            <v>1</v>
          </cell>
          <cell r="BI110">
            <v>10</v>
          </cell>
          <cell r="BJ110">
            <v>18</v>
          </cell>
          <cell r="BK110">
            <v>6</v>
          </cell>
          <cell r="BL110">
            <v>0.5</v>
          </cell>
          <cell r="BM110">
            <v>0.3125</v>
          </cell>
          <cell r="BN110">
            <v>0.640625</v>
          </cell>
          <cell r="BO110">
            <v>38</v>
          </cell>
          <cell r="BP110">
            <v>0</v>
          </cell>
          <cell r="BQ110">
            <v>0.35233918128654973</v>
          </cell>
          <cell r="BR110">
            <v>1.23</v>
          </cell>
          <cell r="BS110">
            <v>9.1867219917012452E-2</v>
          </cell>
          <cell r="BT110">
            <v>2.86</v>
          </cell>
          <cell r="BU110">
            <v>0.21360995850622405</v>
          </cell>
          <cell r="BV110">
            <v>0.30547717842323652</v>
          </cell>
          <cell r="BW110">
            <v>0</v>
          </cell>
          <cell r="BX110">
            <v>38</v>
          </cell>
          <cell r="BY110">
            <v>0.87184210526315797</v>
          </cell>
          <cell r="BZ110">
            <v>1.7711578947368418</v>
          </cell>
        </row>
        <row r="111">
          <cell r="A111" t="str">
            <v>Morgan Rogers</v>
          </cell>
          <cell r="B111" t="str">
            <v/>
          </cell>
          <cell r="C111" t="str">
            <v>Rogers</v>
          </cell>
          <cell r="D111" t="str">
            <v/>
          </cell>
          <cell r="F111" t="str">
            <v/>
          </cell>
          <cell r="H111" t="str">
            <v/>
          </cell>
          <cell r="I111">
            <v>3.2</v>
          </cell>
          <cell r="J111">
            <v>3.8000000000000003</v>
          </cell>
          <cell r="K111">
            <v>4.4000000000000004</v>
          </cell>
          <cell r="M111">
            <v>3.8899298349733882</v>
          </cell>
          <cell r="N111">
            <v>4.5314024390243901</v>
          </cell>
          <cell r="O111">
            <v>3.742472113821139</v>
          </cell>
          <cell r="P111">
            <v>3.8999252589641524</v>
          </cell>
          <cell r="Q111">
            <v>4.5314024390243901</v>
          </cell>
          <cell r="R111">
            <v>5.1422222222222222</v>
          </cell>
          <cell r="S111">
            <v>3.8899298349733882</v>
          </cell>
          <cell r="T111" t="str">
            <v>MID</v>
          </cell>
          <cell r="U111" t="str">
            <v>AM</v>
          </cell>
          <cell r="V111" t="str">
            <v>CHE</v>
          </cell>
          <cell r="W111" t="str">
            <v>Chelsea</v>
          </cell>
          <cell r="X111">
            <v>7.5</v>
          </cell>
          <cell r="Y111">
            <v>169</v>
          </cell>
          <cell r="Z111">
            <v>2</v>
          </cell>
          <cell r="AA111">
            <v>167</v>
          </cell>
          <cell r="AB111">
            <v>3280</v>
          </cell>
          <cell r="AC111">
            <v>3280</v>
          </cell>
          <cell r="AD111">
            <v>0.60900900900900901</v>
          </cell>
          <cell r="AE111">
            <v>10</v>
          </cell>
          <cell r="AF111">
            <v>8</v>
          </cell>
          <cell r="AG111">
            <v>8.6707317073170753E-2</v>
          </cell>
          <cell r="AH111">
            <v>0.10097560975609755</v>
          </cell>
          <cell r="AI111">
            <v>0.18768292682926829</v>
          </cell>
          <cell r="AJ111">
            <v>0.3620000000000001</v>
          </cell>
          <cell r="AK111">
            <v>17</v>
          </cell>
          <cell r="AL111">
            <v>605</v>
          </cell>
          <cell r="AM111">
            <v>7</v>
          </cell>
          <cell r="AN111">
            <v>0</v>
          </cell>
          <cell r="AO111">
            <v>40</v>
          </cell>
          <cell r="AP111" t="str">
            <v>Rogers</v>
          </cell>
          <cell r="AQ111">
            <v>1.3295731707317073</v>
          </cell>
          <cell r="AR111">
            <v>0</v>
          </cell>
          <cell r="AS111">
            <v>3.7716463414634154</v>
          </cell>
          <cell r="AT111">
            <v>6.2408536585365857</v>
          </cell>
          <cell r="AU111">
            <v>1.1396341463414634</v>
          </cell>
          <cell r="AV111">
            <v>6.2408536585365857</v>
          </cell>
          <cell r="AW111">
            <v>6.2408536585365857</v>
          </cell>
          <cell r="AX111">
            <v>4.7252177700348431E-2</v>
          </cell>
          <cell r="AY111">
            <v>0</v>
          </cell>
          <cell r="AZ111">
            <v>4.5999999999999996</v>
          </cell>
          <cell r="BA111">
            <v>169</v>
          </cell>
          <cell r="BB111" t="str">
            <v/>
          </cell>
          <cell r="BC111">
            <v>37</v>
          </cell>
          <cell r="BD111">
            <v>32</v>
          </cell>
          <cell r="BE111">
            <v>0.86486486486486491</v>
          </cell>
          <cell r="BF111">
            <v>89</v>
          </cell>
          <cell r="BG111">
            <v>0.98888888888888893</v>
          </cell>
          <cell r="BH111">
            <v>1</v>
          </cell>
          <cell r="BI111">
            <v>0</v>
          </cell>
          <cell r="BJ111">
            <v>0</v>
          </cell>
          <cell r="BK111">
            <v>0</v>
          </cell>
          <cell r="BL111">
            <v>1</v>
          </cell>
          <cell r="BM111">
            <v>0</v>
          </cell>
          <cell r="BN111">
            <v>1</v>
          </cell>
          <cell r="BO111">
            <v>38</v>
          </cell>
          <cell r="BP111">
            <v>0</v>
          </cell>
          <cell r="BQ111">
            <v>0.95906432748538006</v>
          </cell>
          <cell r="BR111">
            <v>6.84</v>
          </cell>
          <cell r="BS111">
            <v>0.18768292682926829</v>
          </cell>
          <cell r="BT111">
            <v>4.32</v>
          </cell>
          <cell r="BU111">
            <v>0.11853658536585367</v>
          </cell>
          <cell r="BV111">
            <v>0.30621951219512195</v>
          </cell>
          <cell r="BW111">
            <v>0</v>
          </cell>
          <cell r="BX111">
            <v>38</v>
          </cell>
          <cell r="BY111">
            <v>1.4473684210526316</v>
          </cell>
          <cell r="BZ111">
            <v>1.1956315789473682</v>
          </cell>
        </row>
        <row r="112">
          <cell r="A112" t="str">
            <v>Ross Barkley</v>
          </cell>
          <cell r="B112" t="str">
            <v/>
          </cell>
          <cell r="C112" t="str">
            <v>Barkley</v>
          </cell>
          <cell r="D112" t="str">
            <v/>
          </cell>
          <cell r="F112" t="str">
            <v/>
          </cell>
          <cell r="H112" t="str">
            <v/>
          </cell>
          <cell r="I112">
            <v>0</v>
          </cell>
          <cell r="J112">
            <v>1.8</v>
          </cell>
          <cell r="K112">
            <v>3.2</v>
          </cell>
          <cell r="M112">
            <v>3.8748758007576911</v>
          </cell>
          <cell r="N112">
            <v>4.9265402843601889</v>
          </cell>
          <cell r="O112">
            <v>3.3932782166052307</v>
          </cell>
          <cell r="P112">
            <v>3.8748758007576911</v>
          </cell>
          <cell r="Q112">
            <v>4.9265402843601889</v>
          </cell>
          <cell r="R112">
            <v>3.8703703703703702</v>
          </cell>
          <cell r="S112">
            <v>3.8748758007576911</v>
          </cell>
          <cell r="T112" t="str">
            <v>MID</v>
          </cell>
          <cell r="U112" t="str">
            <v>CM</v>
          </cell>
          <cell r="V112" t="str">
            <v>AVL</v>
          </cell>
          <cell r="W112" t="str">
            <v>Aston Villa</v>
          </cell>
          <cell r="X112">
            <v>5</v>
          </cell>
          <cell r="Y112">
            <v>56</v>
          </cell>
          <cell r="Z112">
            <v>2</v>
          </cell>
          <cell r="AA112">
            <v>54</v>
          </cell>
          <cell r="AB112">
            <v>844</v>
          </cell>
          <cell r="AC112">
            <v>844</v>
          </cell>
          <cell r="AD112">
            <v>0.53333333333333333</v>
          </cell>
          <cell r="AE112">
            <v>3</v>
          </cell>
          <cell r="AF112">
            <v>2</v>
          </cell>
          <cell r="AG112">
            <v>0.15142180094786725</v>
          </cell>
          <cell r="AH112">
            <v>7.8909952606635081E-2</v>
          </cell>
          <cell r="AI112">
            <v>0.23033175355450236</v>
          </cell>
          <cell r="AJ112">
            <v>2.0000000000000018E-3</v>
          </cell>
          <cell r="AK112">
            <v>5</v>
          </cell>
          <cell r="AL112">
            <v>221</v>
          </cell>
          <cell r="AM112">
            <v>1</v>
          </cell>
          <cell r="AN112">
            <v>0</v>
          </cell>
          <cell r="AO112">
            <v>46</v>
          </cell>
          <cell r="AP112" t="str">
            <v>Barkley</v>
          </cell>
          <cell r="AQ112">
            <v>1.3684834123222749</v>
          </cell>
          <cell r="AR112">
            <v>0</v>
          </cell>
          <cell r="AS112">
            <v>4.1054502369668251</v>
          </cell>
          <cell r="AT112">
            <v>6.7511848341232223</v>
          </cell>
          <cell r="AU112">
            <v>1.2772511848341233</v>
          </cell>
          <cell r="AV112">
            <v>6.7511848341232223</v>
          </cell>
          <cell r="AW112">
            <v>6.7511848341232223</v>
          </cell>
          <cell r="AX112">
            <v>5.1116113744075826E-2</v>
          </cell>
          <cell r="AY112">
            <v>0</v>
          </cell>
          <cell r="AZ112">
            <v>2.7</v>
          </cell>
          <cell r="BA112">
            <v>56</v>
          </cell>
          <cell r="BB112" t="str">
            <v/>
          </cell>
          <cell r="BC112">
            <v>7</v>
          </cell>
          <cell r="BD112">
            <v>0</v>
          </cell>
          <cell r="BE112">
            <v>0</v>
          </cell>
          <cell r="BF112">
            <v>77</v>
          </cell>
          <cell r="BG112">
            <v>0.85555555555555551</v>
          </cell>
          <cell r="BH112">
            <v>1</v>
          </cell>
          <cell r="BI112">
            <v>14</v>
          </cell>
          <cell r="BJ112">
            <v>23</v>
          </cell>
          <cell r="BK112">
            <v>1</v>
          </cell>
          <cell r="BL112">
            <v>0.31818181818181818</v>
          </cell>
          <cell r="BM112">
            <v>0.63636363636363646</v>
          </cell>
          <cell r="BN112">
            <v>0.52184179456906732</v>
          </cell>
          <cell r="BO112">
            <v>38</v>
          </cell>
          <cell r="BP112">
            <v>0</v>
          </cell>
          <cell r="BQ112">
            <v>0.24678362573099416</v>
          </cell>
          <cell r="BR112">
            <v>1.58</v>
          </cell>
          <cell r="BS112">
            <v>0.1684834123222749</v>
          </cell>
          <cell r="BT112">
            <v>1.26</v>
          </cell>
          <cell r="BU112">
            <v>0.13436018957345972</v>
          </cell>
          <cell r="BV112">
            <v>0.30284360189573462</v>
          </cell>
          <cell r="BW112">
            <v>0</v>
          </cell>
          <cell r="BX112">
            <v>38</v>
          </cell>
          <cell r="BY112">
            <v>1.4915789473684211</v>
          </cell>
          <cell r="BZ112">
            <v>1.1514210526315787</v>
          </cell>
        </row>
        <row r="113">
          <cell r="A113" t="str">
            <v>Chris Wood</v>
          </cell>
          <cell r="B113" t="str">
            <v/>
          </cell>
          <cell r="C113" t="str">
            <v>Wood</v>
          </cell>
          <cell r="D113" t="str">
            <v/>
          </cell>
          <cell r="F113" t="str">
            <v/>
          </cell>
          <cell r="H113" t="str">
            <v/>
          </cell>
          <cell r="I113">
            <v>2.1</v>
          </cell>
          <cell r="J113">
            <v>3.9666666666666668</v>
          </cell>
          <cell r="K113">
            <v>5.6</v>
          </cell>
          <cell r="M113">
            <v>3.874772321428571</v>
          </cell>
          <cell r="N113">
            <v>3.386160714285714</v>
          </cell>
          <cell r="O113">
            <v>3.6976512896825398</v>
          </cell>
          <cell r="P113">
            <v>3.874772321428571</v>
          </cell>
          <cell r="Q113">
            <v>3.386160714285714</v>
          </cell>
          <cell r="R113">
            <v>3.3333333333333326</v>
          </cell>
          <cell r="S113">
            <v>3.874772321428571</v>
          </cell>
          <cell r="T113" t="str">
            <v>FWD</v>
          </cell>
          <cell r="U113" t="str">
            <v>CF</v>
          </cell>
          <cell r="V113" t="str">
            <v>NFO</v>
          </cell>
          <cell r="W113" t="str">
            <v>Nott'm Forest</v>
          </cell>
          <cell r="X113">
            <v>6</v>
          </cell>
          <cell r="Y113">
            <v>41</v>
          </cell>
          <cell r="Z113">
            <v>0</v>
          </cell>
          <cell r="AA113">
            <v>41</v>
          </cell>
          <cell r="AB113">
            <v>896</v>
          </cell>
          <cell r="AC113">
            <v>896</v>
          </cell>
          <cell r="AD113">
            <v>0.45555555555555555</v>
          </cell>
          <cell r="AE113">
            <v>3</v>
          </cell>
          <cell r="AF113">
            <v>0</v>
          </cell>
          <cell r="AG113">
            <v>-0.12957589285714288</v>
          </cell>
          <cell r="AH113">
            <v>-3.214285714285714E-2</v>
          </cell>
          <cell r="AI113">
            <v>-0.16171875000000002</v>
          </cell>
          <cell r="AJ113">
            <v>1.8000000000000016E-2</v>
          </cell>
          <cell r="AK113">
            <v>4</v>
          </cell>
          <cell r="AL113">
            <v>145</v>
          </cell>
          <cell r="AM113">
            <v>0</v>
          </cell>
          <cell r="AN113">
            <v>0</v>
          </cell>
          <cell r="AO113">
            <v>490</v>
          </cell>
          <cell r="AP113" t="str">
            <v>Wood</v>
          </cell>
          <cell r="AQ113">
            <v>1.15625</v>
          </cell>
          <cell r="AR113">
            <v>0</v>
          </cell>
          <cell r="AS113">
            <v>1.15625</v>
          </cell>
          <cell r="AT113">
            <v>2.395089285714286</v>
          </cell>
          <cell r="AU113">
            <v>8.2589285714285698E-2</v>
          </cell>
          <cell r="AV113">
            <v>2.395089285714286</v>
          </cell>
          <cell r="AW113">
            <v>2.395089285714286</v>
          </cell>
          <cell r="AX113">
            <v>1.8134247448979592E-2</v>
          </cell>
          <cell r="AY113">
            <v>0</v>
          </cell>
          <cell r="AZ113">
            <v>2.7</v>
          </cell>
          <cell r="BA113">
            <v>41</v>
          </cell>
          <cell r="BB113" t="str">
            <v/>
          </cell>
          <cell r="BC113">
            <v>11</v>
          </cell>
          <cell r="BD113">
            <v>0</v>
          </cell>
          <cell r="BE113">
            <v>0</v>
          </cell>
          <cell r="BF113">
            <v>74</v>
          </cell>
          <cell r="BG113">
            <v>0.82222222222222219</v>
          </cell>
          <cell r="BH113">
            <v>1</v>
          </cell>
          <cell r="BI113">
            <v>4</v>
          </cell>
          <cell r="BJ113">
            <v>22</v>
          </cell>
          <cell r="BK113">
            <v>0</v>
          </cell>
          <cell r="BL113">
            <v>0.73333333333333328</v>
          </cell>
          <cell r="BM113">
            <v>0.26666666666666672</v>
          </cell>
          <cell r="BN113">
            <v>0.81261261261261264</v>
          </cell>
          <cell r="BO113">
            <v>38</v>
          </cell>
          <cell r="BP113">
            <v>0</v>
          </cell>
          <cell r="BQ113">
            <v>0.26198830409356727</v>
          </cell>
          <cell r="BR113">
            <v>4.29</v>
          </cell>
          <cell r="BS113">
            <v>0.43091517857142858</v>
          </cell>
          <cell r="BT113">
            <v>0.32</v>
          </cell>
          <cell r="BU113">
            <v>3.214285714285714E-2</v>
          </cell>
          <cell r="BV113">
            <v>0.46305803571428572</v>
          </cell>
          <cell r="BW113">
            <v>0</v>
          </cell>
          <cell r="BX113">
            <v>38</v>
          </cell>
          <cell r="BY113">
            <v>1.7036842105263157</v>
          </cell>
          <cell r="BZ113">
            <v>0.9393157894736841</v>
          </cell>
        </row>
        <row r="114">
          <cell r="A114" t="str">
            <v>Keane Lewis-Potter</v>
          </cell>
          <cell r="B114" t="str">
            <v/>
          </cell>
          <cell r="C114" t="str">
            <v>Lewis-Potter</v>
          </cell>
          <cell r="D114" t="str">
            <v/>
          </cell>
          <cell r="F114" t="str">
            <v/>
          </cell>
          <cell r="H114" t="str">
            <v/>
          </cell>
          <cell r="I114">
            <v>1.4</v>
          </cell>
          <cell r="J114">
            <v>2.1</v>
          </cell>
          <cell r="K114">
            <v>2.5</v>
          </cell>
          <cell r="M114">
            <v>3.8746515723638542</v>
          </cell>
          <cell r="N114">
            <v>4.7525510204081636</v>
          </cell>
          <cell r="O114">
            <v>3.2616339427964487</v>
          </cell>
          <cell r="P114">
            <v>3.5404309784830148</v>
          </cell>
          <cell r="Q114">
            <v>4.7525510204081636</v>
          </cell>
          <cell r="R114">
            <v>3.7639405204460963</v>
          </cell>
          <cell r="S114">
            <v>3.8746515723638542</v>
          </cell>
          <cell r="T114" t="str">
            <v>MID</v>
          </cell>
          <cell r="U114" t="str">
            <v>LM</v>
          </cell>
          <cell r="V114" t="str">
            <v>BRE</v>
          </cell>
          <cell r="W114" t="str">
            <v>Brentford</v>
          </cell>
          <cell r="X114">
            <v>5.5</v>
          </cell>
          <cell r="Y114">
            <v>115</v>
          </cell>
          <cell r="Z114">
            <v>0</v>
          </cell>
          <cell r="AA114">
            <v>115</v>
          </cell>
          <cell r="AB114">
            <v>1960</v>
          </cell>
          <cell r="AC114">
            <v>1960</v>
          </cell>
          <cell r="AD114">
            <v>0.58080808080808088</v>
          </cell>
          <cell r="AE114">
            <v>3</v>
          </cell>
          <cell r="AF114">
            <v>4</v>
          </cell>
          <cell r="AG114">
            <v>-4.5918367346939326E-4</v>
          </cell>
          <cell r="AH114">
            <v>6.8418367346938791E-2</v>
          </cell>
          <cell r="AI114">
            <v>6.795918367346937E-2</v>
          </cell>
          <cell r="AJ114">
            <v>8.0000000000000071E-3</v>
          </cell>
          <cell r="AK114">
            <v>5</v>
          </cell>
          <cell r="AL114">
            <v>356</v>
          </cell>
          <cell r="AM114">
            <v>1</v>
          </cell>
          <cell r="AN114">
            <v>0</v>
          </cell>
          <cell r="AO114">
            <v>86</v>
          </cell>
          <cell r="AP114" t="str">
            <v>Lewis-Potter</v>
          </cell>
          <cell r="AQ114">
            <v>2.1076530612244899</v>
          </cell>
          <cell r="AR114">
            <v>0</v>
          </cell>
          <cell r="AS114">
            <v>3.9673469387755098</v>
          </cell>
          <cell r="AT114">
            <v>3.0581632653061228</v>
          </cell>
          <cell r="AU114">
            <v>0.95051020408163278</v>
          </cell>
          <cell r="AV114">
            <v>3.0581632653061228</v>
          </cell>
          <cell r="AW114">
            <v>3.0581632653061228</v>
          </cell>
          <cell r="AX114">
            <v>2.3154664723032074E-2</v>
          </cell>
          <cell r="AY114">
            <v>0</v>
          </cell>
          <cell r="AZ114">
            <v>3.2</v>
          </cell>
          <cell r="BA114">
            <v>115</v>
          </cell>
          <cell r="BB114" t="str">
            <v/>
          </cell>
          <cell r="BC114">
            <v>22</v>
          </cell>
          <cell r="BD114">
            <v>10</v>
          </cell>
          <cell r="BE114">
            <v>0.45454545454545453</v>
          </cell>
          <cell r="BF114">
            <v>81</v>
          </cell>
          <cell r="BG114">
            <v>0.9</v>
          </cell>
          <cell r="BH114">
            <v>1</v>
          </cell>
          <cell r="BI114">
            <v>14</v>
          </cell>
          <cell r="BJ114">
            <v>14</v>
          </cell>
          <cell r="BK114">
            <v>2</v>
          </cell>
          <cell r="BL114">
            <v>0.57894736842105265</v>
          </cell>
          <cell r="BM114">
            <v>0.36842105263157893</v>
          </cell>
          <cell r="BN114">
            <v>0.65172189733593244</v>
          </cell>
          <cell r="BO114">
            <v>38</v>
          </cell>
          <cell r="BP114">
            <v>0</v>
          </cell>
          <cell r="BQ114">
            <v>0.57309941520467833</v>
          </cell>
          <cell r="BR114">
            <v>3.01</v>
          </cell>
          <cell r="BS114">
            <v>0.13821428571428571</v>
          </cell>
          <cell r="BT114">
            <v>2.5099999999999998</v>
          </cell>
          <cell r="BU114">
            <v>0.11525510204081632</v>
          </cell>
          <cell r="BV114">
            <v>0.25346938775510203</v>
          </cell>
          <cell r="BW114">
            <v>0</v>
          </cell>
          <cell r="BX114">
            <v>38</v>
          </cell>
          <cell r="BY114">
            <v>1.5555263157894736</v>
          </cell>
          <cell r="BZ114">
            <v>1.0874736842105261</v>
          </cell>
        </row>
        <row r="115">
          <cell r="A115" t="str">
            <v>Emiliano Martínez Romero</v>
          </cell>
          <cell r="B115" t="str">
            <v/>
          </cell>
          <cell r="C115" t="str">
            <v>Martinez</v>
          </cell>
          <cell r="D115" t="str">
            <v/>
          </cell>
          <cell r="E115" t="str">
            <v>Emiliano Martínez</v>
          </cell>
          <cell r="F115" t="str">
            <v/>
          </cell>
          <cell r="H115" t="str">
            <v/>
          </cell>
          <cell r="I115">
            <v>3</v>
          </cell>
          <cell r="J115">
            <v>3.2</v>
          </cell>
          <cell r="K115">
            <v>3.4</v>
          </cell>
          <cell r="M115">
            <v>3.8414054200442473</v>
          </cell>
          <cell r="N115">
            <v>3.767195767195767</v>
          </cell>
          <cell r="O115">
            <v>2.8386415520282191</v>
          </cell>
          <cell r="P115">
            <v>3.8414054200442473</v>
          </cell>
          <cell r="Q115">
            <v>3.767195767195767</v>
          </cell>
          <cell r="R115">
            <v>2.9666666666666668</v>
          </cell>
          <cell r="S115">
            <v>3.8414054200442473</v>
          </cell>
          <cell r="T115" t="str">
            <v>GK</v>
          </cell>
          <cell r="U115" t="str">
            <v>GK</v>
          </cell>
          <cell r="V115" t="str">
            <v>AVL</v>
          </cell>
          <cell r="W115" t="str">
            <v>Aston Villa</v>
          </cell>
          <cell r="X115">
            <v>5</v>
          </cell>
          <cell r="Y115">
            <v>120</v>
          </cell>
          <cell r="Z115">
            <v>0</v>
          </cell>
          <cell r="AA115">
            <v>120</v>
          </cell>
          <cell r="AB115">
            <v>2835</v>
          </cell>
          <cell r="AC115">
            <v>2835</v>
          </cell>
          <cell r="AD115">
            <v>0.75</v>
          </cell>
          <cell r="AE115">
            <v>0</v>
          </cell>
          <cell r="AF115">
            <v>1</v>
          </cell>
          <cell r="AG115">
            <v>0</v>
          </cell>
          <cell r="AH115">
            <v>2.9206349206349212E-2</v>
          </cell>
          <cell r="AI115">
            <v>2.9206349206349212E-2</v>
          </cell>
          <cell r="AJ115">
            <v>3.8999999999999924E-2</v>
          </cell>
          <cell r="AK115">
            <v>11</v>
          </cell>
          <cell r="AL115">
            <v>530</v>
          </cell>
          <cell r="AM115">
            <v>2</v>
          </cell>
          <cell r="AN115">
            <v>95</v>
          </cell>
          <cell r="AO115">
            <v>28</v>
          </cell>
          <cell r="AP115" t="str">
            <v>Martinez</v>
          </cell>
          <cell r="AQ115">
            <v>0.84761904761904772</v>
          </cell>
          <cell r="AR115">
            <v>0</v>
          </cell>
          <cell r="AS115">
            <v>8.5389770723104057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3.8</v>
          </cell>
          <cell r="BA115">
            <v>120</v>
          </cell>
          <cell r="BB115" t="str">
            <v/>
          </cell>
          <cell r="BC115">
            <v>32</v>
          </cell>
          <cell r="BD115">
            <v>31</v>
          </cell>
          <cell r="BE115">
            <v>0.96875</v>
          </cell>
          <cell r="BF115">
            <v>89</v>
          </cell>
          <cell r="BG115">
            <v>0.98888888888888893</v>
          </cell>
          <cell r="BH115">
            <v>1</v>
          </cell>
          <cell r="BI115">
            <v>0</v>
          </cell>
          <cell r="BJ115">
            <v>0</v>
          </cell>
          <cell r="BK115">
            <v>0</v>
          </cell>
          <cell r="BL115">
            <v>1</v>
          </cell>
          <cell r="BM115">
            <v>0</v>
          </cell>
          <cell r="BN115">
            <v>1</v>
          </cell>
          <cell r="BO115">
            <v>38</v>
          </cell>
          <cell r="BP115">
            <v>0</v>
          </cell>
          <cell r="BQ115">
            <v>0.82894736842105265</v>
          </cell>
          <cell r="BR115">
            <v>0</v>
          </cell>
          <cell r="BS115">
            <v>0</v>
          </cell>
          <cell r="BT115">
            <v>0.08</v>
          </cell>
          <cell r="BU115">
            <v>2.5396825396825397E-3</v>
          </cell>
          <cell r="BV115">
            <v>2.5396825396825397E-3</v>
          </cell>
          <cell r="BW115">
            <v>0</v>
          </cell>
          <cell r="BX115">
            <v>38</v>
          </cell>
          <cell r="BY115">
            <v>1.4915789473684211</v>
          </cell>
          <cell r="BZ115">
            <v>1.1514210526315787</v>
          </cell>
        </row>
        <row r="116">
          <cell r="A116" t="str">
            <v>Amine Adli</v>
          </cell>
          <cell r="B116" t="str">
            <v/>
          </cell>
          <cell r="C116" t="str">
            <v>Adli</v>
          </cell>
          <cell r="D116" t="str">
            <v/>
          </cell>
          <cell r="F116" t="str">
            <v/>
          </cell>
          <cell r="H116" t="str">
            <v/>
          </cell>
          <cell r="I116" t="e">
            <v>#N/A</v>
          </cell>
          <cell r="J116" t="e">
            <v>#N/A</v>
          </cell>
          <cell r="K116" t="e">
            <v>#N/A</v>
          </cell>
          <cell r="M116">
            <v>3.8394804288732205</v>
          </cell>
          <cell r="N116">
            <v>4.4180633147113593</v>
          </cell>
          <cell r="O116">
            <v>2.7825726629422736</v>
          </cell>
          <cell r="P116">
            <v>3.8394804288732205</v>
          </cell>
          <cell r="Q116">
            <v>4.4180633147113593</v>
          </cell>
          <cell r="R116">
            <v>5.84</v>
          </cell>
          <cell r="S116">
            <v>3.8394804288732205</v>
          </cell>
          <cell r="T116" t="str">
            <v>MID</v>
          </cell>
          <cell r="U116" t="str">
            <v>LW</v>
          </cell>
          <cell r="V116" t="str">
            <v>BOU</v>
          </cell>
          <cell r="W116" t="str">
            <v>Bournemouth</v>
          </cell>
          <cell r="X116">
            <v>5</v>
          </cell>
          <cell r="Y116">
            <v>67</v>
          </cell>
          <cell r="Z116">
            <v>2</v>
          </cell>
          <cell r="AA116">
            <v>65</v>
          </cell>
          <cell r="AB116">
            <v>1074</v>
          </cell>
          <cell r="AC116">
            <v>1074</v>
          </cell>
          <cell r="AD116">
            <v>0.43225806451612903</v>
          </cell>
          <cell r="AE116">
            <v>3</v>
          </cell>
          <cell r="AF116">
            <v>2</v>
          </cell>
          <cell r="AG116">
            <v>3.3519553072625718E-2</v>
          </cell>
          <cell r="AH116">
            <v>3.1843575418994408E-2</v>
          </cell>
          <cell r="AI116">
            <v>6.5363128491620126E-2</v>
          </cell>
          <cell r="AJ116">
            <v>2.0000000000000018E-3</v>
          </cell>
          <cell r="AK116">
            <v>4</v>
          </cell>
          <cell r="AL116">
            <v>241</v>
          </cell>
          <cell r="AM116">
            <v>2</v>
          </cell>
          <cell r="AN116">
            <v>0</v>
          </cell>
          <cell r="AO116">
            <v>77</v>
          </cell>
          <cell r="AP116" t="str">
            <v>Adli</v>
          </cell>
          <cell r="AQ116">
            <v>1.7672253258845436</v>
          </cell>
          <cell r="AR116">
            <v>0</v>
          </cell>
          <cell r="AS116">
            <v>4.1461824953445063</v>
          </cell>
          <cell r="AT116">
            <v>8.3603351955307268</v>
          </cell>
          <cell r="AU116">
            <v>2.446927374301676</v>
          </cell>
          <cell r="AV116">
            <v>8.3603351955307268</v>
          </cell>
          <cell r="AW116">
            <v>8.3603351955307268</v>
          </cell>
          <cell r="AX116">
            <v>0.15094413407821233</v>
          </cell>
          <cell r="AY116">
            <v>0</v>
          </cell>
          <cell r="AZ116">
            <v>2.2000000000000002</v>
          </cell>
          <cell r="BA116">
            <v>67</v>
          </cell>
          <cell r="BB116" t="str">
            <v/>
          </cell>
          <cell r="BC116">
            <v>10</v>
          </cell>
          <cell r="BD116">
            <v>2</v>
          </cell>
          <cell r="BE116">
            <v>0.2</v>
          </cell>
          <cell r="BF116">
            <v>73</v>
          </cell>
          <cell r="BG116">
            <v>0.81111111111111112</v>
          </cell>
          <cell r="BH116">
            <v>1</v>
          </cell>
          <cell r="BI116">
            <v>21</v>
          </cell>
          <cell r="BJ116">
            <v>17</v>
          </cell>
          <cell r="BK116">
            <v>6</v>
          </cell>
          <cell r="BL116">
            <v>0.27027027027027029</v>
          </cell>
          <cell r="BM116">
            <v>0.56756756756756754</v>
          </cell>
          <cell r="BN116">
            <v>0.44020733061828954</v>
          </cell>
          <cell r="BO116">
            <v>38</v>
          </cell>
          <cell r="BP116">
            <v>0</v>
          </cell>
          <cell r="BQ116">
            <v>0.31403508771929822</v>
          </cell>
          <cell r="BR116">
            <v>2.6</v>
          </cell>
          <cell r="BS116">
            <v>0.21787709497206703</v>
          </cell>
          <cell r="BT116">
            <v>1.62</v>
          </cell>
          <cell r="BU116">
            <v>0.13575418994413407</v>
          </cell>
          <cell r="BV116">
            <v>0.35363128491620111</v>
          </cell>
          <cell r="BW116">
            <v>0</v>
          </cell>
          <cell r="BX116">
            <v>38</v>
          </cell>
          <cell r="BY116">
            <v>1.4939473684210527</v>
          </cell>
          <cell r="BZ116">
            <v>1.1490526315789471</v>
          </cell>
        </row>
        <row r="117">
          <cell r="A117" t="str">
            <v>Andrew Robertson</v>
          </cell>
          <cell r="B117" t="str">
            <v/>
          </cell>
          <cell r="C117" t="str">
            <v>Robertson</v>
          </cell>
          <cell r="D117" t="str">
            <v/>
          </cell>
          <cell r="F117" t="str">
            <v/>
          </cell>
          <cell r="H117" t="str">
            <v/>
          </cell>
          <cell r="I117">
            <v>2.8</v>
          </cell>
          <cell r="J117">
            <v>3.2333333333333329</v>
          </cell>
          <cell r="K117">
            <v>3.6</v>
          </cell>
          <cell r="M117">
            <v>3.8277126490147726</v>
          </cell>
          <cell r="N117">
            <v>3.7768240343347639</v>
          </cell>
          <cell r="O117">
            <v>3.1194066167101369</v>
          </cell>
          <cell r="P117">
            <v>3.7641474289623722</v>
          </cell>
          <cell r="Q117">
            <v>3.7768240343347639</v>
          </cell>
          <cell r="R117">
            <v>3.086816720257235</v>
          </cell>
          <cell r="S117">
            <v>3.8277126490147726</v>
          </cell>
          <cell r="T117" t="str">
            <v>DEF</v>
          </cell>
          <cell r="U117" t="str">
            <v>LB</v>
          </cell>
          <cell r="V117" t="str">
            <v>TOT</v>
          </cell>
          <cell r="W117" t="str">
            <v>Spurs</v>
          </cell>
          <cell r="X117">
            <v>4.5</v>
          </cell>
          <cell r="Y117">
            <v>55</v>
          </cell>
          <cell r="Z117">
            <v>0</v>
          </cell>
          <cell r="AA117">
            <v>55</v>
          </cell>
          <cell r="AB117">
            <v>1165</v>
          </cell>
          <cell r="AC117">
            <v>1165</v>
          </cell>
          <cell r="AD117">
            <v>0.50925925925925919</v>
          </cell>
          <cell r="AE117">
            <v>1</v>
          </cell>
          <cell r="AF117">
            <v>0</v>
          </cell>
          <cell r="AG117">
            <v>-7.7253218884120317E-3</v>
          </cell>
          <cell r="AH117">
            <v>-0.10815450643776824</v>
          </cell>
          <cell r="AI117">
            <v>-0.11587982832618028</v>
          </cell>
          <cell r="AJ117">
            <v>1.8000000000000016E-2</v>
          </cell>
          <cell r="AK117">
            <v>4</v>
          </cell>
          <cell r="AL117">
            <v>216</v>
          </cell>
          <cell r="AM117">
            <v>0</v>
          </cell>
          <cell r="AN117">
            <v>0</v>
          </cell>
          <cell r="AO117">
            <v>502</v>
          </cell>
          <cell r="AP117" t="str">
            <v>Robertson</v>
          </cell>
          <cell r="AQ117">
            <v>2.9527896995708152</v>
          </cell>
          <cell r="AR117">
            <v>0</v>
          </cell>
          <cell r="AS117">
            <v>2.7467811158798279</v>
          </cell>
          <cell r="AT117">
            <v>3.7768240343347639</v>
          </cell>
          <cell r="AU117">
            <v>0.82403433476394849</v>
          </cell>
          <cell r="AV117">
            <v>3.7768240343347639</v>
          </cell>
          <cell r="AW117">
            <v>3.7768240343347639</v>
          </cell>
          <cell r="AX117">
            <v>2.4171673819742487E-2</v>
          </cell>
          <cell r="AY117">
            <v>0</v>
          </cell>
          <cell r="AZ117">
            <v>2.2999999999999998</v>
          </cell>
          <cell r="BA117">
            <v>55</v>
          </cell>
          <cell r="BB117" t="str">
            <v/>
          </cell>
          <cell r="BC117">
            <v>11</v>
          </cell>
          <cell r="BD117">
            <v>4</v>
          </cell>
          <cell r="BE117">
            <v>0.36363636363636365</v>
          </cell>
          <cell r="BF117">
            <v>80</v>
          </cell>
          <cell r="BG117">
            <v>0.88888888888888884</v>
          </cell>
          <cell r="BH117">
            <v>1</v>
          </cell>
          <cell r="BI117">
            <v>13</v>
          </cell>
          <cell r="BJ117">
            <v>23</v>
          </cell>
          <cell r="BK117">
            <v>14</v>
          </cell>
          <cell r="BL117">
            <v>0.28947368421052633</v>
          </cell>
          <cell r="BM117">
            <v>0.34210526315789475</v>
          </cell>
          <cell r="BN117">
            <v>0.49375000000000002</v>
          </cell>
          <cell r="BO117">
            <v>38</v>
          </cell>
          <cell r="BP117">
            <v>0</v>
          </cell>
          <cell r="BQ117">
            <v>0.34064327485380119</v>
          </cell>
          <cell r="BR117">
            <v>1.1000000000000001</v>
          </cell>
          <cell r="BS117">
            <v>8.4978540772532196E-2</v>
          </cell>
          <cell r="BT117">
            <v>1.4</v>
          </cell>
          <cell r="BU117">
            <v>0.10815450643776824</v>
          </cell>
          <cell r="BV117">
            <v>0.19313304721030045</v>
          </cell>
          <cell r="BW117">
            <v>0</v>
          </cell>
          <cell r="BX117">
            <v>38</v>
          </cell>
          <cell r="BY117">
            <v>1.4628947368421052</v>
          </cell>
          <cell r="BZ117">
            <v>1.1801052631578945</v>
          </cell>
        </row>
        <row r="118">
          <cell r="A118" t="str">
            <v>Justin Devenny</v>
          </cell>
          <cell r="B118" t="str">
            <v/>
          </cell>
          <cell r="C118" t="str">
            <v>Devenny</v>
          </cell>
          <cell r="D118" t="str">
            <v/>
          </cell>
          <cell r="F118" t="str">
            <v/>
          </cell>
          <cell r="H118" t="str">
            <v/>
          </cell>
          <cell r="I118">
            <v>1.5</v>
          </cell>
          <cell r="J118">
            <v>1.5</v>
          </cell>
          <cell r="K118">
            <v>1.5</v>
          </cell>
          <cell r="M118">
            <v>3.8127448391854402</v>
          </cell>
          <cell r="N118">
            <v>3.6382165605095538</v>
          </cell>
          <cell r="O118">
            <v>2.1789466560509552</v>
          </cell>
          <cell r="P118">
            <v>3.801143007767589</v>
          </cell>
          <cell r="Q118">
            <v>3.6382165605095538</v>
          </cell>
          <cell r="R118">
            <v>3.0625</v>
          </cell>
          <cell r="S118">
            <v>3.8127448391854402</v>
          </cell>
          <cell r="T118" t="str">
            <v>MID</v>
          </cell>
          <cell r="U118" t="str">
            <v>AM</v>
          </cell>
          <cell r="V118" t="str">
            <v>CRY</v>
          </cell>
          <cell r="W118" t="str">
            <v>Crystal Palace</v>
          </cell>
          <cell r="X118">
            <v>5</v>
          </cell>
          <cell r="Y118">
            <v>36</v>
          </cell>
          <cell r="Z118">
            <v>2</v>
          </cell>
          <cell r="AA118">
            <v>34</v>
          </cell>
          <cell r="AB118">
            <v>785</v>
          </cell>
          <cell r="AC118">
            <v>785</v>
          </cell>
          <cell r="AD118">
            <v>0.34285714285714286</v>
          </cell>
          <cell r="AE118">
            <v>1</v>
          </cell>
          <cell r="AF118">
            <v>0</v>
          </cell>
          <cell r="AG118">
            <v>-0.15821656050955413</v>
          </cell>
          <cell r="AH118">
            <v>-4.4713375796178345E-2</v>
          </cell>
          <cell r="AI118">
            <v>-0.20292993630573247</v>
          </cell>
          <cell r="AJ118">
            <v>0</v>
          </cell>
          <cell r="AK118">
            <v>0</v>
          </cell>
          <cell r="AL118">
            <v>108</v>
          </cell>
          <cell r="AM118">
            <v>0</v>
          </cell>
          <cell r="AN118">
            <v>0</v>
          </cell>
          <cell r="AO118">
            <v>215</v>
          </cell>
          <cell r="AP118" t="str">
            <v>Devenny</v>
          </cell>
          <cell r="AQ118">
            <v>1.3910828025477706</v>
          </cell>
          <cell r="AR118">
            <v>0</v>
          </cell>
          <cell r="AS118">
            <v>3.6382165605095538</v>
          </cell>
          <cell r="AT118">
            <v>7.7044585987261147</v>
          </cell>
          <cell r="AU118">
            <v>2.6751592356687897</v>
          </cell>
          <cell r="AV118">
            <v>7.7044585987261147</v>
          </cell>
          <cell r="AW118">
            <v>7.7044585987261147</v>
          </cell>
          <cell r="AX118">
            <v>0.10372101910828027</v>
          </cell>
          <cell r="AY118">
            <v>0</v>
          </cell>
          <cell r="AZ118">
            <v>1.7</v>
          </cell>
          <cell r="BA118">
            <v>36</v>
          </cell>
          <cell r="BB118" t="str">
            <v/>
          </cell>
          <cell r="BC118">
            <v>7</v>
          </cell>
          <cell r="BD118">
            <v>3</v>
          </cell>
          <cell r="BE118">
            <v>0.42857142857142855</v>
          </cell>
          <cell r="BF118">
            <v>84</v>
          </cell>
          <cell r="BG118">
            <v>0.93333333333333335</v>
          </cell>
          <cell r="BH118">
            <v>1</v>
          </cell>
          <cell r="BI118">
            <v>14</v>
          </cell>
          <cell r="BJ118">
            <v>15</v>
          </cell>
          <cell r="BK118">
            <v>15</v>
          </cell>
          <cell r="BL118">
            <v>0.19444444444444445</v>
          </cell>
          <cell r="BM118">
            <v>0.3888888888888889</v>
          </cell>
          <cell r="BN118">
            <v>0.33829365079365076</v>
          </cell>
          <cell r="BO118">
            <v>38</v>
          </cell>
          <cell r="BP118">
            <v>0</v>
          </cell>
          <cell r="BQ118">
            <v>0.22953216374269006</v>
          </cell>
          <cell r="BR118">
            <v>2.38</v>
          </cell>
          <cell r="BS118">
            <v>0.27286624203821652</v>
          </cell>
          <cell r="BT118">
            <v>0.39</v>
          </cell>
          <cell r="BU118">
            <v>4.4713375796178345E-2</v>
          </cell>
          <cell r="BV118">
            <v>0.31757961783439487</v>
          </cell>
          <cell r="BW118">
            <v>0</v>
          </cell>
          <cell r="BX118">
            <v>38</v>
          </cell>
          <cell r="BY118">
            <v>1.631578947368421</v>
          </cell>
          <cell r="BZ118">
            <v>1.0114210526315788</v>
          </cell>
        </row>
        <row r="119">
          <cell r="A119" t="str">
            <v>Anton Stach</v>
          </cell>
          <cell r="B119" t="str">
            <v/>
          </cell>
          <cell r="C119" t="str">
            <v>Stach</v>
          </cell>
          <cell r="D119" t="str">
            <v/>
          </cell>
          <cell r="F119" t="str">
            <v/>
          </cell>
          <cell r="H119" t="str">
            <v/>
          </cell>
          <cell r="I119" t="e">
            <v>#N/A</v>
          </cell>
          <cell r="J119" t="e">
            <v>#N/A</v>
          </cell>
          <cell r="K119" t="e">
            <v>#N/A</v>
          </cell>
          <cell r="M119">
            <v>3.8071972621767274</v>
          </cell>
          <cell r="N119">
            <v>4.1485859012241457</v>
          </cell>
          <cell r="O119">
            <v>3.3219458172332801</v>
          </cell>
          <cell r="P119">
            <v>3.8071972621767274</v>
          </cell>
          <cell r="Q119">
            <v>4.1485859012241457</v>
          </cell>
          <cell r="R119">
            <v>5.3846153846153841</v>
          </cell>
          <cell r="S119">
            <v>3.8071972621767274</v>
          </cell>
          <cell r="T119" t="str">
            <v>MID</v>
          </cell>
          <cell r="U119" t="str">
            <v>DM</v>
          </cell>
          <cell r="V119" t="str">
            <v>LEE</v>
          </cell>
          <cell r="W119" t="str">
            <v>Leeds</v>
          </cell>
          <cell r="X119">
            <v>6</v>
          </cell>
          <cell r="Y119">
            <v>137</v>
          </cell>
          <cell r="Z119">
            <v>20</v>
          </cell>
          <cell r="AA119">
            <v>117</v>
          </cell>
          <cell r="AB119">
            <v>2369</v>
          </cell>
          <cell r="AC119">
            <v>2369</v>
          </cell>
          <cell r="AD119">
            <v>0.78735632183908055</v>
          </cell>
          <cell r="AE119">
            <v>5</v>
          </cell>
          <cell r="AF119">
            <v>6</v>
          </cell>
          <cell r="AG119">
            <v>8.0540312368087827E-2</v>
          </cell>
          <cell r="AH119">
            <v>5.8125791473195437E-2</v>
          </cell>
          <cell r="AI119">
            <v>0.13866610384128331</v>
          </cell>
          <cell r="AJ119">
            <v>1.2999999999999901E-2</v>
          </cell>
          <cell r="AK119">
            <v>14</v>
          </cell>
          <cell r="AL119">
            <v>550</v>
          </cell>
          <cell r="AM119">
            <v>3</v>
          </cell>
          <cell r="AN119">
            <v>0</v>
          </cell>
          <cell r="AO119">
            <v>335</v>
          </cell>
          <cell r="AP119" t="str">
            <v>Stach</v>
          </cell>
          <cell r="AQ119">
            <v>2.8720979316167159</v>
          </cell>
          <cell r="AR119">
            <v>0</v>
          </cell>
          <cell r="AS119">
            <v>4.254959898691431</v>
          </cell>
          <cell r="AT119">
            <v>9.4318277754326729</v>
          </cell>
          <cell r="AU119">
            <v>2.3047699451245252</v>
          </cell>
          <cell r="AV119">
            <v>9.4318277754326729</v>
          </cell>
          <cell r="AW119">
            <v>9.4318277754326729</v>
          </cell>
          <cell r="AX119">
            <v>0.24536471087264172</v>
          </cell>
          <cell r="AY119">
            <v>0</v>
          </cell>
          <cell r="AZ119">
            <v>4.7</v>
          </cell>
          <cell r="BA119">
            <v>137</v>
          </cell>
          <cell r="BB119" t="str">
            <v/>
          </cell>
          <cell r="BC119">
            <v>28</v>
          </cell>
          <cell r="BD119">
            <v>19</v>
          </cell>
          <cell r="BE119">
            <v>0.6785714285714286</v>
          </cell>
          <cell r="BF119">
            <v>84</v>
          </cell>
          <cell r="BG119">
            <v>0.93333333333333335</v>
          </cell>
          <cell r="BH119">
            <v>1</v>
          </cell>
          <cell r="BI119">
            <v>1</v>
          </cell>
          <cell r="BJ119">
            <v>31</v>
          </cell>
          <cell r="BK119">
            <v>1</v>
          </cell>
          <cell r="BL119">
            <v>0.93333333333333335</v>
          </cell>
          <cell r="BM119">
            <v>0.25</v>
          </cell>
          <cell r="BN119">
            <v>0.95793650793650797</v>
          </cell>
          <cell r="BO119">
            <v>38</v>
          </cell>
          <cell r="BP119">
            <v>0</v>
          </cell>
          <cell r="BQ119">
            <v>0.69269005847953213</v>
          </cell>
          <cell r="BR119">
            <v>2.88</v>
          </cell>
          <cell r="BS119">
            <v>0.10941325453777966</v>
          </cell>
          <cell r="BT119">
            <v>4.47</v>
          </cell>
          <cell r="BU119">
            <v>0.16981848881384548</v>
          </cell>
          <cell r="BV119">
            <v>0.27923174335162515</v>
          </cell>
          <cell r="BW119">
            <v>0</v>
          </cell>
          <cell r="BX119">
            <v>38</v>
          </cell>
          <cell r="BY119">
            <v>1.4823684210526316</v>
          </cell>
          <cell r="BZ119">
            <v>1.1606315789473682</v>
          </cell>
        </row>
        <row r="120">
          <cell r="A120" t="str">
            <v>Xavi Simons</v>
          </cell>
          <cell r="B120" t="str">
            <v/>
          </cell>
          <cell r="C120" t="str">
            <v>Xavi</v>
          </cell>
          <cell r="D120" t="str">
            <v/>
          </cell>
          <cell r="F120" t="str">
            <v/>
          </cell>
          <cell r="H120" t="str">
            <v/>
          </cell>
          <cell r="I120" t="e">
            <v>#N/A</v>
          </cell>
          <cell r="J120" t="e">
            <v>#N/A</v>
          </cell>
          <cell r="K120" t="e">
            <v>#N/A</v>
          </cell>
          <cell r="M120">
            <v>3.8066804945017458</v>
          </cell>
          <cell r="N120">
            <v>3.571837435603892</v>
          </cell>
          <cell r="O120">
            <v>4.7057235712348993</v>
          </cell>
          <cell r="P120">
            <v>3.8066804945017458</v>
          </cell>
          <cell r="Q120">
            <v>3.571837435603892</v>
          </cell>
          <cell r="R120">
            <v>7.1842105263157894</v>
          </cell>
          <cell r="S120">
            <v>3.8066804945017458</v>
          </cell>
          <cell r="T120" t="str">
            <v>MID</v>
          </cell>
          <cell r="U120" t="str">
            <v>AM</v>
          </cell>
          <cell r="V120" t="str">
            <v>TOT</v>
          </cell>
          <cell r="W120" t="str">
            <v>Spurs</v>
          </cell>
          <cell r="X120">
            <v>6</v>
          </cell>
          <cell r="Y120">
            <v>80</v>
          </cell>
          <cell r="Z120">
            <v>0</v>
          </cell>
          <cell r="AA120">
            <v>80</v>
          </cell>
          <cell r="AB120">
            <v>1747</v>
          </cell>
          <cell r="AC120">
            <v>1747</v>
          </cell>
          <cell r="AD120">
            <v>0.47619047619047622</v>
          </cell>
          <cell r="AE120">
            <v>2</v>
          </cell>
          <cell r="AF120">
            <v>5</v>
          </cell>
          <cell r="AG120">
            <v>-5.4607899255867204E-2</v>
          </cell>
          <cell r="AH120">
            <v>5.9244419004006843E-2</v>
          </cell>
          <cell r="AI120">
            <v>4.6365197481397225E-3</v>
          </cell>
          <cell r="AJ120">
            <v>0</v>
          </cell>
          <cell r="AK120">
            <v>7</v>
          </cell>
          <cell r="AL120">
            <v>345</v>
          </cell>
          <cell r="AM120">
            <v>5</v>
          </cell>
          <cell r="AN120">
            <v>0</v>
          </cell>
          <cell r="AO120">
            <v>513</v>
          </cell>
          <cell r="AP120" t="str">
            <v>Xavi</v>
          </cell>
          <cell r="AQ120">
            <v>1.2501431024613625</v>
          </cell>
          <cell r="AR120">
            <v>0</v>
          </cell>
          <cell r="AS120">
            <v>3.8843732112192324</v>
          </cell>
          <cell r="AT120">
            <v>6.6525472238122498</v>
          </cell>
          <cell r="AU120">
            <v>1.5180309101316543</v>
          </cell>
          <cell r="AV120">
            <v>6.6525472238122498</v>
          </cell>
          <cell r="AW120">
            <v>6.6525472238122498</v>
          </cell>
          <cell r="AX120">
            <v>5.0369286123149885E-2</v>
          </cell>
          <cell r="AY120">
            <v>0</v>
          </cell>
          <cell r="AZ120">
            <v>2.9</v>
          </cell>
          <cell r="BA120">
            <v>80</v>
          </cell>
          <cell r="BB120">
            <v>0</v>
          </cell>
          <cell r="BC120">
            <v>19</v>
          </cell>
          <cell r="BD120">
            <v>10</v>
          </cell>
          <cell r="BE120">
            <v>0.52631578947368418</v>
          </cell>
          <cell r="BF120">
            <v>78</v>
          </cell>
          <cell r="BG120">
            <v>0.8666666666666667</v>
          </cell>
          <cell r="BH120">
            <v>1</v>
          </cell>
          <cell r="BI120">
            <v>9</v>
          </cell>
          <cell r="BJ120">
            <v>30</v>
          </cell>
          <cell r="BK120">
            <v>0</v>
          </cell>
          <cell r="BL120">
            <v>0.6785714285714286</v>
          </cell>
          <cell r="BM120">
            <v>0.99993214285714282</v>
          </cell>
          <cell r="BN120">
            <v>0.80219780219780212</v>
          </cell>
          <cell r="BO120">
            <v>38</v>
          </cell>
          <cell r="BP120">
            <v>0</v>
          </cell>
          <cell r="BQ120">
            <v>0.51081871345029239</v>
          </cell>
          <cell r="BR120">
            <v>3.06</v>
          </cell>
          <cell r="BS120">
            <v>0.1576416714367487</v>
          </cell>
          <cell r="BT120">
            <v>3.85</v>
          </cell>
          <cell r="BU120">
            <v>0.19834001144819691</v>
          </cell>
          <cell r="BV120">
            <v>0.35598168288494558</v>
          </cell>
          <cell r="BW120">
            <v>0</v>
          </cell>
          <cell r="BX120">
            <v>38</v>
          </cell>
          <cell r="BY120">
            <v>1.4628947368421052</v>
          </cell>
          <cell r="BZ120">
            <v>1.1801052631578945</v>
          </cell>
        </row>
        <row r="121">
          <cell r="A121" t="str">
            <v>Nick Pope</v>
          </cell>
          <cell r="B121" t="str">
            <v/>
          </cell>
          <cell r="C121" t="str">
            <v>Pope</v>
          </cell>
          <cell r="D121" t="str">
            <v/>
          </cell>
          <cell r="F121" t="str">
            <v/>
          </cell>
          <cell r="H121" t="str">
            <v/>
          </cell>
          <cell r="I121">
            <v>3.6</v>
          </cell>
          <cell r="J121">
            <v>3.8666666666666667</v>
          </cell>
          <cell r="K121">
            <v>4.2</v>
          </cell>
          <cell r="M121">
            <v>3.7991336399988489</v>
          </cell>
          <cell r="N121">
            <v>3.5364238410596029</v>
          </cell>
          <cell r="O121">
            <v>2.6557229580573951</v>
          </cell>
          <cell r="P121">
            <v>3.7991336399988489</v>
          </cell>
          <cell r="Q121">
            <v>3.5364238410596029</v>
          </cell>
          <cell r="R121">
            <v>2.7688888888888887</v>
          </cell>
          <cell r="S121">
            <v>3.7991336399988489</v>
          </cell>
          <cell r="T121" t="str">
            <v>GK</v>
          </cell>
          <cell r="U121" t="str">
            <v>GK</v>
          </cell>
          <cell r="V121" t="str">
            <v>NEW</v>
          </cell>
          <cell r="W121" t="str">
            <v>Newcastle</v>
          </cell>
          <cell r="X121">
            <v>5</v>
          </cell>
          <cell r="Y121">
            <v>96</v>
          </cell>
          <cell r="Z121">
            <v>0</v>
          </cell>
          <cell r="AA121">
            <v>96</v>
          </cell>
          <cell r="AB121">
            <v>2416</v>
          </cell>
          <cell r="AC121">
            <v>2416</v>
          </cell>
          <cell r="AD121">
            <v>0.71111111111111103</v>
          </cell>
          <cell r="AE121">
            <v>0</v>
          </cell>
          <cell r="AF121">
            <v>1</v>
          </cell>
          <cell r="AG121">
            <v>-5.9602649006622512E-3</v>
          </cell>
          <cell r="AH121">
            <v>3.7251655629139076E-2</v>
          </cell>
          <cell r="AI121">
            <v>3.1291390728476823E-2</v>
          </cell>
          <cell r="AJ121">
            <v>1.0999999999999899E-2</v>
          </cell>
          <cell r="AK121">
            <v>3</v>
          </cell>
          <cell r="AL121">
            <v>414</v>
          </cell>
          <cell r="AM121">
            <v>2</v>
          </cell>
          <cell r="AN121">
            <v>89</v>
          </cell>
          <cell r="AO121">
            <v>442</v>
          </cell>
          <cell r="AP121" t="str">
            <v>Pope</v>
          </cell>
          <cell r="AQ121">
            <v>1.2893211920529801</v>
          </cell>
          <cell r="AR121">
            <v>0</v>
          </cell>
          <cell r="AS121">
            <v>9.3567880794701992</v>
          </cell>
          <cell r="AT121">
            <v>0</v>
          </cell>
          <cell r="AU121">
            <v>3.6837748344370869E-2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3.6</v>
          </cell>
          <cell r="BA121">
            <v>96</v>
          </cell>
          <cell r="BB121" t="str">
            <v/>
          </cell>
          <cell r="BC121">
            <v>27</v>
          </cell>
          <cell r="BD121">
            <v>26</v>
          </cell>
          <cell r="BE121">
            <v>0.96296296296296291</v>
          </cell>
          <cell r="BF121">
            <v>89</v>
          </cell>
          <cell r="BG121">
            <v>0.98888888888888893</v>
          </cell>
          <cell r="BH121">
            <v>1</v>
          </cell>
          <cell r="BI121">
            <v>0</v>
          </cell>
          <cell r="BJ121">
            <v>0</v>
          </cell>
          <cell r="BK121">
            <v>6</v>
          </cell>
          <cell r="BL121">
            <v>0.81818181818181823</v>
          </cell>
          <cell r="BM121">
            <v>0</v>
          </cell>
          <cell r="BN121">
            <v>0.81818181818181823</v>
          </cell>
          <cell r="BO121">
            <v>38</v>
          </cell>
          <cell r="BP121">
            <v>0</v>
          </cell>
          <cell r="BQ121">
            <v>0.70643274853801175</v>
          </cell>
          <cell r="BR121">
            <v>0.16</v>
          </cell>
          <cell r="BS121">
            <v>5.9602649006622512E-3</v>
          </cell>
          <cell r="BT121">
            <v>0</v>
          </cell>
          <cell r="BU121">
            <v>0</v>
          </cell>
          <cell r="BV121">
            <v>5.9602649006622512E-3</v>
          </cell>
          <cell r="BW121">
            <v>0</v>
          </cell>
          <cell r="BX121">
            <v>38</v>
          </cell>
          <cell r="BY121">
            <v>1.5081578947368421</v>
          </cell>
          <cell r="BZ121">
            <v>1.1348421052631577</v>
          </cell>
        </row>
        <row r="122">
          <cell r="A122" t="str">
            <v>Joshua Zirkzee</v>
          </cell>
          <cell r="B122" t="str">
            <v/>
          </cell>
          <cell r="C122" t="str">
            <v>Zirkzee</v>
          </cell>
          <cell r="D122" t="str">
            <v/>
          </cell>
          <cell r="F122" t="str">
            <v/>
          </cell>
          <cell r="H122" t="str">
            <v/>
          </cell>
          <cell r="I122">
            <v>2</v>
          </cell>
          <cell r="J122">
            <v>2</v>
          </cell>
          <cell r="K122">
            <v>2</v>
          </cell>
          <cell r="M122">
            <v>3.7903196046128502</v>
          </cell>
          <cell r="N122">
            <v>5.0510708401976938</v>
          </cell>
          <cell r="O122">
            <v>4.0316370910802544</v>
          </cell>
          <cell r="P122">
            <v>3.7903196046128502</v>
          </cell>
          <cell r="Q122">
            <v>5.0510708401976938</v>
          </cell>
          <cell r="R122">
            <v>3.7244897959183678</v>
          </cell>
          <cell r="S122">
            <v>3.7903196046128502</v>
          </cell>
          <cell r="T122" t="str">
            <v>FWD</v>
          </cell>
          <cell r="U122" t="str">
            <v>CF</v>
          </cell>
          <cell r="V122" t="str">
            <v>MUN</v>
          </cell>
          <cell r="W122" t="str">
            <v>Man Utd</v>
          </cell>
          <cell r="X122">
            <v>5.5</v>
          </cell>
          <cell r="Y122">
            <v>42</v>
          </cell>
          <cell r="Z122">
            <v>0</v>
          </cell>
          <cell r="AA122">
            <v>42</v>
          </cell>
          <cell r="AB122">
            <v>607</v>
          </cell>
          <cell r="AC122">
            <v>607</v>
          </cell>
          <cell r="AD122">
            <v>0.31818181818181818</v>
          </cell>
          <cell r="AE122">
            <v>2</v>
          </cell>
          <cell r="AF122">
            <v>1</v>
          </cell>
          <cell r="AG122">
            <v>-0.10971993410214176</v>
          </cell>
          <cell r="AH122">
            <v>9.7858319604612831E-2</v>
          </cell>
          <cell r="AI122">
            <v>-1.1861614497528927E-2</v>
          </cell>
          <cell r="AJ122">
            <v>4.0000000000000036E-3</v>
          </cell>
          <cell r="AK122">
            <v>6</v>
          </cell>
          <cell r="AL122">
            <v>146</v>
          </cell>
          <cell r="AM122">
            <v>3</v>
          </cell>
          <cell r="AN122">
            <v>0</v>
          </cell>
          <cell r="AO122">
            <v>440</v>
          </cell>
          <cell r="AP122" t="str">
            <v>Zirkzee</v>
          </cell>
          <cell r="AQ122">
            <v>1.6836902800658979</v>
          </cell>
          <cell r="AR122">
            <v>0</v>
          </cell>
          <cell r="AS122">
            <v>2.5255354200988469</v>
          </cell>
          <cell r="AT122">
            <v>5.2915980230642496</v>
          </cell>
          <cell r="AU122">
            <v>1.0823723228995059</v>
          </cell>
          <cell r="AV122">
            <v>5.2915980230642496</v>
          </cell>
          <cell r="AW122">
            <v>5.2915980230642496</v>
          </cell>
          <cell r="AX122">
            <v>4.0064956460343602E-2</v>
          </cell>
          <cell r="AY122">
            <v>0</v>
          </cell>
          <cell r="AZ122">
            <v>1.8</v>
          </cell>
          <cell r="BA122">
            <v>42</v>
          </cell>
          <cell r="BB122" t="str">
            <v/>
          </cell>
          <cell r="BC122">
            <v>5</v>
          </cell>
          <cell r="BD122">
            <v>2</v>
          </cell>
          <cell r="BE122">
            <v>0.4</v>
          </cell>
          <cell r="BF122">
            <v>73</v>
          </cell>
          <cell r="BG122">
            <v>0.81111111111111112</v>
          </cell>
          <cell r="BH122">
            <v>1</v>
          </cell>
          <cell r="BI122">
            <v>19</v>
          </cell>
          <cell r="BJ122">
            <v>14</v>
          </cell>
          <cell r="BK122">
            <v>12</v>
          </cell>
          <cell r="BL122">
            <v>0.1388888888888889</v>
          </cell>
          <cell r="BM122">
            <v>0.52777777777777779</v>
          </cell>
          <cell r="BN122">
            <v>0.30403348554033488</v>
          </cell>
          <cell r="BO122">
            <v>38</v>
          </cell>
          <cell r="BP122">
            <v>0</v>
          </cell>
          <cell r="BQ122">
            <v>0.17748538011695905</v>
          </cell>
          <cell r="BR122">
            <v>2.74</v>
          </cell>
          <cell r="BS122">
            <v>0.4062602965403625</v>
          </cell>
          <cell r="BT122">
            <v>0.34</v>
          </cell>
          <cell r="BU122">
            <v>5.0411861614497532E-2</v>
          </cell>
          <cell r="BV122">
            <v>0.45667215815486001</v>
          </cell>
          <cell r="BW122">
            <v>0</v>
          </cell>
          <cell r="BX122">
            <v>38</v>
          </cell>
          <cell r="BY122">
            <v>1.3231578947368421</v>
          </cell>
          <cell r="BZ122">
            <v>1.3198421052631577</v>
          </cell>
        </row>
        <row r="123">
          <cell r="A123" t="str">
            <v>Bart Verbruggen</v>
          </cell>
          <cell r="B123" t="str">
            <v/>
          </cell>
          <cell r="C123" t="str">
            <v>Verbruggen</v>
          </cell>
          <cell r="D123" t="str">
            <v/>
          </cell>
          <cell r="F123" t="str">
            <v/>
          </cell>
          <cell r="H123" t="str">
            <v/>
          </cell>
          <cell r="I123">
            <v>2.9</v>
          </cell>
          <cell r="J123">
            <v>3.05</v>
          </cell>
          <cell r="K123">
            <v>3.2</v>
          </cell>
          <cell r="M123">
            <v>3.7523397366054509</v>
          </cell>
          <cell r="N123">
            <v>3.4210526315789473</v>
          </cell>
          <cell r="O123">
            <v>2.6339298245614038</v>
          </cell>
          <cell r="P123">
            <v>3.7523397366054509</v>
          </cell>
          <cell r="Q123">
            <v>3.4210526315789473</v>
          </cell>
          <cell r="R123">
            <v>3.333333333333333</v>
          </cell>
          <cell r="S123">
            <v>3.7523397366054509</v>
          </cell>
          <cell r="T123" t="str">
            <v>GK</v>
          </cell>
          <cell r="U123" t="str">
            <v>GK</v>
          </cell>
          <cell r="V123" t="str">
            <v>BHA</v>
          </cell>
          <cell r="W123" t="str">
            <v>Brighton</v>
          </cell>
          <cell r="X123">
            <v>4.5</v>
          </cell>
          <cell r="Y123">
            <v>130</v>
          </cell>
          <cell r="Z123">
            <v>0</v>
          </cell>
          <cell r="AA123">
            <v>130</v>
          </cell>
          <cell r="AB123">
            <v>3420</v>
          </cell>
          <cell r="AC123">
            <v>3420</v>
          </cell>
          <cell r="AD123">
            <v>0.76023391812865493</v>
          </cell>
          <cell r="AE123">
            <v>0</v>
          </cell>
          <cell r="AF123">
            <v>0</v>
          </cell>
          <cell r="AG123">
            <v>0</v>
          </cell>
          <cell r="AH123">
            <v>-1.5789473684210526E-3</v>
          </cell>
          <cell r="AI123">
            <v>-1.5789473684210526E-3</v>
          </cell>
          <cell r="AJ123">
            <v>0.15999999999999992</v>
          </cell>
          <cell r="AK123">
            <v>6</v>
          </cell>
          <cell r="AL123">
            <v>616</v>
          </cell>
          <cell r="AM123">
            <v>3</v>
          </cell>
          <cell r="AN123">
            <v>106</v>
          </cell>
          <cell r="AO123">
            <v>109</v>
          </cell>
          <cell r="AP123" t="str">
            <v>Verbruggen</v>
          </cell>
          <cell r="AQ123">
            <v>0.8421052631578948</v>
          </cell>
          <cell r="AR123">
            <v>0</v>
          </cell>
          <cell r="AS123">
            <v>8.7368421052631575</v>
          </cell>
          <cell r="AT123">
            <v>0</v>
          </cell>
          <cell r="AU123">
            <v>2.6315789473684213E-2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3.4</v>
          </cell>
          <cell r="BA123">
            <v>130</v>
          </cell>
          <cell r="BB123" t="str">
            <v/>
          </cell>
          <cell r="BC123">
            <v>38</v>
          </cell>
          <cell r="BD123">
            <v>38</v>
          </cell>
          <cell r="BE123">
            <v>1</v>
          </cell>
          <cell r="BF123">
            <v>90</v>
          </cell>
          <cell r="BG123">
            <v>1</v>
          </cell>
          <cell r="BH123">
            <v>1</v>
          </cell>
          <cell r="BI123">
            <v>0</v>
          </cell>
          <cell r="BJ123">
            <v>0</v>
          </cell>
          <cell r="BK123">
            <v>0</v>
          </cell>
          <cell r="BL123">
            <v>1</v>
          </cell>
          <cell r="BM123">
            <v>0</v>
          </cell>
          <cell r="BN123">
            <v>1</v>
          </cell>
          <cell r="BO123">
            <v>38</v>
          </cell>
          <cell r="BP123">
            <v>0</v>
          </cell>
          <cell r="BQ123">
            <v>1</v>
          </cell>
          <cell r="BR123">
            <v>0</v>
          </cell>
          <cell r="BS123">
            <v>0</v>
          </cell>
          <cell r="BT123">
            <v>0.06</v>
          </cell>
          <cell r="BU123">
            <v>1.5789473684210526E-3</v>
          </cell>
          <cell r="BV123">
            <v>1.5789473684210526E-3</v>
          </cell>
          <cell r="BW123">
            <v>0</v>
          </cell>
          <cell r="BX123">
            <v>38</v>
          </cell>
          <cell r="BY123">
            <v>1.4144736842105263</v>
          </cell>
          <cell r="BZ123">
            <v>1.2285263157894735</v>
          </cell>
        </row>
        <row r="124">
          <cell r="A124" t="str">
            <v>Caoimhín Kelleher</v>
          </cell>
          <cell r="B124" t="str">
            <v/>
          </cell>
          <cell r="C124" t="str">
            <v>Kelleher</v>
          </cell>
          <cell r="D124" t="str">
            <v/>
          </cell>
          <cell r="E124" t="str">
            <v>Caoimhín Kelleher</v>
          </cell>
          <cell r="F124" t="str">
            <v/>
          </cell>
          <cell r="H124" t="str">
            <v/>
          </cell>
          <cell r="I124">
            <v>2</v>
          </cell>
          <cell r="J124">
            <v>3.3000000000000003</v>
          </cell>
          <cell r="K124">
            <v>4.5</v>
          </cell>
          <cell r="M124">
            <v>3.7383219989128511</v>
          </cell>
          <cell r="N124">
            <v>3.8648648648648649</v>
          </cell>
          <cell r="O124">
            <v>2.4593243243243244</v>
          </cell>
          <cell r="P124">
            <v>3.7383219989128511</v>
          </cell>
          <cell r="Q124">
            <v>3.8648648648648649</v>
          </cell>
          <cell r="R124">
            <v>4.5</v>
          </cell>
          <cell r="S124">
            <v>3.7383219989128511</v>
          </cell>
          <cell r="T124" t="str">
            <v>GK</v>
          </cell>
          <cell r="U124" t="str">
            <v>GK</v>
          </cell>
          <cell r="V124" t="str">
            <v>BRE</v>
          </cell>
          <cell r="W124" t="str">
            <v>Brentford</v>
          </cell>
          <cell r="X124">
            <v>5</v>
          </cell>
          <cell r="Y124">
            <v>143</v>
          </cell>
          <cell r="Z124">
            <v>0</v>
          </cell>
          <cell r="AA124">
            <v>143</v>
          </cell>
          <cell r="AB124">
            <v>3330</v>
          </cell>
          <cell r="AC124">
            <v>3330</v>
          </cell>
          <cell r="AD124">
            <v>0.77297297297297296</v>
          </cell>
          <cell r="AE124">
            <v>0</v>
          </cell>
          <cell r="AF124">
            <v>0</v>
          </cell>
          <cell r="AG124">
            <v>0</v>
          </cell>
          <cell r="AH124">
            <v>-5.9459459459459459E-3</v>
          </cell>
          <cell r="AI124">
            <v>-5.9459459459459459E-3</v>
          </cell>
          <cell r="AJ124">
            <v>5.8000000000000052E-2</v>
          </cell>
          <cell r="AK124">
            <v>11</v>
          </cell>
          <cell r="AL124">
            <v>570</v>
          </cell>
          <cell r="AM124">
            <v>1</v>
          </cell>
          <cell r="AN124">
            <v>109</v>
          </cell>
          <cell r="AO124">
            <v>82</v>
          </cell>
          <cell r="AP124" t="str">
            <v>Kelleher</v>
          </cell>
          <cell r="AQ124">
            <v>1.2972972972972974</v>
          </cell>
          <cell r="AR124">
            <v>0</v>
          </cell>
          <cell r="AS124">
            <v>8.1351351351351351</v>
          </cell>
          <cell r="AT124">
            <v>0</v>
          </cell>
          <cell r="AU124">
            <v>2.7027027027027025E-2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3.9</v>
          </cell>
          <cell r="BA124">
            <v>143</v>
          </cell>
          <cell r="BB124" t="str">
            <v/>
          </cell>
          <cell r="BC124">
            <v>37</v>
          </cell>
          <cell r="BD124">
            <v>37</v>
          </cell>
          <cell r="BE124">
            <v>1</v>
          </cell>
          <cell r="BF124">
            <v>90</v>
          </cell>
          <cell r="BG124">
            <v>1</v>
          </cell>
          <cell r="BH124">
            <v>1</v>
          </cell>
          <cell r="BI124">
            <v>0</v>
          </cell>
          <cell r="BJ124">
            <v>0</v>
          </cell>
          <cell r="BK124">
            <v>0</v>
          </cell>
          <cell r="BL124">
            <v>1</v>
          </cell>
          <cell r="BM124">
            <v>0</v>
          </cell>
          <cell r="BN124">
            <v>1</v>
          </cell>
          <cell r="BO124">
            <v>38</v>
          </cell>
          <cell r="BP124">
            <v>0</v>
          </cell>
          <cell r="BQ124">
            <v>0.97368421052631582</v>
          </cell>
          <cell r="BR124">
            <v>0</v>
          </cell>
          <cell r="BS124">
            <v>0</v>
          </cell>
          <cell r="BT124">
            <v>0.22</v>
          </cell>
          <cell r="BU124">
            <v>5.9459459459459459E-3</v>
          </cell>
          <cell r="BV124">
            <v>5.9459459459459459E-3</v>
          </cell>
          <cell r="BW124">
            <v>0</v>
          </cell>
          <cell r="BX124">
            <v>38</v>
          </cell>
          <cell r="BY124">
            <v>1.5555263157894736</v>
          </cell>
          <cell r="BZ124">
            <v>1.0874736842105261</v>
          </cell>
        </row>
        <row r="125">
          <cell r="A125" t="str">
            <v>Mitoma Kaoru</v>
          </cell>
          <cell r="B125" t="str">
            <v/>
          </cell>
          <cell r="C125" t="str">
            <v>Mitoma</v>
          </cell>
          <cell r="D125" t="str">
            <v/>
          </cell>
          <cell r="E125" t="str">
            <v>Kaoru Mitoma</v>
          </cell>
          <cell r="F125" t="str">
            <v/>
          </cell>
          <cell r="H125" t="str">
            <v/>
          </cell>
          <cell r="I125">
            <v>3.9</v>
          </cell>
          <cell r="J125">
            <v>4.0333333333333332</v>
          </cell>
          <cell r="K125">
            <v>4.2</v>
          </cell>
          <cell r="M125">
            <v>3.7377047856324572</v>
          </cell>
          <cell r="N125">
            <v>2.8704784130688443</v>
          </cell>
          <cell r="O125">
            <v>3.3922470600892107</v>
          </cell>
          <cell r="P125">
            <v>3.7377047856324572</v>
          </cell>
          <cell r="Q125">
            <v>2.8704784130688443</v>
          </cell>
          <cell r="R125">
            <v>2.9078014184397167</v>
          </cell>
          <cell r="S125">
            <v>3.7377047856324572</v>
          </cell>
          <cell r="T125" t="str">
            <v>MID</v>
          </cell>
          <cell r="U125" t="str">
            <v>LW</v>
          </cell>
          <cell r="V125" t="str">
            <v>BHA</v>
          </cell>
          <cell r="W125" t="str">
            <v>Brighton</v>
          </cell>
          <cell r="X125">
            <v>6</v>
          </cell>
          <cell r="Y125">
            <v>62</v>
          </cell>
          <cell r="Z125">
            <v>2</v>
          </cell>
          <cell r="AA125">
            <v>60</v>
          </cell>
          <cell r="AB125">
            <v>1714</v>
          </cell>
          <cell r="AC125">
            <v>1714</v>
          </cell>
          <cell r="AD125">
            <v>0.41333333333333333</v>
          </cell>
          <cell r="AE125">
            <v>3</v>
          </cell>
          <cell r="AF125">
            <v>1</v>
          </cell>
          <cell r="AG125">
            <v>-5.46091015169195E-2</v>
          </cell>
          <cell r="AH125">
            <v>-9.1365227537923005E-2</v>
          </cell>
          <cell r="AI125">
            <v>-0.14597432905484251</v>
          </cell>
          <cell r="AJ125">
            <v>8.999999999999897E-3</v>
          </cell>
          <cell r="AK125">
            <v>2</v>
          </cell>
          <cell r="AL125">
            <v>247</v>
          </cell>
          <cell r="AM125">
            <v>5</v>
          </cell>
          <cell r="AN125">
            <v>0</v>
          </cell>
          <cell r="AO125">
            <v>121</v>
          </cell>
          <cell r="AP125" t="str">
            <v>Mitoma</v>
          </cell>
          <cell r="AQ125">
            <v>1.2917152858809799</v>
          </cell>
          <cell r="AR125">
            <v>0</v>
          </cell>
          <cell r="AS125">
            <v>2.9661610268378058</v>
          </cell>
          <cell r="AT125">
            <v>5.1190198366394402</v>
          </cell>
          <cell r="AU125">
            <v>0.86114352392065341</v>
          </cell>
          <cell r="AV125">
            <v>5.1190198366394402</v>
          </cell>
          <cell r="AW125">
            <v>5.1190198366394402</v>
          </cell>
          <cell r="AX125">
            <v>3.8758293048841472E-2</v>
          </cell>
          <cell r="AY125">
            <v>0</v>
          </cell>
          <cell r="AZ125">
            <v>2.5</v>
          </cell>
          <cell r="BA125">
            <v>62</v>
          </cell>
          <cell r="BB125" t="str">
            <v/>
          </cell>
          <cell r="BC125">
            <v>19</v>
          </cell>
          <cell r="BD125">
            <v>10</v>
          </cell>
          <cell r="BE125">
            <v>0.52631578947368418</v>
          </cell>
          <cell r="BF125">
            <v>82</v>
          </cell>
          <cell r="BG125">
            <v>0.91111111111111109</v>
          </cell>
          <cell r="BH125">
            <v>1</v>
          </cell>
          <cell r="BI125">
            <v>6</v>
          </cell>
          <cell r="BJ125">
            <v>28</v>
          </cell>
          <cell r="BK125">
            <v>0</v>
          </cell>
          <cell r="BL125">
            <v>0.76</v>
          </cell>
          <cell r="BM125">
            <v>0.24</v>
          </cell>
          <cell r="BN125">
            <v>0.8419512195121952</v>
          </cell>
          <cell r="BO125">
            <v>38</v>
          </cell>
          <cell r="BP125">
            <v>0</v>
          </cell>
          <cell r="BQ125">
            <v>0.50116959064327482</v>
          </cell>
          <cell r="BR125">
            <v>4.04</v>
          </cell>
          <cell r="BS125">
            <v>0.21213535589264879</v>
          </cell>
          <cell r="BT125">
            <v>2.74</v>
          </cell>
          <cell r="BU125">
            <v>0.14387397899649942</v>
          </cell>
          <cell r="BV125">
            <v>0.35600933488914821</v>
          </cell>
          <cell r="BW125">
            <v>0</v>
          </cell>
          <cell r="BX125">
            <v>38</v>
          </cell>
          <cell r="BY125">
            <v>1.4144736842105263</v>
          </cell>
          <cell r="BZ125">
            <v>1.2285263157894735</v>
          </cell>
        </row>
        <row r="126">
          <cell r="A126" t="str">
            <v>Sean Longstaff</v>
          </cell>
          <cell r="B126" t="str">
            <v/>
          </cell>
          <cell r="C126" t="str">
            <v>Longstaff</v>
          </cell>
          <cell r="D126" t="str">
            <v/>
          </cell>
          <cell r="F126" t="str">
            <v/>
          </cell>
          <cell r="H126" t="str">
            <v/>
          </cell>
          <cell r="I126">
            <v>1.4</v>
          </cell>
          <cell r="J126">
            <v>2.25</v>
          </cell>
          <cell r="K126">
            <v>3.1</v>
          </cell>
          <cell r="M126">
            <v>3.7370158418955701</v>
          </cell>
          <cell r="N126">
            <v>4.3549351944167505</v>
          </cell>
          <cell r="O126">
            <v>7.7587946161515458</v>
          </cell>
          <cell r="P126">
            <v>3.7370158418955701</v>
          </cell>
          <cell r="Q126">
            <v>4.3549351944167505</v>
          </cell>
          <cell r="R126">
            <v>16.5</v>
          </cell>
          <cell r="S126">
            <v>3.7370158418955701</v>
          </cell>
          <cell r="T126" t="str">
            <v>MID</v>
          </cell>
          <cell r="U126" t="str">
            <v>CM</v>
          </cell>
          <cell r="V126" t="str">
            <v>LEE</v>
          </cell>
          <cell r="W126" t="str">
            <v>Leeds</v>
          </cell>
          <cell r="X126">
            <v>5</v>
          </cell>
          <cell r="Y126">
            <v>56.000000000000007</v>
          </cell>
          <cell r="Z126">
            <v>4</v>
          </cell>
          <cell r="AA126">
            <v>52.000000000000007</v>
          </cell>
          <cell r="AB126">
            <v>1003</v>
          </cell>
          <cell r="AC126">
            <v>1003</v>
          </cell>
          <cell r="AD126">
            <v>0.48695652173913045</v>
          </cell>
          <cell r="AE126">
            <v>2</v>
          </cell>
          <cell r="AF126">
            <v>2</v>
          </cell>
          <cell r="AG126">
            <v>6.9092721834496496E-2</v>
          </cell>
          <cell r="AH126">
            <v>1.166500498504483E-2</v>
          </cell>
          <cell r="AI126">
            <v>8.0757726819541353E-2</v>
          </cell>
          <cell r="AJ126">
            <v>2.0000000000000018E-3</v>
          </cell>
          <cell r="AK126">
            <v>5</v>
          </cell>
          <cell r="AL126">
            <v>273</v>
          </cell>
          <cell r="AM126">
            <v>2</v>
          </cell>
          <cell r="AN126">
            <v>0</v>
          </cell>
          <cell r="AO126">
            <v>339</v>
          </cell>
          <cell r="AP126" t="str">
            <v>Longstaff</v>
          </cell>
          <cell r="AQ126">
            <v>2.4287138584247261</v>
          </cell>
          <cell r="AR126">
            <v>0</v>
          </cell>
          <cell r="AS126">
            <v>3.601196410767697</v>
          </cell>
          <cell r="AT126">
            <v>9.2123629112662027</v>
          </cell>
          <cell r="AU126">
            <v>3.1824526420737782</v>
          </cell>
          <cell r="AV126">
            <v>9.2123629112662027</v>
          </cell>
          <cell r="AW126">
            <v>9.2123629112662027</v>
          </cell>
          <cell r="AX126">
            <v>0.22078464607370701</v>
          </cell>
          <cell r="AY126">
            <v>0</v>
          </cell>
          <cell r="AZ126">
            <v>2.4</v>
          </cell>
          <cell r="BA126">
            <v>56.000000000000007</v>
          </cell>
          <cell r="BB126" t="str">
            <v/>
          </cell>
          <cell r="BC126">
            <v>10</v>
          </cell>
          <cell r="BD126">
            <v>7</v>
          </cell>
          <cell r="BE126">
            <v>0.7</v>
          </cell>
          <cell r="BF126">
            <v>84</v>
          </cell>
          <cell r="BG126">
            <v>0.93333333333333335</v>
          </cell>
          <cell r="BH126">
            <v>1</v>
          </cell>
          <cell r="BI126">
            <v>13</v>
          </cell>
          <cell r="BJ126">
            <v>13</v>
          </cell>
          <cell r="BK126">
            <v>6</v>
          </cell>
          <cell r="BL126">
            <v>0.34482758620689657</v>
          </cell>
          <cell r="BM126">
            <v>0.44827586206896552</v>
          </cell>
          <cell r="BN126">
            <v>0.44622331691297212</v>
          </cell>
          <cell r="BO126">
            <v>38</v>
          </cell>
          <cell r="BP126">
            <v>0</v>
          </cell>
          <cell r="BQ126">
            <v>0.29327485380116958</v>
          </cell>
          <cell r="BR126">
            <v>1.23</v>
          </cell>
          <cell r="BS126">
            <v>0.11036889332003988</v>
          </cell>
          <cell r="BT126">
            <v>1.87</v>
          </cell>
          <cell r="BU126">
            <v>0.16779661016949154</v>
          </cell>
          <cell r="BV126">
            <v>0.2781655034895314</v>
          </cell>
          <cell r="BW126">
            <v>0</v>
          </cell>
          <cell r="BX126">
            <v>38</v>
          </cell>
          <cell r="BY126">
            <v>1.4823684210526316</v>
          </cell>
          <cell r="BZ126">
            <v>1.1606315789473682</v>
          </cell>
        </row>
        <row r="127">
          <cell r="A127" t="str">
            <v>Nick Woltemade</v>
          </cell>
          <cell r="B127" t="str">
            <v/>
          </cell>
          <cell r="C127" t="str">
            <v>Woltemade</v>
          </cell>
          <cell r="D127" t="str">
            <v/>
          </cell>
          <cell r="F127" t="str">
            <v/>
          </cell>
          <cell r="H127" t="str">
            <v/>
          </cell>
          <cell r="I127" t="e">
            <v>#N/A</v>
          </cell>
          <cell r="J127" t="e">
            <v>#N/A</v>
          </cell>
          <cell r="K127" t="e">
            <v>#N/A</v>
          </cell>
          <cell r="M127">
            <v>3.7365390295358654</v>
          </cell>
          <cell r="N127">
            <v>4.1582278481012649</v>
          </cell>
          <cell r="O127">
            <v>3.6479219042377551</v>
          </cell>
          <cell r="P127">
            <v>3.7365390295358654</v>
          </cell>
          <cell r="Q127">
            <v>4.1582278481012649</v>
          </cell>
          <cell r="R127">
            <v>4.4434782608695658</v>
          </cell>
          <cell r="S127">
            <v>3.7365390295358654</v>
          </cell>
          <cell r="T127" t="str">
            <v>FWD</v>
          </cell>
          <cell r="U127" t="str">
            <v>CF</v>
          </cell>
          <cell r="V127" t="str">
            <v>NEW</v>
          </cell>
          <cell r="W127" t="str">
            <v>Newcastle</v>
          </cell>
          <cell r="X127">
            <v>6</v>
          </cell>
          <cell r="Y127">
            <v>107.99999999999999</v>
          </cell>
          <cell r="Z127">
            <v>0</v>
          </cell>
          <cell r="AA127">
            <v>107.99999999999999</v>
          </cell>
          <cell r="AB127">
            <v>1896</v>
          </cell>
          <cell r="AC127">
            <v>1896</v>
          </cell>
          <cell r="AD127">
            <v>0.54545454545454541</v>
          </cell>
          <cell r="AE127">
            <v>8</v>
          </cell>
          <cell r="AF127">
            <v>4</v>
          </cell>
          <cell r="AG127">
            <v>6.6930379746835411E-2</v>
          </cell>
          <cell r="AH127">
            <v>0.11724683544303796</v>
          </cell>
          <cell r="AI127">
            <v>0.18417721518987346</v>
          </cell>
          <cell r="AJ127">
            <v>1.6000000000000014E-2</v>
          </cell>
          <cell r="AK127">
            <v>12</v>
          </cell>
          <cell r="AL127">
            <v>399</v>
          </cell>
          <cell r="AM127">
            <v>0</v>
          </cell>
          <cell r="AN127">
            <v>0</v>
          </cell>
          <cell r="AO127">
            <v>463</v>
          </cell>
          <cell r="AP127" t="str">
            <v>Woltemade</v>
          </cell>
          <cell r="AQ127">
            <v>1.0780590717299579</v>
          </cell>
          <cell r="AR127">
            <v>0</v>
          </cell>
          <cell r="AS127">
            <v>2.0406118143459917</v>
          </cell>
          <cell r="AT127">
            <v>4.0427215189873413</v>
          </cell>
          <cell r="AU127">
            <v>0.92405063291139244</v>
          </cell>
          <cell r="AV127">
            <v>4.0427215189873413</v>
          </cell>
          <cell r="AW127">
            <v>4.0427215189873413</v>
          </cell>
          <cell r="AX127">
            <v>3.0609177215189871E-2</v>
          </cell>
          <cell r="AY127">
            <v>0</v>
          </cell>
          <cell r="AZ127">
            <v>3.3</v>
          </cell>
          <cell r="BA127">
            <v>107.99999999999999</v>
          </cell>
          <cell r="BB127" t="str">
            <v/>
          </cell>
          <cell r="BC127">
            <v>24</v>
          </cell>
          <cell r="BD127">
            <v>3</v>
          </cell>
          <cell r="BE127">
            <v>0.125</v>
          </cell>
          <cell r="BF127">
            <v>73</v>
          </cell>
          <cell r="BG127">
            <v>0.81111111111111112</v>
          </cell>
          <cell r="BH127">
            <v>1</v>
          </cell>
          <cell r="BI127">
            <v>9</v>
          </cell>
          <cell r="BJ127">
            <v>16</v>
          </cell>
          <cell r="BK127">
            <v>1</v>
          </cell>
          <cell r="BL127">
            <v>0.70588235294117652</v>
          </cell>
          <cell r="BM127">
            <v>0.26470588235294112</v>
          </cell>
          <cell r="BN127">
            <v>0.77034649476228845</v>
          </cell>
          <cell r="BO127">
            <v>38</v>
          </cell>
          <cell r="BP127">
            <v>0</v>
          </cell>
          <cell r="BQ127">
            <v>0.55438596491228065</v>
          </cell>
          <cell r="BR127">
            <v>6.59</v>
          </cell>
          <cell r="BS127">
            <v>0.31281645569620253</v>
          </cell>
          <cell r="BT127">
            <v>1.53</v>
          </cell>
          <cell r="BU127">
            <v>7.2626582278481011E-2</v>
          </cell>
          <cell r="BV127">
            <v>0.38544303797468354</v>
          </cell>
          <cell r="BW127">
            <v>0</v>
          </cell>
          <cell r="BX127">
            <v>38</v>
          </cell>
          <cell r="BY127">
            <v>1.5081578947368421</v>
          </cell>
          <cell r="BZ127">
            <v>1.1348421052631577</v>
          </cell>
        </row>
        <row r="128">
          <cell r="A128" t="str">
            <v>Wilson Odobert</v>
          </cell>
          <cell r="B128" t="str">
            <v/>
          </cell>
          <cell r="C128" t="str">
            <v>Odobert</v>
          </cell>
          <cell r="D128" t="str">
            <v/>
          </cell>
          <cell r="F128" t="str">
            <v/>
          </cell>
          <cell r="H128" t="str">
            <v/>
          </cell>
          <cell r="I128">
            <v>2.1</v>
          </cell>
          <cell r="J128">
            <v>2.4500000000000002</v>
          </cell>
          <cell r="K128">
            <v>2.8</v>
          </cell>
          <cell r="M128">
            <v>3.734682967877621</v>
          </cell>
          <cell r="N128">
            <v>3.2181069958847739</v>
          </cell>
          <cell r="O128">
            <v>2.4407407407407407</v>
          </cell>
          <cell r="P128">
            <v>3.734682967877621</v>
          </cell>
          <cell r="Q128">
            <v>3.2181069958847739</v>
          </cell>
          <cell r="R128">
            <v>0</v>
          </cell>
          <cell r="S128">
            <v>3.734682967877621</v>
          </cell>
          <cell r="T128" t="str">
            <v>MID</v>
          </cell>
          <cell r="U128" t="str">
            <v>LW</v>
          </cell>
          <cell r="V128" t="str">
            <v>TOT</v>
          </cell>
          <cell r="W128" t="str">
            <v>Spurs</v>
          </cell>
          <cell r="X128">
            <v>5.5</v>
          </cell>
          <cell r="Y128">
            <v>46</v>
          </cell>
          <cell r="Z128">
            <v>0</v>
          </cell>
          <cell r="AA128">
            <v>46</v>
          </cell>
          <cell r="AB128">
            <v>972</v>
          </cell>
          <cell r="AC128">
            <v>972</v>
          </cell>
          <cell r="AD128">
            <v>0.34848484848484851</v>
          </cell>
          <cell r="AE128">
            <v>0</v>
          </cell>
          <cell r="AF128">
            <v>2</v>
          </cell>
          <cell r="AG128">
            <v>-0.17777777777777778</v>
          </cell>
          <cell r="AH128">
            <v>7.314814814814817E-2</v>
          </cell>
          <cell r="AI128">
            <v>-0.1046296296296296</v>
          </cell>
          <cell r="AJ128">
            <v>0</v>
          </cell>
          <cell r="AK128">
            <v>6</v>
          </cell>
          <cell r="AL128">
            <v>176</v>
          </cell>
          <cell r="AM128">
            <v>0</v>
          </cell>
          <cell r="AN128">
            <v>0</v>
          </cell>
          <cell r="AO128">
            <v>517</v>
          </cell>
          <cell r="AP128" t="str">
            <v>Odobert</v>
          </cell>
          <cell r="AQ128">
            <v>0.97942386831275718</v>
          </cell>
          <cell r="AR128">
            <v>0</v>
          </cell>
          <cell r="AS128">
            <v>3.7078189300411522</v>
          </cell>
          <cell r="AT128">
            <v>5.3868312757201648</v>
          </cell>
          <cell r="AU128">
            <v>0.69958847736625518</v>
          </cell>
          <cell r="AV128">
            <v>5.3868312757201648</v>
          </cell>
          <cell r="AW128">
            <v>5.3868312757201648</v>
          </cell>
          <cell r="AX128">
            <v>4.0786008230452676E-2</v>
          </cell>
          <cell r="AY128">
            <v>0</v>
          </cell>
          <cell r="AZ128">
            <v>1.9</v>
          </cell>
          <cell r="BA128">
            <v>46</v>
          </cell>
          <cell r="BB128">
            <v>0</v>
          </cell>
          <cell r="BC128">
            <v>10</v>
          </cell>
          <cell r="BD128">
            <v>1</v>
          </cell>
          <cell r="BE128">
            <v>0.1</v>
          </cell>
          <cell r="BF128">
            <v>68</v>
          </cell>
          <cell r="BG128">
            <v>0.75555555555555554</v>
          </cell>
          <cell r="BH128">
            <v>1</v>
          </cell>
          <cell r="BI128">
            <v>14</v>
          </cell>
          <cell r="BJ128">
            <v>22</v>
          </cell>
          <cell r="BK128">
            <v>2</v>
          </cell>
          <cell r="BL128">
            <v>0.38461538461538464</v>
          </cell>
          <cell r="BM128">
            <v>0.87496634615384616</v>
          </cell>
          <cell r="BN128">
            <v>0.58371040723981904</v>
          </cell>
          <cell r="BO128">
            <v>38</v>
          </cell>
          <cell r="BP128">
            <v>0</v>
          </cell>
          <cell r="BQ128">
            <v>0.28421052631578947</v>
          </cell>
          <cell r="BR128">
            <v>1.92</v>
          </cell>
          <cell r="BS128">
            <v>0.17777777777777778</v>
          </cell>
          <cell r="BT128">
            <v>1.21</v>
          </cell>
          <cell r="BU128">
            <v>0.11203703703703703</v>
          </cell>
          <cell r="BV128">
            <v>0.2898148148148148</v>
          </cell>
          <cell r="BW128">
            <v>0</v>
          </cell>
          <cell r="BX128">
            <v>38</v>
          </cell>
          <cell r="BY128">
            <v>1.4628947368421052</v>
          </cell>
          <cell r="BZ128">
            <v>1.1801052631578945</v>
          </cell>
        </row>
        <row r="129">
          <cell r="A129" t="str">
            <v>Eddie Nketiah</v>
          </cell>
          <cell r="B129" t="str">
            <v/>
          </cell>
          <cell r="C129" t="str">
            <v>Nketiah</v>
          </cell>
          <cell r="D129" t="str">
            <v/>
          </cell>
          <cell r="F129" t="str">
            <v/>
          </cell>
          <cell r="H129" t="str">
            <v/>
          </cell>
          <cell r="I129">
            <v>1.8</v>
          </cell>
          <cell r="J129">
            <v>2.1666666666666665</v>
          </cell>
          <cell r="K129">
            <v>2.6</v>
          </cell>
          <cell r="M129">
            <v>3.7290821256038647</v>
          </cell>
          <cell r="N129">
            <v>3.8888888888888888</v>
          </cell>
          <cell r="O129">
            <v>2.2053140096618358</v>
          </cell>
          <cell r="P129">
            <v>3.7290821256038647</v>
          </cell>
          <cell r="Q129">
            <v>3.8888888888888888</v>
          </cell>
          <cell r="R129">
            <v>0</v>
          </cell>
          <cell r="S129">
            <v>3.7290821256038647</v>
          </cell>
          <cell r="T129" t="str">
            <v>FWD</v>
          </cell>
          <cell r="U129" t="str">
            <v>CF</v>
          </cell>
          <cell r="V129" t="str">
            <v>CRY</v>
          </cell>
          <cell r="W129" t="str">
            <v>Crystal Palace</v>
          </cell>
          <cell r="X129">
            <v>5.5</v>
          </cell>
          <cell r="Y129">
            <v>23</v>
          </cell>
          <cell r="Z129">
            <v>0</v>
          </cell>
          <cell r="AA129">
            <v>23</v>
          </cell>
          <cell r="AB129">
            <v>414</v>
          </cell>
          <cell r="AC129">
            <v>414</v>
          </cell>
          <cell r="AD129">
            <v>0.34848484848484851</v>
          </cell>
          <cell r="AE129">
            <v>2</v>
          </cell>
          <cell r="AF129">
            <v>0</v>
          </cell>
          <cell r="AG129">
            <v>5.0000000000000044E-2</v>
          </cell>
          <cell r="AH129">
            <v>-0.1</v>
          </cell>
          <cell r="AI129">
            <v>-4.9999999999999989E-2</v>
          </cell>
          <cell r="AJ129">
            <v>4.0000000000000036E-3</v>
          </cell>
          <cell r="AK129">
            <v>3</v>
          </cell>
          <cell r="AL129">
            <v>100</v>
          </cell>
          <cell r="AM129">
            <v>2</v>
          </cell>
          <cell r="AN129">
            <v>0</v>
          </cell>
          <cell r="AO129">
            <v>224</v>
          </cell>
          <cell r="AP129" t="str">
            <v>Nketiah</v>
          </cell>
          <cell r="AQ129">
            <v>2.1980676328502415</v>
          </cell>
          <cell r="AR129">
            <v>0</v>
          </cell>
          <cell r="AS129">
            <v>2.8743961352657004</v>
          </cell>
          <cell r="AT129">
            <v>6.4251207729468609</v>
          </cell>
          <cell r="AU129">
            <v>1.3526570048309179</v>
          </cell>
          <cell r="AV129">
            <v>6.4251207729468609</v>
          </cell>
          <cell r="AW129">
            <v>6.4251207729468609</v>
          </cell>
          <cell r="AX129">
            <v>4.8647342995169089E-2</v>
          </cell>
          <cell r="AY129">
            <v>0</v>
          </cell>
          <cell r="AZ129">
            <v>1.9</v>
          </cell>
          <cell r="BA129">
            <v>23</v>
          </cell>
          <cell r="BB129" t="str">
            <v/>
          </cell>
          <cell r="BC129">
            <v>2</v>
          </cell>
          <cell r="BD129">
            <v>0</v>
          </cell>
          <cell r="BE129">
            <v>0</v>
          </cell>
          <cell r="BF129">
            <v>70</v>
          </cell>
          <cell r="BG129">
            <v>0.77777777777777779</v>
          </cell>
          <cell r="BH129">
            <v>1</v>
          </cell>
          <cell r="BI129">
            <v>10</v>
          </cell>
          <cell r="BJ129">
            <v>28</v>
          </cell>
          <cell r="BK129">
            <v>0</v>
          </cell>
          <cell r="BL129">
            <v>0.16666666666666666</v>
          </cell>
          <cell r="BM129">
            <v>0.83333333333333337</v>
          </cell>
          <cell r="BN129">
            <v>0.5</v>
          </cell>
          <cell r="BO129">
            <v>38</v>
          </cell>
          <cell r="BP129">
            <v>0</v>
          </cell>
          <cell r="BQ129">
            <v>0.12105263157894737</v>
          </cell>
          <cell r="BR129">
            <v>1.77</v>
          </cell>
          <cell r="BS129">
            <v>0.38478260869565212</v>
          </cell>
          <cell r="BT129">
            <v>0.46</v>
          </cell>
          <cell r="BU129">
            <v>0.1</v>
          </cell>
          <cell r="BV129">
            <v>0.48478260869565215</v>
          </cell>
          <cell r="BW129">
            <v>0</v>
          </cell>
          <cell r="BX129">
            <v>38</v>
          </cell>
          <cell r="BY129">
            <v>1.631578947368421</v>
          </cell>
          <cell r="BZ129">
            <v>1.0114210526315788</v>
          </cell>
        </row>
        <row r="130">
          <cell r="A130" t="str">
            <v>Yoane Wissa</v>
          </cell>
          <cell r="B130" t="str">
            <v/>
          </cell>
          <cell r="C130" t="str">
            <v>Wissa</v>
          </cell>
          <cell r="D130" t="str">
            <v/>
          </cell>
          <cell r="F130" t="str">
            <v/>
          </cell>
          <cell r="H130" t="str">
            <v/>
          </cell>
          <cell r="I130">
            <v>2.9</v>
          </cell>
          <cell r="J130">
            <v>4.0333333333333332</v>
          </cell>
          <cell r="K130">
            <v>5.3</v>
          </cell>
          <cell r="M130">
            <v>3.7179110251450682</v>
          </cell>
          <cell r="N130">
            <v>3.6557059961315281</v>
          </cell>
          <cell r="O130">
            <v>5.2618375241779498</v>
          </cell>
          <cell r="P130">
            <v>3.7179110251450682</v>
          </cell>
          <cell r="Q130">
            <v>3.6557059961315281</v>
          </cell>
          <cell r="R130">
            <v>4.4680851063829783</v>
          </cell>
          <cell r="S130">
            <v>3.7179110251450682</v>
          </cell>
          <cell r="T130" t="str">
            <v>FWD</v>
          </cell>
          <cell r="U130" t="str">
            <v>CF</v>
          </cell>
          <cell r="V130" t="str">
            <v>NEW</v>
          </cell>
          <cell r="W130" t="str">
            <v>Newcastle</v>
          </cell>
          <cell r="X130">
            <v>6</v>
          </cell>
          <cell r="Y130">
            <v>27.000000000000004</v>
          </cell>
          <cell r="Z130">
            <v>0</v>
          </cell>
          <cell r="AA130">
            <v>27.000000000000004</v>
          </cell>
          <cell r="AB130">
            <v>517</v>
          </cell>
          <cell r="AC130">
            <v>517</v>
          </cell>
          <cell r="AD130">
            <v>0.23684210526315794</v>
          </cell>
          <cell r="AE130">
            <v>1</v>
          </cell>
          <cell r="AF130">
            <v>1</v>
          </cell>
          <cell r="AG130">
            <v>-0.37079303675048358</v>
          </cell>
          <cell r="AH130">
            <v>8.0077369439071552E-2</v>
          </cell>
          <cell r="AI130">
            <v>-0.29071566731141207</v>
          </cell>
          <cell r="AJ130">
            <v>1.4999999999999902E-2</v>
          </cell>
          <cell r="AK130">
            <v>0</v>
          </cell>
          <cell r="AL130">
            <v>70</v>
          </cell>
          <cell r="AM130">
            <v>3</v>
          </cell>
          <cell r="AN130">
            <v>0</v>
          </cell>
          <cell r="AO130">
            <v>464</v>
          </cell>
          <cell r="AP130" t="str">
            <v>Wissa</v>
          </cell>
          <cell r="AQ130">
            <v>0.40618955512572535</v>
          </cell>
          <cell r="AR130">
            <v>0</v>
          </cell>
          <cell r="AS130">
            <v>1.895551257253385</v>
          </cell>
          <cell r="AT130">
            <v>2.978723404255319</v>
          </cell>
          <cell r="AU130">
            <v>0.67698259187620902</v>
          </cell>
          <cell r="AV130">
            <v>2.978723404255319</v>
          </cell>
          <cell r="AW130">
            <v>2.978723404255319</v>
          </cell>
          <cell r="AX130">
            <v>2.2553191489361701E-2</v>
          </cell>
          <cell r="AY130">
            <v>0</v>
          </cell>
          <cell r="AZ130">
            <v>1.4</v>
          </cell>
          <cell r="BA130">
            <v>27.000000000000004</v>
          </cell>
          <cell r="BB130" t="str">
            <v/>
          </cell>
          <cell r="BC130">
            <v>4</v>
          </cell>
          <cell r="BD130">
            <v>0</v>
          </cell>
          <cell r="BE130">
            <v>0</v>
          </cell>
          <cell r="BF130">
            <v>70</v>
          </cell>
          <cell r="BG130">
            <v>0.77777777777777779</v>
          </cell>
          <cell r="BH130">
            <v>1</v>
          </cell>
          <cell r="BI130">
            <v>15</v>
          </cell>
          <cell r="BJ130">
            <v>17</v>
          </cell>
          <cell r="BK130">
            <v>4</v>
          </cell>
          <cell r="BL130">
            <v>0.17391304347826086</v>
          </cell>
          <cell r="BM130">
            <v>0.65217391304347827</v>
          </cell>
          <cell r="BN130">
            <v>0.37453416149068319</v>
          </cell>
          <cell r="BO130">
            <v>38</v>
          </cell>
          <cell r="BP130">
            <v>0</v>
          </cell>
          <cell r="BQ130">
            <v>0.15116959064327484</v>
          </cell>
          <cell r="BR130">
            <v>3.13</v>
          </cell>
          <cell r="BS130">
            <v>0.54487427466150873</v>
          </cell>
          <cell r="BT130">
            <v>0.54</v>
          </cell>
          <cell r="BU130">
            <v>9.4003868471953592E-2</v>
          </cell>
          <cell r="BV130">
            <v>0.63887814313346236</v>
          </cell>
          <cell r="BW130">
            <v>0</v>
          </cell>
          <cell r="BX130">
            <v>38</v>
          </cell>
          <cell r="BY130">
            <v>1.5081578947368421</v>
          </cell>
          <cell r="BZ130">
            <v>1.1348421052631577</v>
          </cell>
        </row>
        <row r="131">
          <cell r="A131" t="str">
            <v>Gianluigi Donnarumma</v>
          </cell>
          <cell r="B131" t="str">
            <v/>
          </cell>
          <cell r="C131" t="str">
            <v>Donnarumma</v>
          </cell>
          <cell r="D131" t="str">
            <v/>
          </cell>
          <cell r="F131" t="str">
            <v/>
          </cell>
          <cell r="H131" t="str">
            <v/>
          </cell>
          <cell r="I131" t="e">
            <v>#N/A</v>
          </cell>
          <cell r="J131" t="e">
            <v>#N/A</v>
          </cell>
          <cell r="K131" t="e">
            <v>#N/A</v>
          </cell>
          <cell r="M131">
            <v>3.7078473980374227</v>
          </cell>
          <cell r="N131">
            <v>3.9705882352941178</v>
          </cell>
          <cell r="O131">
            <v>2.3821344537815126</v>
          </cell>
          <cell r="P131">
            <v>3.7078473980374227</v>
          </cell>
          <cell r="Q131">
            <v>3.9705882352941178</v>
          </cell>
          <cell r="R131">
            <v>4</v>
          </cell>
          <cell r="S131">
            <v>3.7078473980374227</v>
          </cell>
          <cell r="T131" t="str">
            <v>GK</v>
          </cell>
          <cell r="U131" t="str">
            <v>GK</v>
          </cell>
          <cell r="V131" t="str">
            <v>MCI</v>
          </cell>
          <cell r="W131" t="str">
            <v>Man City</v>
          </cell>
          <cell r="X131">
            <v>5.5</v>
          </cell>
          <cell r="Y131">
            <v>135</v>
          </cell>
          <cell r="Z131">
            <v>0</v>
          </cell>
          <cell r="AA131">
            <v>135</v>
          </cell>
          <cell r="AB131">
            <v>3060</v>
          </cell>
          <cell r="AC131">
            <v>3060</v>
          </cell>
          <cell r="AD131">
            <v>0.72192513368983957</v>
          </cell>
          <cell r="AE131">
            <v>0</v>
          </cell>
          <cell r="AF131">
            <v>0</v>
          </cell>
          <cell r="AG131">
            <v>0</v>
          </cell>
          <cell r="AH131">
            <v>-3.8235294117647061E-3</v>
          </cell>
          <cell r="AI131">
            <v>-3.8235294117647061E-3</v>
          </cell>
          <cell r="AJ131">
            <v>0.11099999999999999</v>
          </cell>
          <cell r="AK131">
            <v>5</v>
          </cell>
          <cell r="AL131">
            <v>567</v>
          </cell>
          <cell r="AM131">
            <v>8</v>
          </cell>
          <cell r="AN131">
            <v>78</v>
          </cell>
          <cell r="AO131">
            <v>384</v>
          </cell>
          <cell r="AP131" t="str">
            <v>Donnarumma</v>
          </cell>
          <cell r="AQ131">
            <v>1.2352941176470589</v>
          </cell>
          <cell r="AR131">
            <v>0</v>
          </cell>
          <cell r="AS131">
            <v>6.9411764705882355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4</v>
          </cell>
          <cell r="BA131">
            <v>135</v>
          </cell>
          <cell r="BB131" t="str">
            <v/>
          </cell>
          <cell r="BC131">
            <v>34</v>
          </cell>
          <cell r="BD131">
            <v>34</v>
          </cell>
          <cell r="BE131">
            <v>1</v>
          </cell>
          <cell r="BF131">
            <v>90</v>
          </cell>
          <cell r="BG131">
            <v>1</v>
          </cell>
          <cell r="BH131">
            <v>1</v>
          </cell>
          <cell r="BI131">
            <v>0</v>
          </cell>
          <cell r="BJ131">
            <v>0</v>
          </cell>
          <cell r="BK131">
            <v>0</v>
          </cell>
          <cell r="BL131">
            <v>1</v>
          </cell>
          <cell r="BM131">
            <v>0</v>
          </cell>
          <cell r="BN131">
            <v>1</v>
          </cell>
          <cell r="BO131">
            <v>38</v>
          </cell>
          <cell r="BP131">
            <v>0</v>
          </cell>
          <cell r="BQ131">
            <v>0.89473684210526316</v>
          </cell>
          <cell r="BR131">
            <v>0</v>
          </cell>
          <cell r="BS131">
            <v>0</v>
          </cell>
          <cell r="BT131">
            <v>0.13</v>
          </cell>
          <cell r="BU131">
            <v>3.8235294117647061E-3</v>
          </cell>
          <cell r="BV131">
            <v>3.8235294117647061E-3</v>
          </cell>
          <cell r="BW131">
            <v>0</v>
          </cell>
          <cell r="BX131">
            <v>38</v>
          </cell>
          <cell r="BY131">
            <v>1.223421052631579</v>
          </cell>
          <cell r="BZ131">
            <v>1.4195789473684208</v>
          </cell>
        </row>
        <row r="132">
          <cell r="A132" t="str">
            <v>Adam Wharton</v>
          </cell>
          <cell r="B132" t="str">
            <v/>
          </cell>
          <cell r="C132" t="str">
            <v>Wharton</v>
          </cell>
          <cell r="D132" t="str">
            <v/>
          </cell>
          <cell r="F132" t="str">
            <v/>
          </cell>
          <cell r="H132" t="str">
            <v/>
          </cell>
          <cell r="I132">
            <v>2.1</v>
          </cell>
          <cell r="J132">
            <v>2.6</v>
          </cell>
          <cell r="K132">
            <v>3.1</v>
          </cell>
          <cell r="M132">
            <v>3.6990256560294794</v>
          </cell>
          <cell r="N132">
            <v>3.057210031347962</v>
          </cell>
          <cell r="O132">
            <v>3.8001418343333992</v>
          </cell>
          <cell r="P132">
            <v>3.6874238246116287</v>
          </cell>
          <cell r="Q132">
            <v>3.057210031347962</v>
          </cell>
          <cell r="R132">
            <v>4.5983379501385038</v>
          </cell>
          <cell r="S132">
            <v>3.6990256560294794</v>
          </cell>
          <cell r="T132" t="str">
            <v>MID</v>
          </cell>
          <cell r="U132" t="str">
            <v>DM</v>
          </cell>
          <cell r="V132" t="str">
            <v>CRY</v>
          </cell>
          <cell r="W132" t="str">
            <v>Crystal Palace</v>
          </cell>
          <cell r="X132">
            <v>5.5</v>
          </cell>
          <cell r="Y132">
            <v>111.99999999999999</v>
          </cell>
          <cell r="Z132">
            <v>18</v>
          </cell>
          <cell r="AA132">
            <v>93.999999999999986</v>
          </cell>
          <cell r="AB132">
            <v>2552</v>
          </cell>
          <cell r="AC132">
            <v>2552</v>
          </cell>
          <cell r="AD132">
            <v>0.5989304812834223</v>
          </cell>
          <cell r="AE132">
            <v>1</v>
          </cell>
          <cell r="AF132">
            <v>6</v>
          </cell>
          <cell r="AG132">
            <v>-1.8338557993730416E-2</v>
          </cell>
          <cell r="AH132">
            <v>-5.1841692789968613E-2</v>
          </cell>
          <cell r="AI132">
            <v>-7.0180250783699022E-2</v>
          </cell>
          <cell r="AJ132">
            <v>2.0000000000000018E-3</v>
          </cell>
          <cell r="AK132">
            <v>8</v>
          </cell>
          <cell r="AL132">
            <v>511</v>
          </cell>
          <cell r="AM132">
            <v>4</v>
          </cell>
          <cell r="AN132">
            <v>0</v>
          </cell>
          <cell r="AO132">
            <v>210</v>
          </cell>
          <cell r="AP132" t="str">
            <v>Wharton</v>
          </cell>
          <cell r="AQ132">
            <v>2.2766457680250785</v>
          </cell>
          <cell r="AR132">
            <v>0</v>
          </cell>
          <cell r="AS132">
            <v>5.3013322884012544</v>
          </cell>
          <cell r="AT132">
            <v>9.8546238244514104</v>
          </cell>
          <cell r="AU132">
            <v>2.2766457680250785</v>
          </cell>
          <cell r="AV132">
            <v>9.8546238244514104</v>
          </cell>
          <cell r="AW132">
            <v>9.8546238244514104</v>
          </cell>
          <cell r="AX132">
            <v>0.29271786838641689</v>
          </cell>
          <cell r="AY132">
            <v>0</v>
          </cell>
          <cell r="AZ132">
            <v>3.3</v>
          </cell>
          <cell r="BA132">
            <v>111.99999999999999</v>
          </cell>
          <cell r="BB132">
            <v>75</v>
          </cell>
          <cell r="BC132">
            <v>29</v>
          </cell>
          <cell r="BD132">
            <v>15</v>
          </cell>
          <cell r="BE132">
            <v>0.51724137931034486</v>
          </cell>
          <cell r="BF132">
            <v>83</v>
          </cell>
          <cell r="BG132">
            <v>0.92222222222222228</v>
          </cell>
          <cell r="BH132">
            <v>1</v>
          </cell>
          <cell r="BI132">
            <v>5</v>
          </cell>
          <cell r="BJ132">
            <v>30</v>
          </cell>
          <cell r="BK132">
            <v>0</v>
          </cell>
          <cell r="BL132">
            <v>0.8529411764705882</v>
          </cell>
          <cell r="BM132">
            <v>0.36029411764705888</v>
          </cell>
          <cell r="BN132">
            <v>0.90609496810772494</v>
          </cell>
          <cell r="BO132">
            <v>38</v>
          </cell>
          <cell r="BP132">
            <v>0</v>
          </cell>
          <cell r="BQ132">
            <v>0.74619883040935675</v>
          </cell>
          <cell r="BR132">
            <v>1.52</v>
          </cell>
          <cell r="BS132">
            <v>5.3605015673981196E-2</v>
          </cell>
          <cell r="BT132">
            <v>7.47</v>
          </cell>
          <cell r="BU132">
            <v>0.26344043887147334</v>
          </cell>
          <cell r="BV132">
            <v>0.31704545454545452</v>
          </cell>
          <cell r="BW132">
            <v>0</v>
          </cell>
          <cell r="BX132">
            <v>38</v>
          </cell>
          <cell r="BY132">
            <v>1.631578947368421</v>
          </cell>
          <cell r="BZ132">
            <v>1.0114210526315788</v>
          </cell>
        </row>
        <row r="133">
          <cell r="A133" t="str">
            <v>Malick Thiaw</v>
          </cell>
          <cell r="B133" t="str">
            <v/>
          </cell>
          <cell r="C133" t="str">
            <v>Thiaw</v>
          </cell>
          <cell r="D133" t="str">
            <v/>
          </cell>
          <cell r="F133" t="str">
            <v/>
          </cell>
          <cell r="H133" t="str">
            <v/>
          </cell>
          <cell r="I133" t="e">
            <v>#N/A</v>
          </cell>
          <cell r="J133" t="e">
            <v>#N/A</v>
          </cell>
          <cell r="K133" t="e">
            <v>#N/A</v>
          </cell>
          <cell r="M133">
            <v>3.6931938729379903</v>
          </cell>
          <cell r="N133">
            <v>3.029362132973338</v>
          </cell>
          <cell r="O133">
            <v>2.6875603292458838</v>
          </cell>
          <cell r="P133">
            <v>3.6931938729379903</v>
          </cell>
          <cell r="Q133">
            <v>3.029362132973338</v>
          </cell>
          <cell r="R133">
            <v>1.6296296296296295</v>
          </cell>
          <cell r="S133">
            <v>3.6931938729379903</v>
          </cell>
          <cell r="T133" t="str">
            <v>DEF</v>
          </cell>
          <cell r="U133" t="str">
            <v>CB</v>
          </cell>
          <cell r="V133" t="str">
            <v>NEW</v>
          </cell>
          <cell r="W133" t="str">
            <v>Newcastle</v>
          </cell>
          <cell r="X133">
            <v>5</v>
          </cell>
          <cell r="Y133">
            <v>126</v>
          </cell>
          <cell r="Z133">
            <v>24</v>
          </cell>
          <cell r="AA133">
            <v>102</v>
          </cell>
          <cell r="AB133">
            <v>2963</v>
          </cell>
          <cell r="AC133">
            <v>2963</v>
          </cell>
          <cell r="AD133">
            <v>0.72</v>
          </cell>
          <cell r="AE133">
            <v>4</v>
          </cell>
          <cell r="AF133">
            <v>0</v>
          </cell>
          <cell r="AG133">
            <v>-2.4299696253796826E-2</v>
          </cell>
          <cell r="AH133">
            <v>-2.9159635504556192E-2</v>
          </cell>
          <cell r="AI133">
            <v>-5.3459331758353018E-2</v>
          </cell>
          <cell r="AJ133">
            <v>2.6999999999999913E-2</v>
          </cell>
          <cell r="AK133">
            <v>12</v>
          </cell>
          <cell r="AL133">
            <v>436</v>
          </cell>
          <cell r="AM133">
            <v>4</v>
          </cell>
          <cell r="AN133">
            <v>0</v>
          </cell>
          <cell r="AO133">
            <v>445</v>
          </cell>
          <cell r="AP133" t="str">
            <v>Thiaw</v>
          </cell>
          <cell r="AQ133">
            <v>7.3655079311508613</v>
          </cell>
          <cell r="AR133">
            <v>0</v>
          </cell>
          <cell r="AS133">
            <v>3.5045561930475864</v>
          </cell>
          <cell r="AT133">
            <v>8.6722915963550449</v>
          </cell>
          <cell r="AU133">
            <v>1.3067836652041849</v>
          </cell>
          <cell r="AV133">
            <v>8.6722915963550449</v>
          </cell>
          <cell r="AW133">
            <v>8.6722915963550449</v>
          </cell>
          <cell r="AX133">
            <v>0.37234728315896037</v>
          </cell>
          <cell r="AY133">
            <v>0</v>
          </cell>
          <cell r="AZ133">
            <v>3.6</v>
          </cell>
          <cell r="BA133">
            <v>126</v>
          </cell>
          <cell r="BB133" t="str">
            <v/>
          </cell>
          <cell r="BC133">
            <v>33</v>
          </cell>
          <cell r="BD133">
            <v>31</v>
          </cell>
          <cell r="BE133">
            <v>0.93939393939393945</v>
          </cell>
          <cell r="BF133">
            <v>88</v>
          </cell>
          <cell r="BG133">
            <v>0.97777777777777775</v>
          </cell>
          <cell r="BH133">
            <v>1</v>
          </cell>
          <cell r="BI133">
            <v>2</v>
          </cell>
          <cell r="BJ133">
            <v>24</v>
          </cell>
          <cell r="BK133">
            <v>3</v>
          </cell>
          <cell r="BL133">
            <v>0.86842105263157898</v>
          </cell>
          <cell r="BM133">
            <v>5.2631578947368404E-2</v>
          </cell>
          <cell r="BN133">
            <v>0.90430622009569384</v>
          </cell>
          <cell r="BO133">
            <v>38</v>
          </cell>
          <cell r="BP133">
            <v>0</v>
          </cell>
          <cell r="BQ133">
            <v>0.86637426900584791</v>
          </cell>
          <cell r="BR133">
            <v>4.8</v>
          </cell>
          <cell r="BS133">
            <v>0.14579817752278096</v>
          </cell>
          <cell r="BT133">
            <v>0.96</v>
          </cell>
          <cell r="BU133">
            <v>2.9159635504556192E-2</v>
          </cell>
          <cell r="BV133">
            <v>0.17495781302733715</v>
          </cell>
          <cell r="BW133">
            <v>0</v>
          </cell>
          <cell r="BX133">
            <v>38</v>
          </cell>
          <cell r="BY133">
            <v>1.5081578947368421</v>
          </cell>
          <cell r="BZ133">
            <v>1.1348421052631577</v>
          </cell>
        </row>
        <row r="134">
          <cell r="A134" t="str">
            <v>Wilson Isidor</v>
          </cell>
          <cell r="B134" t="str">
            <v/>
          </cell>
          <cell r="C134" t="str">
            <v>Isidor</v>
          </cell>
          <cell r="D134" t="str">
            <v/>
          </cell>
          <cell r="F134" t="str">
            <v/>
          </cell>
          <cell r="H134" t="str">
            <v/>
          </cell>
          <cell r="I134" t="e">
            <v>#N/A</v>
          </cell>
          <cell r="J134" t="e">
            <v>#N/A</v>
          </cell>
          <cell r="K134" t="e">
            <v>#N/A</v>
          </cell>
          <cell r="M134">
            <v>3.6825052264808367</v>
          </cell>
          <cell r="N134">
            <v>4.5766550522648082</v>
          </cell>
          <cell r="O134">
            <v>6.1364867327794173</v>
          </cell>
          <cell r="P134">
            <v>3.6825052264808367</v>
          </cell>
          <cell r="Q134">
            <v>4.5766550522648082</v>
          </cell>
          <cell r="R134">
            <v>10.142857142857142</v>
          </cell>
          <cell r="S134">
            <v>3.6825052264808367</v>
          </cell>
          <cell r="T134" t="str">
            <v>FWD</v>
          </cell>
          <cell r="U134" t="str">
            <v>CF</v>
          </cell>
          <cell r="V134" t="str">
            <v>SUN</v>
          </cell>
          <cell r="W134" t="str">
            <v>Sunderland</v>
          </cell>
          <cell r="X134">
            <v>5.5</v>
          </cell>
          <cell r="Y134">
            <v>74</v>
          </cell>
          <cell r="Z134">
            <v>0</v>
          </cell>
          <cell r="AA134">
            <v>74</v>
          </cell>
          <cell r="AB134">
            <v>1148</v>
          </cell>
          <cell r="AC134">
            <v>1148</v>
          </cell>
          <cell r="AD134">
            <v>0.42045454545454547</v>
          </cell>
          <cell r="AE134">
            <v>6</v>
          </cell>
          <cell r="AF134">
            <v>1</v>
          </cell>
          <cell r="AG134">
            <v>0.1019163763066202</v>
          </cell>
          <cell r="AH134">
            <v>4.8606271777003482E-2</v>
          </cell>
          <cell r="AI134">
            <v>0.1505226480836237</v>
          </cell>
          <cell r="AJ134">
            <v>1.4999999999999902E-2</v>
          </cell>
          <cell r="AK134">
            <v>7</v>
          </cell>
          <cell r="AL134">
            <v>266</v>
          </cell>
          <cell r="AM134">
            <v>1</v>
          </cell>
          <cell r="AN134">
            <v>0</v>
          </cell>
          <cell r="AO134">
            <v>553</v>
          </cell>
          <cell r="AP134" t="str">
            <v>Isidor</v>
          </cell>
          <cell r="AQ134">
            <v>1.0513937282229966</v>
          </cell>
          <cell r="AR134">
            <v>0</v>
          </cell>
          <cell r="AS134">
            <v>1.4224738675958186</v>
          </cell>
          <cell r="AT134">
            <v>3.1541811846689893</v>
          </cell>
          <cell r="AU134">
            <v>0.68031358885017412</v>
          </cell>
          <cell r="AV134">
            <v>3.1541811846689893</v>
          </cell>
          <cell r="AW134">
            <v>3.1541811846689893</v>
          </cell>
          <cell r="AX134">
            <v>2.3881657541065204E-2</v>
          </cell>
          <cell r="AY134">
            <v>0</v>
          </cell>
          <cell r="AZ134">
            <v>2.2999999999999998</v>
          </cell>
          <cell r="BA134">
            <v>74</v>
          </cell>
          <cell r="BB134" t="str">
            <v/>
          </cell>
          <cell r="BC134">
            <v>11</v>
          </cell>
          <cell r="BD134">
            <v>0</v>
          </cell>
          <cell r="BE134">
            <v>0</v>
          </cell>
          <cell r="BF134">
            <v>71</v>
          </cell>
          <cell r="BG134">
            <v>0.78888888888888886</v>
          </cell>
          <cell r="BH134">
            <v>1</v>
          </cell>
          <cell r="BI134">
            <v>21</v>
          </cell>
          <cell r="BJ134">
            <v>18</v>
          </cell>
          <cell r="BK134">
            <v>4</v>
          </cell>
          <cell r="BL134">
            <v>0.30555555555555558</v>
          </cell>
          <cell r="BM134">
            <v>0.58333333333333326</v>
          </cell>
          <cell r="BN134">
            <v>0.48161189358372453</v>
          </cell>
          <cell r="BO134">
            <v>38</v>
          </cell>
          <cell r="BP134">
            <v>0</v>
          </cell>
          <cell r="BQ134">
            <v>0.33567251461988307</v>
          </cell>
          <cell r="BR134">
            <v>4.7</v>
          </cell>
          <cell r="BS134">
            <v>0.36846689895470386</v>
          </cell>
          <cell r="BT134">
            <v>0.38</v>
          </cell>
          <cell r="BU134">
            <v>2.9790940766550523E-2</v>
          </cell>
          <cell r="BV134">
            <v>0.39825783972125439</v>
          </cell>
          <cell r="BW134">
            <v>0</v>
          </cell>
          <cell r="BX134">
            <v>38</v>
          </cell>
          <cell r="BY134">
            <v>1.5878947368421052</v>
          </cell>
          <cell r="BZ134">
            <v>1.0551052631578945</v>
          </cell>
        </row>
        <row r="135">
          <cell r="A135" t="str">
            <v>Robin Roefs</v>
          </cell>
          <cell r="B135" t="str">
            <v/>
          </cell>
          <cell r="C135" t="str">
            <v>Roefs</v>
          </cell>
          <cell r="D135" t="str">
            <v/>
          </cell>
          <cell r="F135" t="str">
            <v/>
          </cell>
          <cell r="H135" t="str">
            <v/>
          </cell>
          <cell r="I135" t="e">
            <v>#N/A</v>
          </cell>
          <cell r="J135" t="e">
            <v>#N/A</v>
          </cell>
          <cell r="K135" t="e">
            <v>#N/A</v>
          </cell>
          <cell r="M135">
            <v>3.681187225592478</v>
          </cell>
          <cell r="N135">
            <v>3.8857142857142861</v>
          </cell>
          <cell r="O135">
            <v>2.6597857142857135</v>
          </cell>
          <cell r="P135">
            <v>3.681187225592478</v>
          </cell>
          <cell r="Q135">
            <v>3.8857142857142861</v>
          </cell>
          <cell r="R135">
            <v>2.5</v>
          </cell>
          <cell r="S135">
            <v>3.681187225592478</v>
          </cell>
          <cell r="T135" t="str">
            <v>GK</v>
          </cell>
          <cell r="U135" t="str">
            <v>GK</v>
          </cell>
          <cell r="V135" t="str">
            <v>SUN</v>
          </cell>
          <cell r="W135" t="str">
            <v>Sunderland</v>
          </cell>
          <cell r="X135">
            <v>5</v>
          </cell>
          <cell r="Y135">
            <v>136</v>
          </cell>
          <cell r="Z135">
            <v>0</v>
          </cell>
          <cell r="AA135">
            <v>136</v>
          </cell>
          <cell r="AB135">
            <v>3150</v>
          </cell>
          <cell r="AC135">
            <v>3150</v>
          </cell>
          <cell r="AD135">
            <v>0.77714285714285714</v>
          </cell>
          <cell r="AE135">
            <v>0</v>
          </cell>
          <cell r="AF135">
            <v>0</v>
          </cell>
          <cell r="AG135">
            <v>0</v>
          </cell>
          <cell r="AH135">
            <v>-2.8571428571428571E-3</v>
          </cell>
          <cell r="AI135">
            <v>-2.8571428571428571E-3</v>
          </cell>
          <cell r="AJ135">
            <v>6.4000000000000057E-2</v>
          </cell>
          <cell r="AK135">
            <v>12</v>
          </cell>
          <cell r="AL135">
            <v>573</v>
          </cell>
          <cell r="AM135">
            <v>4</v>
          </cell>
          <cell r="AN135">
            <v>109</v>
          </cell>
          <cell r="AO135">
            <v>529</v>
          </cell>
          <cell r="AP135" t="str">
            <v>Roefs</v>
          </cell>
          <cell r="AQ135">
            <v>1.0571428571428572</v>
          </cell>
          <cell r="AR135">
            <v>0</v>
          </cell>
          <cell r="AS135">
            <v>9.5142857142857142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3.9</v>
          </cell>
          <cell r="BA135">
            <v>136</v>
          </cell>
          <cell r="BB135" t="str">
            <v/>
          </cell>
          <cell r="BC135">
            <v>35</v>
          </cell>
          <cell r="BD135">
            <v>35</v>
          </cell>
          <cell r="BE135">
            <v>1</v>
          </cell>
          <cell r="BF135">
            <v>90</v>
          </cell>
          <cell r="BG135">
            <v>1</v>
          </cell>
          <cell r="BH135">
            <v>1</v>
          </cell>
          <cell r="BI135">
            <v>0</v>
          </cell>
          <cell r="BJ135">
            <v>0</v>
          </cell>
          <cell r="BK135">
            <v>0</v>
          </cell>
          <cell r="BL135">
            <v>1</v>
          </cell>
          <cell r="BM135">
            <v>0</v>
          </cell>
          <cell r="BN135">
            <v>1</v>
          </cell>
          <cell r="BO135">
            <v>38</v>
          </cell>
          <cell r="BP135">
            <v>0</v>
          </cell>
          <cell r="BQ135">
            <v>0.92105263157894735</v>
          </cell>
          <cell r="BR135">
            <v>0</v>
          </cell>
          <cell r="BS135">
            <v>0</v>
          </cell>
          <cell r="BT135">
            <v>0.1</v>
          </cell>
          <cell r="BU135">
            <v>2.8571428571428571E-3</v>
          </cell>
          <cell r="BV135">
            <v>2.8571428571428571E-3</v>
          </cell>
          <cell r="BW135">
            <v>0</v>
          </cell>
          <cell r="BX135">
            <v>38</v>
          </cell>
          <cell r="BY135">
            <v>1.5878947368421052</v>
          </cell>
          <cell r="BZ135">
            <v>1.0551052631578945</v>
          </cell>
        </row>
        <row r="136">
          <cell r="A136" t="str">
            <v>Guglielmo Vicario</v>
          </cell>
          <cell r="B136" t="str">
            <v/>
          </cell>
          <cell r="C136" t="str">
            <v>Vicario</v>
          </cell>
          <cell r="D136" t="str">
            <v/>
          </cell>
          <cell r="F136" t="str">
            <v/>
          </cell>
          <cell r="H136" t="str">
            <v/>
          </cell>
          <cell r="I136">
            <v>2.8</v>
          </cell>
          <cell r="J136">
            <v>2.8499999999999996</v>
          </cell>
          <cell r="K136">
            <v>2.9</v>
          </cell>
          <cell r="M136">
            <v>3.6810901582069149</v>
          </cell>
          <cell r="N136">
            <v>2.903225806451613</v>
          </cell>
          <cell r="O136">
            <v>2.861559139784946</v>
          </cell>
          <cell r="P136">
            <v>3.6810901582069149</v>
          </cell>
          <cell r="Q136">
            <v>2.903225806451613</v>
          </cell>
          <cell r="R136">
            <v>0</v>
          </cell>
          <cell r="S136">
            <v>3.6810901582069149</v>
          </cell>
          <cell r="T136" t="str">
            <v>GK</v>
          </cell>
          <cell r="U136" t="str">
            <v>GK</v>
          </cell>
          <cell r="V136" t="str">
            <v>TOT</v>
          </cell>
          <cell r="W136" t="str">
            <v>Spurs</v>
          </cell>
          <cell r="X136">
            <v>4.5</v>
          </cell>
          <cell r="Y136">
            <v>90</v>
          </cell>
          <cell r="Z136">
            <v>0</v>
          </cell>
          <cell r="AA136">
            <v>90</v>
          </cell>
          <cell r="AB136">
            <v>2790</v>
          </cell>
          <cell r="AC136">
            <v>2790</v>
          </cell>
          <cell r="AD136">
            <v>0.64516129032258063</v>
          </cell>
          <cell r="AE136">
            <v>0</v>
          </cell>
          <cell r="AF136">
            <v>0</v>
          </cell>
          <cell r="AG136">
            <v>0</v>
          </cell>
          <cell r="AH136">
            <v>-1.2903225806451613E-3</v>
          </cell>
          <cell r="AI136">
            <v>-1.2903225806451613E-3</v>
          </cell>
          <cell r="AJ136">
            <v>1.8000000000000016E-2</v>
          </cell>
          <cell r="AK136">
            <v>6</v>
          </cell>
          <cell r="AL136">
            <v>412</v>
          </cell>
          <cell r="AM136">
            <v>1</v>
          </cell>
          <cell r="AN136">
            <v>83</v>
          </cell>
          <cell r="AO136">
            <v>494</v>
          </cell>
          <cell r="AP136" t="str">
            <v>Vicario</v>
          </cell>
          <cell r="AQ136">
            <v>1.1290322580645162</v>
          </cell>
          <cell r="AR136">
            <v>0</v>
          </cell>
          <cell r="AS136">
            <v>7.9677419354838719</v>
          </cell>
          <cell r="AT136">
            <v>0</v>
          </cell>
          <cell r="AU136">
            <v>3.2258064516129031E-2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2.9</v>
          </cell>
          <cell r="BA136">
            <v>90</v>
          </cell>
          <cell r="BB136" t="str">
            <v/>
          </cell>
          <cell r="BC136">
            <v>31</v>
          </cell>
          <cell r="BD136">
            <v>31</v>
          </cell>
          <cell r="BE136">
            <v>1</v>
          </cell>
          <cell r="BF136">
            <v>90</v>
          </cell>
          <cell r="BG136">
            <v>1</v>
          </cell>
          <cell r="BH136">
            <v>1</v>
          </cell>
          <cell r="BI136">
            <v>0</v>
          </cell>
          <cell r="BJ136">
            <v>0</v>
          </cell>
          <cell r="BK136">
            <v>2</v>
          </cell>
          <cell r="BL136">
            <v>0.93939393939393945</v>
          </cell>
          <cell r="BM136">
            <v>0</v>
          </cell>
          <cell r="BN136">
            <v>0.93939393939393945</v>
          </cell>
          <cell r="BO136">
            <v>38</v>
          </cell>
          <cell r="BP136">
            <v>0</v>
          </cell>
          <cell r="BQ136">
            <v>0.81578947368421051</v>
          </cell>
          <cell r="BR136">
            <v>0</v>
          </cell>
          <cell r="BS136">
            <v>0</v>
          </cell>
          <cell r="BT136">
            <v>0.04</v>
          </cell>
          <cell r="BU136">
            <v>1.2903225806451613E-3</v>
          </cell>
          <cell r="BV136">
            <v>1.2903225806451613E-3</v>
          </cell>
          <cell r="BW136">
            <v>0</v>
          </cell>
          <cell r="BX136">
            <v>38</v>
          </cell>
          <cell r="BY136">
            <v>1.4628947368421052</v>
          </cell>
          <cell r="BZ136">
            <v>1.1801052631578945</v>
          </cell>
        </row>
        <row r="137">
          <cell r="A137" t="str">
            <v>Mateo Kovačić</v>
          </cell>
          <cell r="B137" t="str">
            <v/>
          </cell>
          <cell r="C137" t="str">
            <v>Kovačić</v>
          </cell>
          <cell r="D137" t="str">
            <v/>
          </cell>
          <cell r="E137" t="str">
            <v>Mateo Kovacic</v>
          </cell>
          <cell r="F137" t="str">
            <v/>
          </cell>
          <cell r="H137" t="str">
            <v/>
          </cell>
          <cell r="I137">
            <v>2</v>
          </cell>
          <cell r="J137">
            <v>2.75</v>
          </cell>
          <cell r="K137">
            <v>3.5</v>
          </cell>
          <cell r="M137">
            <v>3.678308304617715</v>
          </cell>
          <cell r="N137">
            <v>0</v>
          </cell>
          <cell r="O137">
            <v>3.4187714285714281</v>
          </cell>
          <cell r="P137">
            <v>3.678308304617715</v>
          </cell>
          <cell r="Q137">
            <v>3.96</v>
          </cell>
          <cell r="R137">
            <v>3.4375000000000004</v>
          </cell>
          <cell r="S137">
            <v>3.678308304617715</v>
          </cell>
          <cell r="T137" t="str">
            <v>MID</v>
          </cell>
          <cell r="U137" t="str">
            <v>CM</v>
          </cell>
          <cell r="V137" t="str">
            <v>MCI</v>
          </cell>
          <cell r="W137" t="str">
            <v>Man City</v>
          </cell>
          <cell r="X137">
            <v>5.5</v>
          </cell>
          <cell r="Y137">
            <v>9</v>
          </cell>
          <cell r="Z137">
            <v>0</v>
          </cell>
          <cell r="AA137">
            <v>9</v>
          </cell>
          <cell r="AB137">
            <v>125</v>
          </cell>
          <cell r="AC137">
            <v>125</v>
          </cell>
          <cell r="AD137">
            <v>0.27272727272727271</v>
          </cell>
          <cell r="AE137">
            <v>0</v>
          </cell>
          <cell r="AF137">
            <v>1</v>
          </cell>
          <cell r="AG137">
            <v>-9.3600000000000017E-2</v>
          </cell>
          <cell r="AH137">
            <v>0.41760000000000003</v>
          </cell>
          <cell r="AI137">
            <v>0.32400000000000001</v>
          </cell>
          <cell r="AJ137">
            <v>0</v>
          </cell>
          <cell r="AK137">
            <v>0</v>
          </cell>
          <cell r="AL137">
            <v>41</v>
          </cell>
          <cell r="AM137">
            <v>0</v>
          </cell>
          <cell r="AN137">
            <v>0</v>
          </cell>
          <cell r="AO137">
            <v>406</v>
          </cell>
          <cell r="AP137" t="str">
            <v>Kovačić</v>
          </cell>
          <cell r="AQ137">
            <v>2.6400000000000006</v>
          </cell>
          <cell r="AR137">
            <v>0</v>
          </cell>
          <cell r="AS137">
            <v>4.4000000000000004</v>
          </cell>
          <cell r="AT137">
            <v>7.92</v>
          </cell>
          <cell r="AU137">
            <v>0.88</v>
          </cell>
          <cell r="AV137">
            <v>7.92</v>
          </cell>
          <cell r="AW137">
            <v>7.92</v>
          </cell>
          <cell r="AX137">
            <v>0.11924000000000001</v>
          </cell>
          <cell r="AY137">
            <v>0</v>
          </cell>
          <cell r="AZ137">
            <v>1.5</v>
          </cell>
          <cell r="BA137">
            <v>9</v>
          </cell>
          <cell r="BB137" t="str">
            <v/>
          </cell>
          <cell r="BC137">
            <v>1</v>
          </cell>
          <cell r="BD137">
            <v>0</v>
          </cell>
          <cell r="BE137">
            <v>0</v>
          </cell>
          <cell r="BF137">
            <v>55</v>
          </cell>
          <cell r="BG137">
            <v>0.61111111111111116</v>
          </cell>
          <cell r="BH137">
            <v>1</v>
          </cell>
          <cell r="BI137">
            <v>5</v>
          </cell>
          <cell r="BJ137">
            <v>15</v>
          </cell>
          <cell r="BK137">
            <v>6</v>
          </cell>
          <cell r="BL137">
            <v>8.3333333333333329E-2</v>
          </cell>
          <cell r="BM137">
            <v>0.41666666666666669</v>
          </cell>
          <cell r="BN137">
            <v>0.33333333333333331</v>
          </cell>
          <cell r="BO137">
            <v>38</v>
          </cell>
          <cell r="BP137">
            <v>0</v>
          </cell>
          <cell r="BQ137">
            <v>3.6549707602339179E-2</v>
          </cell>
          <cell r="BR137">
            <v>0.13</v>
          </cell>
          <cell r="BS137">
            <v>9.3600000000000017E-2</v>
          </cell>
          <cell r="BT137">
            <v>0.42</v>
          </cell>
          <cell r="BU137">
            <v>0.30239999999999995</v>
          </cell>
          <cell r="BV137">
            <v>0.39599999999999996</v>
          </cell>
          <cell r="BW137">
            <v>0</v>
          </cell>
          <cell r="BX137">
            <v>38</v>
          </cell>
          <cell r="BY137">
            <v>1.223421052631579</v>
          </cell>
          <cell r="BZ137">
            <v>1.4195789473684208</v>
          </cell>
        </row>
        <row r="138">
          <cell r="A138" t="str">
            <v>Callum Hudson-Odoi</v>
          </cell>
          <cell r="B138" t="str">
            <v/>
          </cell>
          <cell r="C138" t="str">
            <v>Hudson-Odoi</v>
          </cell>
          <cell r="D138" t="str">
            <v/>
          </cell>
          <cell r="F138" t="str">
            <v/>
          </cell>
          <cell r="H138" t="str">
            <v/>
          </cell>
          <cell r="I138">
            <v>0</v>
          </cell>
          <cell r="J138">
            <v>2.3666666666666667</v>
          </cell>
          <cell r="K138">
            <v>3.8</v>
          </cell>
          <cell r="M138">
            <v>3.6662571597934415</v>
          </cell>
          <cell r="N138">
            <v>3.5908596300326443</v>
          </cell>
          <cell r="O138">
            <v>2.3711643090315562</v>
          </cell>
          <cell r="P138">
            <v>3.6662571597934415</v>
          </cell>
          <cell r="Q138">
            <v>3.5908596300326443</v>
          </cell>
          <cell r="R138">
            <v>0</v>
          </cell>
          <cell r="S138">
            <v>3.6662571597934415</v>
          </cell>
          <cell r="T138" t="str">
            <v>MID</v>
          </cell>
          <cell r="U138" t="str">
            <v>LW</v>
          </cell>
          <cell r="V138" t="str">
            <v>NFO</v>
          </cell>
          <cell r="W138" t="str">
            <v>Nott'm Forest</v>
          </cell>
          <cell r="X138">
            <v>6</v>
          </cell>
          <cell r="Y138">
            <v>88</v>
          </cell>
          <cell r="Z138">
            <v>0</v>
          </cell>
          <cell r="AA138">
            <v>88</v>
          </cell>
          <cell r="AB138">
            <v>1838</v>
          </cell>
          <cell r="AC138">
            <v>1838</v>
          </cell>
          <cell r="AD138">
            <v>0.48888888888888887</v>
          </cell>
          <cell r="AE138">
            <v>3</v>
          </cell>
          <cell r="AF138">
            <v>4</v>
          </cell>
          <cell r="AG138">
            <v>1.1262241566920544E-2</v>
          </cell>
          <cell r="AH138">
            <v>4.7986942328618082E-2</v>
          </cell>
          <cell r="AI138">
            <v>5.9249183895538626E-2</v>
          </cell>
          <cell r="AJ138">
            <v>0</v>
          </cell>
          <cell r="AK138">
            <v>8</v>
          </cell>
          <cell r="AL138">
            <v>358</v>
          </cell>
          <cell r="AM138">
            <v>0</v>
          </cell>
          <cell r="AN138">
            <v>0</v>
          </cell>
          <cell r="AO138">
            <v>482</v>
          </cell>
          <cell r="AP138" t="str">
            <v>Hudson-Odoi</v>
          </cell>
          <cell r="AQ138">
            <v>0.97932535364526663</v>
          </cell>
          <cell r="AR138">
            <v>0</v>
          </cell>
          <cell r="AS138">
            <v>2.7747551686615886</v>
          </cell>
          <cell r="AT138">
            <v>4.3253536452665946</v>
          </cell>
          <cell r="AU138">
            <v>0.57127312295973887</v>
          </cell>
          <cell r="AV138">
            <v>4.3253536452665946</v>
          </cell>
          <cell r="AW138">
            <v>4.3253536452665946</v>
          </cell>
          <cell r="AX138">
            <v>3.2749106171304214E-2</v>
          </cell>
          <cell r="AY138">
            <v>0</v>
          </cell>
          <cell r="AZ138">
            <v>2.9</v>
          </cell>
          <cell r="BA138">
            <v>88</v>
          </cell>
          <cell r="BB138">
            <v>75</v>
          </cell>
          <cell r="BC138">
            <v>21</v>
          </cell>
          <cell r="BD138">
            <v>4</v>
          </cell>
          <cell r="BE138">
            <v>0.19047619047619047</v>
          </cell>
          <cell r="BF138">
            <v>75</v>
          </cell>
          <cell r="BG138">
            <v>0.83333333333333337</v>
          </cell>
          <cell r="BH138">
            <v>1</v>
          </cell>
          <cell r="BI138">
            <v>9</v>
          </cell>
          <cell r="BJ138">
            <v>31</v>
          </cell>
          <cell r="BK138">
            <v>0</v>
          </cell>
          <cell r="BL138">
            <v>0.7</v>
          </cell>
          <cell r="BM138">
            <v>0.47500000000000009</v>
          </cell>
          <cell r="BN138">
            <v>0.82399999999999995</v>
          </cell>
          <cell r="BO138">
            <v>38</v>
          </cell>
          <cell r="BP138">
            <v>0</v>
          </cell>
          <cell r="BQ138">
            <v>0.53742690058479536</v>
          </cell>
          <cell r="BR138">
            <v>2.77</v>
          </cell>
          <cell r="BS138">
            <v>0.13563656147986944</v>
          </cell>
          <cell r="BT138">
            <v>3.02</v>
          </cell>
          <cell r="BU138">
            <v>0.14787812840043524</v>
          </cell>
          <cell r="BV138">
            <v>0.2835146898803047</v>
          </cell>
          <cell r="BW138">
            <v>0</v>
          </cell>
          <cell r="BX138">
            <v>38</v>
          </cell>
          <cell r="BY138">
            <v>1.7036842105263157</v>
          </cell>
          <cell r="BZ138">
            <v>0.9393157894736841</v>
          </cell>
        </row>
        <row r="139">
          <cell r="A139" t="str">
            <v>Diego Gómez Amarilla</v>
          </cell>
          <cell r="B139" t="str">
            <v/>
          </cell>
          <cell r="C139" t="str">
            <v>Gomez</v>
          </cell>
          <cell r="D139" t="str">
            <v/>
          </cell>
          <cell r="E139" t="str">
            <v>Diego Gómez</v>
          </cell>
          <cell r="F139" t="str">
            <v/>
          </cell>
          <cell r="H139" t="str">
            <v/>
          </cell>
          <cell r="I139">
            <v>1.6</v>
          </cell>
          <cell r="J139">
            <v>2.4</v>
          </cell>
          <cell r="K139">
            <v>3.2</v>
          </cell>
          <cell r="M139">
            <v>3.6649526601207496</v>
          </cell>
          <cell r="N139">
            <v>3.2239017477562588</v>
          </cell>
          <cell r="O139">
            <v>5.5068152768901646</v>
          </cell>
          <cell r="P139">
            <v>3.6649526601207496</v>
          </cell>
          <cell r="Q139">
            <v>3.2239017477562588</v>
          </cell>
          <cell r="R139">
            <v>2.2058823529411766</v>
          </cell>
          <cell r="S139">
            <v>3.6649526601207496</v>
          </cell>
          <cell r="T139" t="str">
            <v>MID</v>
          </cell>
          <cell r="U139" t="str">
            <v>CM</v>
          </cell>
          <cell r="V139" t="str">
            <v>BHA</v>
          </cell>
          <cell r="W139" t="str">
            <v>Brighton</v>
          </cell>
          <cell r="X139">
            <v>5</v>
          </cell>
          <cell r="Y139">
            <v>97</v>
          </cell>
          <cell r="Z139">
            <v>6</v>
          </cell>
          <cell r="AA139">
            <v>91</v>
          </cell>
          <cell r="AB139">
            <v>2117</v>
          </cell>
          <cell r="AC139">
            <v>2117</v>
          </cell>
          <cell r="AD139">
            <v>0.60624999999999996</v>
          </cell>
          <cell r="AE139">
            <v>5</v>
          </cell>
          <cell r="AF139">
            <v>1</v>
          </cell>
          <cell r="AG139">
            <v>-5.2716107699574855E-2</v>
          </cell>
          <cell r="AH139">
            <v>-3.0609352857817664E-2</v>
          </cell>
          <cell r="AI139">
            <v>-8.3325460557392483E-2</v>
          </cell>
          <cell r="AJ139">
            <v>1.8999999999999906E-2</v>
          </cell>
          <cell r="AK139">
            <v>9</v>
          </cell>
          <cell r="AL139">
            <v>361</v>
          </cell>
          <cell r="AM139">
            <v>9</v>
          </cell>
          <cell r="AN139">
            <v>0</v>
          </cell>
          <cell r="AO139">
            <v>127</v>
          </cell>
          <cell r="AP139" t="str">
            <v>Gomez</v>
          </cell>
          <cell r="AQ139">
            <v>1.7359470949456779</v>
          </cell>
          <cell r="AR139">
            <v>0</v>
          </cell>
          <cell r="AS139">
            <v>3.9678790741615497</v>
          </cell>
          <cell r="AT139">
            <v>8.4317430325932925</v>
          </cell>
          <cell r="AU139">
            <v>2.7279168634860653</v>
          </cell>
          <cell r="AV139">
            <v>8.4317430325932925</v>
          </cell>
          <cell r="AW139">
            <v>8.4317430325932925</v>
          </cell>
          <cell r="AX139">
            <v>0.15608549834671706</v>
          </cell>
          <cell r="AY139">
            <v>0</v>
          </cell>
          <cell r="AZ139">
            <v>3</v>
          </cell>
          <cell r="BA139">
            <v>97</v>
          </cell>
          <cell r="BB139" t="str">
            <v/>
          </cell>
          <cell r="BC139">
            <v>26</v>
          </cell>
          <cell r="BD139">
            <v>2</v>
          </cell>
          <cell r="BE139">
            <v>7.6923076923076927E-2</v>
          </cell>
          <cell r="BF139">
            <v>75</v>
          </cell>
          <cell r="BG139">
            <v>0.83333333333333337</v>
          </cell>
          <cell r="BH139">
            <v>1</v>
          </cell>
          <cell r="BI139">
            <v>6</v>
          </cell>
          <cell r="BJ139">
            <v>28</v>
          </cell>
          <cell r="BK139">
            <v>0</v>
          </cell>
          <cell r="BL139">
            <v>0.8125</v>
          </cell>
          <cell r="BM139">
            <v>0.1875</v>
          </cell>
          <cell r="BN139">
            <v>0.88249999999999995</v>
          </cell>
          <cell r="BO139">
            <v>38</v>
          </cell>
          <cell r="BP139">
            <v>0</v>
          </cell>
          <cell r="BQ139">
            <v>0.61900584795321634</v>
          </cell>
          <cell r="BR139">
            <v>6.24</v>
          </cell>
          <cell r="BS139">
            <v>0.26528105810108643</v>
          </cell>
          <cell r="BT139">
            <v>1.72</v>
          </cell>
          <cell r="BU139">
            <v>7.3122342938119977E-2</v>
          </cell>
          <cell r="BV139">
            <v>0.33840340103920641</v>
          </cell>
          <cell r="BW139">
            <v>0</v>
          </cell>
          <cell r="BX139">
            <v>38</v>
          </cell>
          <cell r="BY139">
            <v>1.4144736842105263</v>
          </cell>
          <cell r="BZ139">
            <v>1.2285263157894735</v>
          </cell>
        </row>
        <row r="140">
          <cell r="A140" t="str">
            <v>Mathias Jensen</v>
          </cell>
          <cell r="B140" t="str">
            <v/>
          </cell>
          <cell r="C140" t="str">
            <v>Jensen</v>
          </cell>
          <cell r="D140" t="str">
            <v/>
          </cell>
          <cell r="F140" t="str">
            <v/>
          </cell>
          <cell r="H140" t="str">
            <v/>
          </cell>
          <cell r="I140">
            <v>1.6</v>
          </cell>
          <cell r="J140">
            <v>2.7666666666666671</v>
          </cell>
          <cell r="K140">
            <v>3.6</v>
          </cell>
          <cell r="M140">
            <v>3.6648730107313763</v>
          </cell>
          <cell r="N140">
            <v>3.2559178204555606</v>
          </cell>
          <cell r="O140">
            <v>3.4462314649397046</v>
          </cell>
          <cell r="P140">
            <v>3.6648730107313763</v>
          </cell>
          <cell r="Q140">
            <v>3.2559178204555606</v>
          </cell>
          <cell r="R140">
            <v>3.8571428571428572</v>
          </cell>
          <cell r="S140">
            <v>3.6648730107313763</v>
          </cell>
          <cell r="T140" t="str">
            <v>MID</v>
          </cell>
          <cell r="U140" t="str">
            <v>CM</v>
          </cell>
          <cell r="V140" t="str">
            <v>BRE</v>
          </cell>
          <cell r="W140" t="str">
            <v>Brentford</v>
          </cell>
          <cell r="X140">
            <v>5.5</v>
          </cell>
          <cell r="Y140">
            <v>97.999999999999986</v>
          </cell>
          <cell r="Z140">
            <v>8</v>
          </cell>
          <cell r="AA140">
            <v>89.999999999999986</v>
          </cell>
          <cell r="AB140">
            <v>2239</v>
          </cell>
          <cell r="AC140">
            <v>2239</v>
          </cell>
          <cell r="AD140">
            <v>0.49494949494949486</v>
          </cell>
          <cell r="AE140">
            <v>3</v>
          </cell>
          <cell r="AF140">
            <v>2</v>
          </cell>
          <cell r="AG140">
            <v>3.175524787851719E-2</v>
          </cell>
          <cell r="AH140">
            <v>-0.16319785618579719</v>
          </cell>
          <cell r="AI140">
            <v>-0.13144260830728002</v>
          </cell>
          <cell r="AJ140">
            <v>9.9999999999988987E-4</v>
          </cell>
          <cell r="AK140">
            <v>1</v>
          </cell>
          <cell r="AL140">
            <v>465</v>
          </cell>
          <cell r="AM140">
            <v>3</v>
          </cell>
          <cell r="AN140">
            <v>0</v>
          </cell>
          <cell r="AO140">
            <v>97</v>
          </cell>
          <cell r="AP140" t="str">
            <v>Jensen</v>
          </cell>
          <cell r="AQ140">
            <v>2.2429656096471637</v>
          </cell>
          <cell r="AR140">
            <v>0</v>
          </cell>
          <cell r="AS140">
            <v>4.2688700312639574</v>
          </cell>
          <cell r="AT140">
            <v>7.958910227780259</v>
          </cell>
          <cell r="AU140">
            <v>1.4470745868691379</v>
          </cell>
          <cell r="AV140">
            <v>7.958910227780259</v>
          </cell>
          <cell r="AW140">
            <v>7.958910227780259</v>
          </cell>
          <cell r="AX140">
            <v>0.12204153640017865</v>
          </cell>
          <cell r="AY140">
            <v>0</v>
          </cell>
          <cell r="AZ140">
            <v>2.7</v>
          </cell>
          <cell r="BA140">
            <v>97.999999999999986</v>
          </cell>
          <cell r="BB140" t="str">
            <v/>
          </cell>
          <cell r="BC140">
            <v>26</v>
          </cell>
          <cell r="BD140">
            <v>13</v>
          </cell>
          <cell r="BE140">
            <v>0.5</v>
          </cell>
          <cell r="BF140">
            <v>81</v>
          </cell>
          <cell r="BG140">
            <v>0.9</v>
          </cell>
          <cell r="BH140">
            <v>1</v>
          </cell>
          <cell r="BI140">
            <v>10</v>
          </cell>
          <cell r="BJ140">
            <v>13</v>
          </cell>
          <cell r="BK140">
            <v>2</v>
          </cell>
          <cell r="BL140">
            <v>0.68421052631578949</v>
          </cell>
          <cell r="BM140">
            <v>0.26315789473684209</v>
          </cell>
          <cell r="BN140">
            <v>0.73489278752436649</v>
          </cell>
          <cell r="BO140">
            <v>38</v>
          </cell>
          <cell r="BP140">
            <v>0</v>
          </cell>
          <cell r="BQ140">
            <v>0.65467836257309941</v>
          </cell>
          <cell r="BR140">
            <v>2.21</v>
          </cell>
          <cell r="BS140">
            <v>8.8834301027244308E-2</v>
          </cell>
          <cell r="BT140">
            <v>6.06</v>
          </cell>
          <cell r="BU140">
            <v>0.24359088878963819</v>
          </cell>
          <cell r="BV140">
            <v>0.33242518981688252</v>
          </cell>
          <cell r="BW140">
            <v>0</v>
          </cell>
          <cell r="BX140">
            <v>38</v>
          </cell>
          <cell r="BY140">
            <v>1.5555263157894736</v>
          </cell>
          <cell r="BZ140">
            <v>1.0874736842105261</v>
          </cell>
        </row>
        <row r="141">
          <cell r="A141" t="str">
            <v>Reece James</v>
          </cell>
          <cell r="B141" t="str">
            <v/>
          </cell>
          <cell r="C141" t="str">
            <v>James</v>
          </cell>
          <cell r="D141" t="str">
            <v/>
          </cell>
          <cell r="E141" t="str">
            <v>R James</v>
          </cell>
          <cell r="F141" t="str">
            <v/>
          </cell>
          <cell r="H141" t="str">
            <v/>
          </cell>
          <cell r="I141">
            <v>1.1000000000000001</v>
          </cell>
          <cell r="J141">
            <v>2.2333333333333329</v>
          </cell>
          <cell r="K141">
            <v>2.8</v>
          </cell>
          <cell r="M141">
            <v>3.6609957509651725</v>
          </cell>
          <cell r="N141">
            <v>4.877874297393971</v>
          </cell>
          <cell r="O141">
            <v>2.1263322130943507</v>
          </cell>
          <cell r="P141">
            <v>3.7763001036183654</v>
          </cell>
          <cell r="Q141">
            <v>4.877874297393971</v>
          </cell>
          <cell r="R141">
            <v>2.6461538461538461</v>
          </cell>
          <cell r="S141">
            <v>3.6609957509651725</v>
          </cell>
          <cell r="T141" t="str">
            <v>DEF</v>
          </cell>
          <cell r="U141" t="str">
            <v>RB</v>
          </cell>
          <cell r="V141" t="str">
            <v>CHE</v>
          </cell>
          <cell r="W141" t="str">
            <v>Chelsea</v>
          </cell>
          <cell r="X141">
            <v>5.5</v>
          </cell>
          <cell r="Y141">
            <v>115</v>
          </cell>
          <cell r="Z141">
            <v>4</v>
          </cell>
          <cell r="AA141">
            <v>111</v>
          </cell>
          <cell r="AB141">
            <v>1957</v>
          </cell>
          <cell r="AC141">
            <v>1957</v>
          </cell>
          <cell r="AD141">
            <v>0.72100313479623823</v>
          </cell>
          <cell r="AE141">
            <v>2</v>
          </cell>
          <cell r="AF141">
            <v>6</v>
          </cell>
          <cell r="AG141">
            <v>4.4149207971384774E-2</v>
          </cell>
          <cell r="AH141">
            <v>0.12876852324987226</v>
          </cell>
          <cell r="AI141">
            <v>0.17291773122125703</v>
          </cell>
          <cell r="AJ141">
            <v>8.0999999999999961E-2</v>
          </cell>
          <cell r="AK141">
            <v>11</v>
          </cell>
          <cell r="AL141">
            <v>493</v>
          </cell>
          <cell r="AM141">
            <v>4</v>
          </cell>
          <cell r="AN141">
            <v>0</v>
          </cell>
          <cell r="AO141">
            <v>142</v>
          </cell>
          <cell r="AP141" t="str">
            <v>James</v>
          </cell>
          <cell r="AQ141">
            <v>3.5155850792028618</v>
          </cell>
          <cell r="AR141">
            <v>0</v>
          </cell>
          <cell r="AS141">
            <v>4.438426162493613</v>
          </cell>
          <cell r="AT141">
            <v>5.6249361267245792</v>
          </cell>
          <cell r="AU141">
            <v>2.109351047521717</v>
          </cell>
          <cell r="AV141">
            <v>5.6249361267245792</v>
          </cell>
          <cell r="AW141">
            <v>5.6249361267245792</v>
          </cell>
          <cell r="AX141">
            <v>7.5120592743995962E-2</v>
          </cell>
          <cell r="AY141">
            <v>0</v>
          </cell>
          <cell r="AZ141">
            <v>4</v>
          </cell>
          <cell r="BA141">
            <v>115</v>
          </cell>
          <cell r="BB141" t="str">
            <v/>
          </cell>
          <cell r="BC141">
            <v>20</v>
          </cell>
          <cell r="BD141">
            <v>15</v>
          </cell>
          <cell r="BE141">
            <v>0.75</v>
          </cell>
          <cell r="BF141">
            <v>86</v>
          </cell>
          <cell r="BG141">
            <v>0.9555555555555556</v>
          </cell>
          <cell r="BH141">
            <v>1</v>
          </cell>
          <cell r="BI141">
            <v>9</v>
          </cell>
          <cell r="BJ141">
            <v>27</v>
          </cell>
          <cell r="BK141">
            <v>3</v>
          </cell>
          <cell r="BL141">
            <v>0.625</v>
          </cell>
          <cell r="BM141">
            <v>0.28125</v>
          </cell>
          <cell r="BN141">
            <v>0.74273255813953487</v>
          </cell>
          <cell r="BO141">
            <v>38</v>
          </cell>
          <cell r="BP141">
            <v>0</v>
          </cell>
          <cell r="BQ141">
            <v>0.57222222222222219</v>
          </cell>
          <cell r="BR141">
            <v>1.04</v>
          </cell>
          <cell r="BS141">
            <v>4.7828308635666839E-2</v>
          </cell>
          <cell r="BT141">
            <v>3.2</v>
          </cell>
          <cell r="BU141">
            <v>0.14716402657128258</v>
          </cell>
          <cell r="BV141">
            <v>0.19499233520694942</v>
          </cell>
          <cell r="BW141">
            <v>0</v>
          </cell>
          <cell r="BX141">
            <v>38</v>
          </cell>
          <cell r="BY141">
            <v>1.4473684210526316</v>
          </cell>
          <cell r="BZ141">
            <v>1.1956315789473682</v>
          </cell>
        </row>
        <row r="142">
          <cell r="A142" t="str">
            <v>Diogo Dalot Teixeira</v>
          </cell>
          <cell r="B142" t="str">
            <v/>
          </cell>
          <cell r="C142" t="str">
            <v>Dalot</v>
          </cell>
          <cell r="D142" t="str">
            <v/>
          </cell>
          <cell r="E142" t="str">
            <v>Diogo Dalot</v>
          </cell>
          <cell r="F142" t="str">
            <v/>
          </cell>
          <cell r="H142" t="str">
            <v/>
          </cell>
          <cell r="I142">
            <v>2.9</v>
          </cell>
          <cell r="J142">
            <v>3.3000000000000003</v>
          </cell>
          <cell r="K142">
            <v>3.9</v>
          </cell>
          <cell r="M142">
            <v>3.652758749084049</v>
          </cell>
          <cell r="N142">
            <v>3.4610962054426984</v>
          </cell>
          <cell r="O142">
            <v>2.4631644563689781</v>
          </cell>
          <cell r="P142">
            <v>3.652758749084049</v>
          </cell>
          <cell r="Q142">
            <v>3.4610962054426984</v>
          </cell>
          <cell r="R142">
            <v>2.8666666666666667</v>
          </cell>
          <cell r="S142">
            <v>3.652758749084049</v>
          </cell>
          <cell r="T142" t="str">
            <v>DEF</v>
          </cell>
          <cell r="U142" t="str">
            <v>RB</v>
          </cell>
          <cell r="V142" t="str">
            <v>MUN</v>
          </cell>
          <cell r="W142" t="str">
            <v>Man Utd</v>
          </cell>
          <cell r="X142">
            <v>5</v>
          </cell>
          <cell r="Y142">
            <v>111</v>
          </cell>
          <cell r="Z142">
            <v>6</v>
          </cell>
          <cell r="AA142">
            <v>105</v>
          </cell>
          <cell r="AB142">
            <v>2609</v>
          </cell>
          <cell r="AC142">
            <v>2609</v>
          </cell>
          <cell r="AD142">
            <v>0.65294117647058825</v>
          </cell>
          <cell r="AE142">
            <v>1</v>
          </cell>
          <cell r="AF142">
            <v>6</v>
          </cell>
          <cell r="AG142">
            <v>-3.2081257186661556E-2</v>
          </cell>
          <cell r="AH142">
            <v>0.11832119586048294</v>
          </cell>
          <cell r="AI142">
            <v>8.6239938673821404E-2</v>
          </cell>
          <cell r="AJ142">
            <v>3.499999999999992E-2</v>
          </cell>
          <cell r="AK142">
            <v>9</v>
          </cell>
          <cell r="AL142">
            <v>414</v>
          </cell>
          <cell r="AM142">
            <v>5</v>
          </cell>
          <cell r="AN142">
            <v>0</v>
          </cell>
          <cell r="AO142">
            <v>417</v>
          </cell>
          <cell r="AP142" t="str">
            <v>Dalot</v>
          </cell>
          <cell r="AQ142">
            <v>4.1862782675354548</v>
          </cell>
          <cell r="AR142">
            <v>0</v>
          </cell>
          <cell r="AS142">
            <v>4.4499808355691828</v>
          </cell>
          <cell r="AT142">
            <v>5.933307780758911</v>
          </cell>
          <cell r="AU142">
            <v>1.7470295132234572</v>
          </cell>
          <cell r="AV142">
            <v>5.933307780758911</v>
          </cell>
          <cell r="AW142">
            <v>5.933307780758911</v>
          </cell>
          <cell r="AX142">
            <v>9.6398236872364859E-2</v>
          </cell>
          <cell r="AY142">
            <v>0</v>
          </cell>
          <cell r="AZ142">
            <v>3.3</v>
          </cell>
          <cell r="BA142">
            <v>111</v>
          </cell>
          <cell r="BB142" t="str">
            <v/>
          </cell>
          <cell r="BC142">
            <v>29</v>
          </cell>
          <cell r="BD142">
            <v>22</v>
          </cell>
          <cell r="BE142">
            <v>0.75862068965517238</v>
          </cell>
          <cell r="BF142">
            <v>86</v>
          </cell>
          <cell r="BG142">
            <v>0.9555555555555556</v>
          </cell>
          <cell r="BH142">
            <v>1</v>
          </cell>
          <cell r="BI142">
            <v>5</v>
          </cell>
          <cell r="BJ142">
            <v>27</v>
          </cell>
          <cell r="BK142">
            <v>1</v>
          </cell>
          <cell r="BL142">
            <v>0.82857142857142863</v>
          </cell>
          <cell r="BM142">
            <v>0.14285714285714282</v>
          </cell>
          <cell r="BN142">
            <v>0.88239202657807325</v>
          </cell>
          <cell r="BO142">
            <v>38</v>
          </cell>
          <cell r="BP142">
            <v>0</v>
          </cell>
          <cell r="BQ142">
            <v>0.76286549707602336</v>
          </cell>
          <cell r="BR142">
            <v>1.93</v>
          </cell>
          <cell r="BS142">
            <v>6.6577232656190116E-2</v>
          </cell>
          <cell r="BT142">
            <v>2.57</v>
          </cell>
          <cell r="BU142">
            <v>8.865465695668838E-2</v>
          </cell>
          <cell r="BV142">
            <v>0.15523188961287848</v>
          </cell>
          <cell r="BW142">
            <v>0</v>
          </cell>
          <cell r="BX142">
            <v>38</v>
          </cell>
          <cell r="BY142">
            <v>1.3231578947368421</v>
          </cell>
          <cell r="BZ142">
            <v>1.3198421052631577</v>
          </cell>
        </row>
        <row r="143">
          <cell r="A143" t="str">
            <v>Alisson Becker</v>
          </cell>
          <cell r="B143" t="str">
            <v/>
          </cell>
          <cell r="C143" t="str">
            <v>A.Becker</v>
          </cell>
          <cell r="D143" t="str">
            <v/>
          </cell>
          <cell r="E143" t="str">
            <v>Alisson</v>
          </cell>
          <cell r="F143" t="str">
            <v/>
          </cell>
          <cell r="H143" t="str">
            <v/>
          </cell>
          <cell r="I143">
            <v>3.8</v>
          </cell>
          <cell r="J143">
            <v>3.9</v>
          </cell>
          <cell r="K143">
            <v>4</v>
          </cell>
          <cell r="M143">
            <v>3.6499589349177111</v>
          </cell>
          <cell r="N143">
            <v>3.5</v>
          </cell>
          <cell r="O143">
            <v>2.3441025641025641</v>
          </cell>
          <cell r="P143">
            <v>3.6499589349177111</v>
          </cell>
          <cell r="Q143">
            <v>3.5</v>
          </cell>
          <cell r="R143">
            <v>2</v>
          </cell>
          <cell r="S143">
            <v>3.6499589349177111</v>
          </cell>
          <cell r="T143" t="str">
            <v>GK</v>
          </cell>
          <cell r="U143" t="str">
            <v>GK</v>
          </cell>
          <cell r="V143" t="str">
            <v>LIV</v>
          </cell>
          <cell r="W143" t="str">
            <v>Liverpool</v>
          </cell>
          <cell r="X143">
            <v>5.5</v>
          </cell>
          <cell r="Y143">
            <v>91</v>
          </cell>
          <cell r="Z143">
            <v>0</v>
          </cell>
          <cell r="AA143">
            <v>91</v>
          </cell>
          <cell r="AB143">
            <v>2340</v>
          </cell>
          <cell r="AC143">
            <v>2340</v>
          </cell>
          <cell r="AD143">
            <v>0.63636363636363635</v>
          </cell>
          <cell r="AE143">
            <v>0</v>
          </cell>
          <cell r="AF143">
            <v>0</v>
          </cell>
          <cell r="AG143">
            <v>0</v>
          </cell>
          <cell r="AH143">
            <v>-1.1538461538461537E-3</v>
          </cell>
          <cell r="AI143">
            <v>-1.1538461538461537E-3</v>
          </cell>
          <cell r="AJ143">
            <v>4.6999999999999931E-2</v>
          </cell>
          <cell r="AK143">
            <v>8</v>
          </cell>
          <cell r="AL143">
            <v>389</v>
          </cell>
          <cell r="AM143">
            <v>1</v>
          </cell>
          <cell r="AN143">
            <v>57</v>
          </cell>
          <cell r="AO143">
            <v>350</v>
          </cell>
          <cell r="AP143" t="str">
            <v>A.Becker</v>
          </cell>
          <cell r="AQ143">
            <v>1.4230769230769229</v>
          </cell>
          <cell r="AR143">
            <v>0</v>
          </cell>
          <cell r="AS143">
            <v>8.8076923076923084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3.5</v>
          </cell>
          <cell r="BA143">
            <v>91</v>
          </cell>
          <cell r="BB143" t="str">
            <v/>
          </cell>
          <cell r="BC143">
            <v>26</v>
          </cell>
          <cell r="BD143">
            <v>26</v>
          </cell>
          <cell r="BE143">
            <v>1</v>
          </cell>
          <cell r="BF143">
            <v>90</v>
          </cell>
          <cell r="BG143">
            <v>1</v>
          </cell>
          <cell r="BH143">
            <v>1</v>
          </cell>
          <cell r="BI143">
            <v>0</v>
          </cell>
          <cell r="BJ143">
            <v>0</v>
          </cell>
          <cell r="BK143">
            <v>0</v>
          </cell>
          <cell r="BL143">
            <v>1</v>
          </cell>
          <cell r="BM143">
            <v>0</v>
          </cell>
          <cell r="BN143">
            <v>1</v>
          </cell>
          <cell r="BO143">
            <v>38</v>
          </cell>
          <cell r="BP143">
            <v>0</v>
          </cell>
          <cell r="BQ143">
            <v>0.68421052631578949</v>
          </cell>
          <cell r="BR143">
            <v>0</v>
          </cell>
          <cell r="BS143">
            <v>0</v>
          </cell>
          <cell r="BT143">
            <v>0.03</v>
          </cell>
          <cell r="BU143">
            <v>1.1538461538461537E-3</v>
          </cell>
          <cell r="BV143">
            <v>1.1538461538461537E-3</v>
          </cell>
          <cell r="BW143">
            <v>0</v>
          </cell>
          <cell r="BX143">
            <v>38</v>
          </cell>
          <cell r="BY143">
            <v>1.4176315789473684</v>
          </cell>
          <cell r="BZ143">
            <v>1.2253684210526314</v>
          </cell>
        </row>
        <row r="144">
          <cell r="A144" t="str">
            <v>Omari Hutchinson</v>
          </cell>
          <cell r="B144" t="str">
            <v/>
          </cell>
          <cell r="C144" t="str">
            <v>Hutchinson</v>
          </cell>
          <cell r="D144" t="str">
            <v/>
          </cell>
          <cell r="F144" t="str">
            <v/>
          </cell>
          <cell r="H144" t="str">
            <v/>
          </cell>
          <cell r="I144" t="e">
            <v>#N/A</v>
          </cell>
          <cell r="J144" t="e">
            <v>#N/A</v>
          </cell>
          <cell r="K144" t="e">
            <v>#N/A</v>
          </cell>
          <cell r="M144">
            <v>3.6472190905005242</v>
          </cell>
          <cell r="N144">
            <v>3.7231503579952263</v>
          </cell>
          <cell r="O144">
            <v>3.2067518327218321</v>
          </cell>
          <cell r="P144">
            <v>3.6472190905005242</v>
          </cell>
          <cell r="Q144">
            <v>3.7231503579952263</v>
          </cell>
          <cell r="R144">
            <v>3.9582089552238804</v>
          </cell>
          <cell r="S144">
            <v>3.6472190905005242</v>
          </cell>
          <cell r="T144" t="str">
            <v>MID</v>
          </cell>
          <cell r="U144" t="str">
            <v>RW</v>
          </cell>
          <cell r="V144" t="str">
            <v>NFO</v>
          </cell>
          <cell r="W144" t="str">
            <v>Nott'm Forest</v>
          </cell>
          <cell r="X144">
            <v>5.5</v>
          </cell>
          <cell r="Y144">
            <v>82</v>
          </cell>
          <cell r="Z144">
            <v>2</v>
          </cell>
          <cell r="AA144">
            <v>80</v>
          </cell>
          <cell r="AB144">
            <v>1676</v>
          </cell>
          <cell r="AC144">
            <v>1676</v>
          </cell>
          <cell r="AD144">
            <v>0.48093841642228735</v>
          </cell>
          <cell r="AE144">
            <v>1</v>
          </cell>
          <cell r="AF144">
            <v>7</v>
          </cell>
          <cell r="AG144">
            <v>-5.4236276849641982E-2</v>
          </cell>
          <cell r="AH144">
            <v>0.16807875894988067</v>
          </cell>
          <cell r="AI144">
            <v>0.11384248210023873</v>
          </cell>
          <cell r="AJ144">
            <v>2.0000000000000018E-3</v>
          </cell>
          <cell r="AK144">
            <v>3</v>
          </cell>
          <cell r="AL144">
            <v>329</v>
          </cell>
          <cell r="AM144">
            <v>1</v>
          </cell>
          <cell r="AN144">
            <v>0</v>
          </cell>
          <cell r="AO144">
            <v>484</v>
          </cell>
          <cell r="AP144" t="str">
            <v>Hutchinson</v>
          </cell>
          <cell r="AQ144">
            <v>0.93078758949880658</v>
          </cell>
          <cell r="AR144">
            <v>0</v>
          </cell>
          <cell r="AS144">
            <v>4.0489260143198091</v>
          </cell>
          <cell r="AT144">
            <v>6.0035799522673035</v>
          </cell>
          <cell r="AU144">
            <v>1.0238663484486874</v>
          </cell>
          <cell r="AV144">
            <v>6.0035799522673035</v>
          </cell>
          <cell r="AW144">
            <v>6.0035799522673035</v>
          </cell>
          <cell r="AX144">
            <v>4.5455676781452438E-2</v>
          </cell>
          <cell r="AY144">
            <v>0</v>
          </cell>
          <cell r="AZ144">
            <v>2.6</v>
          </cell>
          <cell r="BA144">
            <v>82</v>
          </cell>
          <cell r="BB144" t="str">
            <v/>
          </cell>
          <cell r="BC144">
            <v>17</v>
          </cell>
          <cell r="BD144">
            <v>8</v>
          </cell>
          <cell r="BE144">
            <v>0.47058823529411764</v>
          </cell>
          <cell r="BF144">
            <v>78</v>
          </cell>
          <cell r="BG144">
            <v>0.8666666666666667</v>
          </cell>
          <cell r="BH144">
            <v>1</v>
          </cell>
          <cell r="BI144">
            <v>14</v>
          </cell>
          <cell r="BJ144">
            <v>26</v>
          </cell>
          <cell r="BK144">
            <v>5</v>
          </cell>
          <cell r="BL144">
            <v>0.47222222222222221</v>
          </cell>
          <cell r="BM144">
            <v>0.3888888888888889</v>
          </cell>
          <cell r="BN144">
            <v>0.64814814814814814</v>
          </cell>
          <cell r="BO144">
            <v>38</v>
          </cell>
          <cell r="BP144">
            <v>0</v>
          </cell>
          <cell r="BQ144">
            <v>0.49005847953216375</v>
          </cell>
          <cell r="BR144">
            <v>2.0099999999999998</v>
          </cell>
          <cell r="BS144">
            <v>0.10793556085918853</v>
          </cell>
          <cell r="BT144">
            <v>3.87</v>
          </cell>
          <cell r="BU144">
            <v>0.20781622911694508</v>
          </cell>
          <cell r="BV144">
            <v>0.31575178997613362</v>
          </cell>
          <cell r="BW144">
            <v>0</v>
          </cell>
          <cell r="BX144">
            <v>38</v>
          </cell>
          <cell r="BY144">
            <v>1.7036842105263157</v>
          </cell>
          <cell r="BZ144">
            <v>0.9393157894736841</v>
          </cell>
        </row>
        <row r="145">
          <cell r="A145" t="str">
            <v>Robert Lynch Sánchez</v>
          </cell>
          <cell r="B145" t="str">
            <v/>
          </cell>
          <cell r="C145" t="str">
            <v>Sánchez</v>
          </cell>
          <cell r="D145" t="str">
            <v/>
          </cell>
          <cell r="E145" t="str">
            <v>R Sanchez</v>
          </cell>
          <cell r="F145" t="str">
            <v/>
          </cell>
          <cell r="G145" t="str">
            <v>Robert Sánchez</v>
          </cell>
          <cell r="H145" t="str">
            <v/>
          </cell>
          <cell r="I145">
            <v>3.6</v>
          </cell>
          <cell r="J145">
            <v>3.75</v>
          </cell>
          <cell r="K145">
            <v>3.9</v>
          </cell>
          <cell r="M145">
            <v>3.6326454315987959</v>
          </cell>
          <cell r="N145">
            <v>3.2338815789473681</v>
          </cell>
          <cell r="O145">
            <v>2.5213925438596494</v>
          </cell>
          <cell r="P145">
            <v>3.747949784251988</v>
          </cell>
          <cell r="Q145">
            <v>3.2338815789473681</v>
          </cell>
          <cell r="R145">
            <v>1.8380281690140845</v>
          </cell>
          <cell r="S145">
            <v>3.6326454315987959</v>
          </cell>
          <cell r="T145" t="str">
            <v>GK</v>
          </cell>
          <cell r="U145" t="str">
            <v>GK</v>
          </cell>
          <cell r="V145" t="str">
            <v>CHE</v>
          </cell>
          <cell r="W145" t="str">
            <v>Chelsea</v>
          </cell>
          <cell r="X145">
            <v>5</v>
          </cell>
          <cell r="Y145">
            <v>113</v>
          </cell>
          <cell r="Z145">
            <v>0</v>
          </cell>
          <cell r="AA145">
            <v>113</v>
          </cell>
          <cell r="AB145">
            <v>3040</v>
          </cell>
          <cell r="AC145">
            <v>3040</v>
          </cell>
          <cell r="AD145">
            <v>0.64571428571428569</v>
          </cell>
          <cell r="AE145">
            <v>0</v>
          </cell>
          <cell r="AF145">
            <v>1</v>
          </cell>
          <cell r="AG145">
            <v>0</v>
          </cell>
          <cell r="AH145">
            <v>2.8421052631578944E-2</v>
          </cell>
          <cell r="AI145">
            <v>2.8421052631578944E-2</v>
          </cell>
          <cell r="AJ145">
            <v>2.0000000000000018E-2</v>
          </cell>
          <cell r="AK145">
            <v>7</v>
          </cell>
          <cell r="AL145">
            <v>509</v>
          </cell>
          <cell r="AM145">
            <v>3</v>
          </cell>
          <cell r="AN145">
            <v>98</v>
          </cell>
          <cell r="AO145">
            <v>140</v>
          </cell>
          <cell r="AP145" t="str">
            <v>Sánchez</v>
          </cell>
          <cell r="AQ145">
            <v>0.77269736842105263</v>
          </cell>
          <cell r="AR145">
            <v>0</v>
          </cell>
          <cell r="AS145">
            <v>8.6427631578947377</v>
          </cell>
          <cell r="AT145">
            <v>0</v>
          </cell>
          <cell r="AU145">
            <v>5.7236842105263155E-2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3.2</v>
          </cell>
          <cell r="BA145">
            <v>113</v>
          </cell>
          <cell r="BB145" t="str">
            <v/>
          </cell>
          <cell r="BC145">
            <v>35</v>
          </cell>
          <cell r="BD145">
            <v>33</v>
          </cell>
          <cell r="BE145">
            <v>0.94285714285714284</v>
          </cell>
          <cell r="BF145">
            <v>87</v>
          </cell>
          <cell r="BG145">
            <v>0.96666666666666667</v>
          </cell>
          <cell r="BH145">
            <v>1</v>
          </cell>
          <cell r="BI145">
            <v>0</v>
          </cell>
          <cell r="BJ145">
            <v>0</v>
          </cell>
          <cell r="BK145">
            <v>1</v>
          </cell>
          <cell r="BL145">
            <v>0.97222222222222221</v>
          </cell>
          <cell r="BM145">
            <v>0</v>
          </cell>
          <cell r="BN145">
            <v>0.97222222222222221</v>
          </cell>
          <cell r="BO145">
            <v>38</v>
          </cell>
          <cell r="BP145">
            <v>0</v>
          </cell>
          <cell r="BQ145">
            <v>0.88888888888888884</v>
          </cell>
          <cell r="BR145">
            <v>0</v>
          </cell>
          <cell r="BS145">
            <v>0</v>
          </cell>
          <cell r="BT145">
            <v>0.04</v>
          </cell>
          <cell r="BU145">
            <v>1.1842105263157896E-3</v>
          </cell>
          <cell r="BV145">
            <v>1.1842105263157896E-3</v>
          </cell>
          <cell r="BW145">
            <v>0</v>
          </cell>
          <cell r="BX145">
            <v>38</v>
          </cell>
          <cell r="BY145">
            <v>1.4473684210526316</v>
          </cell>
          <cell r="BZ145">
            <v>1.1956315789473682</v>
          </cell>
        </row>
        <row r="146">
          <cell r="A146" t="str">
            <v>Jacob Murphy</v>
          </cell>
          <cell r="B146" t="str">
            <v/>
          </cell>
          <cell r="C146" t="str">
            <v>J.Murphy</v>
          </cell>
          <cell r="D146" t="str">
            <v/>
          </cell>
          <cell r="F146" t="str">
            <v/>
          </cell>
          <cell r="H146" t="str">
            <v/>
          </cell>
          <cell r="I146">
            <v>3.9</v>
          </cell>
          <cell r="J146">
            <v>4.2</v>
          </cell>
          <cell r="K146">
            <v>4.5</v>
          </cell>
          <cell r="M146">
            <v>3.6261981700577377</v>
          </cell>
          <cell r="N146">
            <v>3.5230386052303868</v>
          </cell>
          <cell r="O146">
            <v>2.6121012720156553</v>
          </cell>
          <cell r="P146">
            <v>3.6261981700577377</v>
          </cell>
          <cell r="Q146">
            <v>3.5230386052303868</v>
          </cell>
          <cell r="R146">
            <v>3.6964285714285716</v>
          </cell>
          <cell r="S146">
            <v>3.6261981700577377</v>
          </cell>
          <cell r="T146" t="str">
            <v>MID</v>
          </cell>
          <cell r="U146" t="str">
            <v>RW</v>
          </cell>
          <cell r="V146" t="str">
            <v>NEW</v>
          </cell>
          <cell r="W146" t="str">
            <v>Newcastle</v>
          </cell>
          <cell r="X146">
            <v>6</v>
          </cell>
          <cell r="Y146">
            <v>82</v>
          </cell>
          <cell r="Z146">
            <v>0</v>
          </cell>
          <cell r="AA146">
            <v>82</v>
          </cell>
          <cell r="AB146">
            <v>1606</v>
          </cell>
          <cell r="AC146">
            <v>1606</v>
          </cell>
          <cell r="AD146">
            <v>0.41414141414141414</v>
          </cell>
          <cell r="AE146">
            <v>3</v>
          </cell>
          <cell r="AF146">
            <v>2</v>
          </cell>
          <cell r="AG146">
            <v>-3.9227895392278667E-3</v>
          </cell>
          <cell r="AH146">
            <v>-3.6986301369863028E-2</v>
          </cell>
          <cell r="AI146">
            <v>-4.0909090909090895E-2</v>
          </cell>
          <cell r="AJ146">
            <v>2.0000000000000018E-3</v>
          </cell>
          <cell r="AK146">
            <v>5</v>
          </cell>
          <cell r="AL146">
            <v>314</v>
          </cell>
          <cell r="AM146">
            <v>2</v>
          </cell>
          <cell r="AN146">
            <v>0</v>
          </cell>
          <cell r="AO146">
            <v>457</v>
          </cell>
          <cell r="AP146" t="str">
            <v>J.Murphy</v>
          </cell>
          <cell r="AQ146">
            <v>1.1600249066002493</v>
          </cell>
          <cell r="AR146">
            <v>0</v>
          </cell>
          <cell r="AS146">
            <v>2.019302615193026</v>
          </cell>
          <cell r="AT146">
            <v>3.8667496886674968</v>
          </cell>
          <cell r="AU146">
            <v>0.68742216687422175</v>
          </cell>
          <cell r="AV146">
            <v>3.8667496886674968</v>
          </cell>
          <cell r="AW146">
            <v>3.8667496886674968</v>
          </cell>
          <cell r="AX146">
            <v>2.9276819071339621E-2</v>
          </cell>
          <cell r="AY146">
            <v>0</v>
          </cell>
          <cell r="AZ146">
            <v>2.5</v>
          </cell>
          <cell r="BA146">
            <v>82</v>
          </cell>
          <cell r="BB146" t="str">
            <v/>
          </cell>
          <cell r="BC146">
            <v>19</v>
          </cell>
          <cell r="BD146">
            <v>1</v>
          </cell>
          <cell r="BE146">
            <v>5.2631578947368418E-2</v>
          </cell>
          <cell r="BF146">
            <v>69</v>
          </cell>
          <cell r="BG146">
            <v>0.76666666666666672</v>
          </cell>
          <cell r="BH146">
            <v>1</v>
          </cell>
          <cell r="BI146">
            <v>14</v>
          </cell>
          <cell r="BJ146">
            <v>21</v>
          </cell>
          <cell r="BK146">
            <v>3</v>
          </cell>
          <cell r="BL146">
            <v>0.52777777777777779</v>
          </cell>
          <cell r="BM146">
            <v>0.38888888888888884</v>
          </cell>
          <cell r="BN146">
            <v>0.67149758454106279</v>
          </cell>
          <cell r="BO146">
            <v>38</v>
          </cell>
          <cell r="BP146">
            <v>0</v>
          </cell>
          <cell r="BQ146">
            <v>0.46959064327485378</v>
          </cell>
          <cell r="BR146">
            <v>3.07</v>
          </cell>
          <cell r="BS146">
            <v>0.17204234122042339</v>
          </cell>
          <cell r="BT146">
            <v>2.66</v>
          </cell>
          <cell r="BU146">
            <v>0.14906600249066004</v>
          </cell>
          <cell r="BV146">
            <v>0.32110834371108343</v>
          </cell>
          <cell r="BW146">
            <v>0</v>
          </cell>
          <cell r="BX146">
            <v>38</v>
          </cell>
          <cell r="BY146">
            <v>1.5081578947368421</v>
          </cell>
          <cell r="BZ146">
            <v>1.1348421052631577</v>
          </cell>
        </row>
        <row r="147">
          <cell r="A147" t="str">
            <v>Altay Bayındır</v>
          </cell>
          <cell r="B147" t="str">
            <v/>
          </cell>
          <cell r="C147" t="str">
            <v>Bayindir</v>
          </cell>
          <cell r="D147" t="str">
            <v/>
          </cell>
          <cell r="F147" t="str">
            <v/>
          </cell>
          <cell r="H147" t="str">
            <v/>
          </cell>
          <cell r="I147">
            <v>2</v>
          </cell>
          <cell r="J147">
            <v>2</v>
          </cell>
          <cell r="K147">
            <v>2</v>
          </cell>
          <cell r="M147">
            <v>3.6209063577889586</v>
          </cell>
          <cell r="N147">
            <v>1.8333333333333335</v>
          </cell>
          <cell r="O147">
            <v>2.4372222222222222</v>
          </cell>
          <cell r="P147">
            <v>3.6209063577889586</v>
          </cell>
          <cell r="Q147">
            <v>1.8333333333333335</v>
          </cell>
          <cell r="R147">
            <v>0</v>
          </cell>
          <cell r="S147">
            <v>3.6209063577889586</v>
          </cell>
          <cell r="T147" t="str">
            <v>GK</v>
          </cell>
          <cell r="U147" t="str">
            <v>GK</v>
          </cell>
          <cell r="V147" t="str">
            <v>MUN</v>
          </cell>
          <cell r="W147" t="str">
            <v>Man Utd</v>
          </cell>
          <cell r="X147">
            <v>4.5</v>
          </cell>
          <cell r="Y147">
            <v>11</v>
          </cell>
          <cell r="Z147">
            <v>0</v>
          </cell>
          <cell r="AA147">
            <v>11</v>
          </cell>
          <cell r="AB147">
            <v>540</v>
          </cell>
          <cell r="AC147">
            <v>540</v>
          </cell>
          <cell r="AD147">
            <v>0.40740740740740738</v>
          </cell>
          <cell r="AE147">
            <v>0</v>
          </cell>
          <cell r="AF147">
            <v>0</v>
          </cell>
          <cell r="AG147">
            <v>0</v>
          </cell>
          <cell r="AH147">
            <v>-8.333333333333335E-3</v>
          </cell>
          <cell r="AI147">
            <v>-8.333333333333335E-3</v>
          </cell>
          <cell r="AJ147">
            <v>2.0000000000000018E-3</v>
          </cell>
          <cell r="AK147">
            <v>0</v>
          </cell>
          <cell r="AL147">
            <v>49</v>
          </cell>
          <cell r="AM147">
            <v>0</v>
          </cell>
          <cell r="AN147">
            <v>13</v>
          </cell>
          <cell r="AO147">
            <v>413</v>
          </cell>
          <cell r="AP147" t="str">
            <v>Bayindir</v>
          </cell>
          <cell r="AQ147">
            <v>1.1666666666666667</v>
          </cell>
          <cell r="AR147">
            <v>0</v>
          </cell>
          <cell r="AS147">
            <v>6.4999999999999991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1.8</v>
          </cell>
          <cell r="BA147">
            <v>11</v>
          </cell>
          <cell r="BB147" t="str">
            <v/>
          </cell>
          <cell r="BC147">
            <v>6</v>
          </cell>
          <cell r="BD147">
            <v>6</v>
          </cell>
          <cell r="BE147">
            <v>1</v>
          </cell>
          <cell r="BF147">
            <v>90</v>
          </cell>
          <cell r="BG147">
            <v>1</v>
          </cell>
          <cell r="BH147">
            <v>1</v>
          </cell>
          <cell r="BI147">
            <v>0</v>
          </cell>
          <cell r="BJ147">
            <v>0</v>
          </cell>
          <cell r="BK147">
            <v>32</v>
          </cell>
          <cell r="BL147">
            <v>0.15789473684210525</v>
          </cell>
          <cell r="BM147">
            <v>0</v>
          </cell>
          <cell r="BN147">
            <v>0.15789473684210525</v>
          </cell>
          <cell r="BO147">
            <v>38</v>
          </cell>
          <cell r="BP147">
            <v>0</v>
          </cell>
          <cell r="BQ147">
            <v>0.15789473684210525</v>
          </cell>
          <cell r="BR147">
            <v>0</v>
          </cell>
          <cell r="BS147">
            <v>0</v>
          </cell>
          <cell r="BT147">
            <v>0.05</v>
          </cell>
          <cell r="BU147">
            <v>8.333333333333335E-3</v>
          </cell>
          <cell r="BV147">
            <v>8.333333333333335E-3</v>
          </cell>
          <cell r="BW147">
            <v>0</v>
          </cell>
          <cell r="BX147">
            <v>38</v>
          </cell>
          <cell r="BY147">
            <v>1.3231578947368421</v>
          </cell>
          <cell r="BZ147">
            <v>1.3198421052631577</v>
          </cell>
        </row>
        <row r="148">
          <cell r="A148" t="str">
            <v>Đorđe Petrović</v>
          </cell>
          <cell r="B148" t="str">
            <v/>
          </cell>
          <cell r="C148" t="str">
            <v>Petrović</v>
          </cell>
          <cell r="D148" t="str">
            <v/>
          </cell>
          <cell r="E148" t="str">
            <v>Djordje Petrovic</v>
          </cell>
          <cell r="F148" t="str">
            <v/>
          </cell>
          <cell r="H148" t="str">
            <v/>
          </cell>
          <cell r="I148">
            <v>0</v>
          </cell>
          <cell r="J148">
            <v>1.55</v>
          </cell>
          <cell r="K148">
            <v>3.1</v>
          </cell>
          <cell r="M148">
            <v>3.6198889310177291</v>
          </cell>
          <cell r="N148">
            <v>3.263157894736842</v>
          </cell>
          <cell r="O148">
            <v>2.6543859649122803</v>
          </cell>
          <cell r="P148">
            <v>3.6198889310177291</v>
          </cell>
          <cell r="Q148">
            <v>3.263157894736842</v>
          </cell>
          <cell r="R148">
            <v>3.333333333333333</v>
          </cell>
          <cell r="S148">
            <v>3.6198889310177291</v>
          </cell>
          <cell r="T148" t="str">
            <v>GK</v>
          </cell>
          <cell r="U148" t="str">
            <v>GK</v>
          </cell>
          <cell r="V148" t="str">
            <v>BOU</v>
          </cell>
          <cell r="W148" t="str">
            <v>Bournemouth</v>
          </cell>
          <cell r="X148">
            <v>4.5</v>
          </cell>
          <cell r="Y148">
            <v>124</v>
          </cell>
          <cell r="Z148">
            <v>0</v>
          </cell>
          <cell r="AA148">
            <v>124</v>
          </cell>
          <cell r="AB148">
            <v>3420</v>
          </cell>
          <cell r="AC148">
            <v>3420</v>
          </cell>
          <cell r="AD148">
            <v>0.72514619883040932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3.8999999999999924E-2</v>
          </cell>
          <cell r="AK148">
            <v>5</v>
          </cell>
          <cell r="AL148">
            <v>512</v>
          </cell>
          <cell r="AM148">
            <v>3</v>
          </cell>
          <cell r="AN148">
            <v>109</v>
          </cell>
          <cell r="AO148">
            <v>57</v>
          </cell>
          <cell r="AP148" t="str">
            <v>Petrović</v>
          </cell>
          <cell r="AQ148">
            <v>1.631578947368421</v>
          </cell>
          <cell r="AR148">
            <v>0</v>
          </cell>
          <cell r="AS148">
            <v>7.5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3.3</v>
          </cell>
          <cell r="BA148">
            <v>124</v>
          </cell>
          <cell r="BB148" t="str">
            <v/>
          </cell>
          <cell r="BC148">
            <v>38</v>
          </cell>
          <cell r="BD148">
            <v>38</v>
          </cell>
          <cell r="BE148">
            <v>1</v>
          </cell>
          <cell r="BF148">
            <v>90</v>
          </cell>
          <cell r="BG148">
            <v>1</v>
          </cell>
          <cell r="BH148">
            <v>1</v>
          </cell>
          <cell r="BI148">
            <v>0</v>
          </cell>
          <cell r="BJ148">
            <v>0</v>
          </cell>
          <cell r="BK148">
            <v>0</v>
          </cell>
          <cell r="BL148">
            <v>1</v>
          </cell>
          <cell r="BM148">
            <v>0</v>
          </cell>
          <cell r="BN148">
            <v>1</v>
          </cell>
          <cell r="BO148">
            <v>38</v>
          </cell>
          <cell r="BP148">
            <v>0</v>
          </cell>
          <cell r="BQ148">
            <v>1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38</v>
          </cell>
          <cell r="BY148">
            <v>1.4939473684210527</v>
          </cell>
          <cell r="BZ148">
            <v>1.1490526315789471</v>
          </cell>
        </row>
        <row r="149">
          <cell r="A149" t="str">
            <v>Abdukodir Khusanov</v>
          </cell>
          <cell r="B149" t="str">
            <v/>
          </cell>
          <cell r="C149" t="str">
            <v>Khusanov</v>
          </cell>
          <cell r="D149" t="str">
            <v/>
          </cell>
          <cell r="F149" t="str">
            <v/>
          </cell>
          <cell r="H149" t="str">
            <v/>
          </cell>
          <cell r="I149">
            <v>2.2999999999999998</v>
          </cell>
          <cell r="J149">
            <v>2.2999999999999998</v>
          </cell>
          <cell r="K149">
            <v>2.2999999999999998</v>
          </cell>
          <cell r="M149">
            <v>3.6173665043484826</v>
          </cell>
          <cell r="N149">
            <v>3.5143658023826205</v>
          </cell>
          <cell r="O149">
            <v>2.7186948643507862</v>
          </cell>
          <cell r="P149">
            <v>3.6173665043484826</v>
          </cell>
          <cell r="Q149">
            <v>3.5143658023826205</v>
          </cell>
          <cell r="R149">
            <v>4.9111111111111114</v>
          </cell>
          <cell r="S149">
            <v>3.6173665043484826</v>
          </cell>
          <cell r="T149" t="str">
            <v>DEF</v>
          </cell>
          <cell r="U149" t="str">
            <v>CB</v>
          </cell>
          <cell r="V149" t="str">
            <v>MCI</v>
          </cell>
          <cell r="W149" t="str">
            <v>Man City</v>
          </cell>
          <cell r="X149">
            <v>5.5</v>
          </cell>
          <cell r="Y149">
            <v>67</v>
          </cell>
          <cell r="Z149">
            <v>8</v>
          </cell>
          <cell r="AA149">
            <v>59</v>
          </cell>
          <cell r="AB149">
            <v>1427</v>
          </cell>
          <cell r="AC149">
            <v>1427</v>
          </cell>
          <cell r="AD149">
            <v>0.58008658008658009</v>
          </cell>
          <cell r="AE149">
            <v>0</v>
          </cell>
          <cell r="AF149">
            <v>0</v>
          </cell>
          <cell r="AG149">
            <v>-4.0995094604064468E-2</v>
          </cell>
          <cell r="AH149">
            <v>-7.6313945339873859E-2</v>
          </cell>
          <cell r="AI149">
            <v>-0.11730903994393832</v>
          </cell>
          <cell r="AJ149">
            <v>2.200000000000002E-2</v>
          </cell>
          <cell r="AK149">
            <v>3</v>
          </cell>
          <cell r="AL149">
            <v>293</v>
          </cell>
          <cell r="AM149">
            <v>2</v>
          </cell>
          <cell r="AN149">
            <v>0</v>
          </cell>
          <cell r="AO149">
            <v>393</v>
          </cell>
          <cell r="AP149" t="str">
            <v>Khusanov</v>
          </cell>
          <cell r="AQ149">
            <v>5.7182901191310442</v>
          </cell>
          <cell r="AR149">
            <v>0</v>
          </cell>
          <cell r="AS149">
            <v>4.4674141555711282</v>
          </cell>
          <cell r="AT149">
            <v>7.3265592151366503</v>
          </cell>
          <cell r="AU149">
            <v>1.6082690960056061</v>
          </cell>
          <cell r="AV149">
            <v>7.3265592151366503</v>
          </cell>
          <cell r="AW149">
            <v>7.3265592151366503</v>
          </cell>
          <cell r="AX149">
            <v>0.20951366503153468</v>
          </cell>
          <cell r="AY149">
            <v>0</v>
          </cell>
          <cell r="AZ149">
            <v>3.2</v>
          </cell>
          <cell r="BA149">
            <v>67</v>
          </cell>
          <cell r="BB149" t="str">
            <v/>
          </cell>
          <cell r="BC149">
            <v>15</v>
          </cell>
          <cell r="BD149">
            <v>12</v>
          </cell>
          <cell r="BE149">
            <v>0.8</v>
          </cell>
          <cell r="BF149">
            <v>85</v>
          </cell>
          <cell r="BG149">
            <v>0.94444444444444442</v>
          </cell>
          <cell r="BH149">
            <v>1</v>
          </cell>
          <cell r="BI149">
            <v>6</v>
          </cell>
          <cell r="BJ149">
            <v>27</v>
          </cell>
          <cell r="BK149">
            <v>9</v>
          </cell>
          <cell r="BL149">
            <v>0.5</v>
          </cell>
          <cell r="BM149">
            <v>0.2</v>
          </cell>
          <cell r="BN149">
            <v>0.6588235294117647</v>
          </cell>
          <cell r="BO149">
            <v>38</v>
          </cell>
          <cell r="BP149">
            <v>0</v>
          </cell>
          <cell r="BQ149">
            <v>0.4172514619883041</v>
          </cell>
          <cell r="BR149">
            <v>0.65</v>
          </cell>
          <cell r="BS149">
            <v>4.0995094604064468E-2</v>
          </cell>
          <cell r="BT149">
            <v>1.21</v>
          </cell>
          <cell r="BU149">
            <v>7.6313945339873859E-2</v>
          </cell>
          <cell r="BV149">
            <v>0.11730903994393832</v>
          </cell>
          <cell r="BW149">
            <v>0</v>
          </cell>
          <cell r="BX149">
            <v>38</v>
          </cell>
          <cell r="BY149">
            <v>1.223421052631579</v>
          </cell>
          <cell r="BZ149">
            <v>1.4195789473684208</v>
          </cell>
        </row>
        <row r="150">
          <cell r="A150" t="str">
            <v>Francisco Evanilson de Lima Barbosa</v>
          </cell>
          <cell r="B150" t="str">
            <v/>
          </cell>
          <cell r="C150" t="str">
            <v>Evanilson</v>
          </cell>
          <cell r="D150" t="str">
            <v/>
          </cell>
          <cell r="F150" t="str">
            <v/>
          </cell>
          <cell r="H150" t="str">
            <v/>
          </cell>
          <cell r="I150">
            <v>4.0999999999999996</v>
          </cell>
          <cell r="J150">
            <v>4.0999999999999996</v>
          </cell>
          <cell r="K150">
            <v>4.0999999999999996</v>
          </cell>
          <cell r="M150">
            <v>3.6160729660707771</v>
          </cell>
          <cell r="N150">
            <v>3.3983947464429041</v>
          </cell>
          <cell r="O150">
            <v>4.0350337146168211</v>
          </cell>
          <cell r="P150">
            <v>3.6160729660707771</v>
          </cell>
          <cell r="Q150">
            <v>3.3983947464429041</v>
          </cell>
          <cell r="R150">
            <v>2.8235294117647065</v>
          </cell>
          <cell r="S150">
            <v>3.6160729660707771</v>
          </cell>
          <cell r="T150" t="str">
            <v>FWD</v>
          </cell>
          <cell r="U150" t="str">
            <v>CF</v>
          </cell>
          <cell r="V150" t="str">
            <v>BOU</v>
          </cell>
          <cell r="W150" t="str">
            <v>Bournemouth</v>
          </cell>
          <cell r="X150">
            <v>6</v>
          </cell>
          <cell r="Y150">
            <v>115</v>
          </cell>
          <cell r="Z150">
            <v>0</v>
          </cell>
          <cell r="AA150">
            <v>115</v>
          </cell>
          <cell r="AB150">
            <v>2741</v>
          </cell>
          <cell r="AC150">
            <v>2741</v>
          </cell>
          <cell r="AD150">
            <v>0.53240740740740744</v>
          </cell>
          <cell r="AE150">
            <v>6</v>
          </cell>
          <cell r="AF150">
            <v>7</v>
          </cell>
          <cell r="AG150">
            <v>-0.15235315578256112</v>
          </cell>
          <cell r="AH150">
            <v>0.18124771981028823</v>
          </cell>
          <cell r="AI150">
            <v>2.889456402772711E-2</v>
          </cell>
          <cell r="AJ150">
            <v>2.0000000000000018E-2</v>
          </cell>
          <cell r="AK150">
            <v>6</v>
          </cell>
          <cell r="AL150">
            <v>412</v>
          </cell>
          <cell r="AM150">
            <v>2</v>
          </cell>
          <cell r="AN150">
            <v>0</v>
          </cell>
          <cell r="AO150">
            <v>79</v>
          </cell>
          <cell r="AP150" t="str">
            <v>Evanilson</v>
          </cell>
          <cell r="AQ150">
            <v>1.2411528639182781</v>
          </cell>
          <cell r="AR150">
            <v>0</v>
          </cell>
          <cell r="AS150">
            <v>2.3641006931776727</v>
          </cell>
          <cell r="AT150">
            <v>3.9894199197373226</v>
          </cell>
          <cell r="AU150">
            <v>0.38416636264137177</v>
          </cell>
          <cell r="AV150">
            <v>3.9894199197373226</v>
          </cell>
          <cell r="AW150">
            <v>3.9894199197373226</v>
          </cell>
          <cell r="AX150">
            <v>3.0205607963725439E-2</v>
          </cell>
          <cell r="AY150">
            <v>0</v>
          </cell>
          <cell r="AZ150">
            <v>3.2</v>
          </cell>
          <cell r="BA150">
            <v>115</v>
          </cell>
          <cell r="BB150" t="str">
            <v/>
          </cell>
          <cell r="BC150">
            <v>32</v>
          </cell>
          <cell r="BD150">
            <v>9</v>
          </cell>
          <cell r="BE150">
            <v>0.28125</v>
          </cell>
          <cell r="BF150">
            <v>81</v>
          </cell>
          <cell r="BG150">
            <v>0.9</v>
          </cell>
          <cell r="BH150">
            <v>1</v>
          </cell>
          <cell r="BI150">
            <v>4</v>
          </cell>
          <cell r="BJ150">
            <v>36</v>
          </cell>
          <cell r="BK150">
            <v>0</v>
          </cell>
          <cell r="BL150">
            <v>0.88888888888888884</v>
          </cell>
          <cell r="BM150">
            <v>0.11111111111111116</v>
          </cell>
          <cell r="BN150">
            <v>0.93827160493827155</v>
          </cell>
          <cell r="BO150">
            <v>38</v>
          </cell>
          <cell r="BP150">
            <v>0</v>
          </cell>
          <cell r="BQ150">
            <v>0.80146198830409354</v>
          </cell>
          <cell r="BR150">
            <v>10.64</v>
          </cell>
          <cell r="BS150">
            <v>0.34936154688070048</v>
          </cell>
          <cell r="BT150">
            <v>1.48</v>
          </cell>
          <cell r="BU150">
            <v>4.8595403137541043E-2</v>
          </cell>
          <cell r="BV150">
            <v>0.3979569500182415</v>
          </cell>
          <cell r="BW150">
            <v>0</v>
          </cell>
          <cell r="BX150">
            <v>38</v>
          </cell>
          <cell r="BY150">
            <v>1.4939473684210527</v>
          </cell>
          <cell r="BZ150">
            <v>1.1490526315789471</v>
          </cell>
        </row>
        <row r="151">
          <cell r="A151" t="str">
            <v>Thierno Barry</v>
          </cell>
          <cell r="B151" t="str">
            <v/>
          </cell>
          <cell r="C151" t="str">
            <v>Barry</v>
          </cell>
          <cell r="D151" t="str">
            <v/>
          </cell>
          <cell r="F151" t="str">
            <v/>
          </cell>
          <cell r="H151" t="str">
            <v/>
          </cell>
          <cell r="I151" t="e">
            <v>#N/A</v>
          </cell>
          <cell r="J151" t="e">
            <v>#N/A</v>
          </cell>
          <cell r="K151" t="e">
            <v>#N/A</v>
          </cell>
          <cell r="M151">
            <v>3.6157154899894626</v>
          </cell>
          <cell r="N151">
            <v>3.8040042149631192</v>
          </cell>
          <cell r="O151">
            <v>4.76006504870948</v>
          </cell>
          <cell r="P151">
            <v>3.6157154899894626</v>
          </cell>
          <cell r="Q151">
            <v>3.8040042149631192</v>
          </cell>
          <cell r="R151">
            <v>5.4071146245059287</v>
          </cell>
          <cell r="S151">
            <v>3.6157154899894626</v>
          </cell>
          <cell r="T151" t="str">
            <v>FWD</v>
          </cell>
          <cell r="U151" t="str">
            <v>CF</v>
          </cell>
          <cell r="V151" t="str">
            <v>EVE</v>
          </cell>
          <cell r="W151" t="str">
            <v>Everton</v>
          </cell>
          <cell r="X151">
            <v>5.5</v>
          </cell>
          <cell r="Y151">
            <v>95</v>
          </cell>
          <cell r="Z151">
            <v>0</v>
          </cell>
          <cell r="AA151">
            <v>95</v>
          </cell>
          <cell r="AB151">
            <v>1898</v>
          </cell>
          <cell r="AC151">
            <v>1898</v>
          </cell>
          <cell r="AD151">
            <v>0.45454545454545453</v>
          </cell>
          <cell r="AE151">
            <v>8</v>
          </cell>
          <cell r="AF151">
            <v>0</v>
          </cell>
          <cell r="AG151">
            <v>-8.0611169652265446E-3</v>
          </cell>
          <cell r="AH151">
            <v>-2.0864067439409908E-2</v>
          </cell>
          <cell r="AI151">
            <v>-2.8925184404636428E-2</v>
          </cell>
          <cell r="AJ151">
            <v>1.0999999999999899E-2</v>
          </cell>
          <cell r="AK151">
            <v>9</v>
          </cell>
          <cell r="AL151">
            <v>295</v>
          </cell>
          <cell r="AM151">
            <v>3</v>
          </cell>
          <cell r="AN151">
            <v>0</v>
          </cell>
          <cell r="AO151">
            <v>249</v>
          </cell>
          <cell r="AP151" t="str">
            <v>Barry</v>
          </cell>
          <cell r="AQ151">
            <v>1.3614330874604847</v>
          </cell>
          <cell r="AR151">
            <v>0</v>
          </cell>
          <cell r="AS151">
            <v>1.3614330874604847</v>
          </cell>
          <cell r="AT151">
            <v>2.963119072708114</v>
          </cell>
          <cell r="AU151">
            <v>0.24025289778714437</v>
          </cell>
          <cell r="AV151">
            <v>2.963119072708114</v>
          </cell>
          <cell r="AW151">
            <v>2.963119072708114</v>
          </cell>
          <cell r="AX151">
            <v>2.243504440764715E-2</v>
          </cell>
          <cell r="AY151">
            <v>0</v>
          </cell>
          <cell r="AZ151">
            <v>2.5</v>
          </cell>
          <cell r="BA151">
            <v>95</v>
          </cell>
          <cell r="BB151" t="str">
            <v/>
          </cell>
          <cell r="BC151">
            <v>21</v>
          </cell>
          <cell r="BD151">
            <v>3</v>
          </cell>
          <cell r="BE151">
            <v>0.14285714285714285</v>
          </cell>
          <cell r="BF151">
            <v>76</v>
          </cell>
          <cell r="BG151">
            <v>0.84444444444444444</v>
          </cell>
          <cell r="BH151">
            <v>1</v>
          </cell>
          <cell r="BI151">
            <v>17</v>
          </cell>
          <cell r="BJ151">
            <v>19</v>
          </cell>
          <cell r="BK151">
            <v>0</v>
          </cell>
          <cell r="BL151">
            <v>0.55263157894736847</v>
          </cell>
          <cell r="BM151">
            <v>0.44736842105263153</v>
          </cell>
          <cell r="BN151">
            <v>0.66447368421052644</v>
          </cell>
          <cell r="BO151">
            <v>38</v>
          </cell>
          <cell r="BP151">
            <v>0</v>
          </cell>
          <cell r="BQ151">
            <v>0.55497076023391811</v>
          </cell>
          <cell r="BR151">
            <v>8.17</v>
          </cell>
          <cell r="BS151">
            <v>0.38740779768177025</v>
          </cell>
          <cell r="BT151">
            <v>0.44</v>
          </cell>
          <cell r="BU151">
            <v>2.0864067439409908E-2</v>
          </cell>
          <cell r="BV151">
            <v>0.40827186512118013</v>
          </cell>
          <cell r="BW151">
            <v>0</v>
          </cell>
          <cell r="BX151">
            <v>38</v>
          </cell>
          <cell r="BY151">
            <v>1.5786842105263159</v>
          </cell>
          <cell r="BZ151">
            <v>1.0643157894736839</v>
          </cell>
        </row>
        <row r="152">
          <cell r="A152" t="str">
            <v>Brenden Aaronson</v>
          </cell>
          <cell r="B152" t="str">
            <v/>
          </cell>
          <cell r="C152" t="str">
            <v>Aaronson</v>
          </cell>
          <cell r="D152" t="str">
            <v/>
          </cell>
          <cell r="F152" t="str">
            <v/>
          </cell>
          <cell r="H152" t="str">
            <v/>
          </cell>
          <cell r="I152" t="e">
            <v>#N/A</v>
          </cell>
          <cell r="J152" t="e">
            <v>#N/A</v>
          </cell>
          <cell r="K152" t="e">
            <v>#N/A</v>
          </cell>
          <cell r="M152">
            <v>3.611399186756862</v>
          </cell>
          <cell r="N152">
            <v>3.7100857492854229</v>
          </cell>
          <cell r="O152">
            <v>2.9338289758896403</v>
          </cell>
          <cell r="P152">
            <v>3.611399186756862</v>
          </cell>
          <cell r="Q152">
            <v>3.7100857492854229</v>
          </cell>
          <cell r="R152">
            <v>2.3753213367609254</v>
          </cell>
          <cell r="S152">
            <v>3.611399186756862</v>
          </cell>
          <cell r="T152" t="str">
            <v>MID</v>
          </cell>
          <cell r="U152" t="str">
            <v>AM</v>
          </cell>
          <cell r="V152" t="str">
            <v>LEE</v>
          </cell>
          <cell r="W152" t="str">
            <v>Leeds</v>
          </cell>
          <cell r="X152">
            <v>5.5</v>
          </cell>
          <cell r="Y152">
            <v>126.00000000000001</v>
          </cell>
          <cell r="Z152">
            <v>8</v>
          </cell>
          <cell r="AA152">
            <v>118.00000000000001</v>
          </cell>
          <cell r="AB152">
            <v>2449</v>
          </cell>
          <cell r="AC152">
            <v>2449</v>
          </cell>
          <cell r="AD152">
            <v>0.61916461916461918</v>
          </cell>
          <cell r="AE152">
            <v>4</v>
          </cell>
          <cell r="AF152">
            <v>8</v>
          </cell>
          <cell r="AG152">
            <v>-1.9477337688852597E-2</v>
          </cell>
          <cell r="AH152">
            <v>0.16169865251122909</v>
          </cell>
          <cell r="AI152">
            <v>0.14222131482237649</v>
          </cell>
          <cell r="AJ152">
            <v>6.9999999999998952E-3</v>
          </cell>
          <cell r="AK152">
            <v>5</v>
          </cell>
          <cell r="AL152">
            <v>446</v>
          </cell>
          <cell r="AM152">
            <v>3</v>
          </cell>
          <cell r="AN152">
            <v>0</v>
          </cell>
          <cell r="AO152">
            <v>337</v>
          </cell>
          <cell r="AP152" t="str">
            <v>Aaronson</v>
          </cell>
          <cell r="AQ152">
            <v>1.1318905675786035</v>
          </cell>
          <cell r="AR152">
            <v>0</v>
          </cell>
          <cell r="AS152">
            <v>4.0873826051449571</v>
          </cell>
          <cell r="AT152">
            <v>6.7913434054716211</v>
          </cell>
          <cell r="AU152">
            <v>1.5720702327480602</v>
          </cell>
          <cell r="AV152">
            <v>6.7913434054716211</v>
          </cell>
          <cell r="AW152">
            <v>6.7913434054716211</v>
          </cell>
          <cell r="AX152">
            <v>5.1420171498570845E-2</v>
          </cell>
          <cell r="AY152">
            <v>0</v>
          </cell>
          <cell r="AZ152">
            <v>3.4</v>
          </cell>
          <cell r="BA152">
            <v>126.00000000000001</v>
          </cell>
          <cell r="BB152" t="str">
            <v/>
          </cell>
          <cell r="BC152">
            <v>30</v>
          </cell>
          <cell r="BD152">
            <v>2</v>
          </cell>
          <cell r="BE152">
            <v>6.6666666666666666E-2</v>
          </cell>
          <cell r="BF152">
            <v>77</v>
          </cell>
          <cell r="BG152">
            <v>0.85555555555555551</v>
          </cell>
          <cell r="BH152">
            <v>1</v>
          </cell>
          <cell r="BI152">
            <v>7</v>
          </cell>
          <cell r="BJ152">
            <v>21</v>
          </cell>
          <cell r="BK152">
            <v>1</v>
          </cell>
          <cell r="BL152">
            <v>0.78947368421052633</v>
          </cell>
          <cell r="BM152">
            <v>0.18421052631578946</v>
          </cell>
          <cell r="BN152">
            <v>0.84688995215311014</v>
          </cell>
          <cell r="BO152">
            <v>38</v>
          </cell>
          <cell r="BP152">
            <v>0</v>
          </cell>
          <cell r="BQ152">
            <v>0.71608187134502921</v>
          </cell>
          <cell r="BR152">
            <v>4.53</v>
          </cell>
          <cell r="BS152">
            <v>0.16647611269906085</v>
          </cell>
          <cell r="BT152">
            <v>3.6</v>
          </cell>
          <cell r="BU152">
            <v>0.13229889750918741</v>
          </cell>
          <cell r="BV152">
            <v>0.29877501020824826</v>
          </cell>
          <cell r="BW152">
            <v>0</v>
          </cell>
          <cell r="BX152">
            <v>38</v>
          </cell>
          <cell r="BY152">
            <v>1.4823684210526316</v>
          </cell>
          <cell r="BZ152">
            <v>1.1606315789473682</v>
          </cell>
        </row>
        <row r="153">
          <cell r="A153" t="str">
            <v>Daniel Muñoz Mejía</v>
          </cell>
          <cell r="B153" t="str">
            <v/>
          </cell>
          <cell r="C153" t="str">
            <v>Muñoz</v>
          </cell>
          <cell r="D153" t="str">
            <v/>
          </cell>
          <cell r="E153" t="str">
            <v>Daniel Muñoz</v>
          </cell>
          <cell r="F153" t="str">
            <v/>
          </cell>
          <cell r="H153" t="str">
            <v/>
          </cell>
          <cell r="I153">
            <v>3.5</v>
          </cell>
          <cell r="J153">
            <v>3.65</v>
          </cell>
          <cell r="K153">
            <v>3.8</v>
          </cell>
          <cell r="M153">
            <v>3.604153903059784</v>
          </cell>
          <cell r="N153">
            <v>4.1500000000000004</v>
          </cell>
          <cell r="O153">
            <v>1.9069436037126719</v>
          </cell>
          <cell r="P153">
            <v>3.5320886826515387</v>
          </cell>
          <cell r="Q153">
            <v>4.1500000000000004</v>
          </cell>
          <cell r="R153">
            <v>3.595103578154426</v>
          </cell>
          <cell r="S153">
            <v>3.604153903059784</v>
          </cell>
          <cell r="T153" t="str">
            <v>DEF</v>
          </cell>
          <cell r="U153" t="str">
            <v>RB</v>
          </cell>
          <cell r="V153" t="str">
            <v>CRY</v>
          </cell>
          <cell r="W153" t="str">
            <v>Crystal Palace</v>
          </cell>
          <cell r="X153">
            <v>5.5</v>
          </cell>
          <cell r="Y153">
            <v>136</v>
          </cell>
          <cell r="Z153">
            <v>16</v>
          </cell>
          <cell r="AA153">
            <v>120</v>
          </cell>
          <cell r="AB153">
            <v>2400</v>
          </cell>
          <cell r="AC153">
            <v>2400</v>
          </cell>
          <cell r="AD153">
            <v>0.85266457680250773</v>
          </cell>
          <cell r="AE153">
            <v>4</v>
          </cell>
          <cell r="AF153">
            <v>4</v>
          </cell>
          <cell r="AG153">
            <v>5.812500000000001E-2</v>
          </cell>
          <cell r="AH153">
            <v>2.2500000000000298E-3</v>
          </cell>
          <cell r="AI153">
            <v>6.037500000000004E-2</v>
          </cell>
          <cell r="AJ153">
            <v>0.13600000000000012</v>
          </cell>
          <cell r="AK153">
            <v>9</v>
          </cell>
          <cell r="AL153">
            <v>469</v>
          </cell>
          <cell r="AM153">
            <v>7</v>
          </cell>
          <cell r="AN153">
            <v>0</v>
          </cell>
          <cell r="AO153">
            <v>201</v>
          </cell>
          <cell r="AP153" t="str">
            <v>Muñoz</v>
          </cell>
          <cell r="AQ153">
            <v>4.288333333333334</v>
          </cell>
          <cell r="AR153">
            <v>0</v>
          </cell>
          <cell r="AS153">
            <v>3.3545833333333333</v>
          </cell>
          <cell r="AT153">
            <v>6.7783333333333333</v>
          </cell>
          <cell r="AU153">
            <v>2.4899999999999998</v>
          </cell>
          <cell r="AV153">
            <v>6.7783333333333333</v>
          </cell>
          <cell r="AW153">
            <v>6.7783333333333333</v>
          </cell>
          <cell r="AX153">
            <v>0.15470500000000001</v>
          </cell>
          <cell r="AY153">
            <v>0</v>
          </cell>
          <cell r="AZ153">
            <v>4.7</v>
          </cell>
          <cell r="BA153">
            <v>136</v>
          </cell>
          <cell r="BB153" t="str">
            <v/>
          </cell>
          <cell r="BC153">
            <v>29</v>
          </cell>
          <cell r="BD153">
            <v>22</v>
          </cell>
          <cell r="BE153">
            <v>0.75862068965517238</v>
          </cell>
          <cell r="BF153">
            <v>83</v>
          </cell>
          <cell r="BG153">
            <v>0.92222222222222228</v>
          </cell>
          <cell r="BH153">
            <v>1</v>
          </cell>
          <cell r="BI153">
            <v>0</v>
          </cell>
          <cell r="BJ153">
            <v>0</v>
          </cell>
          <cell r="BK153">
            <v>0</v>
          </cell>
          <cell r="BL153">
            <v>1</v>
          </cell>
          <cell r="BM153">
            <v>0</v>
          </cell>
          <cell r="BN153">
            <v>1</v>
          </cell>
          <cell r="BO153">
            <v>38</v>
          </cell>
          <cell r="BP153">
            <v>0</v>
          </cell>
          <cell r="BQ153">
            <v>0.70175438596491224</v>
          </cell>
          <cell r="BR153">
            <v>2.4500000000000002</v>
          </cell>
          <cell r="BS153">
            <v>9.1875000000000012E-2</v>
          </cell>
          <cell r="BT153">
            <v>3.94</v>
          </cell>
          <cell r="BU153">
            <v>0.14774999999999999</v>
          </cell>
          <cell r="BV153">
            <v>0.239625</v>
          </cell>
          <cell r="BW153">
            <v>0</v>
          </cell>
          <cell r="BX153">
            <v>38</v>
          </cell>
          <cell r="BY153">
            <v>1.631578947368421</v>
          </cell>
          <cell r="BZ153">
            <v>1.0114210526315788</v>
          </cell>
        </row>
        <row r="154">
          <cell r="A154" t="str">
            <v>Leon Bailey</v>
          </cell>
          <cell r="B154" t="str">
            <v/>
          </cell>
          <cell r="C154" t="str">
            <v>Bailey</v>
          </cell>
          <cell r="D154" t="str">
            <v/>
          </cell>
          <cell r="F154" t="str">
            <v/>
          </cell>
          <cell r="H154" t="str">
            <v/>
          </cell>
          <cell r="I154">
            <v>2</v>
          </cell>
          <cell r="J154">
            <v>3.0666666666666664</v>
          </cell>
          <cell r="K154">
            <v>4.2</v>
          </cell>
          <cell r="M154">
            <v>3.6024812983880219</v>
          </cell>
          <cell r="N154">
            <v>3.3133333333333335</v>
          </cell>
          <cell r="O154">
            <v>3.2043601532567045</v>
          </cell>
          <cell r="P154">
            <v>3.6024812983880219</v>
          </cell>
          <cell r="Q154">
            <v>3.3133333333333335</v>
          </cell>
          <cell r="R154">
            <v>4.8965517241379306</v>
          </cell>
          <cell r="S154">
            <v>3.6024812983880219</v>
          </cell>
          <cell r="T154" t="str">
            <v>MID</v>
          </cell>
          <cell r="U154" t="str">
            <v>RW</v>
          </cell>
          <cell r="V154" t="str">
            <v>AVL</v>
          </cell>
          <cell r="W154" t="str">
            <v>Aston Villa</v>
          </cell>
          <cell r="X154">
            <v>5.5</v>
          </cell>
          <cell r="Y154">
            <v>21</v>
          </cell>
          <cell r="Z154">
            <v>0</v>
          </cell>
          <cell r="AA154">
            <v>21</v>
          </cell>
          <cell r="AB154">
            <v>450</v>
          </cell>
          <cell r="AC154">
            <v>450</v>
          </cell>
          <cell r="AD154">
            <v>0.2937062937062937</v>
          </cell>
          <cell r="AE154">
            <v>0</v>
          </cell>
          <cell r="AF154">
            <v>2</v>
          </cell>
          <cell r="AG154">
            <v>-0.1</v>
          </cell>
          <cell r="AH154">
            <v>0.10800000000000004</v>
          </cell>
          <cell r="AI154">
            <v>8.0000000000000071E-3</v>
          </cell>
          <cell r="AJ154">
            <v>9.9999999999988987E-4</v>
          </cell>
          <cell r="AK154">
            <v>0</v>
          </cell>
          <cell r="AL154">
            <v>69</v>
          </cell>
          <cell r="AM154">
            <v>1</v>
          </cell>
          <cell r="AN154">
            <v>0</v>
          </cell>
          <cell r="AO154">
            <v>44</v>
          </cell>
          <cell r="AP154" t="str">
            <v>Bailey</v>
          </cell>
          <cell r="AQ154">
            <v>1.1044444444444443</v>
          </cell>
          <cell r="AR154">
            <v>0</v>
          </cell>
          <cell r="AS154">
            <v>4.891111111111111</v>
          </cell>
          <cell r="AT154">
            <v>7.5733333333333341</v>
          </cell>
          <cell r="AU154">
            <v>1.5777777777777777</v>
          </cell>
          <cell r="AV154">
            <v>7.5733333333333341</v>
          </cell>
          <cell r="AW154">
            <v>7.5733333333333341</v>
          </cell>
          <cell r="AX154">
            <v>9.4280000000000058E-2</v>
          </cell>
          <cell r="AY154">
            <v>0</v>
          </cell>
          <cell r="AZ154">
            <v>1.6</v>
          </cell>
          <cell r="BA154">
            <v>21</v>
          </cell>
          <cell r="BB154" t="str">
            <v/>
          </cell>
          <cell r="BC154">
            <v>3</v>
          </cell>
          <cell r="BD154">
            <v>1</v>
          </cell>
          <cell r="BE154">
            <v>0.33333333333333331</v>
          </cell>
          <cell r="BF154">
            <v>71</v>
          </cell>
          <cell r="BG154">
            <v>0.78888888888888886</v>
          </cell>
          <cell r="BH154">
            <v>1</v>
          </cell>
          <cell r="BI154">
            <v>10</v>
          </cell>
          <cell r="BJ154">
            <v>25</v>
          </cell>
          <cell r="BK154">
            <v>3</v>
          </cell>
          <cell r="BL154">
            <v>0.1875</v>
          </cell>
          <cell r="BM154">
            <v>0.625</v>
          </cell>
          <cell r="BN154">
            <v>0.47359154929577463</v>
          </cell>
          <cell r="BO154">
            <v>38</v>
          </cell>
          <cell r="BP154">
            <v>0</v>
          </cell>
          <cell r="BQ154">
            <v>0.13157894736842105</v>
          </cell>
          <cell r="BR154">
            <v>0.5</v>
          </cell>
          <cell r="BS154">
            <v>0.1</v>
          </cell>
          <cell r="BT154">
            <v>1.46</v>
          </cell>
          <cell r="BU154">
            <v>0.29199999999999998</v>
          </cell>
          <cell r="BV154">
            <v>0.39200000000000002</v>
          </cell>
          <cell r="BW154">
            <v>0</v>
          </cell>
          <cell r="BX154">
            <v>38</v>
          </cell>
          <cell r="BY154">
            <v>1.4915789473684211</v>
          </cell>
          <cell r="BZ154">
            <v>1.1514210526315787</v>
          </cell>
        </row>
        <row r="155">
          <cell r="A155" t="str">
            <v>Virgil van Dijk</v>
          </cell>
          <cell r="B155" t="str">
            <v/>
          </cell>
          <cell r="C155" t="str">
            <v>Virgil</v>
          </cell>
          <cell r="D155" t="str">
            <v/>
          </cell>
          <cell r="F155" t="str">
            <v/>
          </cell>
          <cell r="H155" t="str">
            <v/>
          </cell>
          <cell r="I155">
            <v>3.2</v>
          </cell>
          <cell r="J155">
            <v>3.6999999999999997</v>
          </cell>
          <cell r="K155">
            <v>4</v>
          </cell>
          <cell r="M155">
            <v>3.5861330239865365</v>
          </cell>
          <cell r="N155">
            <v>3.763157894736842</v>
          </cell>
          <cell r="O155">
            <v>2.6817017543859651</v>
          </cell>
          <cell r="P155">
            <v>3.5861330239865365</v>
          </cell>
          <cell r="Q155">
            <v>3.763157894736842</v>
          </cell>
          <cell r="R155">
            <v>5.166666666666667</v>
          </cell>
          <cell r="S155">
            <v>3.5861330239865365</v>
          </cell>
          <cell r="T155" t="str">
            <v>DEF</v>
          </cell>
          <cell r="U155" t="str">
            <v>CB</v>
          </cell>
          <cell r="V155" t="str">
            <v>LIV</v>
          </cell>
          <cell r="W155" t="str">
            <v>Liverpool</v>
          </cell>
          <cell r="X155">
            <v>6.5</v>
          </cell>
          <cell r="Y155">
            <v>175</v>
          </cell>
          <cell r="Z155">
            <v>32</v>
          </cell>
          <cell r="AA155">
            <v>143</v>
          </cell>
          <cell r="AB155">
            <v>3420</v>
          </cell>
          <cell r="AC155">
            <v>3420</v>
          </cell>
          <cell r="AD155">
            <v>0.708502024291498</v>
          </cell>
          <cell r="AE155">
            <v>6</v>
          </cell>
          <cell r="AF155">
            <v>1</v>
          </cell>
          <cell r="AG155">
            <v>5.8684210526315783E-2</v>
          </cell>
          <cell r="AH155">
            <v>-1.1578947368421046E-2</v>
          </cell>
          <cell r="AI155">
            <v>4.7105263157894761E-2</v>
          </cell>
          <cell r="AJ155">
            <v>0.15300000000000002</v>
          </cell>
          <cell r="AK155">
            <v>10</v>
          </cell>
          <cell r="AL155">
            <v>593</v>
          </cell>
          <cell r="AM155">
            <v>4</v>
          </cell>
          <cell r="AN155">
            <v>0</v>
          </cell>
          <cell r="AO155">
            <v>356</v>
          </cell>
          <cell r="AP155" t="str">
            <v>Virgil</v>
          </cell>
          <cell r="AQ155">
            <v>8.6578947368421062</v>
          </cell>
          <cell r="AR155">
            <v>0</v>
          </cell>
          <cell r="AS155">
            <v>2.2894736842105261</v>
          </cell>
          <cell r="AT155">
            <v>9.2631578947368425</v>
          </cell>
          <cell r="AU155">
            <v>0.60526315789473684</v>
          </cell>
          <cell r="AV155">
            <v>9.2631578947368425</v>
          </cell>
          <cell r="AW155">
            <v>9.2631578947368425</v>
          </cell>
          <cell r="AX155">
            <v>0.44450000000000001</v>
          </cell>
          <cell r="AY155">
            <v>0</v>
          </cell>
          <cell r="AZ155">
            <v>4.5999999999999996</v>
          </cell>
          <cell r="BA155">
            <v>175</v>
          </cell>
          <cell r="BB155" t="str">
            <v/>
          </cell>
          <cell r="BC155">
            <v>38</v>
          </cell>
          <cell r="BD155">
            <v>38</v>
          </cell>
          <cell r="BE155">
            <v>1</v>
          </cell>
          <cell r="BF155">
            <v>90</v>
          </cell>
          <cell r="BG155">
            <v>1</v>
          </cell>
          <cell r="BH155">
            <v>1</v>
          </cell>
          <cell r="BI155">
            <v>0</v>
          </cell>
          <cell r="BJ155">
            <v>0</v>
          </cell>
          <cell r="BK155">
            <v>0</v>
          </cell>
          <cell r="BL155">
            <v>1</v>
          </cell>
          <cell r="BM155">
            <v>0</v>
          </cell>
          <cell r="BN155">
            <v>1</v>
          </cell>
          <cell r="BO155">
            <v>38</v>
          </cell>
          <cell r="BP155">
            <v>0</v>
          </cell>
          <cell r="BQ155">
            <v>1</v>
          </cell>
          <cell r="BR155">
            <v>3.77</v>
          </cell>
          <cell r="BS155">
            <v>9.9210526315789471E-2</v>
          </cell>
          <cell r="BT155">
            <v>1.44</v>
          </cell>
          <cell r="BU155">
            <v>3.7894736842105259E-2</v>
          </cell>
          <cell r="BV155">
            <v>0.13710526315789473</v>
          </cell>
          <cell r="BW155">
            <v>0</v>
          </cell>
          <cell r="BX155">
            <v>38</v>
          </cell>
          <cell r="BY155">
            <v>1.4176315789473684</v>
          </cell>
          <cell r="BZ155">
            <v>1.2253684210526314</v>
          </cell>
        </row>
        <row r="156">
          <cell r="A156" t="str">
            <v>Cristhian Mosquera</v>
          </cell>
          <cell r="B156" t="str">
            <v/>
          </cell>
          <cell r="C156" t="str">
            <v>Mosquera</v>
          </cell>
          <cell r="D156" t="str">
            <v/>
          </cell>
          <cell r="F156" t="str">
            <v/>
          </cell>
          <cell r="H156" t="str">
            <v/>
          </cell>
          <cell r="I156" t="e">
            <v>#N/A</v>
          </cell>
          <cell r="J156" t="e">
            <v>#N/A</v>
          </cell>
          <cell r="K156" t="e">
            <v>#N/A</v>
          </cell>
          <cell r="M156">
            <v>3.5820997337262979</v>
          </cell>
          <cell r="N156">
            <v>2.7383367139959431</v>
          </cell>
          <cell r="O156">
            <v>1.8928411421097548</v>
          </cell>
          <cell r="P156">
            <v>3.5820997337262979</v>
          </cell>
          <cell r="Q156">
            <v>2.7383367139959431</v>
          </cell>
          <cell r="R156">
            <v>2.7049180327868854</v>
          </cell>
          <cell r="S156">
            <v>3.5820997337262979</v>
          </cell>
          <cell r="T156" t="str">
            <v>DEF</v>
          </cell>
          <cell r="U156" t="str">
            <v>CB</v>
          </cell>
          <cell r="V156" t="str">
            <v>ARS</v>
          </cell>
          <cell r="W156" t="str">
            <v>Arsenal</v>
          </cell>
          <cell r="X156">
            <v>5.5</v>
          </cell>
          <cell r="Y156">
            <v>40</v>
          </cell>
          <cell r="Z156">
            <v>4</v>
          </cell>
          <cell r="AA156">
            <v>36</v>
          </cell>
          <cell r="AB156">
            <v>986</v>
          </cell>
          <cell r="AC156">
            <v>986</v>
          </cell>
          <cell r="AD156">
            <v>0.36363636363636365</v>
          </cell>
          <cell r="AE156">
            <v>0</v>
          </cell>
          <cell r="AF156">
            <v>0</v>
          </cell>
          <cell r="AG156">
            <v>-9.1277890466531456E-3</v>
          </cell>
          <cell r="AH156">
            <v>-5.750507099391481E-2</v>
          </cell>
          <cell r="AI156">
            <v>-6.6632860040567954E-2</v>
          </cell>
          <cell r="AJ156">
            <v>0.14900000000000002</v>
          </cell>
          <cell r="AK156">
            <v>1</v>
          </cell>
          <cell r="AL156">
            <v>195</v>
          </cell>
          <cell r="AM156">
            <v>4</v>
          </cell>
          <cell r="AN156">
            <v>0</v>
          </cell>
          <cell r="AO156">
            <v>11</v>
          </cell>
          <cell r="AP156" t="str">
            <v>Mosquera</v>
          </cell>
          <cell r="AQ156">
            <v>4.7920892494929017</v>
          </cell>
          <cell r="AR156">
            <v>0</v>
          </cell>
          <cell r="AS156">
            <v>2.6622718052738339</v>
          </cell>
          <cell r="AT156">
            <v>7.2261663286004065</v>
          </cell>
          <cell r="AU156">
            <v>2.4340770791075053</v>
          </cell>
          <cell r="AV156">
            <v>7.2261663286004065</v>
          </cell>
          <cell r="AW156">
            <v>7.2261663286004065</v>
          </cell>
          <cell r="AX156">
            <v>0.19736612576064921</v>
          </cell>
          <cell r="AY156">
            <v>0</v>
          </cell>
          <cell r="AZ156">
            <v>2</v>
          </cell>
          <cell r="BA156">
            <v>40</v>
          </cell>
          <cell r="BB156" t="str">
            <v/>
          </cell>
          <cell r="BC156">
            <v>9</v>
          </cell>
          <cell r="BD156">
            <v>5</v>
          </cell>
          <cell r="BE156">
            <v>0.55555555555555558</v>
          </cell>
          <cell r="BF156">
            <v>75</v>
          </cell>
          <cell r="BG156">
            <v>0.83333333333333337</v>
          </cell>
          <cell r="BH156">
            <v>1</v>
          </cell>
          <cell r="BI156">
            <v>11</v>
          </cell>
          <cell r="BJ156">
            <v>29</v>
          </cell>
          <cell r="BK156">
            <v>11</v>
          </cell>
          <cell r="BL156">
            <v>0.29032258064516131</v>
          </cell>
          <cell r="BM156">
            <v>0.35483870967741937</v>
          </cell>
          <cell r="BN156">
            <v>0.564731182795699</v>
          </cell>
          <cell r="BO156">
            <v>38</v>
          </cell>
          <cell r="BP156">
            <v>0</v>
          </cell>
          <cell r="BQ156">
            <v>0.28830409356725145</v>
          </cell>
          <cell r="BR156">
            <v>0.1</v>
          </cell>
          <cell r="BS156">
            <v>9.1277890466531456E-3</v>
          </cell>
          <cell r="BT156">
            <v>0.63</v>
          </cell>
          <cell r="BU156">
            <v>5.750507099391481E-2</v>
          </cell>
          <cell r="BV156">
            <v>6.6632860040567954E-2</v>
          </cell>
          <cell r="BW156">
            <v>0</v>
          </cell>
          <cell r="BX156">
            <v>38</v>
          </cell>
          <cell r="BY156">
            <v>0.87184210526315797</v>
          </cell>
          <cell r="BZ156">
            <v>1.7711578947368418</v>
          </cell>
        </row>
        <row r="157">
          <cell r="A157" t="str">
            <v>Alexander Isak</v>
          </cell>
          <cell r="B157" t="str">
            <v/>
          </cell>
          <cell r="C157" t="str">
            <v>Isak</v>
          </cell>
          <cell r="D157" t="str">
            <v/>
          </cell>
          <cell r="F157" t="str">
            <v/>
          </cell>
          <cell r="H157" t="str">
            <v/>
          </cell>
          <cell r="I157">
            <v>4.5</v>
          </cell>
          <cell r="J157">
            <v>5.4666666666666659</v>
          </cell>
          <cell r="K157">
            <v>6.2</v>
          </cell>
          <cell r="M157">
            <v>3.5814178674351584</v>
          </cell>
          <cell r="N157">
            <v>4.3717579250720462</v>
          </cell>
          <cell r="O157">
            <v>3.4055035855505658</v>
          </cell>
          <cell r="P157">
            <v>3.5814178674351584</v>
          </cell>
          <cell r="Q157">
            <v>4.3717579250720462</v>
          </cell>
          <cell r="R157">
            <v>4.7325581395348841</v>
          </cell>
          <cell r="S157">
            <v>3.5814178674351584</v>
          </cell>
          <cell r="T157" t="str">
            <v>FWD</v>
          </cell>
          <cell r="U157" t="str">
            <v>CF</v>
          </cell>
          <cell r="V157" t="str">
            <v>LIV</v>
          </cell>
          <cell r="W157" t="str">
            <v>Liverpool</v>
          </cell>
          <cell r="X157">
            <v>9</v>
          </cell>
          <cell r="Y157">
            <v>41</v>
          </cell>
          <cell r="Z157">
            <v>0</v>
          </cell>
          <cell r="AA157">
            <v>41</v>
          </cell>
          <cell r="AB157">
            <v>694</v>
          </cell>
          <cell r="AC157">
            <v>694</v>
          </cell>
          <cell r="AD157">
            <v>0.32539682539682535</v>
          </cell>
          <cell r="AE157">
            <v>3</v>
          </cell>
          <cell r="AF157">
            <v>1</v>
          </cell>
          <cell r="AG157">
            <v>5.3170028818443849E-2</v>
          </cell>
          <cell r="AH157">
            <v>0.11930835734870317</v>
          </cell>
          <cell r="AI157">
            <v>0.17247838616714695</v>
          </cell>
          <cell r="AJ157">
            <v>0.13100000000000001</v>
          </cell>
          <cell r="AK157">
            <v>4</v>
          </cell>
          <cell r="AL157">
            <v>140</v>
          </cell>
          <cell r="AM157">
            <v>0</v>
          </cell>
          <cell r="AN157">
            <v>0</v>
          </cell>
          <cell r="AO157">
            <v>379</v>
          </cell>
          <cell r="AP157" t="str">
            <v>Isak</v>
          </cell>
          <cell r="AQ157">
            <v>1.0662824207492794</v>
          </cell>
          <cell r="AR157">
            <v>0</v>
          </cell>
          <cell r="AS157">
            <v>1.3861671469740633</v>
          </cell>
          <cell r="AT157">
            <v>3.1988472622478388</v>
          </cell>
          <cell r="AU157">
            <v>0.74639769452449567</v>
          </cell>
          <cell r="AV157">
            <v>3.1988472622478388</v>
          </cell>
          <cell r="AW157">
            <v>3.1988472622478388</v>
          </cell>
          <cell r="AX157">
            <v>2.4219843557019349E-2</v>
          </cell>
          <cell r="AY157">
            <v>0</v>
          </cell>
          <cell r="AZ157">
            <v>2.9</v>
          </cell>
          <cell r="BA157">
            <v>41</v>
          </cell>
          <cell r="BB157" t="str">
            <v/>
          </cell>
          <cell r="BC157">
            <v>8</v>
          </cell>
          <cell r="BD157">
            <v>0</v>
          </cell>
          <cell r="BE157">
            <v>0</v>
          </cell>
          <cell r="BF157">
            <v>74</v>
          </cell>
          <cell r="BG157">
            <v>0.82222222222222219</v>
          </cell>
          <cell r="BH157">
            <v>1</v>
          </cell>
          <cell r="BI157">
            <v>6</v>
          </cell>
          <cell r="BJ157">
            <v>17</v>
          </cell>
          <cell r="BK157">
            <v>2</v>
          </cell>
          <cell r="BL157">
            <v>0.5</v>
          </cell>
          <cell r="BM157">
            <v>0.375</v>
          </cell>
          <cell r="BN157">
            <v>0.61486486486486491</v>
          </cell>
          <cell r="BO157">
            <v>38</v>
          </cell>
          <cell r="BP157">
            <v>0</v>
          </cell>
          <cell r="BQ157">
            <v>0.20292397660818715</v>
          </cell>
          <cell r="BR157">
            <v>2.59</v>
          </cell>
          <cell r="BS157">
            <v>0.33587896253602306</v>
          </cell>
          <cell r="BT157">
            <v>0.08</v>
          </cell>
          <cell r="BU157">
            <v>1.0374639769452449E-2</v>
          </cell>
          <cell r="BV157">
            <v>0.34625360230547553</v>
          </cell>
          <cell r="BW157">
            <v>0</v>
          </cell>
          <cell r="BX157">
            <v>38</v>
          </cell>
          <cell r="BY157">
            <v>1.4176315789473684</v>
          </cell>
          <cell r="BZ157">
            <v>1.2253684210526314</v>
          </cell>
        </row>
        <row r="158">
          <cell r="A158" t="str">
            <v>Matheus Nunes</v>
          </cell>
          <cell r="B158" t="str">
            <v/>
          </cell>
          <cell r="C158" t="str">
            <v>Matheus N.</v>
          </cell>
          <cell r="D158" t="str">
            <v/>
          </cell>
          <cell r="E158" t="str">
            <v>Nunes</v>
          </cell>
          <cell r="F158" t="str">
            <v/>
          </cell>
          <cell r="G158" t="str">
            <v>Matheus Nunes</v>
          </cell>
          <cell r="H158" t="str">
            <v/>
          </cell>
          <cell r="I158">
            <v>1.7</v>
          </cell>
          <cell r="J158">
            <v>2.4</v>
          </cell>
          <cell r="K158">
            <v>3.1</v>
          </cell>
          <cell r="M158">
            <v>3.5811955897433267</v>
          </cell>
          <cell r="N158">
            <v>4.3788885005242921</v>
          </cell>
          <cell r="O158">
            <v>1.9994603226472663</v>
          </cell>
          <cell r="P158">
            <v>3.5811955897433267</v>
          </cell>
          <cell r="Q158">
            <v>4.3788885005242921</v>
          </cell>
          <cell r="R158">
            <v>3.4319526627218933</v>
          </cell>
          <cell r="S158">
            <v>3.5811955897433267</v>
          </cell>
          <cell r="T158" t="str">
            <v>DEF</v>
          </cell>
          <cell r="U158" t="str">
            <v>RB</v>
          </cell>
          <cell r="V158" t="str">
            <v>MCI</v>
          </cell>
          <cell r="W158" t="str">
            <v>Man City</v>
          </cell>
          <cell r="X158">
            <v>6</v>
          </cell>
          <cell r="Y158">
            <v>154</v>
          </cell>
          <cell r="Z158">
            <v>10</v>
          </cell>
          <cell r="AA158">
            <v>144</v>
          </cell>
          <cell r="AB158">
            <v>2861</v>
          </cell>
          <cell r="AC158">
            <v>2861</v>
          </cell>
          <cell r="AD158">
            <v>0.75490196078431371</v>
          </cell>
          <cell r="AE158">
            <v>1</v>
          </cell>
          <cell r="AF158">
            <v>8</v>
          </cell>
          <cell r="AG158">
            <v>2.0761971338692762E-2</v>
          </cell>
          <cell r="AH158">
            <v>0.18150996155190491</v>
          </cell>
          <cell r="AI158">
            <v>0.20227193289059769</v>
          </cell>
          <cell r="AJ158">
            <v>6.6999999999999948E-2</v>
          </cell>
          <cell r="AK158">
            <v>16</v>
          </cell>
          <cell r="AL158">
            <v>676</v>
          </cell>
          <cell r="AM158">
            <v>5</v>
          </cell>
          <cell r="AN158">
            <v>0</v>
          </cell>
          <cell r="AO158">
            <v>389</v>
          </cell>
          <cell r="AP158" t="str">
            <v>Matheus N.</v>
          </cell>
          <cell r="AQ158">
            <v>4.1964348130024476</v>
          </cell>
          <cell r="AR158">
            <v>0</v>
          </cell>
          <cell r="AS158">
            <v>5.0478853547710587</v>
          </cell>
          <cell r="AT158">
            <v>5.9297448444599787</v>
          </cell>
          <cell r="AU158">
            <v>1.7333100314575323</v>
          </cell>
          <cell r="AV158">
            <v>5.9297448444599787</v>
          </cell>
          <cell r="AW158">
            <v>5.9297448444599787</v>
          </cell>
          <cell r="AX158">
            <v>9.6152394267738542E-2</v>
          </cell>
          <cell r="AY158">
            <v>0</v>
          </cell>
          <cell r="AZ158">
            <v>4.5</v>
          </cell>
          <cell r="BA158">
            <v>154</v>
          </cell>
          <cell r="BB158" t="str">
            <v/>
          </cell>
          <cell r="BC158">
            <v>32</v>
          </cell>
          <cell r="BD158">
            <v>28</v>
          </cell>
          <cell r="BE158">
            <v>0.875</v>
          </cell>
          <cell r="BF158">
            <v>87</v>
          </cell>
          <cell r="BG158">
            <v>0.96666666666666667</v>
          </cell>
          <cell r="BH158">
            <v>1</v>
          </cell>
          <cell r="BI158">
            <v>2</v>
          </cell>
          <cell r="BJ158">
            <v>35</v>
          </cell>
          <cell r="BK158">
            <v>3</v>
          </cell>
          <cell r="BL158">
            <v>0.86486486486486491</v>
          </cell>
          <cell r="BM158">
            <v>5.4054054054054043E-2</v>
          </cell>
          <cell r="BN158">
            <v>0.91922957440198816</v>
          </cell>
          <cell r="BO158">
            <v>38</v>
          </cell>
          <cell r="BP158">
            <v>0</v>
          </cell>
          <cell r="BQ158">
            <v>0.83654970760233915</v>
          </cell>
          <cell r="BR158">
            <v>0.34</v>
          </cell>
          <cell r="BS158">
            <v>1.0695560992659909E-2</v>
          </cell>
          <cell r="BT158">
            <v>2.23</v>
          </cell>
          <cell r="BU158">
            <v>7.0150297098916459E-2</v>
          </cell>
          <cell r="BV158">
            <v>8.0845858091576364E-2</v>
          </cell>
          <cell r="BW158">
            <v>0</v>
          </cell>
          <cell r="BX158">
            <v>38</v>
          </cell>
          <cell r="BY158">
            <v>1.223421052631579</v>
          </cell>
          <cell r="BZ158">
            <v>1.4195789473684208</v>
          </cell>
        </row>
        <row r="159">
          <cell r="A159" t="str">
            <v>Alex Iwobi</v>
          </cell>
          <cell r="B159" t="str">
            <v/>
          </cell>
          <cell r="C159" t="str">
            <v>Iwobi</v>
          </cell>
          <cell r="D159" t="str">
            <v/>
          </cell>
          <cell r="F159" t="str">
            <v/>
          </cell>
          <cell r="H159" t="str">
            <v/>
          </cell>
          <cell r="I159">
            <v>3.2</v>
          </cell>
          <cell r="J159">
            <v>3.5333333333333332</v>
          </cell>
          <cell r="K159">
            <v>4.0999999999999996</v>
          </cell>
          <cell r="M159">
            <v>3.5679136999032193</v>
          </cell>
          <cell r="N159">
            <v>3.4640495867768601</v>
          </cell>
          <cell r="O159">
            <v>4.0548393021120299</v>
          </cell>
          <cell r="P159">
            <v>3.5491127833491638</v>
          </cell>
          <cell r="Q159">
            <v>3.4640495867768601</v>
          </cell>
          <cell r="R159">
            <v>2.5151515151515156</v>
          </cell>
          <cell r="S159">
            <v>3.5679136999032193</v>
          </cell>
          <cell r="T159" t="str">
            <v>MID</v>
          </cell>
          <cell r="U159" t="str">
            <v>LW</v>
          </cell>
          <cell r="V159" t="str">
            <v>FUL</v>
          </cell>
          <cell r="W159" t="str">
            <v>Fulham</v>
          </cell>
          <cell r="X159">
            <v>5.5</v>
          </cell>
          <cell r="Y159">
            <v>103</v>
          </cell>
          <cell r="Z159">
            <v>2</v>
          </cell>
          <cell r="AA159">
            <v>101</v>
          </cell>
          <cell r="AB159">
            <v>2420</v>
          </cell>
          <cell r="AC159">
            <v>2420</v>
          </cell>
          <cell r="AD159">
            <v>0.64576802507836994</v>
          </cell>
          <cell r="AE159">
            <v>4</v>
          </cell>
          <cell r="AF159">
            <v>3</v>
          </cell>
          <cell r="AG159">
            <v>7.7727272727272728E-2</v>
          </cell>
          <cell r="AH159">
            <v>-6.3223140495867761E-2</v>
          </cell>
          <cell r="AI159">
            <v>1.4504132231404926E-2</v>
          </cell>
          <cell r="AJ159">
            <v>8.999999999999897E-3</v>
          </cell>
          <cell r="AK159">
            <v>13</v>
          </cell>
          <cell r="AL159">
            <v>508</v>
          </cell>
          <cell r="AM159">
            <v>3</v>
          </cell>
          <cell r="AN159">
            <v>0</v>
          </cell>
          <cell r="AO159">
            <v>261</v>
          </cell>
          <cell r="AP159" t="str">
            <v>Iwobi</v>
          </cell>
          <cell r="AQ159">
            <v>1.200413223140496</v>
          </cell>
          <cell r="AR159">
            <v>0</v>
          </cell>
          <cell r="AS159">
            <v>4.3214876033057861</v>
          </cell>
          <cell r="AT159">
            <v>6.4479338842975213</v>
          </cell>
          <cell r="AU159">
            <v>0.92603305785123957</v>
          </cell>
          <cell r="AV159">
            <v>6.4479338842975213</v>
          </cell>
          <cell r="AW159">
            <v>6.4479338842975213</v>
          </cell>
          <cell r="AX159">
            <v>4.8820070838252662E-2</v>
          </cell>
          <cell r="AY159">
            <v>0</v>
          </cell>
          <cell r="AZ159">
            <v>3.6</v>
          </cell>
          <cell r="BA159">
            <v>103</v>
          </cell>
          <cell r="BB159" t="str">
            <v/>
          </cell>
          <cell r="BC159">
            <v>29</v>
          </cell>
          <cell r="BD159">
            <v>12</v>
          </cell>
          <cell r="BE159">
            <v>0.41379310344827586</v>
          </cell>
          <cell r="BF159">
            <v>83</v>
          </cell>
          <cell r="BG159">
            <v>0.92222222222222228</v>
          </cell>
          <cell r="BH159">
            <v>1</v>
          </cell>
          <cell r="BI159">
            <v>0</v>
          </cell>
          <cell r="BJ159">
            <v>0</v>
          </cell>
          <cell r="BK159">
            <v>0</v>
          </cell>
          <cell r="BL159">
            <v>1</v>
          </cell>
          <cell r="BM159">
            <v>0</v>
          </cell>
          <cell r="BN159">
            <v>1</v>
          </cell>
          <cell r="BO159">
            <v>38</v>
          </cell>
          <cell r="BP159">
            <v>0</v>
          </cell>
          <cell r="BQ159">
            <v>0.70760233918128657</v>
          </cell>
          <cell r="BR159">
            <v>1.91</v>
          </cell>
          <cell r="BS159">
            <v>7.1033057851239673E-2</v>
          </cell>
          <cell r="BT159">
            <v>4.7</v>
          </cell>
          <cell r="BU159">
            <v>0.17479338842975206</v>
          </cell>
          <cell r="BV159">
            <v>0.24582644628099173</v>
          </cell>
          <cell r="BW159">
            <v>0</v>
          </cell>
          <cell r="BX159">
            <v>38</v>
          </cell>
          <cell r="BY159">
            <v>1.6842105263157894</v>
          </cell>
          <cell r="BZ159">
            <v>0.95878947368421041</v>
          </cell>
        </row>
        <row r="160">
          <cell r="A160" t="str">
            <v>Georginio Rutter</v>
          </cell>
          <cell r="B160" t="str">
            <v/>
          </cell>
          <cell r="C160" t="str">
            <v>Georginio</v>
          </cell>
          <cell r="D160" t="str">
            <v/>
          </cell>
          <cell r="F160" t="str">
            <v/>
          </cell>
          <cell r="H160" t="str">
            <v/>
          </cell>
          <cell r="I160">
            <v>3.4</v>
          </cell>
          <cell r="J160">
            <v>3.4</v>
          </cell>
          <cell r="K160">
            <v>3.4</v>
          </cell>
          <cell r="M160">
            <v>3.5593078478545399</v>
          </cell>
          <cell r="N160">
            <v>3.7331081081081083</v>
          </cell>
          <cell r="O160">
            <v>4.7194269269269267</v>
          </cell>
          <cell r="P160">
            <v>3.1541891891891893</v>
          </cell>
          <cell r="Q160">
            <v>3.7331081081081083</v>
          </cell>
          <cell r="R160">
            <v>7.7037037037037042</v>
          </cell>
          <cell r="S160">
            <v>3.5593078478545399</v>
          </cell>
          <cell r="T160" t="str">
            <v>FWD</v>
          </cell>
          <cell r="U160" t="str">
            <v>CF</v>
          </cell>
          <cell r="V160" t="str">
            <v>BHA</v>
          </cell>
          <cell r="W160" t="str">
            <v>Brighton</v>
          </cell>
          <cell r="X160">
            <v>5.5</v>
          </cell>
          <cell r="Y160">
            <v>87</v>
          </cell>
          <cell r="Z160">
            <v>2</v>
          </cell>
          <cell r="AA160">
            <v>85</v>
          </cell>
          <cell r="AB160">
            <v>1776</v>
          </cell>
          <cell r="AC160">
            <v>1776</v>
          </cell>
          <cell r="AD160">
            <v>0.49431818181818182</v>
          </cell>
          <cell r="AE160">
            <v>3</v>
          </cell>
          <cell r="AF160">
            <v>5</v>
          </cell>
          <cell r="AG160">
            <v>5.0675675675675713E-3</v>
          </cell>
          <cell r="AH160">
            <v>0.10641891891891889</v>
          </cell>
          <cell r="AI160">
            <v>0.11148648648648651</v>
          </cell>
          <cell r="AJ160">
            <v>8.999999999999897E-3</v>
          </cell>
          <cell r="AK160">
            <v>2</v>
          </cell>
          <cell r="AL160">
            <v>290</v>
          </cell>
          <cell r="AM160">
            <v>2</v>
          </cell>
          <cell r="AN160">
            <v>0</v>
          </cell>
          <cell r="AO160">
            <v>125</v>
          </cell>
          <cell r="AP160" t="str">
            <v>Georginio</v>
          </cell>
          <cell r="AQ160">
            <v>1.6689189189189189</v>
          </cell>
          <cell r="AR160">
            <v>0</v>
          </cell>
          <cell r="AS160">
            <v>2.6790540540540544</v>
          </cell>
          <cell r="AT160">
            <v>5.7533783783783781</v>
          </cell>
          <cell r="AU160">
            <v>1.4054054054054055</v>
          </cell>
          <cell r="AV160">
            <v>5.7533783783783781</v>
          </cell>
          <cell r="AW160">
            <v>5.7533783783783781</v>
          </cell>
          <cell r="AX160">
            <v>4.3561293436293433E-2</v>
          </cell>
          <cell r="AY160">
            <v>0</v>
          </cell>
          <cell r="AZ160">
            <v>2.7</v>
          </cell>
          <cell r="BA160">
            <v>87</v>
          </cell>
          <cell r="BB160" t="str">
            <v/>
          </cell>
          <cell r="BC160">
            <v>20</v>
          </cell>
          <cell r="BD160">
            <v>4</v>
          </cell>
          <cell r="BE160">
            <v>0.2</v>
          </cell>
          <cell r="BF160">
            <v>78</v>
          </cell>
          <cell r="BG160">
            <v>0.8666666666666667</v>
          </cell>
          <cell r="BH160">
            <v>1</v>
          </cell>
          <cell r="BI160">
            <v>12</v>
          </cell>
          <cell r="BJ160">
            <v>19</v>
          </cell>
          <cell r="BK160">
            <v>4</v>
          </cell>
          <cell r="BL160">
            <v>0.55555555555555558</v>
          </cell>
          <cell r="BM160">
            <v>0.33333333333333331</v>
          </cell>
          <cell r="BN160">
            <v>0.66381766381766383</v>
          </cell>
          <cell r="BO160">
            <v>38</v>
          </cell>
          <cell r="BP160">
            <v>0</v>
          </cell>
          <cell r="BQ160">
            <v>0.51929824561403504</v>
          </cell>
          <cell r="BR160">
            <v>2.9</v>
          </cell>
          <cell r="BS160">
            <v>0.14695945945945946</v>
          </cell>
          <cell r="BT160">
            <v>2.9</v>
          </cell>
          <cell r="BU160">
            <v>0.14695945945945946</v>
          </cell>
          <cell r="BV160">
            <v>0.29391891891891891</v>
          </cell>
          <cell r="BW160">
            <v>0</v>
          </cell>
          <cell r="BX160">
            <v>38</v>
          </cell>
          <cell r="BY160">
            <v>1.4144736842105263</v>
          </cell>
          <cell r="BZ160">
            <v>1.2285263157894735</v>
          </cell>
        </row>
        <row r="161">
          <cell r="A161" t="str">
            <v>Gabriel Fernando de Jesus</v>
          </cell>
          <cell r="B161" t="str">
            <v/>
          </cell>
          <cell r="C161" t="str">
            <v>G.Jesus</v>
          </cell>
          <cell r="D161" t="str">
            <v/>
          </cell>
          <cell r="E161" t="str">
            <v>Gabriel Jesus</v>
          </cell>
          <cell r="F161" t="str">
            <v/>
          </cell>
          <cell r="H161" t="str">
            <v/>
          </cell>
          <cell r="I161">
            <v>2.5</v>
          </cell>
          <cell r="J161">
            <v>2.8</v>
          </cell>
          <cell r="K161">
            <v>3.1</v>
          </cell>
          <cell r="M161">
            <v>3.5442966507177038</v>
          </cell>
          <cell r="N161">
            <v>3.6172248803827749</v>
          </cell>
          <cell r="O161">
            <v>4.0429130143540668</v>
          </cell>
          <cell r="P161">
            <v>3.5442966507177038</v>
          </cell>
          <cell r="Q161">
            <v>3.6172248803827749</v>
          </cell>
          <cell r="R161">
            <v>3.7799999999999994</v>
          </cell>
          <cell r="S161">
            <v>3.5442966507177038</v>
          </cell>
          <cell r="T161" t="str">
            <v>FWD</v>
          </cell>
          <cell r="U161" t="str">
            <v>CF</v>
          </cell>
          <cell r="V161" t="str">
            <v>ARS</v>
          </cell>
          <cell r="W161" t="str">
            <v>Arsenal</v>
          </cell>
          <cell r="X161">
            <v>6</v>
          </cell>
          <cell r="Y161">
            <v>24</v>
          </cell>
          <cell r="Z161">
            <v>0</v>
          </cell>
          <cell r="AA161">
            <v>24</v>
          </cell>
          <cell r="AB161">
            <v>418</v>
          </cell>
          <cell r="AC161">
            <v>418</v>
          </cell>
          <cell r="AD161">
            <v>0.2857142857142857</v>
          </cell>
          <cell r="AE161">
            <v>3</v>
          </cell>
          <cell r="AF161">
            <v>0</v>
          </cell>
          <cell r="AG161">
            <v>6.2440191387559851E-2</v>
          </cell>
          <cell r="AH161">
            <v>-5.5980861244019145E-2</v>
          </cell>
          <cell r="AI161">
            <v>6.4593301435407202E-3</v>
          </cell>
          <cell r="AJ161">
            <v>2.9999999999998916E-3</v>
          </cell>
          <cell r="AK161">
            <v>0</v>
          </cell>
          <cell r="AL161">
            <v>92</v>
          </cell>
          <cell r="AM161">
            <v>3</v>
          </cell>
          <cell r="AN161">
            <v>0</v>
          </cell>
          <cell r="AO161">
            <v>27</v>
          </cell>
          <cell r="AP161" t="str">
            <v>G.Jesus</v>
          </cell>
          <cell r="AQ161">
            <v>1.0550239234449761</v>
          </cell>
          <cell r="AR161">
            <v>0</v>
          </cell>
          <cell r="AS161">
            <v>2.8636363636363633</v>
          </cell>
          <cell r="AT161">
            <v>4.5215311004784686</v>
          </cell>
          <cell r="AU161">
            <v>0.60287081339712911</v>
          </cell>
          <cell r="AV161">
            <v>4.5215311004784686</v>
          </cell>
          <cell r="AW161">
            <v>4.5215311004784686</v>
          </cell>
          <cell r="AX161">
            <v>3.4234449760765548E-2</v>
          </cell>
          <cell r="AY161">
            <v>0</v>
          </cell>
          <cell r="AZ161">
            <v>1.7</v>
          </cell>
          <cell r="BA161">
            <v>24</v>
          </cell>
          <cell r="BB161" t="str">
            <v/>
          </cell>
          <cell r="BC161">
            <v>3</v>
          </cell>
          <cell r="BD161">
            <v>0</v>
          </cell>
          <cell r="BE161">
            <v>0</v>
          </cell>
          <cell r="BF161">
            <v>63</v>
          </cell>
          <cell r="BG161">
            <v>0.7</v>
          </cell>
          <cell r="BH161">
            <v>1</v>
          </cell>
          <cell r="BI161">
            <v>11</v>
          </cell>
          <cell r="BJ161">
            <v>22</v>
          </cell>
          <cell r="BK161">
            <v>10</v>
          </cell>
          <cell r="BL161">
            <v>0.125</v>
          </cell>
          <cell r="BM161">
            <v>0.45833333333333337</v>
          </cell>
          <cell r="BN161">
            <v>0.43055555555555558</v>
          </cell>
          <cell r="BO161">
            <v>38</v>
          </cell>
          <cell r="BP161">
            <v>0</v>
          </cell>
          <cell r="BQ161">
            <v>0.12222222222222222</v>
          </cell>
          <cell r="BR161">
            <v>2.71</v>
          </cell>
          <cell r="BS161">
            <v>0.58349282296650717</v>
          </cell>
          <cell r="BT161">
            <v>0.26</v>
          </cell>
          <cell r="BU161">
            <v>5.5980861244019145E-2</v>
          </cell>
          <cell r="BV161">
            <v>0.63947368421052631</v>
          </cell>
          <cell r="BW161">
            <v>0</v>
          </cell>
          <cell r="BX161">
            <v>38</v>
          </cell>
          <cell r="BY161">
            <v>0.87184210526315797</v>
          </cell>
          <cell r="BZ161">
            <v>1.7711578947368418</v>
          </cell>
        </row>
        <row r="162">
          <cell r="A162" t="str">
            <v>Justin Kluivert</v>
          </cell>
          <cell r="B162" t="str">
            <v/>
          </cell>
          <cell r="C162" t="str">
            <v>Kluivert</v>
          </cell>
          <cell r="D162" t="str">
            <v/>
          </cell>
          <cell r="F162" t="str">
            <v/>
          </cell>
          <cell r="H162" t="str">
            <v/>
          </cell>
          <cell r="I162">
            <v>3.1</v>
          </cell>
          <cell r="J162">
            <v>3.8499999999999996</v>
          </cell>
          <cell r="K162">
            <v>4.5999999999999996</v>
          </cell>
          <cell r="M162">
            <v>3.5376905911504228</v>
          </cell>
          <cell r="N162">
            <v>3.1238095238095243</v>
          </cell>
          <cell r="O162">
            <v>2.8123563748079863</v>
          </cell>
          <cell r="P162">
            <v>3.5376905911504228</v>
          </cell>
          <cell r="Q162">
            <v>3.1238095238095243</v>
          </cell>
          <cell r="R162">
            <v>2.3225806451612905</v>
          </cell>
          <cell r="S162">
            <v>3.5376905911504228</v>
          </cell>
          <cell r="T162" t="str">
            <v>MID</v>
          </cell>
          <cell r="U162" t="str">
            <v>AM</v>
          </cell>
          <cell r="V162" t="str">
            <v>BOU</v>
          </cell>
          <cell r="W162" t="str">
            <v>Bournemouth</v>
          </cell>
          <cell r="X162">
            <v>6</v>
          </cell>
          <cell r="Y162">
            <v>41</v>
          </cell>
          <cell r="Z162">
            <v>0</v>
          </cell>
          <cell r="AA162">
            <v>41</v>
          </cell>
          <cell r="AB162">
            <v>945</v>
          </cell>
          <cell r="AC162">
            <v>945</v>
          </cell>
          <cell r="AD162">
            <v>0.34166666666666662</v>
          </cell>
          <cell r="AE162">
            <v>2</v>
          </cell>
          <cell r="AF162">
            <v>0</v>
          </cell>
          <cell r="AG162">
            <v>-2.9523809523809508E-2</v>
          </cell>
          <cell r="AH162">
            <v>-0.14761904761904762</v>
          </cell>
          <cell r="AI162">
            <v>-0.17714285714285713</v>
          </cell>
          <cell r="AJ162">
            <v>8.0000000000000071E-3</v>
          </cell>
          <cell r="AK162">
            <v>3</v>
          </cell>
          <cell r="AL162">
            <v>147</v>
          </cell>
          <cell r="AM162">
            <v>5</v>
          </cell>
          <cell r="AN162">
            <v>0</v>
          </cell>
          <cell r="AO162">
            <v>70</v>
          </cell>
          <cell r="AP162" t="str">
            <v>Kluivert</v>
          </cell>
          <cell r="AQ162">
            <v>0.68571428571428583</v>
          </cell>
          <cell r="AR162">
            <v>0</v>
          </cell>
          <cell r="AS162">
            <v>3.5047619047619052</v>
          </cell>
          <cell r="AT162">
            <v>4.9523809523809526</v>
          </cell>
          <cell r="AU162">
            <v>0.76190476190476186</v>
          </cell>
          <cell r="AV162">
            <v>4.9523809523809526</v>
          </cell>
          <cell r="AW162">
            <v>4.9523809523809526</v>
          </cell>
          <cell r="AX162">
            <v>3.7496598639455779E-2</v>
          </cell>
          <cell r="AY162">
            <v>0</v>
          </cell>
          <cell r="AZ162">
            <v>2</v>
          </cell>
          <cell r="BA162">
            <v>41</v>
          </cell>
          <cell r="BB162" t="str">
            <v/>
          </cell>
          <cell r="BC162">
            <v>10</v>
          </cell>
          <cell r="BD162">
            <v>0</v>
          </cell>
          <cell r="BE162">
            <v>0</v>
          </cell>
          <cell r="BF162">
            <v>72</v>
          </cell>
          <cell r="BG162">
            <v>0.8</v>
          </cell>
          <cell r="BH162">
            <v>1</v>
          </cell>
          <cell r="BI162">
            <v>10</v>
          </cell>
          <cell r="BJ162">
            <v>23</v>
          </cell>
          <cell r="BK162">
            <v>1</v>
          </cell>
          <cell r="BL162">
            <v>0.47619047619047616</v>
          </cell>
          <cell r="BM162">
            <v>0.47619047619047622</v>
          </cell>
          <cell r="BN162">
            <v>0.64351851851851849</v>
          </cell>
          <cell r="BO162">
            <v>38</v>
          </cell>
          <cell r="BP162">
            <v>0</v>
          </cell>
          <cell r="BQ162">
            <v>0.27631578947368424</v>
          </cell>
          <cell r="BR162">
            <v>2.31</v>
          </cell>
          <cell r="BS162">
            <v>0.22</v>
          </cell>
          <cell r="BT162">
            <v>1.55</v>
          </cell>
          <cell r="BU162">
            <v>0.14761904761904762</v>
          </cell>
          <cell r="BV162">
            <v>0.36761904761904762</v>
          </cell>
          <cell r="BW162">
            <v>0</v>
          </cell>
          <cell r="BX162">
            <v>38</v>
          </cell>
          <cell r="BY162">
            <v>1.4939473684210527</v>
          </cell>
          <cell r="BZ162">
            <v>1.1490526315789471</v>
          </cell>
        </row>
        <row r="163">
          <cell r="A163" t="str">
            <v>John McGinn</v>
          </cell>
          <cell r="B163" t="str">
            <v/>
          </cell>
          <cell r="C163" t="str">
            <v>McGinn</v>
          </cell>
          <cell r="D163" t="str">
            <v/>
          </cell>
          <cell r="F163" t="str">
            <v/>
          </cell>
          <cell r="H163" t="str">
            <v/>
          </cell>
          <cell r="I163">
            <v>2.2999999999999998</v>
          </cell>
          <cell r="J163">
            <v>2.7666666666666671</v>
          </cell>
          <cell r="K163">
            <v>3.4</v>
          </cell>
          <cell r="M163">
            <v>3.5306162422082474</v>
          </cell>
          <cell r="N163">
            <v>3.5463483146067416</v>
          </cell>
          <cell r="O163">
            <v>4.1704787234042557</v>
          </cell>
          <cell r="P163">
            <v>3.5306162422082474</v>
          </cell>
          <cell r="Q163">
            <v>3.5463483146067416</v>
          </cell>
          <cell r="R163">
            <v>4.3313069908814592</v>
          </cell>
          <cell r="S163">
            <v>3.5306162422082474</v>
          </cell>
          <cell r="T163" t="str">
            <v>MID</v>
          </cell>
          <cell r="U163" t="str">
            <v>CM</v>
          </cell>
          <cell r="V163" t="str">
            <v>AVL</v>
          </cell>
          <cell r="W163" t="str">
            <v>Aston Villa</v>
          </cell>
          <cell r="X163">
            <v>5.5</v>
          </cell>
          <cell r="Y163">
            <v>103</v>
          </cell>
          <cell r="Z163">
            <v>2</v>
          </cell>
          <cell r="AA163">
            <v>101</v>
          </cell>
          <cell r="AB163">
            <v>2136</v>
          </cell>
          <cell r="AC163">
            <v>2136</v>
          </cell>
          <cell r="AD163">
            <v>0.62424242424242415</v>
          </cell>
          <cell r="AE163">
            <v>5</v>
          </cell>
          <cell r="AF163">
            <v>4</v>
          </cell>
          <cell r="AG163">
            <v>8.4269662921348326E-2</v>
          </cell>
          <cell r="AH163">
            <v>-4.6348314606741714E-3</v>
          </cell>
          <cell r="AI163">
            <v>7.9634831460674127E-2</v>
          </cell>
          <cell r="AJ163">
            <v>2.6999999999999913E-2</v>
          </cell>
          <cell r="AK163">
            <v>6</v>
          </cell>
          <cell r="AL163">
            <v>443</v>
          </cell>
          <cell r="AM163">
            <v>5</v>
          </cell>
          <cell r="AN163">
            <v>0</v>
          </cell>
          <cell r="AO163">
            <v>45</v>
          </cell>
          <cell r="AP163" t="str">
            <v>McGinn</v>
          </cell>
          <cell r="AQ163">
            <v>1.1235955056179776</v>
          </cell>
          <cell r="AR163">
            <v>0</v>
          </cell>
          <cell r="AS163">
            <v>3.125</v>
          </cell>
          <cell r="AT163">
            <v>5.2668539325842705</v>
          </cell>
          <cell r="AU163">
            <v>1.0182584269662922</v>
          </cell>
          <cell r="AV163">
            <v>5.2668539325842705</v>
          </cell>
          <cell r="AW163">
            <v>5.2668539325842705</v>
          </cell>
          <cell r="AX163">
            <v>3.9877608346709476E-2</v>
          </cell>
          <cell r="AY163">
            <v>0</v>
          </cell>
          <cell r="AZ163">
            <v>3.4</v>
          </cell>
          <cell r="BA163">
            <v>103</v>
          </cell>
          <cell r="BB163" t="str">
            <v/>
          </cell>
          <cell r="BC163">
            <v>28</v>
          </cell>
          <cell r="BD163">
            <v>6</v>
          </cell>
          <cell r="BE163">
            <v>0.21428571428571427</v>
          </cell>
          <cell r="BF163">
            <v>75</v>
          </cell>
          <cell r="BG163">
            <v>0.83333333333333337</v>
          </cell>
          <cell r="BH163">
            <v>1</v>
          </cell>
          <cell r="BI163">
            <v>2</v>
          </cell>
          <cell r="BJ163">
            <v>25</v>
          </cell>
          <cell r="BK163">
            <v>0</v>
          </cell>
          <cell r="BL163">
            <v>0.93333333333333335</v>
          </cell>
          <cell r="BM163">
            <v>6.6666666666666652E-2</v>
          </cell>
          <cell r="BN163">
            <v>0.9555555555555556</v>
          </cell>
          <cell r="BO163">
            <v>38</v>
          </cell>
          <cell r="BP163">
            <v>0</v>
          </cell>
          <cell r="BQ163">
            <v>0.62456140350877198</v>
          </cell>
          <cell r="BR163">
            <v>3</v>
          </cell>
          <cell r="BS163">
            <v>0.12640449438202248</v>
          </cell>
          <cell r="BT163">
            <v>4.1100000000000003</v>
          </cell>
          <cell r="BU163">
            <v>0.1731741573033708</v>
          </cell>
          <cell r="BV163">
            <v>0.29957865168539327</v>
          </cell>
          <cell r="BW163">
            <v>0</v>
          </cell>
          <cell r="BX163">
            <v>38</v>
          </cell>
          <cell r="BY163">
            <v>1.4915789473684211</v>
          </cell>
          <cell r="BZ163">
            <v>1.1514210526315787</v>
          </cell>
        </row>
        <row r="164">
          <cell r="A164" t="str">
            <v>Lewis Miley</v>
          </cell>
          <cell r="B164" t="str">
            <v/>
          </cell>
          <cell r="C164" t="str">
            <v>L.Miley</v>
          </cell>
          <cell r="D164" t="str">
            <v/>
          </cell>
          <cell r="F164" t="str">
            <v/>
          </cell>
          <cell r="H164" t="str">
            <v/>
          </cell>
          <cell r="I164" t="e">
            <v>#N/A</v>
          </cell>
          <cell r="J164" t="e">
            <v>#N/A</v>
          </cell>
          <cell r="K164" t="e">
            <v>#N/A</v>
          </cell>
          <cell r="M164">
            <v>3.5292856734671729</v>
          </cell>
          <cell r="N164">
            <v>3.6543871399866039</v>
          </cell>
          <cell r="O164">
            <v>2.4752428667113198</v>
          </cell>
          <cell r="P164">
            <v>3.5292856734671729</v>
          </cell>
          <cell r="Q164">
            <v>3.6543871399866039</v>
          </cell>
          <cell r="R164">
            <v>2.6074074074074076</v>
          </cell>
          <cell r="S164">
            <v>3.5292856734671729</v>
          </cell>
          <cell r="T164" t="str">
            <v>MID</v>
          </cell>
          <cell r="U164" t="str">
            <v>CM</v>
          </cell>
          <cell r="V164" t="str">
            <v>NEW</v>
          </cell>
          <cell r="W164" t="str">
            <v>Newcastle</v>
          </cell>
          <cell r="X164">
            <v>5.5</v>
          </cell>
          <cell r="Y164">
            <v>72</v>
          </cell>
          <cell r="Z164">
            <v>10</v>
          </cell>
          <cell r="AA164">
            <v>62</v>
          </cell>
          <cell r="AB164">
            <v>1493</v>
          </cell>
          <cell r="AC164">
            <v>1493</v>
          </cell>
          <cell r="AD164">
            <v>0.56916996047430835</v>
          </cell>
          <cell r="AE164">
            <v>1</v>
          </cell>
          <cell r="AF164">
            <v>4</v>
          </cell>
          <cell r="AG164">
            <v>-2.1701272605492303E-2</v>
          </cell>
          <cell r="AH164">
            <v>0.11453449430676488</v>
          </cell>
          <cell r="AI164">
            <v>9.2833221701272589E-2</v>
          </cell>
          <cell r="AJ164">
            <v>0</v>
          </cell>
          <cell r="AK164">
            <v>5</v>
          </cell>
          <cell r="AL164">
            <v>334</v>
          </cell>
          <cell r="AM164">
            <v>0</v>
          </cell>
          <cell r="AN164">
            <v>0</v>
          </cell>
          <cell r="AO164">
            <v>459</v>
          </cell>
          <cell r="AP164" t="str">
            <v>L.Miley</v>
          </cell>
          <cell r="AQ164">
            <v>3.3596784996651037</v>
          </cell>
          <cell r="AR164">
            <v>0</v>
          </cell>
          <cell r="AS164">
            <v>4.0669792364367039</v>
          </cell>
          <cell r="AT164">
            <v>9.1359678499665087</v>
          </cell>
          <cell r="AU164">
            <v>1.709310113864702</v>
          </cell>
          <cell r="AV164">
            <v>9.1359678499665087</v>
          </cell>
          <cell r="AW164">
            <v>9.1359678499665087</v>
          </cell>
          <cell r="AX164">
            <v>0.21222839920386319</v>
          </cell>
          <cell r="AY164">
            <v>0</v>
          </cell>
          <cell r="AZ164">
            <v>3.1</v>
          </cell>
          <cell r="BA164">
            <v>72</v>
          </cell>
          <cell r="BB164">
            <v>0</v>
          </cell>
          <cell r="BC164">
            <v>15</v>
          </cell>
          <cell r="BD164">
            <v>13</v>
          </cell>
          <cell r="BE164">
            <v>0.8666666666666667</v>
          </cell>
          <cell r="BF164">
            <v>88</v>
          </cell>
          <cell r="BG164">
            <v>0.97777777777777775</v>
          </cell>
          <cell r="BH164">
            <v>1</v>
          </cell>
          <cell r="BI164">
            <v>8</v>
          </cell>
          <cell r="BJ164">
            <v>22</v>
          </cell>
          <cell r="BK164">
            <v>5</v>
          </cell>
          <cell r="BL164">
            <v>0.5357142857142857</v>
          </cell>
          <cell r="BM164">
            <v>0.61535164835164835</v>
          </cell>
          <cell r="BN164">
            <v>0.6517857142857143</v>
          </cell>
          <cell r="BO164">
            <v>38</v>
          </cell>
          <cell r="BP164">
            <v>0</v>
          </cell>
          <cell r="BQ164">
            <v>0.43654970760233919</v>
          </cell>
          <cell r="BR164">
            <v>1.36</v>
          </cell>
          <cell r="BS164">
            <v>8.1982585398526459E-2</v>
          </cell>
          <cell r="BT164">
            <v>2.1</v>
          </cell>
          <cell r="BU164">
            <v>0.12659075686537175</v>
          </cell>
          <cell r="BV164">
            <v>0.2085733422638982</v>
          </cell>
          <cell r="BW164">
            <v>0</v>
          </cell>
          <cell r="BX164">
            <v>38</v>
          </cell>
          <cell r="BY164">
            <v>1.5081578947368421</v>
          </cell>
          <cell r="BZ164">
            <v>1.1348421052631577</v>
          </cell>
        </row>
        <row r="165">
          <cell r="A165" t="str">
            <v>Curtis Jones</v>
          </cell>
          <cell r="B165" t="str">
            <v/>
          </cell>
          <cell r="C165" t="str">
            <v>C.Jones</v>
          </cell>
          <cell r="D165" t="str">
            <v/>
          </cell>
          <cell r="E165" t="str">
            <v>C Jones</v>
          </cell>
          <cell r="F165" t="str">
            <v/>
          </cell>
          <cell r="H165" t="str">
            <v/>
          </cell>
          <cell r="I165" t="e">
            <v>#N/A</v>
          </cell>
          <cell r="J165" t="e">
            <v>#N/A</v>
          </cell>
          <cell r="K165" t="e">
            <v>#N/A</v>
          </cell>
          <cell r="M165">
            <v>3.5194069696293901</v>
          </cell>
          <cell r="N165">
            <v>3.1508060322412894</v>
          </cell>
          <cell r="O165">
            <v>3.0808984717597658</v>
          </cell>
          <cell r="P165">
            <v>3.5194069696293901</v>
          </cell>
          <cell r="Q165">
            <v>3.1508060322412894</v>
          </cell>
          <cell r="R165">
            <v>4.0261194029850751</v>
          </cell>
          <cell r="S165">
            <v>3.5194069696293901</v>
          </cell>
          <cell r="T165" t="str">
            <v>MID</v>
          </cell>
          <cell r="U165" t="str">
            <v>CM</v>
          </cell>
          <cell r="V165" t="str">
            <v>LIV</v>
          </cell>
          <cell r="W165" t="str">
            <v>Liverpool</v>
          </cell>
          <cell r="X165">
            <v>5.5</v>
          </cell>
          <cell r="Y165">
            <v>81</v>
          </cell>
          <cell r="Z165">
            <v>8</v>
          </cell>
          <cell r="AA165">
            <v>73</v>
          </cell>
          <cell r="AB165">
            <v>1923</v>
          </cell>
          <cell r="AC165">
            <v>1923</v>
          </cell>
          <cell r="AD165">
            <v>0.43315508021390375</v>
          </cell>
          <cell r="AE165">
            <v>1</v>
          </cell>
          <cell r="AF165">
            <v>3</v>
          </cell>
          <cell r="AG165">
            <v>-5.6630265210608433E-2</v>
          </cell>
          <cell r="AH165">
            <v>1.0764430577223066E-2</v>
          </cell>
          <cell r="AI165">
            <v>-4.5865834633385338E-2</v>
          </cell>
          <cell r="AJ165">
            <v>9.9999999999988987E-4</v>
          </cell>
          <cell r="AK165">
            <v>6</v>
          </cell>
          <cell r="AL165">
            <v>447</v>
          </cell>
          <cell r="AM165">
            <v>2</v>
          </cell>
          <cell r="AN165">
            <v>0</v>
          </cell>
          <cell r="AO165">
            <v>373</v>
          </cell>
          <cell r="AP165" t="str">
            <v>C.Jones</v>
          </cell>
          <cell r="AQ165">
            <v>2.2875715028601147</v>
          </cell>
          <cell r="AR165">
            <v>0</v>
          </cell>
          <cell r="AS165">
            <v>6.2152886115444623</v>
          </cell>
          <cell r="AT165">
            <v>10.229329173166928</v>
          </cell>
          <cell r="AU165">
            <v>1.7264690587623506</v>
          </cell>
          <cell r="AV165">
            <v>10.229329173166928</v>
          </cell>
          <cell r="AW165">
            <v>10.229329173166928</v>
          </cell>
          <cell r="AX165">
            <v>0.33468486746353832</v>
          </cell>
          <cell r="AY165">
            <v>0</v>
          </cell>
          <cell r="AZ165">
            <v>2.4</v>
          </cell>
          <cell r="BA165">
            <v>81</v>
          </cell>
          <cell r="BB165" t="str">
            <v/>
          </cell>
          <cell r="BC165">
            <v>18</v>
          </cell>
          <cell r="BD165">
            <v>9</v>
          </cell>
          <cell r="BE165">
            <v>0.5</v>
          </cell>
          <cell r="BF165">
            <v>83</v>
          </cell>
          <cell r="BG165">
            <v>0.92222222222222228</v>
          </cell>
          <cell r="BH165">
            <v>1</v>
          </cell>
          <cell r="BI165">
            <v>16</v>
          </cell>
          <cell r="BJ165">
            <v>28</v>
          </cell>
          <cell r="BK165">
            <v>2</v>
          </cell>
          <cell r="BL165">
            <v>0.5</v>
          </cell>
          <cell r="BM165">
            <v>0.44444444444444442</v>
          </cell>
          <cell r="BN165">
            <v>0.66867469879518071</v>
          </cell>
          <cell r="BO165">
            <v>38</v>
          </cell>
          <cell r="BP165">
            <v>0</v>
          </cell>
          <cell r="BQ165">
            <v>0.56228070175438594</v>
          </cell>
          <cell r="BR165">
            <v>2.21</v>
          </cell>
          <cell r="BS165">
            <v>0.10343213728549143</v>
          </cell>
          <cell r="BT165">
            <v>2.77</v>
          </cell>
          <cell r="BU165">
            <v>0.12964118564742591</v>
          </cell>
          <cell r="BV165">
            <v>0.23307332293291733</v>
          </cell>
          <cell r="BW165">
            <v>0</v>
          </cell>
          <cell r="BX165">
            <v>38</v>
          </cell>
          <cell r="BY165">
            <v>1.4176315789473684</v>
          </cell>
          <cell r="BZ165">
            <v>1.2253684210526314</v>
          </cell>
        </row>
        <row r="166">
          <cell r="A166" t="str">
            <v>Jeremie Frimpong</v>
          </cell>
          <cell r="B166" t="str">
            <v/>
          </cell>
          <cell r="C166" t="str">
            <v>Frimpong</v>
          </cell>
          <cell r="D166" t="str">
            <v/>
          </cell>
          <cell r="F166" t="str">
            <v/>
          </cell>
          <cell r="H166" t="str">
            <v/>
          </cell>
          <cell r="I166" t="e">
            <v>#N/A</v>
          </cell>
          <cell r="J166" t="e">
            <v>#N/A</v>
          </cell>
          <cell r="K166" t="e">
            <v>#N/A</v>
          </cell>
          <cell r="M166">
            <v>3.5180935503023263</v>
          </cell>
          <cell r="N166">
            <v>4.5784883720930232</v>
          </cell>
          <cell r="O166">
            <v>1.8743367091772947</v>
          </cell>
          <cell r="P166">
            <v>3.5180935503023263</v>
          </cell>
          <cell r="Q166">
            <v>4.5784883720930232</v>
          </cell>
          <cell r="R166">
            <v>2.0737327188940098</v>
          </cell>
          <cell r="S166">
            <v>3.5180935503023263</v>
          </cell>
          <cell r="T166" t="str">
            <v>DEF</v>
          </cell>
          <cell r="U166" t="str">
            <v>RB</v>
          </cell>
          <cell r="V166" t="str">
            <v>LIV</v>
          </cell>
          <cell r="W166" t="str">
            <v>Liverpool</v>
          </cell>
          <cell r="X166">
            <v>5.5</v>
          </cell>
          <cell r="Y166">
            <v>63</v>
          </cell>
          <cell r="Z166">
            <v>0</v>
          </cell>
          <cell r="AA166">
            <v>63</v>
          </cell>
          <cell r="AB166">
            <v>1032</v>
          </cell>
          <cell r="AC166">
            <v>1032</v>
          </cell>
          <cell r="AD166">
            <v>0.54545454545454541</v>
          </cell>
          <cell r="AE166">
            <v>0</v>
          </cell>
          <cell r="AF166">
            <v>5</v>
          </cell>
          <cell r="AG166">
            <v>-4.3604651162790699E-2</v>
          </cell>
          <cell r="AH166">
            <v>0.30087209302325579</v>
          </cell>
          <cell r="AI166">
            <v>0.25726744186046513</v>
          </cell>
          <cell r="AJ166">
            <v>3.0000000000000027E-2</v>
          </cell>
          <cell r="AK166">
            <v>1</v>
          </cell>
          <cell r="AL166">
            <v>237</v>
          </cell>
          <cell r="AM166">
            <v>1</v>
          </cell>
          <cell r="AN166">
            <v>0</v>
          </cell>
          <cell r="AO166">
            <v>357</v>
          </cell>
          <cell r="AP166" t="str">
            <v>Frimpong</v>
          </cell>
          <cell r="AQ166">
            <v>1.3808139534883721</v>
          </cell>
          <cell r="AR166">
            <v>0</v>
          </cell>
          <cell r="AS166">
            <v>3.7790697674418605</v>
          </cell>
          <cell r="AT166">
            <v>2.1802325581395348</v>
          </cell>
          <cell r="AU166">
            <v>0.79941860465116288</v>
          </cell>
          <cell r="AV166">
            <v>2.1802325581395348</v>
          </cell>
          <cell r="AW166">
            <v>2.1802325581395348</v>
          </cell>
          <cell r="AX166">
            <v>1.3953488372093023E-2</v>
          </cell>
          <cell r="AY166">
            <v>0</v>
          </cell>
          <cell r="AZ166">
            <v>3</v>
          </cell>
          <cell r="BA166">
            <v>63</v>
          </cell>
          <cell r="BB166" t="str">
            <v/>
          </cell>
          <cell r="BC166">
            <v>12</v>
          </cell>
          <cell r="BD166">
            <v>4</v>
          </cell>
          <cell r="BE166">
            <v>0.33333333333333331</v>
          </cell>
          <cell r="BF166">
            <v>75</v>
          </cell>
          <cell r="BG166">
            <v>0.83333333333333337</v>
          </cell>
          <cell r="BH166">
            <v>1</v>
          </cell>
          <cell r="BI166">
            <v>9</v>
          </cell>
          <cell r="BJ166">
            <v>16</v>
          </cell>
          <cell r="BK166">
            <v>2</v>
          </cell>
          <cell r="BL166">
            <v>0.52173913043478259</v>
          </cell>
          <cell r="BM166">
            <v>0.39130434782608697</v>
          </cell>
          <cell r="BN166">
            <v>0.62376811594202897</v>
          </cell>
          <cell r="BO166">
            <v>38</v>
          </cell>
          <cell r="BP166">
            <v>0</v>
          </cell>
          <cell r="BQ166">
            <v>0.30175438596491228</v>
          </cell>
          <cell r="BR166">
            <v>0.5</v>
          </cell>
          <cell r="BS166">
            <v>4.3604651162790699E-2</v>
          </cell>
          <cell r="BT166">
            <v>1.55</v>
          </cell>
          <cell r="BU166">
            <v>0.13517441860465115</v>
          </cell>
          <cell r="BV166">
            <v>0.17877906976744184</v>
          </cell>
          <cell r="BW166">
            <v>0</v>
          </cell>
          <cell r="BX166">
            <v>38</v>
          </cell>
          <cell r="BY166">
            <v>1.4176315789473684</v>
          </cell>
          <cell r="BZ166">
            <v>1.2253684210526314</v>
          </cell>
        </row>
        <row r="167">
          <cell r="A167" t="str">
            <v>Ian Maatsen</v>
          </cell>
          <cell r="B167" t="str">
            <v/>
          </cell>
          <cell r="C167" t="str">
            <v>Maatsen</v>
          </cell>
          <cell r="D167" t="str">
            <v/>
          </cell>
          <cell r="F167" t="str">
            <v/>
          </cell>
          <cell r="H167" t="str">
            <v/>
          </cell>
          <cell r="I167">
            <v>0.9</v>
          </cell>
          <cell r="J167">
            <v>1.45</v>
          </cell>
          <cell r="K167">
            <v>2</v>
          </cell>
          <cell r="M167">
            <v>3.5152038959685088</v>
          </cell>
          <cell r="N167">
            <v>2.5786163522012577</v>
          </cell>
          <cell r="O167">
            <v>2.2578142057584674</v>
          </cell>
          <cell r="P167">
            <v>3.5152038959685088</v>
          </cell>
          <cell r="Q167">
            <v>2.5786163522012577</v>
          </cell>
          <cell r="R167">
            <v>3.259938837920489</v>
          </cell>
          <cell r="S167">
            <v>3.5152038959685088</v>
          </cell>
          <cell r="T167" t="str">
            <v>DEF</v>
          </cell>
          <cell r="U167" t="str">
            <v>LB</v>
          </cell>
          <cell r="V167" t="str">
            <v>AVL</v>
          </cell>
          <cell r="W167" t="str">
            <v>Aston Villa</v>
          </cell>
          <cell r="X167">
            <v>4.5</v>
          </cell>
          <cell r="Y167">
            <v>54</v>
          </cell>
          <cell r="Z167">
            <v>4</v>
          </cell>
          <cell r="AA167">
            <v>50</v>
          </cell>
          <cell r="AB167">
            <v>1590</v>
          </cell>
          <cell r="AC167">
            <v>1590</v>
          </cell>
          <cell r="AD167">
            <v>0.4</v>
          </cell>
          <cell r="AE167">
            <v>0</v>
          </cell>
          <cell r="AF167">
            <v>1</v>
          </cell>
          <cell r="AG167">
            <v>-7.1320754716981127E-2</v>
          </cell>
          <cell r="AH167">
            <v>-7.8679245283018867E-2</v>
          </cell>
          <cell r="AI167">
            <v>-0.15</v>
          </cell>
          <cell r="AJ167">
            <v>6.9999999999998952E-3</v>
          </cell>
          <cell r="AK167">
            <v>1</v>
          </cell>
          <cell r="AL167">
            <v>242</v>
          </cell>
          <cell r="AM167">
            <v>2</v>
          </cell>
          <cell r="AN167">
            <v>0</v>
          </cell>
          <cell r="AO167">
            <v>36</v>
          </cell>
          <cell r="AP167" t="str">
            <v>Maatsen</v>
          </cell>
          <cell r="AQ167">
            <v>4.3836477987421389</v>
          </cell>
          <cell r="AR167">
            <v>0</v>
          </cell>
          <cell r="AS167">
            <v>4.2289308176100633</v>
          </cell>
          <cell r="AT167">
            <v>6.6012578616352195</v>
          </cell>
          <cell r="AU167">
            <v>2.2176100628930819</v>
          </cell>
          <cell r="AV167">
            <v>6.6012578616352195</v>
          </cell>
          <cell r="AW167">
            <v>6.6012578616352195</v>
          </cell>
          <cell r="AX167">
            <v>0.14248679245283016</v>
          </cell>
          <cell r="AY167">
            <v>0</v>
          </cell>
          <cell r="AZ167">
            <v>1.8</v>
          </cell>
          <cell r="BA167">
            <v>54</v>
          </cell>
          <cell r="BB167" t="str">
            <v/>
          </cell>
          <cell r="BC167">
            <v>17</v>
          </cell>
          <cell r="BD167">
            <v>8</v>
          </cell>
          <cell r="BE167">
            <v>0.47058823529411764</v>
          </cell>
          <cell r="BF167">
            <v>82</v>
          </cell>
          <cell r="BG167">
            <v>0.91111111111111109</v>
          </cell>
          <cell r="BH167">
            <v>1</v>
          </cell>
          <cell r="BI167">
            <v>13</v>
          </cell>
          <cell r="BJ167">
            <v>17</v>
          </cell>
          <cell r="BK167">
            <v>8</v>
          </cell>
          <cell r="BL167">
            <v>0.44736842105263158</v>
          </cell>
          <cell r="BM167">
            <v>0.34210526315789469</v>
          </cell>
          <cell r="BN167">
            <v>0.56193838254172013</v>
          </cell>
          <cell r="BO167">
            <v>38</v>
          </cell>
          <cell r="BP167">
            <v>0</v>
          </cell>
          <cell r="BQ167">
            <v>0.46491228070175439</v>
          </cell>
          <cell r="BR167">
            <v>1.26</v>
          </cell>
          <cell r="BS167">
            <v>7.1320754716981127E-2</v>
          </cell>
          <cell r="BT167">
            <v>2.39</v>
          </cell>
          <cell r="BU167">
            <v>0.13528301886792451</v>
          </cell>
          <cell r="BV167">
            <v>0.20660377358490564</v>
          </cell>
          <cell r="BW167">
            <v>0</v>
          </cell>
          <cell r="BX167">
            <v>38</v>
          </cell>
          <cell r="BY167">
            <v>1.4915789473684211</v>
          </cell>
          <cell r="BZ167">
            <v>1.1514210526315787</v>
          </cell>
        </row>
        <row r="168">
          <cell r="A168" t="str">
            <v>Jordan Pickford</v>
          </cell>
          <cell r="B168" t="str">
            <v/>
          </cell>
          <cell r="C168" t="str">
            <v>Pickford</v>
          </cell>
          <cell r="D168" t="str">
            <v/>
          </cell>
          <cell r="F168" t="str">
            <v/>
          </cell>
          <cell r="H168" t="str">
            <v/>
          </cell>
          <cell r="I168">
            <v>3.4</v>
          </cell>
          <cell r="J168">
            <v>3.8666666666666671</v>
          </cell>
          <cell r="K168">
            <v>4.2</v>
          </cell>
          <cell r="M168">
            <v>3.5053626102464346</v>
          </cell>
          <cell r="N168">
            <v>3.5526315789473681</v>
          </cell>
          <cell r="O168">
            <v>2.460921052631579</v>
          </cell>
          <cell r="P168">
            <v>3.5053626102464346</v>
          </cell>
          <cell r="Q168">
            <v>3.5526315789473681</v>
          </cell>
          <cell r="R168">
            <v>1.5</v>
          </cell>
          <cell r="S168">
            <v>3.5053626102464346</v>
          </cell>
          <cell r="T168" t="str">
            <v>GK</v>
          </cell>
          <cell r="U168" t="str">
            <v>GK</v>
          </cell>
          <cell r="V168" t="str">
            <v>EVE</v>
          </cell>
          <cell r="W168" t="str">
            <v>Everton</v>
          </cell>
          <cell r="X168">
            <v>5.5</v>
          </cell>
          <cell r="Y168">
            <v>135</v>
          </cell>
          <cell r="Z168">
            <v>0</v>
          </cell>
          <cell r="AA168">
            <v>135</v>
          </cell>
          <cell r="AB168">
            <v>3420</v>
          </cell>
          <cell r="AC168">
            <v>3420</v>
          </cell>
          <cell r="AD168">
            <v>0.64593301435406703</v>
          </cell>
          <cell r="AE168">
            <v>0</v>
          </cell>
          <cell r="AF168">
            <v>0</v>
          </cell>
          <cell r="AG168">
            <v>0</v>
          </cell>
          <cell r="AH168">
            <v>-5.263157894736842E-3</v>
          </cell>
          <cell r="AI168">
            <v>-5.263157894736842E-3</v>
          </cell>
          <cell r="AJ168">
            <v>9.6000000000000085E-2</v>
          </cell>
          <cell r="AK168">
            <v>11</v>
          </cell>
          <cell r="AL168">
            <v>545</v>
          </cell>
          <cell r="AM168">
            <v>4</v>
          </cell>
          <cell r="AN168">
            <v>100</v>
          </cell>
          <cell r="AO168">
            <v>226</v>
          </cell>
          <cell r="AP168" t="str">
            <v>Pickford</v>
          </cell>
          <cell r="AQ168">
            <v>1.368421052631579</v>
          </cell>
          <cell r="AR168">
            <v>0</v>
          </cell>
          <cell r="AS168">
            <v>8.2368421052631575</v>
          </cell>
          <cell r="AT168">
            <v>0</v>
          </cell>
          <cell r="AU168">
            <v>5.2631578947368425E-2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3.6</v>
          </cell>
          <cell r="BA168">
            <v>135</v>
          </cell>
          <cell r="BB168" t="str">
            <v/>
          </cell>
          <cell r="BC168">
            <v>38</v>
          </cell>
          <cell r="BD168">
            <v>38</v>
          </cell>
          <cell r="BE168">
            <v>1</v>
          </cell>
          <cell r="BF168">
            <v>90</v>
          </cell>
          <cell r="BG168">
            <v>1</v>
          </cell>
          <cell r="BH168">
            <v>1</v>
          </cell>
          <cell r="BI168">
            <v>0</v>
          </cell>
          <cell r="BJ168">
            <v>0</v>
          </cell>
          <cell r="BK168">
            <v>0</v>
          </cell>
          <cell r="BL168">
            <v>1</v>
          </cell>
          <cell r="BM168">
            <v>0</v>
          </cell>
          <cell r="BN168">
            <v>1</v>
          </cell>
          <cell r="BO168">
            <v>38</v>
          </cell>
          <cell r="BP168">
            <v>0</v>
          </cell>
          <cell r="BQ168">
            <v>1</v>
          </cell>
          <cell r="BR168">
            <v>0</v>
          </cell>
          <cell r="BS168">
            <v>0</v>
          </cell>
          <cell r="BT168">
            <v>0.2</v>
          </cell>
          <cell r="BU168">
            <v>5.263157894736842E-3</v>
          </cell>
          <cell r="BV168">
            <v>5.263157894736842E-3</v>
          </cell>
          <cell r="BW168">
            <v>0</v>
          </cell>
          <cell r="BX168">
            <v>38</v>
          </cell>
          <cell r="BY168">
            <v>1.5786842105263159</v>
          </cell>
          <cell r="BZ168">
            <v>1.0643157894736839</v>
          </cell>
        </row>
        <row r="169">
          <cell r="A169" t="str">
            <v>Mohammed Kudus</v>
          </cell>
          <cell r="B169" t="str">
            <v/>
          </cell>
          <cell r="C169" t="str">
            <v>Kudus</v>
          </cell>
          <cell r="D169" t="str">
            <v/>
          </cell>
          <cell r="E169" t="str">
            <v>Kudus Mohammed</v>
          </cell>
          <cell r="F169" t="str">
            <v/>
          </cell>
          <cell r="H169" t="str">
            <v/>
          </cell>
          <cell r="I169">
            <v>3.3</v>
          </cell>
          <cell r="J169">
            <v>3.75</v>
          </cell>
          <cell r="K169">
            <v>4.2</v>
          </cell>
          <cell r="M169">
            <v>3.505100887208461</v>
          </cell>
          <cell r="N169">
            <v>3.9576547231270363</v>
          </cell>
          <cell r="O169">
            <v>2.1975895765472311</v>
          </cell>
          <cell r="P169">
            <v>3.505100887208461</v>
          </cell>
          <cell r="Q169">
            <v>3.9576547231270363</v>
          </cell>
          <cell r="R169">
            <v>0</v>
          </cell>
          <cell r="S169">
            <v>3.505100887208461</v>
          </cell>
          <cell r="T169" t="str">
            <v>MID</v>
          </cell>
          <cell r="U169" t="str">
            <v>RW</v>
          </cell>
          <cell r="V169" t="str">
            <v>TOT</v>
          </cell>
          <cell r="W169" t="str">
            <v>Spurs</v>
          </cell>
          <cell r="X169">
            <v>6.5</v>
          </cell>
          <cell r="Y169">
            <v>75</v>
          </cell>
          <cell r="Z169">
            <v>0</v>
          </cell>
          <cell r="AA169">
            <v>75</v>
          </cell>
          <cell r="AB169">
            <v>1535</v>
          </cell>
          <cell r="AC169">
            <v>1535</v>
          </cell>
          <cell r="AD169">
            <v>0.60728744939271251</v>
          </cell>
          <cell r="AE169">
            <v>2</v>
          </cell>
          <cell r="AF169">
            <v>6</v>
          </cell>
          <cell r="AG169">
            <v>4.690553745928347E-3</v>
          </cell>
          <cell r="AH169">
            <v>0.21048859934853417</v>
          </cell>
          <cell r="AI169">
            <v>0.21517915309446256</v>
          </cell>
          <cell r="AJ169">
            <v>2.9999999999998916E-3</v>
          </cell>
          <cell r="AK169">
            <v>7</v>
          </cell>
          <cell r="AL169">
            <v>257</v>
          </cell>
          <cell r="AM169">
            <v>3</v>
          </cell>
          <cell r="AN169">
            <v>0</v>
          </cell>
          <cell r="AO169">
            <v>512</v>
          </cell>
          <cell r="AP169" t="str">
            <v>Kudus</v>
          </cell>
          <cell r="AQ169">
            <v>0.4749185667752443</v>
          </cell>
          <cell r="AR169">
            <v>0</v>
          </cell>
          <cell r="AS169">
            <v>5.0130293159609121</v>
          </cell>
          <cell r="AT169">
            <v>7.0182410423452781</v>
          </cell>
          <cell r="AU169">
            <v>1.5302931596091205</v>
          </cell>
          <cell r="AV169">
            <v>7.0182410423452781</v>
          </cell>
          <cell r="AW169">
            <v>7.0182410423452781</v>
          </cell>
          <cell r="AX169">
            <v>5.4313355048860021E-2</v>
          </cell>
          <cell r="AY169">
            <v>0</v>
          </cell>
          <cell r="AZ169">
            <v>3.9</v>
          </cell>
          <cell r="BA169">
            <v>75</v>
          </cell>
          <cell r="BB169">
            <v>75</v>
          </cell>
          <cell r="BC169">
            <v>19</v>
          </cell>
          <cell r="BD169">
            <v>8</v>
          </cell>
          <cell r="BE169">
            <v>0.42105263157894735</v>
          </cell>
          <cell r="BF169">
            <v>81</v>
          </cell>
          <cell r="BG169">
            <v>0.9</v>
          </cell>
          <cell r="BH169">
            <v>1</v>
          </cell>
          <cell r="BI169">
            <v>0</v>
          </cell>
          <cell r="BJ169">
            <v>0</v>
          </cell>
          <cell r="BK169">
            <v>0</v>
          </cell>
          <cell r="BL169">
            <v>1</v>
          </cell>
          <cell r="BM169">
            <v>0</v>
          </cell>
          <cell r="BN169">
            <v>1</v>
          </cell>
          <cell r="BO169">
            <v>38</v>
          </cell>
          <cell r="BP169">
            <v>0</v>
          </cell>
          <cell r="BQ169">
            <v>0.44883040935672514</v>
          </cell>
          <cell r="BR169">
            <v>1.92</v>
          </cell>
          <cell r="BS169">
            <v>0.11257328990228013</v>
          </cell>
          <cell r="BT169">
            <v>2.41</v>
          </cell>
          <cell r="BU169">
            <v>0.14130293159609122</v>
          </cell>
          <cell r="BV169">
            <v>0.25387622149837136</v>
          </cell>
          <cell r="BW169">
            <v>0</v>
          </cell>
          <cell r="BX169">
            <v>38</v>
          </cell>
          <cell r="BY169">
            <v>1.4628947368421052</v>
          </cell>
          <cell r="BZ169">
            <v>1.1801052631578945</v>
          </cell>
        </row>
        <row r="170">
          <cell r="A170" t="str">
            <v>Emiliano Buendía Stati</v>
          </cell>
          <cell r="B170" t="str">
            <v/>
          </cell>
          <cell r="C170" t="str">
            <v>Buendía</v>
          </cell>
          <cell r="D170" t="str">
            <v/>
          </cell>
          <cell r="E170" t="str">
            <v>Emi Buendía</v>
          </cell>
          <cell r="F170" t="str">
            <v/>
          </cell>
          <cell r="G170" t="str">
            <v>Emiliano Buendía</v>
          </cell>
          <cell r="H170" t="str">
            <v/>
          </cell>
          <cell r="I170" t="e">
            <v>#N/A</v>
          </cell>
          <cell r="J170" t="e">
            <v>#N/A</v>
          </cell>
          <cell r="K170" t="e">
            <v>#N/A</v>
          </cell>
          <cell r="M170">
            <v>3.499276232786197</v>
          </cell>
          <cell r="N170">
            <v>3.6463205932686824</v>
          </cell>
          <cell r="O170">
            <v>3.0842465297585093</v>
          </cell>
          <cell r="P170">
            <v>3.499276232786197</v>
          </cell>
          <cell r="Q170">
            <v>3.6463205932686824</v>
          </cell>
          <cell r="R170">
            <v>4.25</v>
          </cell>
          <cell r="S170">
            <v>3.499276232786197</v>
          </cell>
          <cell r="T170" t="str">
            <v>MID</v>
          </cell>
          <cell r="U170" t="str">
            <v>LW</v>
          </cell>
          <cell r="V170" t="str">
            <v>AVL</v>
          </cell>
          <cell r="W170" t="str">
            <v>Aston Villa</v>
          </cell>
          <cell r="X170">
            <v>6</v>
          </cell>
          <cell r="Y170">
            <v>102</v>
          </cell>
          <cell r="Z170">
            <v>8</v>
          </cell>
          <cell r="AA170">
            <v>94</v>
          </cell>
          <cell r="AB170">
            <v>1753</v>
          </cell>
          <cell r="AC170">
            <v>1753</v>
          </cell>
          <cell r="AD170">
            <v>0.47222222222222227</v>
          </cell>
          <cell r="AE170">
            <v>6</v>
          </cell>
          <cell r="AF170">
            <v>2</v>
          </cell>
          <cell r="AG170">
            <v>0.1345122646891044</v>
          </cell>
          <cell r="AH170">
            <v>-1.1808328579577879E-2</v>
          </cell>
          <cell r="AI170">
            <v>0.12270393610952646</v>
          </cell>
          <cell r="AJ170">
            <v>8.0000000000000071E-3</v>
          </cell>
          <cell r="AK170">
            <v>10</v>
          </cell>
          <cell r="AL170">
            <v>382</v>
          </cell>
          <cell r="AM170">
            <v>6</v>
          </cell>
          <cell r="AN170">
            <v>0</v>
          </cell>
          <cell r="AO170">
            <v>41</v>
          </cell>
          <cell r="AP170" t="str">
            <v>Buendía</v>
          </cell>
          <cell r="AQ170">
            <v>1.5128351397604107</v>
          </cell>
          <cell r="AR170">
            <v>0</v>
          </cell>
          <cell r="AS170">
            <v>4.2281802624073022</v>
          </cell>
          <cell r="AT170">
            <v>7.6417569880205365</v>
          </cell>
          <cell r="AU170">
            <v>1.9007415858528238</v>
          </cell>
          <cell r="AV170">
            <v>7.6417569880205365</v>
          </cell>
          <cell r="AW170">
            <v>7.6417569880205365</v>
          </cell>
          <cell r="AX170">
            <v>9.9206503137478641E-2</v>
          </cell>
          <cell r="AY170">
            <v>0</v>
          </cell>
          <cell r="AZ170">
            <v>2.8</v>
          </cell>
          <cell r="BA170">
            <v>102</v>
          </cell>
          <cell r="BB170" t="str">
            <v/>
          </cell>
          <cell r="BC170">
            <v>21</v>
          </cell>
          <cell r="BD170">
            <v>3</v>
          </cell>
          <cell r="BE170">
            <v>0.14285714285714285</v>
          </cell>
          <cell r="BF170">
            <v>68</v>
          </cell>
          <cell r="BG170">
            <v>0.75555555555555554</v>
          </cell>
          <cell r="BH170">
            <v>1</v>
          </cell>
          <cell r="BI170">
            <v>15</v>
          </cell>
          <cell r="BJ170">
            <v>22</v>
          </cell>
          <cell r="BK170">
            <v>1</v>
          </cell>
          <cell r="BL170">
            <v>0.56756756756756754</v>
          </cell>
          <cell r="BM170">
            <v>0.40540540540540543</v>
          </cell>
          <cell r="BN170">
            <v>0.7074721780604134</v>
          </cell>
          <cell r="BO170">
            <v>38</v>
          </cell>
          <cell r="BP170">
            <v>0</v>
          </cell>
          <cell r="BQ170">
            <v>0.51257309941520468</v>
          </cell>
          <cell r="BR170">
            <v>3.38</v>
          </cell>
          <cell r="BS170">
            <v>0.173531089560753</v>
          </cell>
          <cell r="BT170">
            <v>2.23</v>
          </cell>
          <cell r="BU170">
            <v>0.11448944666286366</v>
          </cell>
          <cell r="BV170">
            <v>0.28802053622361667</v>
          </cell>
          <cell r="BW170">
            <v>0</v>
          </cell>
          <cell r="BX170">
            <v>38</v>
          </cell>
          <cell r="BY170">
            <v>1.4915789473684211</v>
          </cell>
          <cell r="BZ170">
            <v>1.1514210526315787</v>
          </cell>
        </row>
        <row r="171">
          <cell r="A171" t="str">
            <v>Lucas Digne</v>
          </cell>
          <cell r="B171" t="str">
            <v/>
          </cell>
          <cell r="C171" t="str">
            <v>Digne</v>
          </cell>
          <cell r="D171" t="str">
            <v/>
          </cell>
          <cell r="F171" t="str">
            <v/>
          </cell>
          <cell r="H171" t="str">
            <v/>
          </cell>
          <cell r="I171">
            <v>1.8</v>
          </cell>
          <cell r="J171">
            <v>2.4</v>
          </cell>
          <cell r="K171">
            <v>2.8</v>
          </cell>
          <cell r="M171">
            <v>3.4964077719851447</v>
          </cell>
          <cell r="N171">
            <v>4.1259500542888166</v>
          </cell>
          <cell r="O171">
            <v>2.5946796959826277</v>
          </cell>
          <cell r="P171">
            <v>3.4964077719851447</v>
          </cell>
          <cell r="Q171">
            <v>4.1259500542888166</v>
          </cell>
          <cell r="R171">
            <v>3.7037037037037028</v>
          </cell>
          <cell r="S171">
            <v>3.4964077719851447</v>
          </cell>
          <cell r="T171" t="str">
            <v>DEF</v>
          </cell>
          <cell r="U171" t="str">
            <v>LB</v>
          </cell>
          <cell r="V171" t="str">
            <v>AVL</v>
          </cell>
          <cell r="W171" t="str">
            <v>Aston Villa</v>
          </cell>
          <cell r="X171">
            <v>4.5</v>
          </cell>
          <cell r="Y171">
            <v>97</v>
          </cell>
          <cell r="Z171">
            <v>2</v>
          </cell>
          <cell r="AA171">
            <v>95</v>
          </cell>
          <cell r="AB171">
            <v>1842</v>
          </cell>
          <cell r="AC171">
            <v>1842</v>
          </cell>
          <cell r="AD171">
            <v>0.69534050179211471</v>
          </cell>
          <cell r="AE171">
            <v>0</v>
          </cell>
          <cell r="AF171">
            <v>7</v>
          </cell>
          <cell r="AG171">
            <v>-3.2736156351791536E-2</v>
          </cell>
          <cell r="AH171">
            <v>0.18175895765472311</v>
          </cell>
          <cell r="AI171">
            <v>0.14902280130293158</v>
          </cell>
          <cell r="AJ171">
            <v>1.4000000000000012E-2</v>
          </cell>
          <cell r="AK171">
            <v>5</v>
          </cell>
          <cell r="AL171">
            <v>381</v>
          </cell>
          <cell r="AM171">
            <v>3</v>
          </cell>
          <cell r="AN171">
            <v>0</v>
          </cell>
          <cell r="AO171">
            <v>30</v>
          </cell>
          <cell r="AP171" t="str">
            <v>Digne</v>
          </cell>
          <cell r="AQ171">
            <v>3.3441910966340931</v>
          </cell>
          <cell r="AR171">
            <v>0</v>
          </cell>
          <cell r="AS171">
            <v>2.7361563517915308</v>
          </cell>
          <cell r="AT171">
            <v>4.9077090119435391</v>
          </cell>
          <cell r="AU171">
            <v>1.5635179153094461</v>
          </cell>
          <cell r="AV171">
            <v>4.9077090119435391</v>
          </cell>
          <cell r="AW171">
            <v>4.9077090119435391</v>
          </cell>
          <cell r="AX171">
            <v>3.1409337676438651E-2</v>
          </cell>
          <cell r="AY171">
            <v>0</v>
          </cell>
          <cell r="AZ171">
            <v>3.1</v>
          </cell>
          <cell r="BA171">
            <v>97</v>
          </cell>
          <cell r="BB171" t="str">
            <v/>
          </cell>
          <cell r="BC171">
            <v>21</v>
          </cell>
          <cell r="BD171">
            <v>10</v>
          </cell>
          <cell r="BE171">
            <v>0.47619047619047616</v>
          </cell>
          <cell r="BF171">
            <v>80</v>
          </cell>
          <cell r="BG171">
            <v>0.88888888888888884</v>
          </cell>
          <cell r="BH171">
            <v>1</v>
          </cell>
          <cell r="BI171">
            <v>10</v>
          </cell>
          <cell r="BJ171">
            <v>16</v>
          </cell>
          <cell r="BK171">
            <v>7</v>
          </cell>
          <cell r="BL171">
            <v>0.55263157894736847</v>
          </cell>
          <cell r="BM171">
            <v>0.26315789473684209</v>
          </cell>
          <cell r="BN171">
            <v>0.64210526315789473</v>
          </cell>
          <cell r="BO171">
            <v>38</v>
          </cell>
          <cell r="BP171">
            <v>0</v>
          </cell>
          <cell r="BQ171">
            <v>0.53859649122807018</v>
          </cell>
          <cell r="BR171">
            <v>0.67</v>
          </cell>
          <cell r="BS171">
            <v>3.2736156351791536E-2</v>
          </cell>
          <cell r="BT171">
            <v>3.28</v>
          </cell>
          <cell r="BU171">
            <v>0.16026058631921825</v>
          </cell>
          <cell r="BV171">
            <v>0.19299674267100977</v>
          </cell>
          <cell r="BW171">
            <v>0</v>
          </cell>
          <cell r="BX171">
            <v>38</v>
          </cell>
          <cell r="BY171">
            <v>1.4915789473684211</v>
          </cell>
          <cell r="BZ171">
            <v>1.1514210526315787</v>
          </cell>
        </row>
        <row r="172">
          <cell r="A172" t="str">
            <v>Dean Henderson</v>
          </cell>
          <cell r="B172" t="str">
            <v/>
          </cell>
          <cell r="C172" t="str">
            <v>Henderson</v>
          </cell>
          <cell r="D172" t="str">
            <v/>
          </cell>
          <cell r="E172" t="str">
            <v>D Henderson</v>
          </cell>
          <cell r="F172" t="str">
            <v/>
          </cell>
          <cell r="H172" t="str">
            <v/>
          </cell>
          <cell r="I172">
            <v>2</v>
          </cell>
          <cell r="J172">
            <v>2.7666666666666671</v>
          </cell>
          <cell r="K172">
            <v>3.6</v>
          </cell>
          <cell r="M172">
            <v>3.4932585426994245</v>
          </cell>
          <cell r="N172">
            <v>3.5405405405405408</v>
          </cell>
          <cell r="O172">
            <v>2.3243912483912488</v>
          </cell>
          <cell r="P172">
            <v>3.4211933222911792</v>
          </cell>
          <cell r="Q172">
            <v>3.5405405405405408</v>
          </cell>
          <cell r="R172">
            <v>2</v>
          </cell>
          <cell r="S172">
            <v>3.4932585426994245</v>
          </cell>
          <cell r="T172" t="str">
            <v>GK</v>
          </cell>
          <cell r="U172" t="str">
            <v>GK</v>
          </cell>
          <cell r="V172" t="str">
            <v>CRY</v>
          </cell>
          <cell r="W172" t="str">
            <v>Crystal Palace</v>
          </cell>
          <cell r="X172">
            <v>5</v>
          </cell>
          <cell r="Y172">
            <v>131</v>
          </cell>
          <cell r="Z172">
            <v>0</v>
          </cell>
          <cell r="AA172">
            <v>131</v>
          </cell>
          <cell r="AB172">
            <v>3330</v>
          </cell>
          <cell r="AC172">
            <v>3330</v>
          </cell>
          <cell r="AD172">
            <v>0.70810810810810809</v>
          </cell>
          <cell r="AE172">
            <v>0</v>
          </cell>
          <cell r="AF172">
            <v>0</v>
          </cell>
          <cell r="AG172">
            <v>0</v>
          </cell>
          <cell r="AH172">
            <v>-2.972972972972973E-3</v>
          </cell>
          <cell r="AI172">
            <v>-2.972972972972973E-3</v>
          </cell>
          <cell r="AJ172">
            <v>3.0999999999999917E-2</v>
          </cell>
          <cell r="AK172">
            <v>7</v>
          </cell>
          <cell r="AL172">
            <v>538</v>
          </cell>
          <cell r="AM172">
            <v>5</v>
          </cell>
          <cell r="AN172">
            <v>106</v>
          </cell>
          <cell r="AO172">
            <v>198</v>
          </cell>
          <cell r="AP172" t="str">
            <v>Henderson</v>
          </cell>
          <cell r="AQ172">
            <v>1.4864864864864864</v>
          </cell>
          <cell r="AR172">
            <v>0</v>
          </cell>
          <cell r="AS172">
            <v>8.0540540540540544</v>
          </cell>
          <cell r="AT172">
            <v>0</v>
          </cell>
          <cell r="AU172">
            <v>2.7027027027027025E-2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3.5</v>
          </cell>
          <cell r="BA172">
            <v>131</v>
          </cell>
          <cell r="BB172" t="str">
            <v/>
          </cell>
          <cell r="BC172">
            <v>37</v>
          </cell>
          <cell r="BD172">
            <v>37</v>
          </cell>
          <cell r="BE172">
            <v>1</v>
          </cell>
          <cell r="BF172">
            <v>90</v>
          </cell>
          <cell r="BG172">
            <v>1</v>
          </cell>
          <cell r="BH172">
            <v>1</v>
          </cell>
          <cell r="BI172">
            <v>0</v>
          </cell>
          <cell r="BJ172">
            <v>0</v>
          </cell>
          <cell r="BK172">
            <v>0</v>
          </cell>
          <cell r="BL172">
            <v>1</v>
          </cell>
          <cell r="BM172">
            <v>0</v>
          </cell>
          <cell r="BN172">
            <v>1</v>
          </cell>
          <cell r="BO172">
            <v>38</v>
          </cell>
          <cell r="BP172">
            <v>0</v>
          </cell>
          <cell r="BQ172">
            <v>0.97368421052631582</v>
          </cell>
          <cell r="BR172">
            <v>0</v>
          </cell>
          <cell r="BS172">
            <v>0</v>
          </cell>
          <cell r="BT172">
            <v>0.11</v>
          </cell>
          <cell r="BU172">
            <v>2.972972972972973E-3</v>
          </cell>
          <cell r="BV172">
            <v>2.972972972972973E-3</v>
          </cell>
          <cell r="BW172">
            <v>0</v>
          </cell>
          <cell r="BX172">
            <v>38</v>
          </cell>
          <cell r="BY172">
            <v>1.631578947368421</v>
          </cell>
          <cell r="BZ172">
            <v>1.0114210526315788</v>
          </cell>
        </row>
        <row r="173">
          <cell r="A173" t="str">
            <v>Mason Mount</v>
          </cell>
          <cell r="B173" t="str">
            <v/>
          </cell>
          <cell r="C173" t="str">
            <v>Mount</v>
          </cell>
          <cell r="D173" t="str">
            <v/>
          </cell>
          <cell r="F173" t="str">
            <v/>
          </cell>
          <cell r="H173" t="str">
            <v/>
          </cell>
          <cell r="I173">
            <v>1.5</v>
          </cell>
          <cell r="J173">
            <v>2.1666666666666665</v>
          </cell>
          <cell r="K173">
            <v>3.4</v>
          </cell>
          <cell r="M173">
            <v>3.484715935750291</v>
          </cell>
          <cell r="N173">
            <v>3.7425742574257423</v>
          </cell>
          <cell r="O173">
            <v>2.5380162838618889</v>
          </cell>
          <cell r="P173">
            <v>3.484715935750291</v>
          </cell>
          <cell r="Q173">
            <v>3.7425742574257423</v>
          </cell>
          <cell r="R173">
            <v>3.9086294416243654</v>
          </cell>
          <cell r="S173">
            <v>3.484715935750291</v>
          </cell>
          <cell r="T173" t="str">
            <v>MID</v>
          </cell>
          <cell r="U173" t="str">
            <v>AM</v>
          </cell>
          <cell r="V173" t="str">
            <v>MUN</v>
          </cell>
          <cell r="W173" t="str">
            <v>Man Utd</v>
          </cell>
          <cell r="X173">
            <v>5.5</v>
          </cell>
          <cell r="Y173">
            <v>58</v>
          </cell>
          <cell r="Z173">
            <v>4</v>
          </cell>
          <cell r="AA173">
            <v>54</v>
          </cell>
          <cell r="AB173">
            <v>1010</v>
          </cell>
          <cell r="AC173">
            <v>1010</v>
          </cell>
          <cell r="AD173">
            <v>0.45849802371541504</v>
          </cell>
          <cell r="AE173">
            <v>3</v>
          </cell>
          <cell r="AF173">
            <v>0</v>
          </cell>
          <cell r="AG173">
            <v>0.12831683168316832</v>
          </cell>
          <cell r="AH173">
            <v>-0.14435643564356437</v>
          </cell>
          <cell r="AI173">
            <v>-1.6039603960396054E-2</v>
          </cell>
          <cell r="AJ173">
            <v>9.9999999999988987E-4</v>
          </cell>
          <cell r="AK173">
            <v>3</v>
          </cell>
          <cell r="AL173">
            <v>201</v>
          </cell>
          <cell r="AM173">
            <v>2</v>
          </cell>
          <cell r="AN173">
            <v>0</v>
          </cell>
          <cell r="AO173">
            <v>430</v>
          </cell>
          <cell r="AP173" t="str">
            <v>Mount</v>
          </cell>
          <cell r="AQ173">
            <v>1.3168316831683169</v>
          </cell>
          <cell r="AR173">
            <v>0</v>
          </cell>
          <cell r="AS173">
            <v>4.0891089108910892</v>
          </cell>
          <cell r="AT173">
            <v>7.0693069306930703</v>
          </cell>
          <cell r="AU173">
            <v>1.6633663366336635</v>
          </cell>
          <cell r="AV173">
            <v>7.0693069306930703</v>
          </cell>
          <cell r="AW173">
            <v>7.0693069306930703</v>
          </cell>
          <cell r="AX173">
            <v>5.7990099009901055E-2</v>
          </cell>
          <cell r="AY173">
            <v>0</v>
          </cell>
          <cell r="AZ173">
            <v>2.5</v>
          </cell>
          <cell r="BA173">
            <v>58</v>
          </cell>
          <cell r="BB173" t="str">
            <v/>
          </cell>
          <cell r="BC173">
            <v>12</v>
          </cell>
          <cell r="BD173">
            <v>3</v>
          </cell>
          <cell r="BE173">
            <v>0.25</v>
          </cell>
          <cell r="BF173">
            <v>70</v>
          </cell>
          <cell r="BG173">
            <v>0.77777777777777779</v>
          </cell>
          <cell r="BH173">
            <v>1</v>
          </cell>
          <cell r="BI173">
            <v>11</v>
          </cell>
          <cell r="BJ173">
            <v>16</v>
          </cell>
          <cell r="BK173">
            <v>6</v>
          </cell>
          <cell r="BL173">
            <v>0.41379310344827586</v>
          </cell>
          <cell r="BM173">
            <v>0.37931034482758624</v>
          </cell>
          <cell r="BN173">
            <v>0.54778325123152705</v>
          </cell>
          <cell r="BO173">
            <v>38</v>
          </cell>
          <cell r="BP173">
            <v>0</v>
          </cell>
          <cell r="BQ173">
            <v>0.2953216374269006</v>
          </cell>
          <cell r="BR173">
            <v>1.56</v>
          </cell>
          <cell r="BS173">
            <v>0.13900990099009902</v>
          </cell>
          <cell r="BT173">
            <v>1.62</v>
          </cell>
          <cell r="BU173">
            <v>0.14435643564356437</v>
          </cell>
          <cell r="BV173">
            <v>0.2833663366336634</v>
          </cell>
          <cell r="BW173">
            <v>0</v>
          </cell>
          <cell r="BX173">
            <v>38</v>
          </cell>
          <cell r="BY173">
            <v>1.3231578947368421</v>
          </cell>
          <cell r="BZ173">
            <v>1.3198421052631577</v>
          </cell>
        </row>
        <row r="174">
          <cell r="A174" t="str">
            <v>Ferdi Kadıoğlu</v>
          </cell>
          <cell r="B174" t="str">
            <v/>
          </cell>
          <cell r="C174" t="str">
            <v>F.Kadıoğlu</v>
          </cell>
          <cell r="D174" t="str">
            <v/>
          </cell>
          <cell r="E174" t="str">
            <v>Ferdi Kadioglu</v>
          </cell>
          <cell r="F174" t="str">
            <v/>
          </cell>
          <cell r="H174" t="str">
            <v/>
          </cell>
          <cell r="I174">
            <v>3.2</v>
          </cell>
          <cell r="J174">
            <v>3.2</v>
          </cell>
          <cell r="K174">
            <v>3.2</v>
          </cell>
          <cell r="M174">
            <v>3.4783527739912481</v>
          </cell>
          <cell r="N174">
            <v>3.1846645367412143</v>
          </cell>
          <cell r="O174">
            <v>2.6768719204827836</v>
          </cell>
          <cell r="P174">
            <v>3.4783527739912481</v>
          </cell>
          <cell r="Q174">
            <v>3.1846645367412143</v>
          </cell>
          <cell r="R174">
            <v>4.2851851851851848</v>
          </cell>
          <cell r="S174">
            <v>3.4783527739912481</v>
          </cell>
          <cell r="T174" t="str">
            <v>DEF</v>
          </cell>
          <cell r="U174" t="str">
            <v>LB</v>
          </cell>
          <cell r="V174" t="str">
            <v>BHA</v>
          </cell>
          <cell r="W174" t="str">
            <v>Brighton</v>
          </cell>
          <cell r="X174">
            <v>4.5</v>
          </cell>
          <cell r="Y174">
            <v>118</v>
          </cell>
          <cell r="Z174">
            <v>6</v>
          </cell>
          <cell r="AA174">
            <v>112</v>
          </cell>
          <cell r="AB174">
            <v>3130</v>
          </cell>
          <cell r="AC174">
            <v>3130</v>
          </cell>
          <cell r="AD174">
            <v>0.70870870870870872</v>
          </cell>
          <cell r="AE174">
            <v>1</v>
          </cell>
          <cell r="AF174">
            <v>2</v>
          </cell>
          <cell r="AG174">
            <v>-3.0479233226837061E-2</v>
          </cell>
          <cell r="AH174">
            <v>-3.7667731629392971E-2</v>
          </cell>
          <cell r="AI174">
            <v>-6.814696485623005E-2</v>
          </cell>
          <cell r="AJ174">
            <v>2.8999999999999915E-2</v>
          </cell>
          <cell r="AK174">
            <v>7</v>
          </cell>
          <cell r="AL174">
            <v>514</v>
          </cell>
          <cell r="AM174">
            <v>6</v>
          </cell>
          <cell r="AN174">
            <v>0</v>
          </cell>
          <cell r="AO174">
            <v>113</v>
          </cell>
          <cell r="AP174" t="str">
            <v>F.Kadıoğlu</v>
          </cell>
          <cell r="AQ174">
            <v>3.2130990415335465</v>
          </cell>
          <cell r="AR174">
            <v>0</v>
          </cell>
          <cell r="AS174">
            <v>3.6964856230031948</v>
          </cell>
          <cell r="AT174">
            <v>4.8338658146964857</v>
          </cell>
          <cell r="AU174">
            <v>1.6207667731629394</v>
          </cell>
          <cell r="AV174">
            <v>4.8338658146964857</v>
          </cell>
          <cell r="AW174">
            <v>4.8338658146964857</v>
          </cell>
          <cell r="AX174">
            <v>3.0936741214057508E-2</v>
          </cell>
          <cell r="AY174">
            <v>0</v>
          </cell>
          <cell r="AZ174">
            <v>3.2</v>
          </cell>
          <cell r="BA174">
            <v>118</v>
          </cell>
          <cell r="BB174" t="str">
            <v/>
          </cell>
          <cell r="BC174">
            <v>34</v>
          </cell>
          <cell r="BD174">
            <v>30</v>
          </cell>
          <cell r="BE174">
            <v>0.88235294117647056</v>
          </cell>
          <cell r="BF174">
            <v>89</v>
          </cell>
          <cell r="BG174">
            <v>0.98888888888888893</v>
          </cell>
          <cell r="BH174">
            <v>1</v>
          </cell>
          <cell r="BI174">
            <v>3</v>
          </cell>
          <cell r="BJ174">
            <v>38</v>
          </cell>
          <cell r="BK174">
            <v>1</v>
          </cell>
          <cell r="BL174">
            <v>0.89473684210526316</v>
          </cell>
          <cell r="BM174">
            <v>7.8947368421052627E-2</v>
          </cell>
          <cell r="BN174">
            <v>0.93968066232998226</v>
          </cell>
          <cell r="BO174">
            <v>38</v>
          </cell>
          <cell r="BP174">
            <v>0</v>
          </cell>
          <cell r="BQ174">
            <v>0.91520467836257313</v>
          </cell>
          <cell r="BR174">
            <v>2.06</v>
          </cell>
          <cell r="BS174">
            <v>5.9233226837060705E-2</v>
          </cell>
          <cell r="BT174">
            <v>3.31</v>
          </cell>
          <cell r="BU174">
            <v>9.517571884984026E-2</v>
          </cell>
          <cell r="BV174">
            <v>0.15440894568690097</v>
          </cell>
          <cell r="BW174">
            <v>0</v>
          </cell>
          <cell r="BX174">
            <v>38</v>
          </cell>
          <cell r="BY174">
            <v>1.4144736842105263</v>
          </cell>
          <cell r="BZ174">
            <v>1.2285263157894735</v>
          </cell>
        </row>
        <row r="175">
          <cell r="A175" t="str">
            <v>James Justin</v>
          </cell>
          <cell r="B175" t="str">
            <v/>
          </cell>
          <cell r="C175" t="str">
            <v>Justin</v>
          </cell>
          <cell r="D175" t="str">
            <v/>
          </cell>
          <cell r="F175" t="str">
            <v/>
          </cell>
          <cell r="H175" t="str">
            <v/>
          </cell>
          <cell r="I175" t="e">
            <v>#N/A</v>
          </cell>
          <cell r="J175" t="e">
            <v>#N/A</v>
          </cell>
          <cell r="K175" t="e">
            <v>#N/A</v>
          </cell>
          <cell r="M175">
            <v>3.471516609727006</v>
          </cell>
          <cell r="N175">
            <v>4.2704701531959852</v>
          </cell>
          <cell r="O175">
            <v>2.5211324000704352</v>
          </cell>
          <cell r="P175">
            <v>3.471516609727006</v>
          </cell>
          <cell r="Q175">
            <v>4.2704701531959852</v>
          </cell>
          <cell r="R175">
            <v>5.0962962962962974</v>
          </cell>
          <cell r="S175">
            <v>3.471516609727006</v>
          </cell>
          <cell r="T175" t="str">
            <v>DEF</v>
          </cell>
          <cell r="U175" t="str">
            <v>RB</v>
          </cell>
          <cell r="V175" t="str">
            <v>LEE</v>
          </cell>
          <cell r="W175" t="str">
            <v>Leeds</v>
          </cell>
          <cell r="X175">
            <v>4.5</v>
          </cell>
          <cell r="Y175">
            <v>94</v>
          </cell>
          <cell r="Z175">
            <v>0</v>
          </cell>
          <cell r="AA175">
            <v>94</v>
          </cell>
          <cell r="AB175">
            <v>1893</v>
          </cell>
          <cell r="AC175">
            <v>1893</v>
          </cell>
          <cell r="AD175">
            <v>0.72030651340996166</v>
          </cell>
          <cell r="AE175">
            <v>2</v>
          </cell>
          <cell r="AF175">
            <v>1</v>
          </cell>
          <cell r="AG175">
            <v>8.0824088748018968E-3</v>
          </cell>
          <cell r="AH175">
            <v>-7.6069730586370843E-3</v>
          </cell>
          <cell r="AI175">
            <v>4.7543581616479869E-4</v>
          </cell>
          <cell r="AJ175">
            <v>6.0000000000000053E-3</v>
          </cell>
          <cell r="AK175">
            <v>9</v>
          </cell>
          <cell r="AL175">
            <v>338</v>
          </cell>
          <cell r="AM175">
            <v>4</v>
          </cell>
          <cell r="AN175">
            <v>0</v>
          </cell>
          <cell r="AO175">
            <v>332</v>
          </cell>
          <cell r="AP175" t="str">
            <v>Justin</v>
          </cell>
          <cell r="AQ175">
            <v>5.8151082937136822</v>
          </cell>
          <cell r="AR175">
            <v>0</v>
          </cell>
          <cell r="AS175">
            <v>3.1801373481246702</v>
          </cell>
          <cell r="AT175">
            <v>8.3137876386687797</v>
          </cell>
          <cell r="AU175">
            <v>2.4986793449550979</v>
          </cell>
          <cell r="AV175">
            <v>8.3137876386687797</v>
          </cell>
          <cell r="AW175">
            <v>8.3137876386687797</v>
          </cell>
          <cell r="AX175">
            <v>0.32896830427892232</v>
          </cell>
          <cell r="AY175">
            <v>0</v>
          </cell>
          <cell r="AZ175">
            <v>3.2</v>
          </cell>
          <cell r="BA175">
            <v>94</v>
          </cell>
          <cell r="BB175" t="str">
            <v/>
          </cell>
          <cell r="BC175">
            <v>21</v>
          </cell>
          <cell r="BD175">
            <v>17</v>
          </cell>
          <cell r="BE175">
            <v>0.80952380952380953</v>
          </cell>
          <cell r="BF175">
            <v>86</v>
          </cell>
          <cell r="BG175">
            <v>0.9555555555555556</v>
          </cell>
          <cell r="BH175">
            <v>1</v>
          </cell>
          <cell r="BI175">
            <v>8</v>
          </cell>
          <cell r="BJ175">
            <v>12</v>
          </cell>
          <cell r="BK175">
            <v>7</v>
          </cell>
          <cell r="BL175">
            <v>0.58333333333333337</v>
          </cell>
          <cell r="BM175">
            <v>0.22222222222222221</v>
          </cell>
          <cell r="BN175">
            <v>0.64147286821705429</v>
          </cell>
          <cell r="BO175">
            <v>38</v>
          </cell>
          <cell r="BP175">
            <v>0</v>
          </cell>
          <cell r="BQ175">
            <v>0.55350877192982462</v>
          </cell>
          <cell r="BR175">
            <v>1.83</v>
          </cell>
          <cell r="BS175">
            <v>8.7004754358161657E-2</v>
          </cell>
          <cell r="BT175">
            <v>1.1599999999999999</v>
          </cell>
          <cell r="BU175">
            <v>5.5150554675118861E-2</v>
          </cell>
          <cell r="BV175">
            <v>0.14215530903328052</v>
          </cell>
          <cell r="BW175">
            <v>0</v>
          </cell>
          <cell r="BX175">
            <v>38</v>
          </cell>
          <cell r="BY175">
            <v>1.4823684210526316</v>
          </cell>
          <cell r="BZ175">
            <v>1.1606315789473682</v>
          </cell>
        </row>
        <row r="176">
          <cell r="A176" t="str">
            <v>Emile Smith Rowe</v>
          </cell>
          <cell r="B176" t="str">
            <v/>
          </cell>
          <cell r="C176" t="str">
            <v>Smith Rowe</v>
          </cell>
          <cell r="D176" t="str">
            <v/>
          </cell>
          <cell r="F176" t="str">
            <v/>
          </cell>
          <cell r="H176" t="str">
            <v/>
          </cell>
          <cell r="I176">
            <v>1.5</v>
          </cell>
          <cell r="J176">
            <v>2.2666666666666666</v>
          </cell>
          <cell r="K176">
            <v>3.4</v>
          </cell>
          <cell r="M176">
            <v>3.4668132600554338</v>
          </cell>
          <cell r="N176">
            <v>3.0591932949188059</v>
          </cell>
          <cell r="O176">
            <v>2.4821468948821885</v>
          </cell>
          <cell r="P176">
            <v>3.4480123435013783</v>
          </cell>
          <cell r="Q176">
            <v>3.0591932949188059</v>
          </cell>
          <cell r="R176">
            <v>2.4805825242718447</v>
          </cell>
          <cell r="S176">
            <v>3.4668132600554338</v>
          </cell>
          <cell r="T176" t="str">
            <v>MID</v>
          </cell>
          <cell r="U176" t="str">
            <v>AM</v>
          </cell>
          <cell r="V176" t="str">
            <v>FUL</v>
          </cell>
          <cell r="W176" t="str">
            <v>Fulham</v>
          </cell>
          <cell r="X176">
            <v>5.5</v>
          </cell>
          <cell r="Y176">
            <v>80</v>
          </cell>
          <cell r="Z176">
            <v>0</v>
          </cell>
          <cell r="AA176">
            <v>80</v>
          </cell>
          <cell r="AB176">
            <v>1909</v>
          </cell>
          <cell r="AC176">
            <v>1909</v>
          </cell>
          <cell r="AD176">
            <v>0.39312039312039315</v>
          </cell>
          <cell r="AE176">
            <v>3</v>
          </cell>
          <cell r="AF176">
            <v>1</v>
          </cell>
          <cell r="AG176">
            <v>-8.0618124672603431E-2</v>
          </cell>
          <cell r="AH176">
            <v>-5.6574122577265629E-3</v>
          </cell>
          <cell r="AI176">
            <v>-8.6275536930329993E-2</v>
          </cell>
          <cell r="AJ176">
            <v>4.0000000000000036E-3</v>
          </cell>
          <cell r="AK176">
            <v>1</v>
          </cell>
          <cell r="AL176">
            <v>351</v>
          </cell>
          <cell r="AM176">
            <v>1</v>
          </cell>
          <cell r="AN176">
            <v>0</v>
          </cell>
          <cell r="AO176">
            <v>262</v>
          </cell>
          <cell r="AP176" t="str">
            <v>Smith Rowe</v>
          </cell>
          <cell r="AQ176">
            <v>1.606076479832373</v>
          </cell>
          <cell r="AR176">
            <v>0</v>
          </cell>
          <cell r="AS176">
            <v>2.7150340492404399</v>
          </cell>
          <cell r="AT176">
            <v>5.6595075955997913</v>
          </cell>
          <cell r="AU176">
            <v>1.3383970665269775</v>
          </cell>
          <cell r="AV176">
            <v>5.6595075955997913</v>
          </cell>
          <cell r="AW176">
            <v>5.6595075955997913</v>
          </cell>
          <cell r="AX176">
            <v>4.2850557509541282E-2</v>
          </cell>
          <cell r="AY176">
            <v>0</v>
          </cell>
          <cell r="AZ176">
            <v>2.2000000000000002</v>
          </cell>
          <cell r="BA176">
            <v>80</v>
          </cell>
          <cell r="BB176" t="str">
            <v/>
          </cell>
          <cell r="BC176">
            <v>22</v>
          </cell>
          <cell r="BD176">
            <v>1</v>
          </cell>
          <cell r="BE176">
            <v>4.5454545454545456E-2</v>
          </cell>
          <cell r="BF176">
            <v>73</v>
          </cell>
          <cell r="BG176">
            <v>0.81111111111111112</v>
          </cell>
          <cell r="BH176">
            <v>1</v>
          </cell>
          <cell r="BI176">
            <v>15</v>
          </cell>
          <cell r="BJ176">
            <v>21</v>
          </cell>
          <cell r="BK176">
            <v>0</v>
          </cell>
          <cell r="BL176">
            <v>0.59459459459459463</v>
          </cell>
          <cell r="BM176">
            <v>0.40540540540540537</v>
          </cell>
          <cell r="BN176">
            <v>0.71121806738245097</v>
          </cell>
          <cell r="BO176">
            <v>38</v>
          </cell>
          <cell r="BP176">
            <v>0</v>
          </cell>
          <cell r="BQ176">
            <v>0.55818713450292401</v>
          </cell>
          <cell r="BR176">
            <v>4.71</v>
          </cell>
          <cell r="BS176">
            <v>0.22205343111576739</v>
          </cell>
          <cell r="BT176">
            <v>1.1200000000000001</v>
          </cell>
          <cell r="BU176">
            <v>5.2802514405447885E-2</v>
          </cell>
          <cell r="BV176">
            <v>0.27485594552121528</v>
          </cell>
          <cell r="BW176">
            <v>0</v>
          </cell>
          <cell r="BX176">
            <v>38</v>
          </cell>
          <cell r="BY176">
            <v>1.6842105263157894</v>
          </cell>
          <cell r="BZ176">
            <v>0.95878947368421041</v>
          </cell>
        </row>
        <row r="177">
          <cell r="A177" t="str">
            <v>Malo Gusto</v>
          </cell>
          <cell r="B177" t="str">
            <v/>
          </cell>
          <cell r="C177" t="str">
            <v>Gusto</v>
          </cell>
          <cell r="D177" t="str">
            <v/>
          </cell>
          <cell r="F177" t="str">
            <v/>
          </cell>
          <cell r="H177" t="str">
            <v/>
          </cell>
          <cell r="I177">
            <v>1.9</v>
          </cell>
          <cell r="J177">
            <v>2.2999999999999998</v>
          </cell>
          <cell r="K177">
            <v>2.7</v>
          </cell>
          <cell r="M177">
            <v>3.4621763307702276</v>
          </cell>
          <cell r="N177">
            <v>3.4057649667405756</v>
          </cell>
          <cell r="O177">
            <v>2.5278607787439422</v>
          </cell>
          <cell r="P177">
            <v>3.5774806834234196</v>
          </cell>
          <cell r="Q177">
            <v>3.4057649667405756</v>
          </cell>
          <cell r="R177">
            <v>0.73732718894009208</v>
          </cell>
          <cell r="S177">
            <v>3.4621763307702276</v>
          </cell>
          <cell r="T177" t="str">
            <v>DEF</v>
          </cell>
          <cell r="U177" t="str">
            <v>RB</v>
          </cell>
          <cell r="V177" t="str">
            <v>CHE</v>
          </cell>
          <cell r="W177" t="str">
            <v>Chelsea</v>
          </cell>
          <cell r="X177">
            <v>5</v>
          </cell>
          <cell r="Y177">
            <v>95.999999999999986</v>
          </cell>
          <cell r="Z177">
            <v>0</v>
          </cell>
          <cell r="AA177">
            <v>95.999999999999986</v>
          </cell>
          <cell r="AB177">
            <v>2255</v>
          </cell>
          <cell r="AC177">
            <v>2255</v>
          </cell>
          <cell r="AD177">
            <v>0.56470588235294117</v>
          </cell>
          <cell r="AE177">
            <v>2</v>
          </cell>
          <cell r="AF177">
            <v>3</v>
          </cell>
          <cell r="AG177">
            <v>1.7560975609756092E-2</v>
          </cell>
          <cell r="AH177">
            <v>1.1973392461197274E-3</v>
          </cell>
          <cell r="AI177">
            <v>1.8758314855875813E-2</v>
          </cell>
          <cell r="AJ177">
            <v>1.2000000000000011E-2</v>
          </cell>
          <cell r="AK177">
            <v>7</v>
          </cell>
          <cell r="AL177">
            <v>406</v>
          </cell>
          <cell r="AM177">
            <v>3</v>
          </cell>
          <cell r="AN177">
            <v>0</v>
          </cell>
          <cell r="AO177">
            <v>144</v>
          </cell>
          <cell r="AP177" t="str">
            <v>Gusto</v>
          </cell>
          <cell r="AQ177">
            <v>2.6252771618625275</v>
          </cell>
          <cell r="AR177">
            <v>0</v>
          </cell>
          <cell r="AS177">
            <v>4.3636363636363633</v>
          </cell>
          <cell r="AT177">
            <v>4.4700665188470063</v>
          </cell>
          <cell r="AU177">
            <v>1.8447893569844787</v>
          </cell>
          <cell r="AV177">
            <v>4.4700665188470063</v>
          </cell>
          <cell r="AW177">
            <v>4.4700665188470063</v>
          </cell>
          <cell r="AX177">
            <v>2.8608425720620841E-2</v>
          </cell>
          <cell r="AY177">
            <v>0</v>
          </cell>
          <cell r="AZ177">
            <v>2.8</v>
          </cell>
          <cell r="BA177">
            <v>95.999999999999986</v>
          </cell>
          <cell r="BB177" t="str">
            <v/>
          </cell>
          <cell r="BC177">
            <v>26</v>
          </cell>
          <cell r="BD177">
            <v>10</v>
          </cell>
          <cell r="BE177">
            <v>0.38461538461538464</v>
          </cell>
          <cell r="BF177">
            <v>80</v>
          </cell>
          <cell r="BG177">
            <v>0.88888888888888884</v>
          </cell>
          <cell r="BH177">
            <v>1</v>
          </cell>
          <cell r="BI177">
            <v>8</v>
          </cell>
          <cell r="BJ177">
            <v>24</v>
          </cell>
          <cell r="BK177">
            <v>1</v>
          </cell>
          <cell r="BL177">
            <v>0.74285714285714288</v>
          </cell>
          <cell r="BM177">
            <v>0.22857142857142854</v>
          </cell>
          <cell r="BN177">
            <v>0.82</v>
          </cell>
          <cell r="BO177">
            <v>38</v>
          </cell>
          <cell r="BP177">
            <v>0</v>
          </cell>
          <cell r="BQ177">
            <v>0.65935672514619881</v>
          </cell>
          <cell r="BR177">
            <v>1.56</v>
          </cell>
          <cell r="BS177">
            <v>6.2261640798226166E-2</v>
          </cell>
          <cell r="BT177">
            <v>2.97</v>
          </cell>
          <cell r="BU177">
            <v>0.11853658536585367</v>
          </cell>
          <cell r="BV177">
            <v>0.18079822616407984</v>
          </cell>
          <cell r="BW177">
            <v>0</v>
          </cell>
          <cell r="BX177">
            <v>38</v>
          </cell>
          <cell r="BY177">
            <v>1.4473684210526316</v>
          </cell>
          <cell r="BZ177">
            <v>1.1956315789473682</v>
          </cell>
        </row>
        <row r="178">
          <cell r="A178" t="str">
            <v>Tyrique George</v>
          </cell>
          <cell r="B178" t="str">
            <v/>
          </cell>
          <cell r="C178" t="str">
            <v>George</v>
          </cell>
          <cell r="D178" t="str">
            <v/>
          </cell>
          <cell r="F178" t="str">
            <v/>
          </cell>
          <cell r="H178" t="str">
            <v/>
          </cell>
          <cell r="I178">
            <v>0</v>
          </cell>
          <cell r="J178">
            <v>1.05</v>
          </cell>
          <cell r="K178">
            <v>2.1</v>
          </cell>
          <cell r="M178">
            <v>3.4587988734343025</v>
          </cell>
          <cell r="N178">
            <v>2.7806267806267813</v>
          </cell>
          <cell r="O178">
            <v>5.035936182336183</v>
          </cell>
          <cell r="P178">
            <v>3.4587988734343025</v>
          </cell>
          <cell r="Q178">
            <v>2.7806267806267813</v>
          </cell>
          <cell r="R178">
            <v>3.3888888888888893</v>
          </cell>
          <cell r="S178">
            <v>3.4587988734343025</v>
          </cell>
          <cell r="T178" t="str">
            <v>MID</v>
          </cell>
          <cell r="U178" t="str">
            <v>LW</v>
          </cell>
          <cell r="V178" t="str">
            <v>EVE</v>
          </cell>
          <cell r="W178" t="str">
            <v>Everton</v>
          </cell>
          <cell r="X178">
            <v>5.5</v>
          </cell>
          <cell r="Y178">
            <v>16</v>
          </cell>
          <cell r="Z178">
            <v>0</v>
          </cell>
          <cell r="AA178">
            <v>16</v>
          </cell>
          <cell r="AB178">
            <v>351</v>
          </cell>
          <cell r="AC178">
            <v>351</v>
          </cell>
          <cell r="AD178">
            <v>0.26446280991735538</v>
          </cell>
          <cell r="AE178">
            <v>0</v>
          </cell>
          <cell r="AF178">
            <v>0</v>
          </cell>
          <cell r="AG178">
            <v>-0.1641025641025641</v>
          </cell>
          <cell r="AH178">
            <v>-0.3051282051282051</v>
          </cell>
          <cell r="AI178">
            <v>-0.46923076923076923</v>
          </cell>
          <cell r="AJ178">
            <v>9.9999999999988987E-4</v>
          </cell>
          <cell r="AK178">
            <v>0</v>
          </cell>
          <cell r="AL178">
            <v>55</v>
          </cell>
          <cell r="AM178">
            <v>2</v>
          </cell>
          <cell r="AN178">
            <v>0</v>
          </cell>
          <cell r="AO178">
            <v>242</v>
          </cell>
          <cell r="AP178" t="str">
            <v>George</v>
          </cell>
          <cell r="AQ178">
            <v>0.34757834757834766</v>
          </cell>
          <cell r="AR178">
            <v>0</v>
          </cell>
          <cell r="AS178">
            <v>2.4330484330484334</v>
          </cell>
          <cell r="AT178">
            <v>3.9971509971509969</v>
          </cell>
          <cell r="AU178">
            <v>1.2165242165242167</v>
          </cell>
          <cell r="AV178">
            <v>3.9971509971509969</v>
          </cell>
          <cell r="AW178">
            <v>3.9971509971509969</v>
          </cell>
          <cell r="AX178">
            <v>3.0264143264143263E-2</v>
          </cell>
          <cell r="AY178">
            <v>0</v>
          </cell>
          <cell r="AZ178">
            <v>1.1000000000000001</v>
          </cell>
          <cell r="BA178">
            <v>16</v>
          </cell>
          <cell r="BB178" t="str">
            <v/>
          </cell>
          <cell r="BC178">
            <v>1</v>
          </cell>
          <cell r="BD178">
            <v>0</v>
          </cell>
          <cell r="BE178">
            <v>0</v>
          </cell>
          <cell r="BF178">
            <v>61</v>
          </cell>
          <cell r="BG178">
            <v>0.67777777777777781</v>
          </cell>
          <cell r="BH178">
            <v>1</v>
          </cell>
          <cell r="BI178">
            <v>10</v>
          </cell>
          <cell r="BJ178">
            <v>16</v>
          </cell>
          <cell r="BK178">
            <v>2</v>
          </cell>
          <cell r="BL178">
            <v>7.6923076923076927E-2</v>
          </cell>
          <cell r="BM178">
            <v>0.76923076923076927</v>
          </cell>
          <cell r="BN178">
            <v>0.31904161412358134</v>
          </cell>
          <cell r="BO178">
            <v>38</v>
          </cell>
          <cell r="BP178">
            <v>0</v>
          </cell>
          <cell r="BQ178">
            <v>0.10263157894736842</v>
          </cell>
          <cell r="BR178">
            <v>0.64</v>
          </cell>
          <cell r="BS178">
            <v>0.1641025641025641</v>
          </cell>
          <cell r="BT178">
            <v>1.19</v>
          </cell>
          <cell r="BU178">
            <v>0.3051282051282051</v>
          </cell>
          <cell r="BV178">
            <v>0.46923076923076923</v>
          </cell>
          <cell r="BW178">
            <v>0</v>
          </cell>
          <cell r="BX178">
            <v>38</v>
          </cell>
          <cell r="BY178">
            <v>1.5786842105263159</v>
          </cell>
          <cell r="BZ178">
            <v>1.0643157894736839</v>
          </cell>
        </row>
        <row r="179">
          <cell r="A179" t="str">
            <v>Marcos Senesi Barón</v>
          </cell>
          <cell r="B179" t="str">
            <v/>
          </cell>
          <cell r="C179" t="str">
            <v>Senesi</v>
          </cell>
          <cell r="D179" t="str">
            <v/>
          </cell>
          <cell r="E179" t="str">
            <v>Marcos Senesi</v>
          </cell>
          <cell r="F179" t="str">
            <v/>
          </cell>
          <cell r="H179" t="str">
            <v/>
          </cell>
          <cell r="I179">
            <v>1.8</v>
          </cell>
          <cell r="J179">
            <v>2.4333333333333331</v>
          </cell>
          <cell r="K179">
            <v>3.3</v>
          </cell>
          <cell r="M179">
            <v>3.4586100220665195</v>
          </cell>
          <cell r="N179">
            <v>3.2752433090024327</v>
          </cell>
          <cell r="O179">
            <v>2.4538342254663421</v>
          </cell>
          <cell r="P179">
            <v>3.5022187195443295</v>
          </cell>
          <cell r="Q179">
            <v>3.2752433090024327</v>
          </cell>
          <cell r="R179">
            <v>5.6037037037037036</v>
          </cell>
          <cell r="S179">
            <v>3.4586100220665195</v>
          </cell>
          <cell r="T179" t="str">
            <v>DEF</v>
          </cell>
          <cell r="U179" t="str">
            <v>CB</v>
          </cell>
          <cell r="V179" t="str">
            <v>TOT</v>
          </cell>
          <cell r="W179" t="str">
            <v>Spurs</v>
          </cell>
          <cell r="X179">
            <v>6</v>
          </cell>
          <cell r="Y179">
            <v>175</v>
          </cell>
          <cell r="Z179">
            <v>54</v>
          </cell>
          <cell r="AA179">
            <v>121</v>
          </cell>
          <cell r="AB179">
            <v>3288</v>
          </cell>
          <cell r="AC179">
            <v>3288</v>
          </cell>
          <cell r="AD179">
            <v>0.78828828828828834</v>
          </cell>
          <cell r="AE179">
            <v>0</v>
          </cell>
          <cell r="AF179">
            <v>6</v>
          </cell>
          <cell r="AG179">
            <v>-4.1879562043795622E-2</v>
          </cell>
          <cell r="AH179">
            <v>3.503649635036496E-2</v>
          </cell>
          <cell r="AI179">
            <v>-6.8430656934306555E-3</v>
          </cell>
          <cell r="AJ179">
            <v>0.14100000000000001</v>
          </cell>
          <cell r="AK179">
            <v>14</v>
          </cell>
          <cell r="AL179">
            <v>571</v>
          </cell>
          <cell r="AM179">
            <v>8</v>
          </cell>
          <cell r="AN179">
            <v>0</v>
          </cell>
          <cell r="AO179">
            <v>498</v>
          </cell>
          <cell r="AP179" t="str">
            <v>Senesi</v>
          </cell>
          <cell r="AQ179">
            <v>9.6633211678832129</v>
          </cell>
          <cell r="AR179">
            <v>0</v>
          </cell>
          <cell r="AS179">
            <v>4.1955596107055957</v>
          </cell>
          <cell r="AT179">
            <v>11.341545012165449</v>
          </cell>
          <cell r="AU179">
            <v>1.6782238442822386</v>
          </cell>
          <cell r="AV179">
            <v>11.341545012165449</v>
          </cell>
          <cell r="AW179">
            <v>11.341545012165449</v>
          </cell>
          <cell r="AX179">
            <v>0.68213967457420921</v>
          </cell>
          <cell r="AY179">
            <v>0.36</v>
          </cell>
          <cell r="AZ179">
            <v>4.7</v>
          </cell>
          <cell r="BA179">
            <v>175</v>
          </cell>
          <cell r="BB179" t="str">
            <v/>
          </cell>
          <cell r="BC179">
            <v>37</v>
          </cell>
          <cell r="BD179">
            <v>35</v>
          </cell>
          <cell r="BE179">
            <v>0.94594594594594594</v>
          </cell>
          <cell r="BF179">
            <v>89</v>
          </cell>
          <cell r="BG179">
            <v>0.98888888888888893</v>
          </cell>
          <cell r="BH179">
            <v>1</v>
          </cell>
          <cell r="BI179">
            <v>0</v>
          </cell>
          <cell r="BJ179">
            <v>0</v>
          </cell>
          <cell r="BK179">
            <v>0</v>
          </cell>
          <cell r="BL179">
            <v>1</v>
          </cell>
          <cell r="BM179">
            <v>0</v>
          </cell>
          <cell r="BN179">
            <v>1</v>
          </cell>
          <cell r="BO179">
            <v>38</v>
          </cell>
          <cell r="BP179">
            <v>0</v>
          </cell>
          <cell r="BQ179">
            <v>0.96140350877192982</v>
          </cell>
          <cell r="BR179">
            <v>1.53</v>
          </cell>
          <cell r="BS179">
            <v>4.1879562043795622E-2</v>
          </cell>
          <cell r="BT179">
            <v>4.72</v>
          </cell>
          <cell r="BU179">
            <v>0.1291970802919708</v>
          </cell>
          <cell r="BV179">
            <v>0.17107664233576642</v>
          </cell>
          <cell r="BW179">
            <v>0</v>
          </cell>
          <cell r="BX179">
            <v>38</v>
          </cell>
          <cell r="BY179">
            <v>1.4628947368421052</v>
          </cell>
          <cell r="BZ179">
            <v>1.1801052631578945</v>
          </cell>
        </row>
        <row r="180">
          <cell r="A180" t="str">
            <v>Matz Sels</v>
          </cell>
          <cell r="B180" t="str">
            <v/>
          </cell>
          <cell r="C180" t="str">
            <v>Sels</v>
          </cell>
          <cell r="D180" t="str">
            <v/>
          </cell>
          <cell r="F180" t="str">
            <v/>
          </cell>
          <cell r="H180" t="str">
            <v/>
          </cell>
          <cell r="I180">
            <v>2.1</v>
          </cell>
          <cell r="J180">
            <v>3</v>
          </cell>
          <cell r="K180">
            <v>3.9</v>
          </cell>
          <cell r="M180">
            <v>3.4539733487796411</v>
          </cell>
          <cell r="N180">
            <v>3.5039370078740157</v>
          </cell>
          <cell r="O180">
            <v>2.5596044244469445</v>
          </cell>
          <cell r="P180">
            <v>3.4539733487796411</v>
          </cell>
          <cell r="Q180">
            <v>3.5039370078740157</v>
          </cell>
          <cell r="R180">
            <v>4.1203703703703702</v>
          </cell>
          <cell r="S180">
            <v>3.4539733487796411</v>
          </cell>
          <cell r="T180" t="str">
            <v>GK</v>
          </cell>
          <cell r="U180" t="str">
            <v>GK</v>
          </cell>
          <cell r="V180" t="str">
            <v>NFO</v>
          </cell>
          <cell r="W180" t="str">
            <v>Nott'm Forest</v>
          </cell>
          <cell r="X180">
            <v>5</v>
          </cell>
          <cell r="Y180">
            <v>105</v>
          </cell>
          <cell r="Z180">
            <v>0</v>
          </cell>
          <cell r="AA180">
            <v>105</v>
          </cell>
          <cell r="AB180">
            <v>2667</v>
          </cell>
          <cell r="AC180">
            <v>2667</v>
          </cell>
          <cell r="AD180">
            <v>0.67741935483870974</v>
          </cell>
          <cell r="AE180">
            <v>0</v>
          </cell>
          <cell r="AF180">
            <v>0</v>
          </cell>
          <cell r="AG180">
            <v>0</v>
          </cell>
          <cell r="AH180">
            <v>-2.0247469066366703E-3</v>
          </cell>
          <cell r="AI180">
            <v>-2.0247469066366703E-3</v>
          </cell>
          <cell r="AJ180">
            <v>1.4999999999999902E-2</v>
          </cell>
          <cell r="AK180">
            <v>3</v>
          </cell>
          <cell r="AL180">
            <v>431</v>
          </cell>
          <cell r="AM180">
            <v>2</v>
          </cell>
          <cell r="AN180">
            <v>95</v>
          </cell>
          <cell r="AO180">
            <v>467</v>
          </cell>
          <cell r="AP180" t="str">
            <v>Sels</v>
          </cell>
          <cell r="AQ180">
            <v>0.86764154480689915</v>
          </cell>
          <cell r="AR180">
            <v>0</v>
          </cell>
          <cell r="AS180">
            <v>6.574053243344582</v>
          </cell>
          <cell r="AT180">
            <v>0</v>
          </cell>
          <cell r="AU180">
            <v>3.3370828646419201E-2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3.4</v>
          </cell>
          <cell r="BA180">
            <v>105</v>
          </cell>
          <cell r="BB180" t="str">
            <v/>
          </cell>
          <cell r="BC180">
            <v>30</v>
          </cell>
          <cell r="BD180">
            <v>29</v>
          </cell>
          <cell r="BE180">
            <v>0.96666666666666667</v>
          </cell>
          <cell r="BF180">
            <v>89</v>
          </cell>
          <cell r="BG180">
            <v>0.98888888888888893</v>
          </cell>
          <cell r="BH180">
            <v>1</v>
          </cell>
          <cell r="BI180">
            <v>1</v>
          </cell>
          <cell r="BJ180">
            <v>13</v>
          </cell>
          <cell r="BK180">
            <v>3</v>
          </cell>
          <cell r="BL180">
            <v>0.88235294117647056</v>
          </cell>
          <cell r="BM180">
            <v>2.9411764705882359E-2</v>
          </cell>
          <cell r="BN180">
            <v>0.89953734302709853</v>
          </cell>
          <cell r="BO180">
            <v>38</v>
          </cell>
          <cell r="BP180">
            <v>0</v>
          </cell>
          <cell r="BQ180">
            <v>0.77982456140350875</v>
          </cell>
          <cell r="BR180">
            <v>0</v>
          </cell>
          <cell r="BS180">
            <v>0</v>
          </cell>
          <cell r="BT180">
            <v>0.06</v>
          </cell>
          <cell r="BU180">
            <v>2.0247469066366703E-3</v>
          </cell>
          <cell r="BV180">
            <v>2.0247469066366703E-3</v>
          </cell>
          <cell r="BW180">
            <v>0</v>
          </cell>
          <cell r="BX180">
            <v>38</v>
          </cell>
          <cell r="BY180">
            <v>1.7036842105263157</v>
          </cell>
          <cell r="BZ180">
            <v>0.9393157894736841</v>
          </cell>
        </row>
        <row r="181">
          <cell r="A181" t="str">
            <v>Sepp van den Berg</v>
          </cell>
          <cell r="B181" t="str">
            <v/>
          </cell>
          <cell r="C181" t="str">
            <v>Van den Berg</v>
          </cell>
          <cell r="D181" t="str">
            <v/>
          </cell>
          <cell r="F181" t="str">
            <v/>
          </cell>
          <cell r="H181" t="str">
            <v/>
          </cell>
          <cell r="I181">
            <v>0</v>
          </cell>
          <cell r="J181">
            <v>0.66666666666666663</v>
          </cell>
          <cell r="K181">
            <v>2</v>
          </cell>
          <cell r="M181">
            <v>3.4368576123966728</v>
          </cell>
          <cell r="N181">
            <v>2.9011227816008693</v>
          </cell>
          <cell r="O181">
            <v>2.6111320659391417</v>
          </cell>
          <cell r="P181">
            <v>3.4368576123966728</v>
          </cell>
          <cell r="Q181">
            <v>2.9011227816008693</v>
          </cell>
          <cell r="R181">
            <v>4.8913043478260869</v>
          </cell>
          <cell r="S181">
            <v>3.4368576123966728</v>
          </cell>
          <cell r="T181" t="str">
            <v>DEF</v>
          </cell>
          <cell r="U181" t="str">
            <v>CB</v>
          </cell>
          <cell r="V181" t="str">
            <v>BRE</v>
          </cell>
          <cell r="W181" t="str">
            <v>Brentford</v>
          </cell>
          <cell r="X181">
            <v>5</v>
          </cell>
          <cell r="Y181">
            <v>113</v>
          </cell>
          <cell r="Z181">
            <v>24</v>
          </cell>
          <cell r="AA181">
            <v>89</v>
          </cell>
          <cell r="AB181">
            <v>2761</v>
          </cell>
          <cell r="AC181">
            <v>2761</v>
          </cell>
          <cell r="AD181">
            <v>0.70625000000000004</v>
          </cell>
          <cell r="AE181">
            <v>0</v>
          </cell>
          <cell r="AF181">
            <v>3</v>
          </cell>
          <cell r="AG181">
            <v>-0.10952553422672945</v>
          </cell>
          <cell r="AH181">
            <v>5.0525172039116266E-2</v>
          </cell>
          <cell r="AI181">
            <v>-5.9000362187613176E-2</v>
          </cell>
          <cell r="AJ181">
            <v>6.9999999999998952E-3</v>
          </cell>
          <cell r="AK181">
            <v>3</v>
          </cell>
          <cell r="AL181">
            <v>435</v>
          </cell>
          <cell r="AM181">
            <v>2</v>
          </cell>
          <cell r="AN181">
            <v>0</v>
          </cell>
          <cell r="AO181">
            <v>85</v>
          </cell>
          <cell r="AP181" t="str">
            <v>Van den Berg</v>
          </cell>
          <cell r="AQ181">
            <v>8.1166244114451285</v>
          </cell>
          <cell r="AR181">
            <v>0</v>
          </cell>
          <cell r="AS181">
            <v>3.5530604853314016</v>
          </cell>
          <cell r="AT181">
            <v>8.8663527707352401</v>
          </cell>
          <cell r="AU181">
            <v>0.74972835929011228</v>
          </cell>
          <cell r="AV181">
            <v>8.8663527707352401</v>
          </cell>
          <cell r="AW181">
            <v>8.8663527707352401</v>
          </cell>
          <cell r="AX181">
            <v>0.39582868525896403</v>
          </cell>
          <cell r="AY181">
            <v>0</v>
          </cell>
          <cell r="AZ181">
            <v>3.5</v>
          </cell>
          <cell r="BA181">
            <v>113</v>
          </cell>
          <cell r="BB181" t="str">
            <v/>
          </cell>
          <cell r="BC181">
            <v>30</v>
          </cell>
          <cell r="BD181">
            <v>30</v>
          </cell>
          <cell r="BE181">
            <v>1</v>
          </cell>
          <cell r="BF181">
            <v>90</v>
          </cell>
          <cell r="BG181">
            <v>1</v>
          </cell>
          <cell r="BH181">
            <v>1</v>
          </cell>
          <cell r="BI181">
            <v>2</v>
          </cell>
          <cell r="BJ181">
            <v>32</v>
          </cell>
          <cell r="BK181">
            <v>5</v>
          </cell>
          <cell r="BL181">
            <v>0.81081081081081086</v>
          </cell>
          <cell r="BM181">
            <v>5.4054054054054029E-2</v>
          </cell>
          <cell r="BN181">
            <v>0.87807807807807814</v>
          </cell>
          <cell r="BO181">
            <v>38</v>
          </cell>
          <cell r="BP181">
            <v>0</v>
          </cell>
          <cell r="BQ181">
            <v>0.80730994152046787</v>
          </cell>
          <cell r="BR181">
            <v>3.36</v>
          </cell>
          <cell r="BS181">
            <v>0.10952553422672945</v>
          </cell>
          <cell r="BT181">
            <v>1.45</v>
          </cell>
          <cell r="BU181">
            <v>4.7265483520463593E-2</v>
          </cell>
          <cell r="BV181">
            <v>0.15679101774719303</v>
          </cell>
          <cell r="BW181">
            <v>0</v>
          </cell>
          <cell r="BX181">
            <v>38</v>
          </cell>
          <cell r="BY181">
            <v>1.5555263157894736</v>
          </cell>
          <cell r="BZ181">
            <v>1.0874736842105261</v>
          </cell>
        </row>
        <row r="182">
          <cell r="A182" t="str">
            <v>Rodrigo 'Rodri' Hernandez Cascante</v>
          </cell>
          <cell r="B182" t="str">
            <v/>
          </cell>
          <cell r="C182" t="str">
            <v>Rodrigo</v>
          </cell>
          <cell r="D182" t="str">
            <v/>
          </cell>
          <cell r="E182" t="str">
            <v>Rodri</v>
          </cell>
          <cell r="F182" t="str">
            <v/>
          </cell>
          <cell r="H182" t="str">
            <v/>
          </cell>
          <cell r="I182">
            <v>4.0999999999999996</v>
          </cell>
          <cell r="J182">
            <v>4.3</v>
          </cell>
          <cell r="K182">
            <v>4.7</v>
          </cell>
          <cell r="M182">
            <v>3.4337694966706955</v>
          </cell>
          <cell r="N182">
            <v>2.9483443708609274</v>
          </cell>
          <cell r="O182">
            <v>3.707851835222808</v>
          </cell>
          <cell r="P182">
            <v>3.4337694966706955</v>
          </cell>
          <cell r="Q182">
            <v>2.9483443708609274</v>
          </cell>
          <cell r="R182">
            <v>4.2711864406779663</v>
          </cell>
          <cell r="S182">
            <v>3.4337694966706955</v>
          </cell>
          <cell r="T182" t="str">
            <v>MID</v>
          </cell>
          <cell r="U182" t="str">
            <v>DM</v>
          </cell>
          <cell r="V182" t="str">
            <v>MCI</v>
          </cell>
          <cell r="W182" t="str">
            <v>Man City</v>
          </cell>
          <cell r="X182">
            <v>6.5</v>
          </cell>
          <cell r="Y182">
            <v>69</v>
          </cell>
          <cell r="Z182">
            <v>16</v>
          </cell>
          <cell r="AA182">
            <v>53</v>
          </cell>
          <cell r="AB182">
            <v>1510</v>
          </cell>
          <cell r="AC182">
            <v>1510</v>
          </cell>
          <cell r="AD182">
            <v>0.50549450549450547</v>
          </cell>
          <cell r="AE182">
            <v>1</v>
          </cell>
          <cell r="AF182">
            <v>1</v>
          </cell>
          <cell r="AG182">
            <v>-8.9403973509933621E-3</v>
          </cell>
          <cell r="AH182">
            <v>-8.6423841059602657E-2</v>
          </cell>
          <cell r="AI182">
            <v>-9.5364238410596019E-2</v>
          </cell>
          <cell r="AJ182">
            <v>9.9999999999988987E-4</v>
          </cell>
          <cell r="AK182">
            <v>6</v>
          </cell>
          <cell r="AL182">
            <v>350</v>
          </cell>
          <cell r="AM182">
            <v>3</v>
          </cell>
          <cell r="AN182">
            <v>0</v>
          </cell>
          <cell r="AO182">
            <v>402</v>
          </cell>
          <cell r="AP182" t="str">
            <v>Rodrigo</v>
          </cell>
          <cell r="AQ182">
            <v>3.1708609271523183</v>
          </cell>
          <cell r="AR182">
            <v>0</v>
          </cell>
          <cell r="AS182">
            <v>5.9523178807947019</v>
          </cell>
          <cell r="AT182">
            <v>11.459602649006621</v>
          </cell>
          <cell r="AU182">
            <v>2.3364238410596028</v>
          </cell>
          <cell r="AV182">
            <v>11.459602649006621</v>
          </cell>
          <cell r="AW182">
            <v>11.459602649006621</v>
          </cell>
          <cell r="AX182">
            <v>0.47293509933774819</v>
          </cell>
          <cell r="AY182">
            <v>0</v>
          </cell>
          <cell r="AZ182">
            <v>3.3</v>
          </cell>
          <cell r="BA182">
            <v>69</v>
          </cell>
          <cell r="BB182">
            <v>0</v>
          </cell>
          <cell r="BC182">
            <v>17</v>
          </cell>
          <cell r="BD182">
            <v>12</v>
          </cell>
          <cell r="BE182">
            <v>0.70588235294117652</v>
          </cell>
          <cell r="BF182">
            <v>84</v>
          </cell>
          <cell r="BG182">
            <v>0.93333333333333335</v>
          </cell>
          <cell r="BH182">
            <v>1</v>
          </cell>
          <cell r="BI182">
            <v>4</v>
          </cell>
          <cell r="BJ182">
            <v>22</v>
          </cell>
          <cell r="BK182">
            <v>1</v>
          </cell>
          <cell r="BL182">
            <v>0.77272727272727271</v>
          </cell>
          <cell r="BM182">
            <v>0.79993818181818177</v>
          </cell>
          <cell r="BN182">
            <v>0.83225108225108224</v>
          </cell>
          <cell r="BO182">
            <v>38</v>
          </cell>
          <cell r="BP182">
            <v>0</v>
          </cell>
          <cell r="BQ182">
            <v>0.44152046783625731</v>
          </cell>
          <cell r="BR182">
            <v>1.1499999999999999</v>
          </cell>
          <cell r="BS182">
            <v>6.8543046357615878E-2</v>
          </cell>
          <cell r="BT182">
            <v>2.4500000000000002</v>
          </cell>
          <cell r="BU182">
            <v>0.14602649006622517</v>
          </cell>
          <cell r="BV182">
            <v>0.21456953642384105</v>
          </cell>
          <cell r="BW182">
            <v>0</v>
          </cell>
          <cell r="BX182">
            <v>38</v>
          </cell>
          <cell r="BY182">
            <v>1.223421052631579</v>
          </cell>
          <cell r="BZ182">
            <v>1.4195789473684208</v>
          </cell>
        </row>
        <row r="183">
          <cell r="A183" t="str">
            <v>Bernd Leno</v>
          </cell>
          <cell r="B183" t="str">
            <v/>
          </cell>
          <cell r="C183" t="str">
            <v>Leno</v>
          </cell>
          <cell r="D183" t="str">
            <v/>
          </cell>
          <cell r="F183" t="str">
            <v/>
          </cell>
          <cell r="H183" t="str">
            <v/>
          </cell>
          <cell r="I183">
            <v>3</v>
          </cell>
          <cell r="J183">
            <v>3.4666666666666668</v>
          </cell>
          <cell r="K183">
            <v>3.9</v>
          </cell>
          <cell r="M183">
            <v>3.4262478110671317</v>
          </cell>
          <cell r="N183">
            <v>3.2105263157894739</v>
          </cell>
          <cell r="O183">
            <v>2.4571140350877188</v>
          </cell>
          <cell r="P183">
            <v>3.3094651974824885</v>
          </cell>
          <cell r="Q183">
            <v>3.2105263157894739</v>
          </cell>
          <cell r="R183">
            <v>5.166666666666667</v>
          </cell>
          <cell r="S183">
            <v>3.4262478110671317</v>
          </cell>
          <cell r="T183" t="str">
            <v>GK</v>
          </cell>
          <cell r="U183" t="str">
            <v>GK</v>
          </cell>
          <cell r="V183" t="str">
            <v>FUL</v>
          </cell>
          <cell r="W183" t="str">
            <v>Fulham</v>
          </cell>
          <cell r="X183">
            <v>4.5</v>
          </cell>
          <cell r="Y183">
            <v>122</v>
          </cell>
          <cell r="Z183">
            <v>0</v>
          </cell>
          <cell r="AA183">
            <v>122</v>
          </cell>
          <cell r="AB183">
            <v>3420</v>
          </cell>
          <cell r="AC183">
            <v>3420</v>
          </cell>
          <cell r="AD183">
            <v>0.71345029239766089</v>
          </cell>
          <cell r="AE183">
            <v>0</v>
          </cell>
          <cell r="AF183">
            <v>0</v>
          </cell>
          <cell r="AG183">
            <v>0</v>
          </cell>
          <cell r="AH183">
            <v>-5.263157894736842E-4</v>
          </cell>
          <cell r="AI183">
            <v>-5.263157894736842E-4</v>
          </cell>
          <cell r="AJ183">
            <v>3.2000000000000028E-2</v>
          </cell>
          <cell r="AK183">
            <v>8</v>
          </cell>
          <cell r="AL183">
            <v>556</v>
          </cell>
          <cell r="AM183">
            <v>3</v>
          </cell>
          <cell r="AN183">
            <v>98</v>
          </cell>
          <cell r="AO183">
            <v>250</v>
          </cell>
          <cell r="AP183" t="str">
            <v>Leno</v>
          </cell>
          <cell r="AQ183">
            <v>1.2105263157894737</v>
          </cell>
          <cell r="AR183">
            <v>0</v>
          </cell>
          <cell r="AS183">
            <v>8.3684210526315788</v>
          </cell>
          <cell r="AT183">
            <v>0</v>
          </cell>
          <cell r="AU183">
            <v>0.10526315789473685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3.2</v>
          </cell>
          <cell r="BA183">
            <v>122</v>
          </cell>
          <cell r="BB183" t="str">
            <v/>
          </cell>
          <cell r="BC183">
            <v>38</v>
          </cell>
          <cell r="BD183">
            <v>38</v>
          </cell>
          <cell r="BE183">
            <v>1</v>
          </cell>
          <cell r="BF183">
            <v>90</v>
          </cell>
          <cell r="BG183">
            <v>1</v>
          </cell>
          <cell r="BH183">
            <v>1</v>
          </cell>
          <cell r="BI183">
            <v>0</v>
          </cell>
          <cell r="BJ183">
            <v>0</v>
          </cell>
          <cell r="BK183">
            <v>0</v>
          </cell>
          <cell r="BL183">
            <v>1</v>
          </cell>
          <cell r="BM183">
            <v>0</v>
          </cell>
          <cell r="BN183">
            <v>1</v>
          </cell>
          <cell r="BO183">
            <v>38</v>
          </cell>
          <cell r="BP183">
            <v>0</v>
          </cell>
          <cell r="BQ183">
            <v>1</v>
          </cell>
          <cell r="BR183">
            <v>0</v>
          </cell>
          <cell r="BS183">
            <v>0</v>
          </cell>
          <cell r="BT183">
            <v>0.02</v>
          </cell>
          <cell r="BU183">
            <v>5.263157894736842E-4</v>
          </cell>
          <cell r="BV183">
            <v>5.263157894736842E-4</v>
          </cell>
          <cell r="BW183">
            <v>0</v>
          </cell>
          <cell r="BX183">
            <v>38</v>
          </cell>
          <cell r="BY183">
            <v>1.6842105263157894</v>
          </cell>
          <cell r="BZ183">
            <v>0.95878947368421041</v>
          </cell>
        </row>
        <row r="184">
          <cell r="A184" t="str">
            <v>Rio Cardines</v>
          </cell>
          <cell r="B184" t="str">
            <v/>
          </cell>
          <cell r="C184" t="str">
            <v>Cardines</v>
          </cell>
          <cell r="D184" t="str">
            <v/>
          </cell>
          <cell r="F184" t="str">
            <v/>
          </cell>
          <cell r="H184" t="str">
            <v/>
          </cell>
          <cell r="I184" t="e">
            <v>#N/A</v>
          </cell>
          <cell r="J184" t="e">
            <v>#N/A</v>
          </cell>
          <cell r="K184" t="e">
            <v>#N/A</v>
          </cell>
          <cell r="M184">
            <v>3.4229522363931175</v>
          </cell>
          <cell r="N184">
            <v>2</v>
          </cell>
          <cell r="O184">
            <v>2.2605714285714287</v>
          </cell>
          <cell r="P184">
            <v>3.3508870159848723</v>
          </cell>
          <cell r="Q184">
            <v>2</v>
          </cell>
          <cell r="R184">
            <v>2</v>
          </cell>
          <cell r="S184">
            <v>3.4229522363931175</v>
          </cell>
          <cell r="T184" t="str">
            <v>DEF</v>
          </cell>
          <cell r="U184" t="str">
            <v>LB</v>
          </cell>
          <cell r="V184" t="str">
            <v>CRY</v>
          </cell>
          <cell r="W184" t="str">
            <v>Crystal Palace</v>
          </cell>
          <cell r="X184">
            <v>4.5</v>
          </cell>
          <cell r="Y184">
            <v>2</v>
          </cell>
          <cell r="Z184">
            <v>0</v>
          </cell>
          <cell r="AA184">
            <v>2</v>
          </cell>
          <cell r="AB184">
            <v>90</v>
          </cell>
          <cell r="AC184">
            <v>90</v>
          </cell>
          <cell r="AD184">
            <v>0.44444444444444442</v>
          </cell>
          <cell r="AE184">
            <v>0</v>
          </cell>
          <cell r="AF184">
            <v>0</v>
          </cell>
          <cell r="AG184">
            <v>-0.02</v>
          </cell>
          <cell r="AH184">
            <v>-0.16</v>
          </cell>
          <cell r="AI184">
            <v>-0.18</v>
          </cell>
          <cell r="AJ184">
            <v>0</v>
          </cell>
          <cell r="AK184">
            <v>0</v>
          </cell>
          <cell r="AL184">
            <v>21</v>
          </cell>
          <cell r="AM184">
            <v>0</v>
          </cell>
          <cell r="AN184">
            <v>0</v>
          </cell>
          <cell r="AO184">
            <v>220</v>
          </cell>
          <cell r="AP184" t="str">
            <v>Cardines</v>
          </cell>
          <cell r="AQ184">
            <v>2</v>
          </cell>
          <cell r="AR184">
            <v>0</v>
          </cell>
          <cell r="AS184">
            <v>4</v>
          </cell>
          <cell r="AT184">
            <v>7</v>
          </cell>
          <cell r="AU184">
            <v>1</v>
          </cell>
          <cell r="AV184">
            <v>7</v>
          </cell>
          <cell r="AW184">
            <v>7</v>
          </cell>
          <cell r="AX184">
            <v>0.17</v>
          </cell>
          <cell r="AY184">
            <v>0</v>
          </cell>
          <cell r="AZ184">
            <v>2</v>
          </cell>
          <cell r="BA184">
            <v>2</v>
          </cell>
          <cell r="BB184" t="str">
            <v/>
          </cell>
          <cell r="BC184">
            <v>1</v>
          </cell>
          <cell r="BD184">
            <v>1</v>
          </cell>
          <cell r="BE184">
            <v>1</v>
          </cell>
          <cell r="BF184">
            <v>90</v>
          </cell>
          <cell r="BG184">
            <v>1</v>
          </cell>
          <cell r="BH184">
            <v>1</v>
          </cell>
          <cell r="BI184">
            <v>0</v>
          </cell>
          <cell r="BJ184">
            <v>0</v>
          </cell>
          <cell r="BK184">
            <v>12</v>
          </cell>
          <cell r="BL184">
            <v>7.6923076923076927E-2</v>
          </cell>
          <cell r="BM184">
            <v>0</v>
          </cell>
          <cell r="BN184">
            <v>7.6923076923076927E-2</v>
          </cell>
          <cell r="BO184">
            <v>38</v>
          </cell>
          <cell r="BP184">
            <v>0</v>
          </cell>
          <cell r="BQ184">
            <v>2.6315789473684209E-2</v>
          </cell>
          <cell r="BR184">
            <v>0.02</v>
          </cell>
          <cell r="BS184">
            <v>0.02</v>
          </cell>
          <cell r="BT184">
            <v>0.16</v>
          </cell>
          <cell r="BU184">
            <v>0.16</v>
          </cell>
          <cell r="BV184">
            <v>0.18</v>
          </cell>
          <cell r="BW184">
            <v>0</v>
          </cell>
          <cell r="BX184">
            <v>38</v>
          </cell>
          <cell r="BY184">
            <v>1.631578947368421</v>
          </cell>
          <cell r="BZ184">
            <v>1.0114210526315788</v>
          </cell>
        </row>
        <row r="185">
          <cell r="A185" t="str">
            <v>Youri Tielemans</v>
          </cell>
          <cell r="B185" t="str">
            <v/>
          </cell>
          <cell r="C185" t="str">
            <v>Tielemans</v>
          </cell>
          <cell r="D185" t="str">
            <v/>
          </cell>
          <cell r="F185" t="str">
            <v/>
          </cell>
          <cell r="H185" t="str">
            <v/>
          </cell>
          <cell r="I185">
            <v>2.4</v>
          </cell>
          <cell r="J185">
            <v>2.8666666666666667</v>
          </cell>
          <cell r="K185">
            <v>3.4</v>
          </cell>
          <cell r="M185">
            <v>3.4227445617159709</v>
          </cell>
          <cell r="N185">
            <v>2.9294561120086158</v>
          </cell>
          <cell r="O185">
            <v>2.8620363687390031</v>
          </cell>
          <cell r="P185">
            <v>3.4608223673950711</v>
          </cell>
          <cell r="Q185">
            <v>2.9294561120086158</v>
          </cell>
          <cell r="R185">
            <v>2.4610244988864141</v>
          </cell>
          <cell r="S185">
            <v>3.4227445617159709</v>
          </cell>
          <cell r="T185" t="str">
            <v>MID</v>
          </cell>
          <cell r="U185" t="str">
            <v>CM</v>
          </cell>
          <cell r="V185" t="str">
            <v>MUN</v>
          </cell>
          <cell r="W185" t="str">
            <v>Man Utd</v>
          </cell>
          <cell r="X185">
            <v>6</v>
          </cell>
          <cell r="Y185">
            <v>68</v>
          </cell>
          <cell r="Z185">
            <v>4</v>
          </cell>
          <cell r="AA185">
            <v>64</v>
          </cell>
          <cell r="AB185">
            <v>1857</v>
          </cell>
          <cell r="AC185">
            <v>1857</v>
          </cell>
          <cell r="AD185">
            <v>0.45333333333333337</v>
          </cell>
          <cell r="AE185">
            <v>0</v>
          </cell>
          <cell r="AF185">
            <v>4</v>
          </cell>
          <cell r="AG185">
            <v>-5.525040387722132E-2</v>
          </cell>
          <cell r="AH185">
            <v>3.5864297253634908E-2</v>
          </cell>
          <cell r="AI185">
            <v>-1.9386106623586419E-2</v>
          </cell>
          <cell r="AJ185">
            <v>1.0000000000000009E-2</v>
          </cell>
          <cell r="AK185">
            <v>3</v>
          </cell>
          <cell r="AL185">
            <v>417</v>
          </cell>
          <cell r="AM185">
            <v>0</v>
          </cell>
          <cell r="AN185">
            <v>0</v>
          </cell>
          <cell r="AO185">
            <v>43</v>
          </cell>
          <cell r="AP185" t="str">
            <v>Tielemans</v>
          </cell>
          <cell r="AQ185">
            <v>2.3344103392568658</v>
          </cell>
          <cell r="AR185">
            <v>0</v>
          </cell>
          <cell r="AS185">
            <v>4.3026386645126546</v>
          </cell>
          <cell r="AT185">
            <v>9.2918686052773296</v>
          </cell>
          <cell r="AU185">
            <v>2.6548196015078083</v>
          </cell>
          <cell r="AV185">
            <v>9.2918686052773296</v>
          </cell>
          <cell r="AW185">
            <v>9.2918686052773296</v>
          </cell>
          <cell r="AX185">
            <v>0.22968928380740555</v>
          </cell>
          <cell r="AY185">
            <v>0</v>
          </cell>
          <cell r="AZ185">
            <v>2.7</v>
          </cell>
          <cell r="BA185">
            <v>68</v>
          </cell>
          <cell r="BB185">
            <v>75</v>
          </cell>
          <cell r="BC185">
            <v>21</v>
          </cell>
          <cell r="BD185">
            <v>14</v>
          </cell>
          <cell r="BE185">
            <v>0.66666666666666663</v>
          </cell>
          <cell r="BF185">
            <v>85</v>
          </cell>
          <cell r="BG185">
            <v>0.94444444444444442</v>
          </cell>
          <cell r="BH185">
            <v>1</v>
          </cell>
          <cell r="BI185">
            <v>4</v>
          </cell>
          <cell r="BJ185">
            <v>21</v>
          </cell>
          <cell r="BK185">
            <v>0</v>
          </cell>
          <cell r="BL185">
            <v>0.84</v>
          </cell>
          <cell r="BM185">
            <v>0.37</v>
          </cell>
          <cell r="BN185">
            <v>0.87952941176470578</v>
          </cell>
          <cell r="BO185">
            <v>38</v>
          </cell>
          <cell r="BP185">
            <v>0</v>
          </cell>
          <cell r="BQ185">
            <v>0.5429824561403509</v>
          </cell>
          <cell r="BR185">
            <v>1.1399999999999999</v>
          </cell>
          <cell r="BS185">
            <v>5.525040387722132E-2</v>
          </cell>
          <cell r="BT185">
            <v>3.26</v>
          </cell>
          <cell r="BU185">
            <v>0.15799676898222939</v>
          </cell>
          <cell r="BV185">
            <v>0.21324717285945072</v>
          </cell>
          <cell r="BW185">
            <v>0</v>
          </cell>
          <cell r="BX185">
            <v>38</v>
          </cell>
          <cell r="BY185">
            <v>1.3231578947368421</v>
          </cell>
          <cell r="BZ185">
            <v>1.3198421052631577</v>
          </cell>
        </row>
        <row r="186">
          <cell r="A186" t="str">
            <v>Lucas Estella Perri</v>
          </cell>
          <cell r="B186" t="str">
            <v/>
          </cell>
          <cell r="C186" t="str">
            <v>Perri</v>
          </cell>
          <cell r="D186" t="str">
            <v/>
          </cell>
          <cell r="E186" t="str">
            <v>Lucas Perri</v>
          </cell>
          <cell r="F186" t="str">
            <v/>
          </cell>
          <cell r="H186" t="str">
            <v/>
          </cell>
          <cell r="I186" t="e">
            <v>#N/A</v>
          </cell>
          <cell r="J186" t="e">
            <v>#N/A</v>
          </cell>
          <cell r="K186" t="e">
            <v>#N/A</v>
          </cell>
          <cell r="M186">
            <v>3.4144721696847453</v>
          </cell>
          <cell r="N186">
            <v>2.6875</v>
          </cell>
          <cell r="O186">
            <v>2.3252083333333333</v>
          </cell>
          <cell r="P186">
            <v>3.4144721696847453</v>
          </cell>
          <cell r="Q186">
            <v>2.6875</v>
          </cell>
          <cell r="R186">
            <v>0</v>
          </cell>
          <cell r="S186">
            <v>3.4144721696847453</v>
          </cell>
          <cell r="T186" t="str">
            <v>GK</v>
          </cell>
          <cell r="U186" t="str">
            <v>GK</v>
          </cell>
          <cell r="V186" t="str">
            <v>LEE</v>
          </cell>
          <cell r="W186" t="str">
            <v>Leeds</v>
          </cell>
          <cell r="X186">
            <v>4.5</v>
          </cell>
          <cell r="Y186">
            <v>43</v>
          </cell>
          <cell r="Z186">
            <v>0</v>
          </cell>
          <cell r="AA186">
            <v>43</v>
          </cell>
          <cell r="AB186">
            <v>1440</v>
          </cell>
          <cell r="AC186">
            <v>1440</v>
          </cell>
          <cell r="AD186">
            <v>0.59722222222222221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1.0000000000000009E-2</v>
          </cell>
          <cell r="AK186">
            <v>3</v>
          </cell>
          <cell r="AL186">
            <v>153</v>
          </cell>
          <cell r="AM186">
            <v>2</v>
          </cell>
          <cell r="AN186">
            <v>38</v>
          </cell>
          <cell r="AO186">
            <v>326</v>
          </cell>
          <cell r="AP186" t="str">
            <v>Perri</v>
          </cell>
          <cell r="AQ186">
            <v>1</v>
          </cell>
          <cell r="AR186">
            <v>0</v>
          </cell>
          <cell r="AS186">
            <v>6.25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2.7</v>
          </cell>
          <cell r="BA186">
            <v>43</v>
          </cell>
          <cell r="BB186" t="str">
            <v/>
          </cell>
          <cell r="BC186">
            <v>16</v>
          </cell>
          <cell r="BD186">
            <v>16</v>
          </cell>
          <cell r="BE186">
            <v>1</v>
          </cell>
          <cell r="BF186">
            <v>90</v>
          </cell>
          <cell r="BG186">
            <v>1</v>
          </cell>
          <cell r="BH186">
            <v>1</v>
          </cell>
          <cell r="BI186">
            <v>0</v>
          </cell>
          <cell r="BJ186">
            <v>0</v>
          </cell>
          <cell r="BK186">
            <v>18</v>
          </cell>
          <cell r="BL186">
            <v>0.47058823529411764</v>
          </cell>
          <cell r="BM186">
            <v>0</v>
          </cell>
          <cell r="BN186">
            <v>0.47058823529411764</v>
          </cell>
          <cell r="BO186">
            <v>38</v>
          </cell>
          <cell r="BP186">
            <v>0</v>
          </cell>
          <cell r="BQ186">
            <v>0.42105263157894735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38</v>
          </cell>
          <cell r="BY186">
            <v>1.4823684210526316</v>
          </cell>
          <cell r="BZ186">
            <v>1.1606315789473682</v>
          </cell>
        </row>
        <row r="187">
          <cell r="A187" t="str">
            <v>Jan Paul van Hecke</v>
          </cell>
          <cell r="B187" t="str">
            <v/>
          </cell>
          <cell r="C187" t="str">
            <v>Van Hecke</v>
          </cell>
          <cell r="D187" t="str">
            <v/>
          </cell>
          <cell r="F187" t="str">
            <v/>
          </cell>
          <cell r="H187" t="str">
            <v/>
          </cell>
          <cell r="I187">
            <v>0.8</v>
          </cell>
          <cell r="J187">
            <v>1.8666666666666665</v>
          </cell>
          <cell r="K187">
            <v>2.6</v>
          </cell>
          <cell r="M187">
            <v>3.411069921881726</v>
          </cell>
          <cell r="N187">
            <v>3.3825545171339568</v>
          </cell>
          <cell r="O187">
            <v>3.1206095534787122</v>
          </cell>
          <cell r="P187">
            <v>3.3430699190349715</v>
          </cell>
          <cell r="Q187">
            <v>3.3825545171339568</v>
          </cell>
          <cell r="R187">
            <v>3.7907407407407407</v>
          </cell>
          <cell r="S187">
            <v>3.411069921881726</v>
          </cell>
          <cell r="T187" t="str">
            <v>DEF</v>
          </cell>
          <cell r="U187" t="str">
            <v>CB</v>
          </cell>
          <cell r="V187" t="str">
            <v>TOT</v>
          </cell>
          <cell r="W187" t="str">
            <v>Spurs</v>
          </cell>
          <cell r="X187">
            <v>5</v>
          </cell>
          <cell r="Y187">
            <v>148</v>
          </cell>
          <cell r="Z187">
            <v>26</v>
          </cell>
          <cell r="AA187">
            <v>122</v>
          </cell>
          <cell r="AB187">
            <v>3210</v>
          </cell>
          <cell r="AC187">
            <v>3210</v>
          </cell>
          <cell r="AD187">
            <v>0.82222222222222219</v>
          </cell>
          <cell r="AE187">
            <v>3</v>
          </cell>
          <cell r="AF187">
            <v>3</v>
          </cell>
          <cell r="AG187">
            <v>-8.6915887850467222E-3</v>
          </cell>
          <cell r="AH187">
            <v>4.0093457943925243E-2</v>
          </cell>
          <cell r="AI187">
            <v>3.140186915887852E-2</v>
          </cell>
          <cell r="AJ187">
            <v>8.0999999999999961E-2</v>
          </cell>
          <cell r="AK187">
            <v>8</v>
          </cell>
          <cell r="AL187">
            <v>575</v>
          </cell>
          <cell r="AM187">
            <v>9</v>
          </cell>
          <cell r="AN187">
            <v>0</v>
          </cell>
          <cell r="AO187">
            <v>112</v>
          </cell>
          <cell r="AP187" t="str">
            <v>Van Hecke</v>
          </cell>
          <cell r="AQ187">
            <v>7.3196261682242989</v>
          </cell>
          <cell r="AR187">
            <v>0</v>
          </cell>
          <cell r="AS187">
            <v>3.1330218068535829</v>
          </cell>
          <cell r="AT187">
            <v>8.7890965732087238</v>
          </cell>
          <cell r="AU187">
            <v>1.4694704049844236</v>
          </cell>
          <cell r="AV187">
            <v>8.7890965732087238</v>
          </cell>
          <cell r="AW187">
            <v>8.7890965732087238</v>
          </cell>
          <cell r="AX187">
            <v>0.38648068535825553</v>
          </cell>
          <cell r="AY187">
            <v>0</v>
          </cell>
          <cell r="AZ187">
            <v>4.0999999999999996</v>
          </cell>
          <cell r="BA187">
            <v>148</v>
          </cell>
          <cell r="BB187" t="str">
            <v/>
          </cell>
          <cell r="BC187">
            <v>36</v>
          </cell>
          <cell r="BD187">
            <v>35</v>
          </cell>
          <cell r="BE187">
            <v>0.97222222222222221</v>
          </cell>
          <cell r="BF187">
            <v>89</v>
          </cell>
          <cell r="BG187">
            <v>0.98888888888888893</v>
          </cell>
          <cell r="BH187">
            <v>1</v>
          </cell>
          <cell r="BI187">
            <v>0</v>
          </cell>
          <cell r="BJ187">
            <v>0</v>
          </cell>
          <cell r="BK187">
            <v>0</v>
          </cell>
          <cell r="BL187">
            <v>1</v>
          </cell>
          <cell r="BM187">
            <v>0</v>
          </cell>
          <cell r="BN187">
            <v>1</v>
          </cell>
          <cell r="BO187">
            <v>38</v>
          </cell>
          <cell r="BP187">
            <v>0</v>
          </cell>
          <cell r="BQ187">
            <v>0.93859649122807021</v>
          </cell>
          <cell r="BR187">
            <v>3.31</v>
          </cell>
          <cell r="BS187">
            <v>9.2803738317757012E-2</v>
          </cell>
          <cell r="BT187">
            <v>1.57</v>
          </cell>
          <cell r="BU187">
            <v>4.4018691588785047E-2</v>
          </cell>
          <cell r="BV187">
            <v>0.13682242990654206</v>
          </cell>
          <cell r="BW187">
            <v>0</v>
          </cell>
          <cell r="BX187">
            <v>38</v>
          </cell>
          <cell r="BY187">
            <v>1.4628947368421052</v>
          </cell>
          <cell r="BZ187">
            <v>1.1801052631578945</v>
          </cell>
        </row>
        <row r="188">
          <cell r="A188" t="str">
            <v>Yasin Ayari</v>
          </cell>
          <cell r="B188" t="str">
            <v/>
          </cell>
          <cell r="C188" t="str">
            <v>Ayari</v>
          </cell>
          <cell r="D188" t="str">
            <v/>
          </cell>
          <cell r="F188" t="str">
            <v/>
          </cell>
          <cell r="H188" t="str">
            <v/>
          </cell>
          <cell r="I188">
            <v>0</v>
          </cell>
          <cell r="J188">
            <v>1.0666666666666667</v>
          </cell>
          <cell r="K188">
            <v>2.2000000000000002</v>
          </cell>
          <cell r="M188">
            <v>3.4077798219108453</v>
          </cell>
          <cell r="N188">
            <v>3.9396147839666837</v>
          </cell>
          <cell r="O188">
            <v>2.6906113651392167</v>
          </cell>
          <cell r="P188">
            <v>3.4077798219108453</v>
          </cell>
          <cell r="Q188">
            <v>3.9396147839666837</v>
          </cell>
          <cell r="R188">
            <v>3.8738738738738734</v>
          </cell>
          <cell r="S188">
            <v>3.4077798219108453</v>
          </cell>
          <cell r="T188" t="str">
            <v>MID</v>
          </cell>
          <cell r="U188" t="str">
            <v>CM</v>
          </cell>
          <cell r="V188" t="str">
            <v>BHA</v>
          </cell>
          <cell r="W188" t="str">
            <v>Brighton</v>
          </cell>
          <cell r="X188">
            <v>5.5</v>
          </cell>
          <cell r="Y188">
            <v>98</v>
          </cell>
          <cell r="Z188">
            <v>10</v>
          </cell>
          <cell r="AA188">
            <v>88</v>
          </cell>
          <cell r="AB188">
            <v>1921</v>
          </cell>
          <cell r="AC188">
            <v>1921</v>
          </cell>
          <cell r="AD188">
            <v>0.61442006269592475</v>
          </cell>
          <cell r="AE188">
            <v>3</v>
          </cell>
          <cell r="AF188">
            <v>4</v>
          </cell>
          <cell r="AG188">
            <v>1.4055179593961464E-2</v>
          </cell>
          <cell r="AH188">
            <v>0.13352420614263405</v>
          </cell>
          <cell r="AI188">
            <v>0.14757938573659549</v>
          </cell>
          <cell r="AJ188">
            <v>6.0000000000000053E-3</v>
          </cell>
          <cell r="AK188">
            <v>7</v>
          </cell>
          <cell r="AL188">
            <v>406</v>
          </cell>
          <cell r="AM188">
            <v>1</v>
          </cell>
          <cell r="AN188">
            <v>0</v>
          </cell>
          <cell r="AO188">
            <v>129</v>
          </cell>
          <cell r="AP188" t="str">
            <v>Ayari</v>
          </cell>
          <cell r="AQ188">
            <v>2.4174908901613743</v>
          </cell>
          <cell r="AR188">
            <v>0</v>
          </cell>
          <cell r="AS188">
            <v>5.5512753774076007</v>
          </cell>
          <cell r="AT188">
            <v>10.072878709005726</v>
          </cell>
          <cell r="AU188">
            <v>2.1041124414367518</v>
          </cell>
          <cell r="AV188">
            <v>10.072878709005726</v>
          </cell>
          <cell r="AW188">
            <v>10.072878709005726</v>
          </cell>
          <cell r="AX188">
            <v>0.31716241546872254</v>
          </cell>
          <cell r="AY188">
            <v>0</v>
          </cell>
          <cell r="AZ188">
            <v>3.4</v>
          </cell>
          <cell r="BA188">
            <v>98</v>
          </cell>
          <cell r="BB188" t="str">
            <v/>
          </cell>
          <cell r="BC188">
            <v>20</v>
          </cell>
          <cell r="BD188">
            <v>15</v>
          </cell>
          <cell r="BE188">
            <v>0.75</v>
          </cell>
          <cell r="BF188">
            <v>86</v>
          </cell>
          <cell r="BG188">
            <v>0.9555555555555556</v>
          </cell>
          <cell r="BH188">
            <v>1</v>
          </cell>
          <cell r="BI188">
            <v>9</v>
          </cell>
          <cell r="BJ188">
            <v>22</v>
          </cell>
          <cell r="BK188">
            <v>2</v>
          </cell>
          <cell r="BL188">
            <v>0.64516129032258063</v>
          </cell>
          <cell r="BM188">
            <v>0.29032258064516131</v>
          </cell>
          <cell r="BN188">
            <v>0.73593398349587391</v>
          </cell>
          <cell r="BO188">
            <v>38</v>
          </cell>
          <cell r="BP188">
            <v>0</v>
          </cell>
          <cell r="BQ188">
            <v>0.56169590643274858</v>
          </cell>
          <cell r="BR188">
            <v>2.7</v>
          </cell>
          <cell r="BS188">
            <v>0.12649661634565332</v>
          </cell>
          <cell r="BT188">
            <v>1.1499999999999999</v>
          </cell>
          <cell r="BU188">
            <v>5.3878188443519E-2</v>
          </cell>
          <cell r="BV188">
            <v>0.18037480478917231</v>
          </cell>
          <cell r="BW188">
            <v>0</v>
          </cell>
          <cell r="BX188">
            <v>38</v>
          </cell>
          <cell r="BY188">
            <v>1.4144736842105263</v>
          </cell>
          <cell r="BZ188">
            <v>1.2285263157894735</v>
          </cell>
        </row>
        <row r="189">
          <cell r="A189" t="str">
            <v>Jaidon Anthony</v>
          </cell>
          <cell r="B189" t="str">
            <v/>
          </cell>
          <cell r="C189" t="str">
            <v>Anthony</v>
          </cell>
          <cell r="D189" t="str">
            <v/>
          </cell>
          <cell r="F189" t="str">
            <v/>
          </cell>
          <cell r="H189" t="str">
            <v/>
          </cell>
          <cell r="I189">
            <v>0</v>
          </cell>
          <cell r="J189">
            <v>1</v>
          </cell>
          <cell r="K189">
            <v>2</v>
          </cell>
          <cell r="M189">
            <v>3.3871747552694651</v>
          </cell>
          <cell r="N189">
            <v>3.7725432462274555</v>
          </cell>
          <cell r="O189">
            <v>2.8111522157996149</v>
          </cell>
          <cell r="P189">
            <v>2.2458636315442395</v>
          </cell>
          <cell r="Q189">
            <v>0</v>
          </cell>
          <cell r="R189">
            <v>3.1599229287090553</v>
          </cell>
          <cell r="S189">
            <v>3.3871747552694651</v>
          </cell>
          <cell r="T189" t="str">
            <v>MID</v>
          </cell>
          <cell r="U189" t="str">
            <v>LW</v>
          </cell>
          <cell r="V189" t="str">
            <v>BRE</v>
          </cell>
          <cell r="W189" t="str">
            <v>Brentford</v>
          </cell>
          <cell r="X189">
            <v>6</v>
          </cell>
          <cell r="Y189">
            <v>0</v>
          </cell>
          <cell r="Z189">
            <v>2</v>
          </cell>
          <cell r="AA189">
            <v>-2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 t="e">
            <v>#DIV/0!</v>
          </cell>
          <cell r="AH189" t="e">
            <v>#DIV/0!</v>
          </cell>
          <cell r="AI189" t="e">
            <v>#DIV/0!</v>
          </cell>
          <cell r="AJ189">
            <v>2.9999999999998916E-3</v>
          </cell>
          <cell r="AK189">
            <v>0</v>
          </cell>
          <cell r="AL189">
            <v>0</v>
          </cell>
          <cell r="AM189">
            <v>4</v>
          </cell>
          <cell r="AN189">
            <v>0</v>
          </cell>
          <cell r="AO189">
            <v>105</v>
          </cell>
          <cell r="AP189" t="str">
            <v>Anthony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 t="str">
            <v/>
          </cell>
          <cell r="BC189">
            <v>32</v>
          </cell>
          <cell r="BD189">
            <v>13</v>
          </cell>
          <cell r="BE189">
            <v>0.40625</v>
          </cell>
          <cell r="BF189">
            <v>82</v>
          </cell>
          <cell r="BG189">
            <v>0.91111111111111109</v>
          </cell>
          <cell r="BH189">
            <v>1</v>
          </cell>
          <cell r="BI189">
            <v>5</v>
          </cell>
          <cell r="BJ189">
            <v>17</v>
          </cell>
          <cell r="BK189">
            <v>1</v>
          </cell>
          <cell r="BL189">
            <v>0.84210526315789469</v>
          </cell>
          <cell r="BM189">
            <v>0.1315789473684211</v>
          </cell>
          <cell r="BN189">
            <v>0.87483953786906299</v>
          </cell>
          <cell r="BO189">
            <v>38</v>
          </cell>
          <cell r="BP189">
            <v>0</v>
          </cell>
          <cell r="BQ189">
            <v>0</v>
          </cell>
          <cell r="BR189">
            <v>5.1100000000000003</v>
          </cell>
          <cell r="BS189">
            <v>0</v>
          </cell>
          <cell r="BT189">
            <v>2.85</v>
          </cell>
          <cell r="BU189">
            <v>0</v>
          </cell>
          <cell r="BV189">
            <v>0</v>
          </cell>
          <cell r="BW189">
            <v>0</v>
          </cell>
          <cell r="BX189">
            <v>38</v>
          </cell>
          <cell r="BY189">
            <v>1.5555263157894736</v>
          </cell>
          <cell r="BZ189">
            <v>1.0874736842105261</v>
          </cell>
        </row>
        <row r="190">
          <cell r="A190" t="str">
            <v>Harry Maguire</v>
          </cell>
          <cell r="B190" t="str">
            <v/>
          </cell>
          <cell r="C190" t="str">
            <v>Maguire</v>
          </cell>
          <cell r="D190" t="str">
            <v/>
          </cell>
          <cell r="F190" t="str">
            <v/>
          </cell>
          <cell r="H190" t="str">
            <v/>
          </cell>
          <cell r="I190">
            <v>1.8</v>
          </cell>
          <cell r="J190">
            <v>2.4999999999999996</v>
          </cell>
          <cell r="K190">
            <v>3.3</v>
          </cell>
          <cell r="M190">
            <v>3.3868567654434303</v>
          </cell>
          <cell r="N190">
            <v>3.769557307459066</v>
          </cell>
          <cell r="O190">
            <v>2.3791221507984641</v>
          </cell>
          <cell r="P190">
            <v>3.3868567654434303</v>
          </cell>
          <cell r="Q190">
            <v>3.769557307459066</v>
          </cell>
          <cell r="R190">
            <v>5.0399999999999991</v>
          </cell>
          <cell r="S190">
            <v>3.3868567654434303</v>
          </cell>
          <cell r="T190" t="str">
            <v>DEF</v>
          </cell>
          <cell r="U190" t="str">
            <v>CB</v>
          </cell>
          <cell r="V190" t="str">
            <v>MUN</v>
          </cell>
          <cell r="W190" t="str">
            <v>Man Utd</v>
          </cell>
          <cell r="X190">
            <v>5</v>
          </cell>
          <cell r="Y190">
            <v>90</v>
          </cell>
          <cell r="Z190">
            <v>16</v>
          </cell>
          <cell r="AA190">
            <v>74</v>
          </cell>
          <cell r="AB190">
            <v>1649</v>
          </cell>
          <cell r="AC190">
            <v>1649</v>
          </cell>
          <cell r="AD190">
            <v>0.78260869565217395</v>
          </cell>
          <cell r="AE190">
            <v>1</v>
          </cell>
          <cell r="AF190">
            <v>2</v>
          </cell>
          <cell r="AG190">
            <v>-6.5494238932686522E-3</v>
          </cell>
          <cell r="AH190">
            <v>8.1867798665858096E-2</v>
          </cell>
          <cell r="AI190">
            <v>7.5318374772589444E-2</v>
          </cell>
          <cell r="AJ190">
            <v>6.2000000000000055E-2</v>
          </cell>
          <cell r="AK190">
            <v>5</v>
          </cell>
          <cell r="AL190">
            <v>315</v>
          </cell>
          <cell r="AM190">
            <v>3</v>
          </cell>
          <cell r="AN190">
            <v>0</v>
          </cell>
          <cell r="AO190">
            <v>418</v>
          </cell>
          <cell r="AP190" t="str">
            <v>Maguire</v>
          </cell>
          <cell r="AQ190">
            <v>6.5712553062462096</v>
          </cell>
          <cell r="AR190">
            <v>0</v>
          </cell>
          <cell r="AS190">
            <v>3.1582777440873255</v>
          </cell>
          <cell r="AT190">
            <v>7.6919345057610666</v>
          </cell>
          <cell r="AU190">
            <v>1.1206791995148575</v>
          </cell>
          <cell r="AV190">
            <v>7.6919345057610666</v>
          </cell>
          <cell r="AW190">
            <v>7.6919345057610666</v>
          </cell>
          <cell r="AX190">
            <v>0.25372407519708906</v>
          </cell>
          <cell r="AY190">
            <v>0</v>
          </cell>
          <cell r="AZ190">
            <v>3.9</v>
          </cell>
          <cell r="BA190">
            <v>90</v>
          </cell>
          <cell r="BB190" t="str">
            <v/>
          </cell>
          <cell r="BC190">
            <v>19</v>
          </cell>
          <cell r="BD190">
            <v>13</v>
          </cell>
          <cell r="BE190">
            <v>0.68421052631578949</v>
          </cell>
          <cell r="BF190">
            <v>84</v>
          </cell>
          <cell r="BG190">
            <v>0.93333333333333335</v>
          </cell>
          <cell r="BH190">
            <v>1</v>
          </cell>
          <cell r="BI190">
            <v>4</v>
          </cell>
          <cell r="BJ190">
            <v>13</v>
          </cell>
          <cell r="BK190">
            <v>3</v>
          </cell>
          <cell r="BL190">
            <v>0.73076923076923073</v>
          </cell>
          <cell r="BM190">
            <v>0.15384615384615388</v>
          </cell>
          <cell r="BN190">
            <v>0.77243589743589747</v>
          </cell>
          <cell r="BO190">
            <v>38</v>
          </cell>
          <cell r="BP190">
            <v>0</v>
          </cell>
          <cell r="BQ190">
            <v>0.48216374269005846</v>
          </cell>
          <cell r="BR190">
            <v>1.1200000000000001</v>
          </cell>
          <cell r="BS190">
            <v>6.112795633717405E-2</v>
          </cell>
          <cell r="BT190">
            <v>0.5</v>
          </cell>
          <cell r="BU190">
            <v>2.7289266221952699E-2</v>
          </cell>
          <cell r="BV190">
            <v>8.8417222559126749E-2</v>
          </cell>
          <cell r="BW190">
            <v>0</v>
          </cell>
          <cell r="BX190">
            <v>38</v>
          </cell>
          <cell r="BY190">
            <v>1.3231578947368421</v>
          </cell>
          <cell r="BZ190">
            <v>1.3198421052631577</v>
          </cell>
        </row>
        <row r="191">
          <cell r="A191" t="str">
            <v>Sven Botman</v>
          </cell>
          <cell r="B191" t="str">
            <v/>
          </cell>
          <cell r="C191" t="str">
            <v>Botman</v>
          </cell>
          <cell r="D191" t="str">
            <v/>
          </cell>
          <cell r="F191" t="str">
            <v/>
          </cell>
          <cell r="H191" t="str">
            <v/>
          </cell>
          <cell r="I191">
            <v>2.2000000000000002</v>
          </cell>
          <cell r="J191">
            <v>2.9333333333333336</v>
          </cell>
          <cell r="K191">
            <v>3.6</v>
          </cell>
          <cell r="M191">
            <v>3.3816067852247871</v>
          </cell>
          <cell r="N191">
            <v>3.0687022900763363</v>
          </cell>
          <cell r="O191">
            <v>2.1768387131952012</v>
          </cell>
          <cell r="P191">
            <v>3.3816067852247871</v>
          </cell>
          <cell r="Q191">
            <v>3.0687022900763363</v>
          </cell>
          <cell r="R191">
            <v>3.2666666666666666</v>
          </cell>
          <cell r="S191">
            <v>3.3816067852247871</v>
          </cell>
          <cell r="T191" t="str">
            <v>DEF</v>
          </cell>
          <cell r="U191" t="str">
            <v>CB</v>
          </cell>
          <cell r="V191" t="str">
            <v>NEW</v>
          </cell>
          <cell r="W191" t="str">
            <v>Newcastle</v>
          </cell>
          <cell r="X191">
            <v>5</v>
          </cell>
          <cell r="Y191">
            <v>89</v>
          </cell>
          <cell r="Z191">
            <v>22</v>
          </cell>
          <cell r="AA191">
            <v>67</v>
          </cell>
          <cell r="AB191">
            <v>1834</v>
          </cell>
          <cell r="AC191">
            <v>1834</v>
          </cell>
          <cell r="AD191">
            <v>0.71199999999999997</v>
          </cell>
          <cell r="AE191">
            <v>1</v>
          </cell>
          <cell r="AF191">
            <v>1</v>
          </cell>
          <cell r="AG191">
            <v>-3.5823336968375134E-2</v>
          </cell>
          <cell r="AH191">
            <v>6.8702290076335867E-3</v>
          </cell>
          <cell r="AI191">
            <v>-2.8953107960741534E-2</v>
          </cell>
          <cell r="AJ191">
            <v>4.0000000000000036E-3</v>
          </cell>
          <cell r="AK191">
            <v>6</v>
          </cell>
          <cell r="AL191">
            <v>332</v>
          </cell>
          <cell r="AM191">
            <v>2</v>
          </cell>
          <cell r="AN191">
            <v>0</v>
          </cell>
          <cell r="AO191">
            <v>447</v>
          </cell>
          <cell r="AP191" t="str">
            <v>Botman</v>
          </cell>
          <cell r="AQ191">
            <v>8.9312977099236655</v>
          </cell>
          <cell r="AR191">
            <v>0</v>
          </cell>
          <cell r="AS191">
            <v>4.0763358778625953</v>
          </cell>
          <cell r="AT191">
            <v>9.8931297709923669</v>
          </cell>
          <cell r="AU191">
            <v>0.96183206106870234</v>
          </cell>
          <cell r="AV191">
            <v>9.8931297709923669</v>
          </cell>
          <cell r="AW191">
            <v>9.8931297709923669</v>
          </cell>
          <cell r="AX191">
            <v>0.52230152671755725</v>
          </cell>
          <cell r="AY191">
            <v>0</v>
          </cell>
          <cell r="AZ191">
            <v>3.6</v>
          </cell>
          <cell r="BA191">
            <v>89</v>
          </cell>
          <cell r="BB191" t="str">
            <v/>
          </cell>
          <cell r="BC191">
            <v>21</v>
          </cell>
          <cell r="BD191">
            <v>17</v>
          </cell>
          <cell r="BE191">
            <v>0.80952380952380953</v>
          </cell>
          <cell r="BF191">
            <v>84</v>
          </cell>
          <cell r="BG191">
            <v>0.93333333333333335</v>
          </cell>
          <cell r="BH191">
            <v>1</v>
          </cell>
          <cell r="BI191">
            <v>4</v>
          </cell>
          <cell r="BJ191">
            <v>15</v>
          </cell>
          <cell r="BK191">
            <v>5</v>
          </cell>
          <cell r="BL191">
            <v>0.7</v>
          </cell>
          <cell r="BM191">
            <v>0.13333333333333336</v>
          </cell>
          <cell r="BN191">
            <v>0.75357142857142856</v>
          </cell>
          <cell r="BO191">
            <v>38</v>
          </cell>
          <cell r="BP191">
            <v>0</v>
          </cell>
          <cell r="BQ191">
            <v>0.53625730994152043</v>
          </cell>
          <cell r="BR191">
            <v>1.73</v>
          </cell>
          <cell r="BS191">
            <v>8.4896401308615047E-2</v>
          </cell>
          <cell r="BT191">
            <v>0.86</v>
          </cell>
          <cell r="BU191">
            <v>4.2202835332606325E-2</v>
          </cell>
          <cell r="BV191">
            <v>0.12709923664122136</v>
          </cell>
          <cell r="BW191">
            <v>0</v>
          </cell>
          <cell r="BX191">
            <v>38</v>
          </cell>
          <cell r="BY191">
            <v>1.5081578947368421</v>
          </cell>
          <cell r="BZ191">
            <v>1.1348421052631577</v>
          </cell>
        </row>
        <row r="192">
          <cell r="A192" t="str">
            <v>Adrien Truffert</v>
          </cell>
          <cell r="B192" t="str">
            <v/>
          </cell>
          <cell r="C192" t="str">
            <v>Truffert</v>
          </cell>
          <cell r="D192" t="str">
            <v/>
          </cell>
          <cell r="F192" t="str">
            <v/>
          </cell>
          <cell r="H192" t="str">
            <v/>
          </cell>
          <cell r="I192" t="e">
            <v>#N/A</v>
          </cell>
          <cell r="J192" t="e">
            <v>#N/A</v>
          </cell>
          <cell r="K192" t="e">
            <v>#N/A</v>
          </cell>
          <cell r="M192">
            <v>3.3783940259041456</v>
          </cell>
          <cell r="N192">
            <v>3.7149200710479575</v>
          </cell>
          <cell r="O192">
            <v>3.1987187290309844</v>
          </cell>
          <cell r="P192">
            <v>3.3783940259041456</v>
          </cell>
          <cell r="Q192">
            <v>3.7149200710479575</v>
          </cell>
          <cell r="R192">
            <v>6.4277777777777771</v>
          </cell>
          <cell r="S192">
            <v>3.3783940259041456</v>
          </cell>
          <cell r="T192" t="str">
            <v>DEF</v>
          </cell>
          <cell r="U192" t="str">
            <v>LB</v>
          </cell>
          <cell r="V192" t="str">
            <v>BOU</v>
          </cell>
          <cell r="W192" t="str">
            <v>Bournemouth</v>
          </cell>
          <cell r="X192">
            <v>5.5</v>
          </cell>
          <cell r="Y192">
            <v>165</v>
          </cell>
          <cell r="Z192">
            <v>24</v>
          </cell>
          <cell r="AA192">
            <v>141</v>
          </cell>
          <cell r="AB192">
            <v>3378</v>
          </cell>
          <cell r="AC192">
            <v>3378</v>
          </cell>
          <cell r="AD192">
            <v>0.78947368421052633</v>
          </cell>
          <cell r="AE192">
            <v>1</v>
          </cell>
          <cell r="AF192">
            <v>6</v>
          </cell>
          <cell r="AG192">
            <v>-9.3250444049733615E-3</v>
          </cell>
          <cell r="AH192">
            <v>7.8063943161634106E-2</v>
          </cell>
          <cell r="AI192">
            <v>6.8738898756660741E-2</v>
          </cell>
          <cell r="AJ192">
            <v>5.2000000000000046E-2</v>
          </cell>
          <cell r="AK192">
            <v>19</v>
          </cell>
          <cell r="AL192">
            <v>607</v>
          </cell>
          <cell r="AM192">
            <v>5</v>
          </cell>
          <cell r="AN192">
            <v>0</v>
          </cell>
          <cell r="AO192">
            <v>61</v>
          </cell>
          <cell r="AP192" t="str">
            <v>Truffert</v>
          </cell>
          <cell r="AQ192">
            <v>5.2430432208407343</v>
          </cell>
          <cell r="AR192">
            <v>0</v>
          </cell>
          <cell r="AS192">
            <v>4.9532267613972767</v>
          </cell>
          <cell r="AT192">
            <v>7.9304322084073418</v>
          </cell>
          <cell r="AU192">
            <v>2.6873889875666075</v>
          </cell>
          <cell r="AV192">
            <v>7.9304322084073418</v>
          </cell>
          <cell r="AW192">
            <v>7.9304322084073418</v>
          </cell>
          <cell r="AX192">
            <v>0.28258229721728834</v>
          </cell>
          <cell r="AY192">
            <v>0</v>
          </cell>
          <cell r="AZ192">
            <v>4.3</v>
          </cell>
          <cell r="BA192">
            <v>165</v>
          </cell>
          <cell r="BB192" t="str">
            <v/>
          </cell>
          <cell r="BC192">
            <v>38</v>
          </cell>
          <cell r="BD192">
            <v>36</v>
          </cell>
          <cell r="BE192">
            <v>0.94736842105263153</v>
          </cell>
          <cell r="BF192">
            <v>89</v>
          </cell>
          <cell r="BG192">
            <v>0.98888888888888893</v>
          </cell>
          <cell r="BH192">
            <v>1</v>
          </cell>
          <cell r="BI192">
            <v>0</v>
          </cell>
          <cell r="BJ192">
            <v>0</v>
          </cell>
          <cell r="BK192">
            <v>0</v>
          </cell>
          <cell r="BL192">
            <v>1</v>
          </cell>
          <cell r="BM192">
            <v>0</v>
          </cell>
          <cell r="BN192">
            <v>1</v>
          </cell>
          <cell r="BO192">
            <v>38</v>
          </cell>
          <cell r="BP192">
            <v>0</v>
          </cell>
          <cell r="BQ192">
            <v>0.987719298245614</v>
          </cell>
          <cell r="BR192">
            <v>1.35</v>
          </cell>
          <cell r="BS192">
            <v>3.5968028419182951E-2</v>
          </cell>
          <cell r="BT192">
            <v>3.07</v>
          </cell>
          <cell r="BU192">
            <v>8.1793960923623441E-2</v>
          </cell>
          <cell r="BV192">
            <v>0.11776198934280639</v>
          </cell>
          <cell r="BW192">
            <v>0</v>
          </cell>
          <cell r="BX192">
            <v>38</v>
          </cell>
          <cell r="BY192">
            <v>1.4939473684210527</v>
          </cell>
          <cell r="BZ192">
            <v>1.1490526315789471</v>
          </cell>
        </row>
        <row r="193">
          <cell r="A193" t="str">
            <v>Dominic Solanke-Mitchell</v>
          </cell>
          <cell r="B193" t="str">
            <v/>
          </cell>
          <cell r="C193" t="str">
            <v>Solanke</v>
          </cell>
          <cell r="D193" t="str">
            <v/>
          </cell>
          <cell r="E193" t="str">
            <v>Dominic Solanke</v>
          </cell>
          <cell r="F193" t="str">
            <v/>
          </cell>
          <cell r="H193" t="str">
            <v/>
          </cell>
          <cell r="I193">
            <v>3.9</v>
          </cell>
          <cell r="J193">
            <v>4.166666666666667</v>
          </cell>
          <cell r="K193">
            <v>4.5999999999999996</v>
          </cell>
          <cell r="M193">
            <v>3.3739859578736211</v>
          </cell>
          <cell r="N193">
            <v>3.3299899699097293</v>
          </cell>
          <cell r="O193">
            <v>2.7190595351947322</v>
          </cell>
          <cell r="P193">
            <v>3.3739859578736211</v>
          </cell>
          <cell r="Q193">
            <v>3.3299899699097293</v>
          </cell>
          <cell r="R193">
            <v>1.9302325581395352</v>
          </cell>
          <cell r="S193">
            <v>3.3739859578736211</v>
          </cell>
          <cell r="T193" t="str">
            <v>FWD</v>
          </cell>
          <cell r="U193" t="str">
            <v>CF</v>
          </cell>
          <cell r="V193" t="str">
            <v>TOT</v>
          </cell>
          <cell r="W193" t="str">
            <v>Spurs</v>
          </cell>
          <cell r="X193">
            <v>6</v>
          </cell>
          <cell r="Y193">
            <v>40</v>
          </cell>
          <cell r="Z193">
            <v>0</v>
          </cell>
          <cell r="AA193">
            <v>40</v>
          </cell>
          <cell r="AB193">
            <v>997</v>
          </cell>
          <cell r="AC193">
            <v>997</v>
          </cell>
          <cell r="AD193">
            <v>0.44444444444444442</v>
          </cell>
          <cell r="AE193">
            <v>3</v>
          </cell>
          <cell r="AF193">
            <v>0</v>
          </cell>
          <cell r="AG193">
            <v>2.7081243731192917E-3</v>
          </cell>
          <cell r="AH193">
            <v>-3.0692076228686062E-2</v>
          </cell>
          <cell r="AI193">
            <v>-2.7983951855566791E-2</v>
          </cell>
          <cell r="AJ193">
            <v>3.8000000000000034E-2</v>
          </cell>
          <cell r="AK193">
            <v>4</v>
          </cell>
          <cell r="AL193">
            <v>187</v>
          </cell>
          <cell r="AM193">
            <v>1</v>
          </cell>
          <cell r="AN193">
            <v>0</v>
          </cell>
          <cell r="AO193">
            <v>526</v>
          </cell>
          <cell r="AP193" t="str">
            <v>Solanke</v>
          </cell>
          <cell r="AQ193">
            <v>1.3319959879638918</v>
          </cell>
          <cell r="AR193">
            <v>0</v>
          </cell>
          <cell r="AS193">
            <v>2.747241725175527</v>
          </cell>
          <cell r="AT193">
            <v>5.9107321965897697</v>
          </cell>
          <cell r="AU193">
            <v>1.8314944834503513</v>
          </cell>
          <cell r="AV193">
            <v>5.9107321965897697</v>
          </cell>
          <cell r="AW193">
            <v>5.9107321965897697</v>
          </cell>
          <cell r="AX193">
            <v>4.4752686631322543E-2</v>
          </cell>
          <cell r="AY193">
            <v>0</v>
          </cell>
          <cell r="AZ193">
            <v>2.7</v>
          </cell>
          <cell r="BA193">
            <v>40</v>
          </cell>
          <cell r="BB193" t="str">
            <v/>
          </cell>
          <cell r="BC193">
            <v>11</v>
          </cell>
          <cell r="BD193">
            <v>7</v>
          </cell>
          <cell r="BE193">
            <v>0.63636363636363635</v>
          </cell>
          <cell r="BF193">
            <v>83</v>
          </cell>
          <cell r="BG193">
            <v>0.92222222222222228</v>
          </cell>
          <cell r="BH193">
            <v>1</v>
          </cell>
          <cell r="BI193">
            <v>4</v>
          </cell>
          <cell r="BJ193">
            <v>23</v>
          </cell>
          <cell r="BK193">
            <v>1</v>
          </cell>
          <cell r="BL193">
            <v>0.6875</v>
          </cell>
          <cell r="BM193">
            <v>0.25</v>
          </cell>
          <cell r="BN193">
            <v>0.77409638554216864</v>
          </cell>
          <cell r="BO193">
            <v>38</v>
          </cell>
          <cell r="BP193">
            <v>0</v>
          </cell>
          <cell r="BQ193">
            <v>0.29152046783625729</v>
          </cell>
          <cell r="BR193">
            <v>2.97</v>
          </cell>
          <cell r="BS193">
            <v>0.26810431293881648</v>
          </cell>
          <cell r="BT193">
            <v>0.34</v>
          </cell>
          <cell r="BU193">
            <v>3.0692076228686062E-2</v>
          </cell>
          <cell r="BV193">
            <v>0.29879638916750256</v>
          </cell>
          <cell r="BW193">
            <v>0</v>
          </cell>
          <cell r="BX193">
            <v>38</v>
          </cell>
          <cell r="BY193">
            <v>1.4628947368421052</v>
          </cell>
          <cell r="BZ193">
            <v>1.1801052631578945</v>
          </cell>
        </row>
        <row r="194">
          <cell r="A194" t="str">
            <v>Jamie Bynoe-Gittens</v>
          </cell>
          <cell r="B194" t="str">
            <v/>
          </cell>
          <cell r="C194" t="str">
            <v>Gittens</v>
          </cell>
          <cell r="D194" t="str">
            <v/>
          </cell>
          <cell r="E194" t="str">
            <v>Jamie Gittens</v>
          </cell>
          <cell r="F194" t="str">
            <v/>
          </cell>
          <cell r="H194" t="str">
            <v/>
          </cell>
          <cell r="I194" t="e">
            <v>#N/A</v>
          </cell>
          <cell r="J194" t="e">
            <v>#N/A</v>
          </cell>
          <cell r="K194" t="e">
            <v>#N/A</v>
          </cell>
          <cell r="M194">
            <v>3.3731241624805954</v>
          </cell>
          <cell r="N194">
            <v>2.9320987654320989</v>
          </cell>
          <cell r="O194">
            <v>2.1833333333333331</v>
          </cell>
          <cell r="P194">
            <v>3.3916870927491565</v>
          </cell>
          <cell r="Q194">
            <v>2.9320987654320989</v>
          </cell>
          <cell r="R194">
            <v>0</v>
          </cell>
          <cell r="S194">
            <v>3.3731241624805954</v>
          </cell>
          <cell r="T194" t="str">
            <v>MID</v>
          </cell>
          <cell r="U194" t="str">
            <v>LW</v>
          </cell>
          <cell r="V194" t="str">
            <v>CHE</v>
          </cell>
          <cell r="W194" t="str">
            <v>Chelsea</v>
          </cell>
          <cell r="X194">
            <v>6</v>
          </cell>
          <cell r="Y194">
            <v>25</v>
          </cell>
          <cell r="Z194">
            <v>0</v>
          </cell>
          <cell r="AA194">
            <v>25</v>
          </cell>
          <cell r="AB194">
            <v>486</v>
          </cell>
          <cell r="AC194">
            <v>486</v>
          </cell>
          <cell r="AD194">
            <v>0.26041666666666669</v>
          </cell>
          <cell r="AE194">
            <v>0</v>
          </cell>
          <cell r="AF194">
            <v>2</v>
          </cell>
          <cell r="AG194">
            <v>-0.15000000000000002</v>
          </cell>
          <cell r="AH194">
            <v>0.19629629629629633</v>
          </cell>
          <cell r="AI194">
            <v>4.6296296296296335E-2</v>
          </cell>
          <cell r="AJ194">
            <v>0</v>
          </cell>
          <cell r="AK194">
            <v>0</v>
          </cell>
          <cell r="AL194">
            <v>99</v>
          </cell>
          <cell r="AM194">
            <v>0</v>
          </cell>
          <cell r="AN194">
            <v>0</v>
          </cell>
          <cell r="AO194">
            <v>158</v>
          </cell>
          <cell r="AP194" t="str">
            <v>Gittens</v>
          </cell>
          <cell r="AQ194">
            <v>0.70370370370370372</v>
          </cell>
          <cell r="AR194">
            <v>0</v>
          </cell>
          <cell r="AS194">
            <v>1.7592592592592591</v>
          </cell>
          <cell r="AT194">
            <v>3.4012345679012341</v>
          </cell>
          <cell r="AU194">
            <v>0.93827160493827166</v>
          </cell>
          <cell r="AV194">
            <v>3.4012345679012341</v>
          </cell>
          <cell r="AW194">
            <v>3.4012345679012341</v>
          </cell>
          <cell r="AX194">
            <v>2.5752204585537914E-2</v>
          </cell>
          <cell r="AY194">
            <v>0</v>
          </cell>
          <cell r="AZ194">
            <v>1.6</v>
          </cell>
          <cell r="BA194">
            <v>25</v>
          </cell>
          <cell r="BB194" t="str">
            <v/>
          </cell>
          <cell r="BC194">
            <v>5</v>
          </cell>
          <cell r="BD194">
            <v>1</v>
          </cell>
          <cell r="BE194">
            <v>0.2</v>
          </cell>
          <cell r="BF194">
            <v>57</v>
          </cell>
          <cell r="BG194">
            <v>0.6333333333333333</v>
          </cell>
          <cell r="BH194">
            <v>1</v>
          </cell>
          <cell r="BI194">
            <v>11</v>
          </cell>
          <cell r="BJ194">
            <v>19</v>
          </cell>
          <cell r="BK194">
            <v>6</v>
          </cell>
          <cell r="BL194">
            <v>0.22727272727272727</v>
          </cell>
          <cell r="BM194">
            <v>0.49999999999999994</v>
          </cell>
          <cell r="BN194">
            <v>0.48484848484848481</v>
          </cell>
          <cell r="BO194">
            <v>38</v>
          </cell>
          <cell r="BP194">
            <v>0</v>
          </cell>
          <cell r="BQ194">
            <v>0.14210526315789473</v>
          </cell>
          <cell r="BR194">
            <v>0.81</v>
          </cell>
          <cell r="BS194">
            <v>0.15000000000000002</v>
          </cell>
          <cell r="BT194">
            <v>0.94</v>
          </cell>
          <cell r="BU194">
            <v>0.17407407407407408</v>
          </cell>
          <cell r="BV194">
            <v>0.32407407407407407</v>
          </cell>
          <cell r="BW194">
            <v>0</v>
          </cell>
          <cell r="BX194">
            <v>38</v>
          </cell>
          <cell r="BY194">
            <v>1.4473684210526316</v>
          </cell>
          <cell r="BZ194">
            <v>1.1956315789473682</v>
          </cell>
        </row>
        <row r="195">
          <cell r="A195" t="str">
            <v>Myles Lewis-Skelly</v>
          </cell>
          <cell r="B195" t="str">
            <v/>
          </cell>
          <cell r="C195" t="str">
            <v>Lewis-Skelly</v>
          </cell>
          <cell r="D195" t="str">
            <v/>
          </cell>
          <cell r="F195" t="str">
            <v/>
          </cell>
          <cell r="H195" t="str">
            <v/>
          </cell>
          <cell r="I195">
            <v>0</v>
          </cell>
          <cell r="J195">
            <v>0.8</v>
          </cell>
          <cell r="K195">
            <v>1.6</v>
          </cell>
          <cell r="M195">
            <v>3.3653770799886042</v>
          </cell>
          <cell r="N195">
            <v>3.5781922525107603</v>
          </cell>
          <cell r="O195">
            <v>1.9183119159331499</v>
          </cell>
          <cell r="P195">
            <v>2.3376523667274989</v>
          </cell>
          <cell r="Q195">
            <v>3.5781922525107603</v>
          </cell>
          <cell r="R195">
            <v>4.6486486486486491</v>
          </cell>
          <cell r="S195">
            <v>3.3653770799886042</v>
          </cell>
          <cell r="T195" t="str">
            <v>MID</v>
          </cell>
          <cell r="U195" t="str">
            <v>LB</v>
          </cell>
          <cell r="V195" t="str">
            <v>ARS</v>
          </cell>
          <cell r="W195" t="str">
            <v>Arsenal</v>
          </cell>
          <cell r="X195">
            <v>5.5</v>
          </cell>
          <cell r="Y195">
            <v>29</v>
          </cell>
          <cell r="Z195">
            <v>0</v>
          </cell>
          <cell r="AA195">
            <v>29</v>
          </cell>
          <cell r="AB195">
            <v>697</v>
          </cell>
          <cell r="AC195">
            <v>697</v>
          </cell>
          <cell r="AD195">
            <v>0.26363636363636361</v>
          </cell>
          <cell r="AE195">
            <v>0</v>
          </cell>
          <cell r="AF195">
            <v>0</v>
          </cell>
          <cell r="AG195">
            <v>-1.2912482065997131E-2</v>
          </cell>
          <cell r="AH195">
            <v>-2.5824964131994262E-2</v>
          </cell>
          <cell r="AI195">
            <v>-3.8737446197991396E-2</v>
          </cell>
          <cell r="AJ195">
            <v>2.9999999999998916E-3</v>
          </cell>
          <cell r="AK195">
            <v>0</v>
          </cell>
          <cell r="AL195">
            <v>110</v>
          </cell>
          <cell r="AM195">
            <v>3</v>
          </cell>
          <cell r="AN195">
            <v>0</v>
          </cell>
          <cell r="AO195">
            <v>7</v>
          </cell>
          <cell r="AP195" t="str">
            <v>Lewis-Skelly</v>
          </cell>
          <cell r="AQ195">
            <v>2.0975609756097562</v>
          </cell>
          <cell r="AR195">
            <v>0</v>
          </cell>
          <cell r="AS195">
            <v>3.7015781922525113</v>
          </cell>
          <cell r="AT195">
            <v>3.0846484935437593</v>
          </cell>
          <cell r="AU195">
            <v>0.98708751793400284</v>
          </cell>
          <cell r="AV195">
            <v>3.0846484935437593</v>
          </cell>
          <cell r="AW195">
            <v>3.0846484935437593</v>
          </cell>
          <cell r="AX195">
            <v>2.335519573683132E-2</v>
          </cell>
          <cell r="AY195">
            <v>0</v>
          </cell>
          <cell r="AZ195">
            <v>1.4</v>
          </cell>
          <cell r="BA195">
            <v>29</v>
          </cell>
          <cell r="BB195" t="str">
            <v/>
          </cell>
          <cell r="BC195">
            <v>5</v>
          </cell>
          <cell r="BD195">
            <v>4</v>
          </cell>
          <cell r="BE195">
            <v>0.8</v>
          </cell>
          <cell r="BF195">
            <v>86</v>
          </cell>
          <cell r="BG195">
            <v>0.9555555555555556</v>
          </cell>
          <cell r="BH195">
            <v>1</v>
          </cell>
          <cell r="BI195">
            <v>15</v>
          </cell>
          <cell r="BJ195">
            <v>19</v>
          </cell>
          <cell r="BK195">
            <v>17</v>
          </cell>
          <cell r="BL195">
            <v>0.13513513513513514</v>
          </cell>
          <cell r="BM195">
            <v>0.40540540540540543</v>
          </cell>
          <cell r="BN195">
            <v>0.32620993086109368</v>
          </cell>
          <cell r="BO195">
            <v>38</v>
          </cell>
          <cell r="BP195">
            <v>0</v>
          </cell>
          <cell r="BQ195">
            <v>0.20380116959064329</v>
          </cell>
          <cell r="BR195">
            <v>0.1</v>
          </cell>
          <cell r="BS195">
            <v>1.2912482065997131E-2</v>
          </cell>
          <cell r="BT195">
            <v>0.2</v>
          </cell>
          <cell r="BU195">
            <v>2.5824964131994262E-2</v>
          </cell>
          <cell r="BV195">
            <v>3.8737446197991396E-2</v>
          </cell>
          <cell r="BW195">
            <v>0</v>
          </cell>
          <cell r="BX195">
            <v>38</v>
          </cell>
          <cell r="BY195">
            <v>0.87184210526315797</v>
          </cell>
          <cell r="BZ195">
            <v>1.7711578947368418</v>
          </cell>
        </row>
        <row r="196">
          <cell r="A196" t="str">
            <v>Elliot Anderson</v>
          </cell>
          <cell r="B196" t="str">
            <v/>
          </cell>
          <cell r="C196" t="str">
            <v>Anderson</v>
          </cell>
          <cell r="D196" t="str">
            <v/>
          </cell>
          <cell r="F196" t="str">
            <v/>
          </cell>
          <cell r="H196" t="str">
            <v/>
          </cell>
          <cell r="I196">
            <v>1.4</v>
          </cell>
          <cell r="J196">
            <v>2.1</v>
          </cell>
          <cell r="K196">
            <v>2.9</v>
          </cell>
          <cell r="M196">
            <v>3.35951652164482</v>
          </cell>
          <cell r="N196">
            <v>3.4189675870348135</v>
          </cell>
          <cell r="O196">
            <v>3.4927402662557565</v>
          </cell>
          <cell r="P196">
            <v>3.4680977644016289</v>
          </cell>
          <cell r="Q196">
            <v>3.4189675870348135</v>
          </cell>
          <cell r="R196">
            <v>7.2110874200426442</v>
          </cell>
          <cell r="S196">
            <v>3.35951652164482</v>
          </cell>
          <cell r="T196" t="str">
            <v>MID</v>
          </cell>
          <cell r="U196" t="str">
            <v>DM</v>
          </cell>
          <cell r="V196" t="str">
            <v>MCI</v>
          </cell>
          <cell r="W196" t="str">
            <v>Man City</v>
          </cell>
          <cell r="X196">
            <v>6.5</v>
          </cell>
          <cell r="Y196">
            <v>180</v>
          </cell>
          <cell r="Z196">
            <v>52</v>
          </cell>
          <cell r="AA196">
            <v>128</v>
          </cell>
          <cell r="AB196">
            <v>3332</v>
          </cell>
          <cell r="AC196">
            <v>3332</v>
          </cell>
          <cell r="AD196">
            <v>0.72874493927125505</v>
          </cell>
          <cell r="AE196">
            <v>4</v>
          </cell>
          <cell r="AF196">
            <v>5</v>
          </cell>
          <cell r="AG196">
            <v>2.8631452581032391E-2</v>
          </cell>
          <cell r="AH196">
            <v>5.6722689075630328E-3</v>
          </cell>
          <cell r="AI196">
            <v>3.4303721488595451E-2</v>
          </cell>
          <cell r="AJ196">
            <v>0.125</v>
          </cell>
          <cell r="AK196">
            <v>16</v>
          </cell>
          <cell r="AL196">
            <v>795</v>
          </cell>
          <cell r="AM196">
            <v>8</v>
          </cell>
          <cell r="AN196">
            <v>0</v>
          </cell>
          <cell r="AO196">
            <v>481</v>
          </cell>
          <cell r="AP196" t="str">
            <v>Anderson</v>
          </cell>
          <cell r="AQ196">
            <v>2.8313325330132053</v>
          </cell>
          <cell r="AR196">
            <v>0</v>
          </cell>
          <cell r="AS196">
            <v>8.1734693877551017</v>
          </cell>
          <cell r="AT196">
            <v>13.756002400960385</v>
          </cell>
          <cell r="AU196">
            <v>2.7512004801920771</v>
          </cell>
          <cell r="AV196">
            <v>13.756002400960385</v>
          </cell>
          <cell r="AW196">
            <v>13.756002400960385</v>
          </cell>
          <cell r="AX196">
            <v>0.69765216086434589</v>
          </cell>
          <cell r="AY196">
            <v>0</v>
          </cell>
          <cell r="AZ196">
            <v>4.7</v>
          </cell>
          <cell r="BA196">
            <v>180</v>
          </cell>
          <cell r="BB196" t="str">
            <v/>
          </cell>
          <cell r="BC196">
            <v>37</v>
          </cell>
          <cell r="BD196">
            <v>33</v>
          </cell>
          <cell r="BE196">
            <v>0.89189189189189189</v>
          </cell>
          <cell r="BF196">
            <v>89</v>
          </cell>
          <cell r="BG196">
            <v>0.98888888888888893</v>
          </cell>
          <cell r="BH196">
            <v>1</v>
          </cell>
          <cell r="BI196">
            <v>1</v>
          </cell>
          <cell r="BJ196">
            <v>45</v>
          </cell>
          <cell r="BK196">
            <v>0</v>
          </cell>
          <cell r="BL196">
            <v>0.97368421052631582</v>
          </cell>
          <cell r="BM196">
            <v>2.6315789473684181E-2</v>
          </cell>
          <cell r="BN196">
            <v>0.98698994677705509</v>
          </cell>
          <cell r="BO196">
            <v>38</v>
          </cell>
          <cell r="BP196">
            <v>0</v>
          </cell>
          <cell r="BQ196">
            <v>0.97426900584795317</v>
          </cell>
          <cell r="BR196">
            <v>2.94</v>
          </cell>
          <cell r="BS196">
            <v>7.9411764705882362E-2</v>
          </cell>
          <cell r="BT196">
            <v>4.79</v>
          </cell>
          <cell r="BU196">
            <v>0.12938175270108043</v>
          </cell>
          <cell r="BV196">
            <v>0.20879351740696278</v>
          </cell>
          <cell r="BW196">
            <v>0</v>
          </cell>
          <cell r="BX196">
            <v>38</v>
          </cell>
          <cell r="BY196">
            <v>1.223421052631579</v>
          </cell>
          <cell r="BZ196">
            <v>1.4195789473684208</v>
          </cell>
        </row>
        <row r="197">
          <cell r="A197" t="str">
            <v>Leny Yoro</v>
          </cell>
          <cell r="B197" t="str">
            <v/>
          </cell>
          <cell r="C197" t="str">
            <v>Yoro</v>
          </cell>
          <cell r="D197" t="str">
            <v/>
          </cell>
          <cell r="F197" t="str">
            <v/>
          </cell>
          <cell r="H197" t="str">
            <v/>
          </cell>
          <cell r="I197">
            <v>1</v>
          </cell>
          <cell r="J197">
            <v>1</v>
          </cell>
          <cell r="K197">
            <v>1</v>
          </cell>
          <cell r="M197">
            <v>3.3585353879752153</v>
          </cell>
          <cell r="N197">
            <v>2.3699421965317922</v>
          </cell>
          <cell r="O197">
            <v>1.7113102119460502</v>
          </cell>
          <cell r="P197">
            <v>3.3585353879752153</v>
          </cell>
          <cell r="Q197">
            <v>2.3699421965317922</v>
          </cell>
          <cell r="R197">
            <v>7.2352941176470589</v>
          </cell>
          <cell r="S197">
            <v>3.3585353879752153</v>
          </cell>
          <cell r="T197" t="str">
            <v>DEF</v>
          </cell>
          <cell r="U197" t="str">
            <v>CB</v>
          </cell>
          <cell r="V197" t="str">
            <v>MUN</v>
          </cell>
          <cell r="W197" t="str">
            <v>Man Utd</v>
          </cell>
          <cell r="X197">
            <v>5</v>
          </cell>
          <cell r="Y197">
            <v>56</v>
          </cell>
          <cell r="Z197">
            <v>6</v>
          </cell>
          <cell r="AA197">
            <v>50</v>
          </cell>
          <cell r="AB197">
            <v>1730</v>
          </cell>
          <cell r="AC197">
            <v>1730</v>
          </cell>
          <cell r="AD197">
            <v>0.35</v>
          </cell>
          <cell r="AE197">
            <v>0</v>
          </cell>
          <cell r="AF197">
            <v>1</v>
          </cell>
          <cell r="AG197">
            <v>-6.9710982658959544E-2</v>
          </cell>
          <cell r="AH197">
            <v>2.132947976878613E-2</v>
          </cell>
          <cell r="AI197">
            <v>-4.8381502890173414E-2</v>
          </cell>
          <cell r="AJ197">
            <v>4.9999999999998934E-3</v>
          </cell>
          <cell r="AK197">
            <v>1</v>
          </cell>
          <cell r="AL197">
            <v>191</v>
          </cell>
          <cell r="AM197">
            <v>1</v>
          </cell>
          <cell r="AN197">
            <v>0</v>
          </cell>
          <cell r="AO197">
            <v>420</v>
          </cell>
          <cell r="AP197" t="str">
            <v>Yoro</v>
          </cell>
          <cell r="AQ197">
            <v>5.9722543352601161</v>
          </cell>
          <cell r="AR197">
            <v>0</v>
          </cell>
          <cell r="AS197">
            <v>3.4601156069364163</v>
          </cell>
          <cell r="AT197">
            <v>7.3942196531791904</v>
          </cell>
          <cell r="AU197">
            <v>1.421965317919075</v>
          </cell>
          <cell r="AV197">
            <v>7.3942196531791904</v>
          </cell>
          <cell r="AW197">
            <v>7.3942196531791904</v>
          </cell>
          <cell r="AX197">
            <v>0.21770057803468204</v>
          </cell>
          <cell r="AY197">
            <v>0</v>
          </cell>
          <cell r="AZ197">
            <v>1.8</v>
          </cell>
          <cell r="BA197">
            <v>56</v>
          </cell>
          <cell r="BB197" t="str">
            <v/>
          </cell>
          <cell r="BC197">
            <v>18</v>
          </cell>
          <cell r="BD197">
            <v>9</v>
          </cell>
          <cell r="BE197">
            <v>0.5</v>
          </cell>
          <cell r="BF197">
            <v>82</v>
          </cell>
          <cell r="BG197">
            <v>0.91111111111111109</v>
          </cell>
          <cell r="BH197">
            <v>1</v>
          </cell>
          <cell r="BI197">
            <v>14</v>
          </cell>
          <cell r="BJ197">
            <v>20</v>
          </cell>
          <cell r="BK197">
            <v>5</v>
          </cell>
          <cell r="BL197">
            <v>0.48648648648648651</v>
          </cell>
          <cell r="BM197">
            <v>0.3783783783783784</v>
          </cell>
          <cell r="BN197">
            <v>0.6117336849044166</v>
          </cell>
          <cell r="BO197">
            <v>38</v>
          </cell>
          <cell r="BP197">
            <v>0</v>
          </cell>
          <cell r="BQ197">
            <v>0.50584795321637432</v>
          </cell>
          <cell r="BR197">
            <v>1.34</v>
          </cell>
          <cell r="BS197">
            <v>6.9710982658959544E-2</v>
          </cell>
          <cell r="BT197">
            <v>0.59</v>
          </cell>
          <cell r="BU197">
            <v>3.0693641618497108E-2</v>
          </cell>
          <cell r="BV197">
            <v>0.10040462427745665</v>
          </cell>
          <cell r="BW197">
            <v>0</v>
          </cell>
          <cell r="BX197">
            <v>38</v>
          </cell>
          <cell r="BY197">
            <v>1.3231578947368421</v>
          </cell>
          <cell r="BZ197">
            <v>1.3198421052631577</v>
          </cell>
        </row>
        <row r="198">
          <cell r="A198" t="str">
            <v>Igor Jesus Maciel da Cruz</v>
          </cell>
          <cell r="B198" t="str">
            <v/>
          </cell>
          <cell r="C198" t="str">
            <v>Igor Jesus</v>
          </cell>
          <cell r="D198" t="str">
            <v/>
          </cell>
          <cell r="F198" t="str">
            <v/>
          </cell>
          <cell r="H198" t="str">
            <v/>
          </cell>
          <cell r="I198" t="e">
            <v>#N/A</v>
          </cell>
          <cell r="J198" t="e">
            <v>#N/A</v>
          </cell>
          <cell r="K198" t="e">
            <v>#N/A</v>
          </cell>
          <cell r="M198">
            <v>3.3576048844308763</v>
          </cell>
          <cell r="N198">
            <v>3.6790231138246838</v>
          </cell>
          <cell r="O198">
            <v>3.6502784206242849</v>
          </cell>
          <cell r="P198">
            <v>3.3576048844308763</v>
          </cell>
          <cell r="Q198">
            <v>3.6790231138246838</v>
          </cell>
          <cell r="R198">
            <v>5.5815085158150852</v>
          </cell>
          <cell r="S198">
            <v>3.3576048844308763</v>
          </cell>
          <cell r="T198" t="str">
            <v>FWD</v>
          </cell>
          <cell r="U198" t="str">
            <v>CF</v>
          </cell>
          <cell r="V198" t="str">
            <v>NFO</v>
          </cell>
          <cell r="W198" t="str">
            <v>Nott'm Forest</v>
          </cell>
          <cell r="X198">
            <v>6</v>
          </cell>
          <cell r="Y198">
            <v>114</v>
          </cell>
          <cell r="Z198">
            <v>0</v>
          </cell>
          <cell r="AA198">
            <v>114</v>
          </cell>
          <cell r="AB198">
            <v>2293</v>
          </cell>
          <cell r="AC198">
            <v>2293</v>
          </cell>
          <cell r="AD198">
            <v>0.51351351351351349</v>
          </cell>
          <cell r="AE198">
            <v>6</v>
          </cell>
          <cell r="AF198">
            <v>6</v>
          </cell>
          <cell r="AG198">
            <v>-1.8839947666812018E-2</v>
          </cell>
          <cell r="AH198">
            <v>0.18604448320976888</v>
          </cell>
          <cell r="AI198">
            <v>0.16720453554295689</v>
          </cell>
          <cell r="AJ198">
            <v>3.499999999999992E-2</v>
          </cell>
          <cell r="AK198">
            <v>13</v>
          </cell>
          <cell r="AL198">
            <v>407</v>
          </cell>
          <cell r="AM198">
            <v>2</v>
          </cell>
          <cell r="AN198">
            <v>0</v>
          </cell>
          <cell r="AO198">
            <v>491</v>
          </cell>
          <cell r="AP198" t="str">
            <v>Igor Jesus</v>
          </cell>
          <cell r="AQ198">
            <v>1.2263410379415611</v>
          </cell>
          <cell r="AR198">
            <v>0</v>
          </cell>
          <cell r="AS198">
            <v>1.9686000872219798</v>
          </cell>
          <cell r="AT198">
            <v>3.9694723070213698</v>
          </cell>
          <cell r="AU198">
            <v>0.77453118185782821</v>
          </cell>
          <cell r="AV198">
            <v>3.9694723070213698</v>
          </cell>
          <cell r="AW198">
            <v>3.9694723070213698</v>
          </cell>
          <cell r="AX198">
            <v>3.0054576038876086E-2</v>
          </cell>
          <cell r="AY198">
            <v>0</v>
          </cell>
          <cell r="AZ198">
            <v>3.1</v>
          </cell>
          <cell r="BA198">
            <v>114</v>
          </cell>
          <cell r="BB198" t="str">
            <v/>
          </cell>
          <cell r="BC198">
            <v>28</v>
          </cell>
          <cell r="BD198">
            <v>5</v>
          </cell>
          <cell r="BE198">
            <v>0.17857142857142858</v>
          </cell>
          <cell r="BF198">
            <v>74</v>
          </cell>
          <cell r="BG198">
            <v>0.82222222222222219</v>
          </cell>
          <cell r="BH198">
            <v>1</v>
          </cell>
          <cell r="BI198">
            <v>9</v>
          </cell>
          <cell r="BJ198">
            <v>24</v>
          </cell>
          <cell r="BK198">
            <v>0</v>
          </cell>
          <cell r="BL198">
            <v>0.7567567567567568</v>
          </cell>
          <cell r="BM198">
            <v>0.2432432432432432</v>
          </cell>
          <cell r="BN198">
            <v>0.83564645726807885</v>
          </cell>
          <cell r="BO198">
            <v>38</v>
          </cell>
          <cell r="BP198">
            <v>0</v>
          </cell>
          <cell r="BQ198">
            <v>0.67046783625730999</v>
          </cell>
          <cell r="BR198">
            <v>6.48</v>
          </cell>
          <cell r="BS198">
            <v>0.25433929350196249</v>
          </cell>
          <cell r="BT198">
            <v>1.26</v>
          </cell>
          <cell r="BU198">
            <v>4.9454862625381596E-2</v>
          </cell>
          <cell r="BV198">
            <v>0.30379415612734406</v>
          </cell>
          <cell r="BW198">
            <v>0</v>
          </cell>
          <cell r="BX198">
            <v>38</v>
          </cell>
          <cell r="BY198">
            <v>1.7036842105263157</v>
          </cell>
          <cell r="BZ198">
            <v>0.9393157894736841</v>
          </cell>
        </row>
        <row r="199">
          <cell r="A199" t="str">
            <v>Tyrone Mings</v>
          </cell>
          <cell r="B199" t="str">
            <v/>
          </cell>
          <cell r="C199" t="str">
            <v>Mings</v>
          </cell>
          <cell r="D199" t="str">
            <v/>
          </cell>
          <cell r="F199" t="str">
            <v/>
          </cell>
          <cell r="H199" t="str">
            <v/>
          </cell>
          <cell r="I199">
            <v>3.4</v>
          </cell>
          <cell r="J199">
            <v>3.55</v>
          </cell>
          <cell r="K199">
            <v>3.7</v>
          </cell>
          <cell r="M199">
            <v>3.3538194717589542</v>
          </cell>
          <cell r="N199">
            <v>2.7322239031770046</v>
          </cell>
          <cell r="O199">
            <v>2.1886573373676246</v>
          </cell>
          <cell r="P199">
            <v>3.3538194717589542</v>
          </cell>
          <cell r="Q199">
            <v>2.7322239031770046</v>
          </cell>
          <cell r="R199">
            <v>1.4333333333333333</v>
          </cell>
          <cell r="S199">
            <v>3.3538194717589542</v>
          </cell>
          <cell r="T199" t="str">
            <v>DEF</v>
          </cell>
          <cell r="U199" t="str">
            <v>CB</v>
          </cell>
          <cell r="V199" t="str">
            <v>AVL</v>
          </cell>
          <cell r="W199" t="str">
            <v>Aston Villa</v>
          </cell>
          <cell r="X199">
            <v>4.5</v>
          </cell>
          <cell r="Y199">
            <v>50</v>
          </cell>
          <cell r="Z199">
            <v>8</v>
          </cell>
          <cell r="AA199">
            <v>42</v>
          </cell>
          <cell r="AB199">
            <v>1322</v>
          </cell>
          <cell r="AC199">
            <v>1322</v>
          </cell>
          <cell r="AD199">
            <v>0.65359477124183007</v>
          </cell>
          <cell r="AE199">
            <v>0</v>
          </cell>
          <cell r="AF199">
            <v>1</v>
          </cell>
          <cell r="AG199">
            <v>-8.8502269288956131E-2</v>
          </cell>
          <cell r="AH199">
            <v>3.9485627836611192E-2</v>
          </cell>
          <cell r="AI199">
            <v>-4.9016641452344939E-2</v>
          </cell>
          <cell r="AJ199">
            <v>2.0000000000000018E-3</v>
          </cell>
          <cell r="AK199">
            <v>4</v>
          </cell>
          <cell r="AL199">
            <v>169</v>
          </cell>
          <cell r="AM199">
            <v>1</v>
          </cell>
          <cell r="AN199">
            <v>0</v>
          </cell>
          <cell r="AO199">
            <v>33</v>
          </cell>
          <cell r="AP199" t="str">
            <v>Mings</v>
          </cell>
          <cell r="AQ199">
            <v>6.6354009077155833</v>
          </cell>
          <cell r="AR199">
            <v>0</v>
          </cell>
          <cell r="AS199">
            <v>3.0574886535552195</v>
          </cell>
          <cell r="AT199">
            <v>6.9606656580937978</v>
          </cell>
          <cell r="AU199">
            <v>0.32526475037821484</v>
          </cell>
          <cell r="AV199">
            <v>6.9606656580937978</v>
          </cell>
          <cell r="AW199">
            <v>6.9606656580937978</v>
          </cell>
          <cell r="AX199">
            <v>0.16728593040847206</v>
          </cell>
          <cell r="AY199">
            <v>0</v>
          </cell>
          <cell r="AZ199">
            <v>2.9</v>
          </cell>
          <cell r="BA199">
            <v>50</v>
          </cell>
          <cell r="BB199" t="str">
            <v/>
          </cell>
          <cell r="BC199">
            <v>15</v>
          </cell>
          <cell r="BD199">
            <v>14</v>
          </cell>
          <cell r="BE199">
            <v>0.93333333333333335</v>
          </cell>
          <cell r="BF199">
            <v>86</v>
          </cell>
          <cell r="BG199">
            <v>0.9555555555555556</v>
          </cell>
          <cell r="BH199">
            <v>1</v>
          </cell>
          <cell r="BI199">
            <v>2</v>
          </cell>
          <cell r="BJ199">
            <v>17</v>
          </cell>
          <cell r="BK199">
            <v>6</v>
          </cell>
          <cell r="BL199">
            <v>0.65217391304347827</v>
          </cell>
          <cell r="BM199">
            <v>8.6956521739130432E-2</v>
          </cell>
          <cell r="BN199">
            <v>0.72093023255813948</v>
          </cell>
          <cell r="BO199">
            <v>38</v>
          </cell>
          <cell r="BP199">
            <v>0</v>
          </cell>
          <cell r="BQ199">
            <v>0.3865497076023392</v>
          </cell>
          <cell r="BR199">
            <v>1.3</v>
          </cell>
          <cell r="BS199">
            <v>8.8502269288956131E-2</v>
          </cell>
          <cell r="BT199">
            <v>0.42</v>
          </cell>
          <cell r="BU199">
            <v>2.8593040847201209E-2</v>
          </cell>
          <cell r="BV199">
            <v>0.11709531013615734</v>
          </cell>
          <cell r="BW199">
            <v>0</v>
          </cell>
          <cell r="BX199">
            <v>38</v>
          </cell>
          <cell r="BY199">
            <v>1.4915789473684211</v>
          </cell>
          <cell r="BZ199">
            <v>1.1514210526315787</v>
          </cell>
        </row>
        <row r="200">
          <cell r="A200" t="str">
            <v>Josh Acheampong</v>
          </cell>
          <cell r="B200" t="str">
            <v/>
          </cell>
          <cell r="C200" t="str">
            <v>Acheampong</v>
          </cell>
          <cell r="D200" t="str">
            <v/>
          </cell>
          <cell r="E200" t="str">
            <v>Joshua Acheampong</v>
          </cell>
          <cell r="F200" t="str">
            <v/>
          </cell>
          <cell r="H200" t="str">
            <v/>
          </cell>
          <cell r="I200">
            <v>1</v>
          </cell>
          <cell r="J200">
            <v>1</v>
          </cell>
          <cell r="K200">
            <v>1</v>
          </cell>
          <cell r="M200">
            <v>3.3493346429262001</v>
          </cell>
          <cell r="N200">
            <v>4.2146118721461185</v>
          </cell>
          <cell r="O200">
            <v>1.8786941331119413</v>
          </cell>
          <cell r="P200">
            <v>3.4646389955793935</v>
          </cell>
          <cell r="Q200">
            <v>4.2146118721461185</v>
          </cell>
          <cell r="R200">
            <v>4.0340909090909083</v>
          </cell>
          <cell r="S200">
            <v>3.3493346429262001</v>
          </cell>
          <cell r="T200" t="str">
            <v>DEF</v>
          </cell>
          <cell r="U200" t="str">
            <v>RB</v>
          </cell>
          <cell r="V200" t="str">
            <v>CHE</v>
          </cell>
          <cell r="W200" t="str">
            <v>Chelsea</v>
          </cell>
          <cell r="X200">
            <v>4.5</v>
          </cell>
          <cell r="Y200">
            <v>39</v>
          </cell>
          <cell r="Z200">
            <v>0</v>
          </cell>
          <cell r="AA200">
            <v>39</v>
          </cell>
          <cell r="AB200">
            <v>657</v>
          </cell>
          <cell r="AC200">
            <v>657</v>
          </cell>
          <cell r="AD200">
            <v>0.50980392156862742</v>
          </cell>
          <cell r="AE200">
            <v>1</v>
          </cell>
          <cell r="AF200">
            <v>0</v>
          </cell>
          <cell r="AG200">
            <v>5.205479452054794E-2</v>
          </cell>
          <cell r="AH200">
            <v>-1.7808219178082191E-2</v>
          </cell>
          <cell r="AI200">
            <v>3.4246575342465752E-2</v>
          </cell>
          <cell r="AJ200">
            <v>2.0000000000000018E-3</v>
          </cell>
          <cell r="AK200">
            <v>5</v>
          </cell>
          <cell r="AL200">
            <v>118</v>
          </cell>
          <cell r="AM200">
            <v>1</v>
          </cell>
          <cell r="AN200">
            <v>0</v>
          </cell>
          <cell r="AO200">
            <v>151</v>
          </cell>
          <cell r="AP200" t="str">
            <v>Acheampong</v>
          </cell>
          <cell r="AQ200">
            <v>3.5662100456620998</v>
          </cell>
          <cell r="AR200">
            <v>0</v>
          </cell>
          <cell r="AS200">
            <v>2.8097412480974122</v>
          </cell>
          <cell r="AT200">
            <v>4.7549467275494663</v>
          </cell>
          <cell r="AU200">
            <v>1.1887366818873666</v>
          </cell>
          <cell r="AV200">
            <v>4.7549467275494663</v>
          </cell>
          <cell r="AW200">
            <v>4.7549467275494663</v>
          </cell>
          <cell r="AX200">
            <v>3.0431659056316583E-2</v>
          </cell>
          <cell r="AY200">
            <v>0</v>
          </cell>
          <cell r="AZ200">
            <v>2.2999999999999998</v>
          </cell>
          <cell r="BA200">
            <v>39</v>
          </cell>
          <cell r="BB200" t="str">
            <v/>
          </cell>
          <cell r="BC200">
            <v>8</v>
          </cell>
          <cell r="BD200">
            <v>1</v>
          </cell>
          <cell r="BE200">
            <v>0.125</v>
          </cell>
          <cell r="BF200">
            <v>71</v>
          </cell>
          <cell r="BG200">
            <v>0.78888888888888886</v>
          </cell>
          <cell r="BH200">
            <v>1</v>
          </cell>
          <cell r="BI200">
            <v>9</v>
          </cell>
          <cell r="BJ200">
            <v>11</v>
          </cell>
          <cell r="BK200">
            <v>18</v>
          </cell>
          <cell r="BL200">
            <v>0.22857142857142856</v>
          </cell>
          <cell r="BM200">
            <v>0.25714285714285723</v>
          </cell>
          <cell r="BN200">
            <v>0.34808853118712274</v>
          </cell>
          <cell r="BO200">
            <v>38</v>
          </cell>
          <cell r="BP200">
            <v>0</v>
          </cell>
          <cell r="BQ200">
            <v>0.19210526315789472</v>
          </cell>
          <cell r="BR200">
            <v>0.62</v>
          </cell>
          <cell r="BS200">
            <v>8.4931506849315067E-2</v>
          </cell>
          <cell r="BT200">
            <v>0.13</v>
          </cell>
          <cell r="BU200">
            <v>1.7808219178082191E-2</v>
          </cell>
          <cell r="BV200">
            <v>0.10273972602739725</v>
          </cell>
          <cell r="BW200">
            <v>0</v>
          </cell>
          <cell r="BX200">
            <v>38</v>
          </cell>
          <cell r="BY200">
            <v>1.4473684210526316</v>
          </cell>
          <cell r="BZ200">
            <v>1.1956315789473682</v>
          </cell>
        </row>
        <row r="201">
          <cell r="A201" t="str">
            <v>Jaydee Canvot</v>
          </cell>
          <cell r="B201" t="str">
            <v/>
          </cell>
          <cell r="C201" t="str">
            <v>Canvot</v>
          </cell>
          <cell r="D201" t="str">
            <v/>
          </cell>
          <cell r="F201" t="str">
            <v/>
          </cell>
          <cell r="H201" t="str">
            <v/>
          </cell>
          <cell r="I201" t="e">
            <v>#N/A</v>
          </cell>
          <cell r="J201" t="e">
            <v>#N/A</v>
          </cell>
          <cell r="K201" t="e">
            <v>#N/A</v>
          </cell>
          <cell r="M201">
            <v>3.3462279689250489</v>
          </cell>
          <cell r="N201">
            <v>4.7062359128474833</v>
          </cell>
          <cell r="O201">
            <v>1.8559830238631898</v>
          </cell>
          <cell r="P201">
            <v>3.2741627485168037</v>
          </cell>
          <cell r="Q201">
            <v>4.7062359128474833</v>
          </cell>
          <cell r="R201">
            <v>3.2222222222222219</v>
          </cell>
          <cell r="S201">
            <v>3.3462279689250489</v>
          </cell>
          <cell r="T201" t="str">
            <v>DEF</v>
          </cell>
          <cell r="U201" t="str">
            <v>CB</v>
          </cell>
          <cell r="V201" t="str">
            <v>CRY</v>
          </cell>
          <cell r="W201" t="str">
            <v>Crystal Palace</v>
          </cell>
          <cell r="X201">
            <v>5</v>
          </cell>
          <cell r="Y201">
            <v>72</v>
          </cell>
          <cell r="Z201">
            <v>0</v>
          </cell>
          <cell r="AA201">
            <v>72</v>
          </cell>
          <cell r="AB201">
            <v>1331</v>
          </cell>
          <cell r="AC201">
            <v>1331</v>
          </cell>
          <cell r="AD201">
            <v>0.72</v>
          </cell>
          <cell r="AE201">
            <v>0</v>
          </cell>
          <cell r="AF201">
            <v>0</v>
          </cell>
          <cell r="AG201">
            <v>-0.10007513148009016</v>
          </cell>
          <cell r="AH201">
            <v>-2.2314049586776859E-2</v>
          </cell>
          <cell r="AI201">
            <v>-0.12238918106686703</v>
          </cell>
          <cell r="AJ201">
            <v>2.9999999999998916E-3</v>
          </cell>
          <cell r="AK201">
            <v>9</v>
          </cell>
          <cell r="AL201">
            <v>216</v>
          </cell>
          <cell r="AM201">
            <v>3</v>
          </cell>
          <cell r="AN201">
            <v>0</v>
          </cell>
          <cell r="AO201">
            <v>203</v>
          </cell>
          <cell r="AP201" t="str">
            <v>Canvot</v>
          </cell>
          <cell r="AQ201">
            <v>8.4320060105184087</v>
          </cell>
          <cell r="AR201">
            <v>0</v>
          </cell>
          <cell r="AS201">
            <v>3.5296769346356123</v>
          </cell>
          <cell r="AT201">
            <v>11.046581517655897</v>
          </cell>
          <cell r="AU201">
            <v>2.6145755071374905</v>
          </cell>
          <cell r="AV201">
            <v>11.046581517655897</v>
          </cell>
          <cell r="AW201">
            <v>11.046581517655897</v>
          </cell>
          <cell r="AX201">
            <v>0.662155897821187</v>
          </cell>
          <cell r="AY201">
            <v>0</v>
          </cell>
          <cell r="AZ201">
            <v>3.6</v>
          </cell>
          <cell r="BA201">
            <v>72</v>
          </cell>
          <cell r="BB201" t="str">
            <v/>
          </cell>
          <cell r="BC201">
            <v>14</v>
          </cell>
          <cell r="BD201">
            <v>12</v>
          </cell>
          <cell r="BE201">
            <v>0.8571428571428571</v>
          </cell>
          <cell r="BF201">
            <v>87</v>
          </cell>
          <cell r="BG201">
            <v>0.96666666666666667</v>
          </cell>
          <cell r="BH201">
            <v>1</v>
          </cell>
          <cell r="BI201">
            <v>6</v>
          </cell>
          <cell r="BJ201">
            <v>19</v>
          </cell>
          <cell r="BK201">
            <v>14</v>
          </cell>
          <cell r="BL201">
            <v>0.41176470588235292</v>
          </cell>
          <cell r="BM201">
            <v>0.17647058823529416</v>
          </cell>
          <cell r="BN201">
            <v>0.54022988505747127</v>
          </cell>
          <cell r="BO201">
            <v>38</v>
          </cell>
          <cell r="BP201">
            <v>0</v>
          </cell>
          <cell r="BQ201">
            <v>0.38918128654970763</v>
          </cell>
          <cell r="BR201">
            <v>1.48</v>
          </cell>
          <cell r="BS201">
            <v>0.10007513148009016</v>
          </cell>
          <cell r="BT201">
            <v>0.33</v>
          </cell>
          <cell r="BU201">
            <v>2.2314049586776859E-2</v>
          </cell>
          <cell r="BV201">
            <v>0.12238918106686703</v>
          </cell>
          <cell r="BW201">
            <v>0</v>
          </cell>
          <cell r="BX201">
            <v>38</v>
          </cell>
          <cell r="BY201">
            <v>1.631578947368421</v>
          </cell>
          <cell r="BZ201">
            <v>1.0114210526315788</v>
          </cell>
        </row>
        <row r="202">
          <cell r="A202" t="str">
            <v>Pascal Struijk</v>
          </cell>
          <cell r="B202" t="str">
            <v/>
          </cell>
          <cell r="C202" t="str">
            <v>Struijk</v>
          </cell>
          <cell r="D202" t="str">
            <v/>
          </cell>
          <cell r="F202" t="str">
            <v/>
          </cell>
          <cell r="H202" t="str">
            <v/>
          </cell>
          <cell r="I202" t="e">
            <v>#N/A</v>
          </cell>
          <cell r="J202" t="e">
            <v>#N/A</v>
          </cell>
          <cell r="K202" t="e">
            <v>#N/A</v>
          </cell>
          <cell r="M202">
            <v>3.343361978752557</v>
          </cell>
          <cell r="N202">
            <v>2.4865417376490631</v>
          </cell>
          <cell r="O202">
            <v>1.9416308327004788</v>
          </cell>
          <cell r="P202">
            <v>3.343361978752557</v>
          </cell>
          <cell r="Q202">
            <v>2.4865417376490631</v>
          </cell>
          <cell r="R202">
            <v>2.7879518072289162</v>
          </cell>
          <cell r="S202">
            <v>3.343361978752557</v>
          </cell>
          <cell r="T202" t="str">
            <v>DEF</v>
          </cell>
          <cell r="U202" t="str">
            <v>CB</v>
          </cell>
          <cell r="V202" t="str">
            <v>BHA</v>
          </cell>
          <cell r="W202" t="str">
            <v>Brighton</v>
          </cell>
          <cell r="X202">
            <v>5</v>
          </cell>
          <cell r="Y202">
            <v>108</v>
          </cell>
          <cell r="Z202">
            <v>26</v>
          </cell>
          <cell r="AA202">
            <v>82</v>
          </cell>
          <cell r="AB202">
            <v>2935</v>
          </cell>
          <cell r="AC202">
            <v>2935</v>
          </cell>
          <cell r="AD202">
            <v>0.63529411764705879</v>
          </cell>
          <cell r="AE202">
            <v>0</v>
          </cell>
          <cell r="AF202">
            <v>1</v>
          </cell>
          <cell r="AG202">
            <v>-9.383304940374787E-2</v>
          </cell>
          <cell r="AH202">
            <v>7.3594548551959085E-3</v>
          </cell>
          <cell r="AI202">
            <v>-8.6473594548551969E-2</v>
          </cell>
          <cell r="AJ202">
            <v>6.0000000000000053E-3</v>
          </cell>
          <cell r="AK202">
            <v>4</v>
          </cell>
          <cell r="AL202">
            <v>412</v>
          </cell>
          <cell r="AM202">
            <v>5</v>
          </cell>
          <cell r="AN202">
            <v>0</v>
          </cell>
          <cell r="AO202">
            <v>328</v>
          </cell>
          <cell r="AP202" t="str">
            <v>Struijk</v>
          </cell>
          <cell r="AQ202">
            <v>7.8235093696763212</v>
          </cell>
          <cell r="AR202">
            <v>0</v>
          </cell>
          <cell r="AS202">
            <v>3.547870528109029</v>
          </cell>
          <cell r="AT202">
            <v>9.0061328790459978</v>
          </cell>
          <cell r="AU202">
            <v>1.1826235093696762</v>
          </cell>
          <cell r="AV202">
            <v>9.0061328790459978</v>
          </cell>
          <cell r="AW202">
            <v>9.0061328790459978</v>
          </cell>
          <cell r="AX202">
            <v>0.41275741056218068</v>
          </cell>
          <cell r="AY202">
            <v>0</v>
          </cell>
          <cell r="AZ202">
            <v>3.2</v>
          </cell>
          <cell r="BA202">
            <v>108</v>
          </cell>
          <cell r="BB202" t="str">
            <v/>
          </cell>
          <cell r="BC202">
            <v>33</v>
          </cell>
          <cell r="BD202">
            <v>31</v>
          </cell>
          <cell r="BE202">
            <v>0.93939393939393945</v>
          </cell>
          <cell r="BF202">
            <v>89</v>
          </cell>
          <cell r="BG202">
            <v>0.98888888888888893</v>
          </cell>
          <cell r="BH202">
            <v>1</v>
          </cell>
          <cell r="BI202">
            <v>1</v>
          </cell>
          <cell r="BJ202">
            <v>9</v>
          </cell>
          <cell r="BK202">
            <v>2</v>
          </cell>
          <cell r="BL202">
            <v>0.91666666666666663</v>
          </cell>
          <cell r="BM202">
            <v>2.777777777777779E-2</v>
          </cell>
          <cell r="BN202">
            <v>0.92509363295880143</v>
          </cell>
          <cell r="BO202">
            <v>38</v>
          </cell>
          <cell r="BP202">
            <v>0</v>
          </cell>
          <cell r="BQ202">
            <v>0.85818713450292394</v>
          </cell>
          <cell r="BR202">
            <v>3.06</v>
          </cell>
          <cell r="BS202">
            <v>9.383304940374787E-2</v>
          </cell>
          <cell r="BT202">
            <v>0.76</v>
          </cell>
          <cell r="BU202">
            <v>2.3304940374787055E-2</v>
          </cell>
          <cell r="BV202">
            <v>0.11713798977853493</v>
          </cell>
          <cell r="BW202">
            <v>0</v>
          </cell>
          <cell r="BX202">
            <v>38</v>
          </cell>
          <cell r="BY202">
            <v>1.4144736842105263</v>
          </cell>
          <cell r="BZ202">
            <v>1.2285263157894735</v>
          </cell>
        </row>
        <row r="203">
          <cell r="A203" t="str">
            <v>Chemsdine Talbi</v>
          </cell>
          <cell r="B203" t="str">
            <v/>
          </cell>
          <cell r="C203" t="str">
            <v>Talbi</v>
          </cell>
          <cell r="D203" t="str">
            <v/>
          </cell>
          <cell r="F203" t="str">
            <v/>
          </cell>
          <cell r="H203" t="str">
            <v/>
          </cell>
          <cell r="I203" t="e">
            <v>#N/A</v>
          </cell>
          <cell r="J203" t="e">
            <v>#N/A</v>
          </cell>
          <cell r="K203" t="e">
            <v>#N/A</v>
          </cell>
          <cell r="M203">
            <v>3.3399415609922674</v>
          </cell>
          <cell r="N203">
            <v>4.1687057308435289</v>
          </cell>
          <cell r="O203">
            <v>2.8660055462545611</v>
          </cell>
          <cell r="P203">
            <v>3.3399415609922674</v>
          </cell>
          <cell r="Q203">
            <v>4.1687057308435289</v>
          </cell>
          <cell r="R203">
            <v>2.4266666666666667</v>
          </cell>
          <cell r="S203">
            <v>3.3399415609922674</v>
          </cell>
          <cell r="T203" t="str">
            <v>MID</v>
          </cell>
          <cell r="U203" t="str">
            <v>RW</v>
          </cell>
          <cell r="V203" t="str">
            <v>SUN</v>
          </cell>
          <cell r="W203" t="str">
            <v>Sunderland</v>
          </cell>
          <cell r="X203">
            <v>5.5</v>
          </cell>
          <cell r="Y203">
            <v>83</v>
          </cell>
          <cell r="Z203">
            <v>0</v>
          </cell>
          <cell r="AA203">
            <v>83</v>
          </cell>
          <cell r="AB203">
            <v>1553</v>
          </cell>
          <cell r="AC203">
            <v>1553</v>
          </cell>
          <cell r="AD203">
            <v>0.53896103896103897</v>
          </cell>
          <cell r="AE203">
            <v>4</v>
          </cell>
          <cell r="AF203">
            <v>2</v>
          </cell>
          <cell r="AG203">
            <v>0.10837089504185447</v>
          </cell>
          <cell r="AH203">
            <v>4.7520927237604635E-2</v>
          </cell>
          <cell r="AI203">
            <v>0.15589182227945914</v>
          </cell>
          <cell r="AJ203">
            <v>2.9999999999998916E-3</v>
          </cell>
          <cell r="AK203">
            <v>6</v>
          </cell>
          <cell r="AL203">
            <v>248</v>
          </cell>
          <cell r="AM203">
            <v>0</v>
          </cell>
          <cell r="AN203">
            <v>0</v>
          </cell>
          <cell r="AO203">
            <v>549</v>
          </cell>
          <cell r="AP203" t="str">
            <v>Talbi</v>
          </cell>
          <cell r="AQ203">
            <v>1.0045074050225369</v>
          </cell>
          <cell r="AR203">
            <v>0</v>
          </cell>
          <cell r="AS203">
            <v>3.0637475853187381</v>
          </cell>
          <cell r="AT203">
            <v>4.6207340631036704</v>
          </cell>
          <cell r="AU203">
            <v>0.55247907276239538</v>
          </cell>
          <cell r="AV203">
            <v>4.6207340631036704</v>
          </cell>
          <cell r="AW203">
            <v>4.6207340631036704</v>
          </cell>
          <cell r="AX203">
            <v>3.4985557906356358E-2</v>
          </cell>
          <cell r="AY203">
            <v>0</v>
          </cell>
          <cell r="AZ203">
            <v>3</v>
          </cell>
          <cell r="BA203">
            <v>83</v>
          </cell>
          <cell r="BB203" t="str">
            <v/>
          </cell>
          <cell r="BC203">
            <v>16</v>
          </cell>
          <cell r="BD203">
            <v>2</v>
          </cell>
          <cell r="BE203">
            <v>0.125</v>
          </cell>
          <cell r="BF203">
            <v>78</v>
          </cell>
          <cell r="BG203">
            <v>0.8666666666666667</v>
          </cell>
          <cell r="BH203">
            <v>1</v>
          </cell>
          <cell r="BI203">
            <v>12</v>
          </cell>
          <cell r="BJ203">
            <v>26</v>
          </cell>
          <cell r="BK203">
            <v>3</v>
          </cell>
          <cell r="BL203">
            <v>0.5161290322580645</v>
          </cell>
          <cell r="BM203">
            <v>0.38709677419354838</v>
          </cell>
          <cell r="BN203">
            <v>0.67741935483870974</v>
          </cell>
          <cell r="BO203">
            <v>38</v>
          </cell>
          <cell r="BP203">
            <v>0</v>
          </cell>
          <cell r="BQ203">
            <v>0.45409356725146199</v>
          </cell>
          <cell r="BR203">
            <v>2.13</v>
          </cell>
          <cell r="BS203">
            <v>0.12343850611719252</v>
          </cell>
          <cell r="BT203">
            <v>1.18</v>
          </cell>
          <cell r="BU203">
            <v>6.8383773341918863E-2</v>
          </cell>
          <cell r="BV203">
            <v>0.1918222794591114</v>
          </cell>
          <cell r="BW203">
            <v>0</v>
          </cell>
          <cell r="BX203">
            <v>38</v>
          </cell>
          <cell r="BY203">
            <v>1.5878947368421052</v>
          </cell>
          <cell r="BZ203">
            <v>1.0551052631578945</v>
          </cell>
        </row>
        <row r="204">
          <cell r="A204" t="str">
            <v>Oscar Bobb</v>
          </cell>
          <cell r="B204" t="str">
            <v/>
          </cell>
          <cell r="C204" t="str">
            <v>Bobb</v>
          </cell>
          <cell r="D204" t="str">
            <v/>
          </cell>
          <cell r="F204" t="str">
            <v/>
          </cell>
          <cell r="H204" t="str">
            <v/>
          </cell>
          <cell r="I204">
            <v>1</v>
          </cell>
          <cell r="J204">
            <v>1.55</v>
          </cell>
          <cell r="K204">
            <v>2.1</v>
          </cell>
          <cell r="M204">
            <v>3.3372017926577731</v>
          </cell>
          <cell r="N204">
            <v>2.6097087378640778</v>
          </cell>
          <cell r="O204">
            <v>3.2064153277773007</v>
          </cell>
          <cell r="P204">
            <v>3.3184008761037176</v>
          </cell>
          <cell r="Q204">
            <v>2.6097087378640778</v>
          </cell>
          <cell r="R204">
            <v>2.5486725663716814</v>
          </cell>
          <cell r="S204">
            <v>3.3372017926577731</v>
          </cell>
          <cell r="T204" t="str">
            <v>MID</v>
          </cell>
          <cell r="U204" t="str">
            <v>RW</v>
          </cell>
          <cell r="V204" t="str">
            <v>FUL</v>
          </cell>
          <cell r="W204" t="str">
            <v>Fulham</v>
          </cell>
          <cell r="X204">
            <v>5.5</v>
          </cell>
          <cell r="Y204">
            <v>42</v>
          </cell>
          <cell r="Z204">
            <v>0</v>
          </cell>
          <cell r="AA204">
            <v>42</v>
          </cell>
          <cell r="AB204">
            <v>1030</v>
          </cell>
          <cell r="AC204">
            <v>1030</v>
          </cell>
          <cell r="AD204">
            <v>0.54545454545454541</v>
          </cell>
          <cell r="AE204">
            <v>0</v>
          </cell>
          <cell r="AF204">
            <v>2</v>
          </cell>
          <cell r="AG204">
            <v>-0.12844660194174756</v>
          </cell>
          <cell r="AH204">
            <v>-8.7378640776698824E-3</v>
          </cell>
          <cell r="AI204">
            <v>-0.13718446601941744</v>
          </cell>
          <cell r="AJ204">
            <v>4.9999999999998934E-3</v>
          </cell>
          <cell r="AK204">
            <v>0</v>
          </cell>
          <cell r="AL204">
            <v>182</v>
          </cell>
          <cell r="AM204">
            <v>1</v>
          </cell>
          <cell r="AN204">
            <v>0</v>
          </cell>
          <cell r="AO204">
            <v>264</v>
          </cell>
          <cell r="AP204" t="str">
            <v>Bobb</v>
          </cell>
          <cell r="AQ204">
            <v>0.74563106796116507</v>
          </cell>
          <cell r="AR204">
            <v>0</v>
          </cell>
          <cell r="AS204">
            <v>2.6718446601941745</v>
          </cell>
          <cell r="AT204">
            <v>4.7223300970873785</v>
          </cell>
          <cell r="AU204">
            <v>1.3048543689320389</v>
          </cell>
          <cell r="AV204">
            <v>4.7223300970873785</v>
          </cell>
          <cell r="AW204">
            <v>4.7223300970873785</v>
          </cell>
          <cell r="AX204">
            <v>3.5754785020804439E-2</v>
          </cell>
          <cell r="AY204">
            <v>0</v>
          </cell>
          <cell r="AZ204">
            <v>1.8</v>
          </cell>
          <cell r="BA204">
            <v>42</v>
          </cell>
          <cell r="BB204" t="str">
            <v/>
          </cell>
          <cell r="BC204">
            <v>6</v>
          </cell>
          <cell r="BD204">
            <v>0</v>
          </cell>
          <cell r="BE204">
            <v>0</v>
          </cell>
          <cell r="BF204">
            <v>64</v>
          </cell>
          <cell r="BG204">
            <v>0.71111111111111114</v>
          </cell>
          <cell r="BH204">
            <v>1</v>
          </cell>
          <cell r="BI204">
            <v>8</v>
          </cell>
          <cell r="BJ204">
            <v>23</v>
          </cell>
          <cell r="BK204">
            <v>0</v>
          </cell>
          <cell r="BL204">
            <v>0.42857142857142855</v>
          </cell>
          <cell r="BM204">
            <v>0.5714285714285714</v>
          </cell>
          <cell r="BN204">
            <v>0.6339285714285714</v>
          </cell>
          <cell r="BO204">
            <v>38</v>
          </cell>
          <cell r="BP204">
            <v>0</v>
          </cell>
          <cell r="BQ204">
            <v>0.30116959064327486</v>
          </cell>
          <cell r="BR204">
            <v>1.47</v>
          </cell>
          <cell r="BS204">
            <v>0.12844660194174756</v>
          </cell>
          <cell r="BT204">
            <v>2.1</v>
          </cell>
          <cell r="BU204">
            <v>0.18349514563106795</v>
          </cell>
          <cell r="BV204">
            <v>0.31194174757281551</v>
          </cell>
          <cell r="BW204">
            <v>0</v>
          </cell>
          <cell r="BX204">
            <v>38</v>
          </cell>
          <cell r="BY204">
            <v>1.6842105263157894</v>
          </cell>
          <cell r="BZ204">
            <v>0.95878947368421041</v>
          </cell>
        </row>
        <row r="205">
          <cell r="A205" t="str">
            <v>Alex Scott</v>
          </cell>
          <cell r="B205" t="str">
            <v/>
          </cell>
          <cell r="C205" t="str">
            <v>Scott</v>
          </cell>
          <cell r="D205" t="str">
            <v/>
          </cell>
          <cell r="F205" t="str">
            <v/>
          </cell>
          <cell r="H205" t="str">
            <v/>
          </cell>
          <cell r="I205">
            <v>1.3</v>
          </cell>
          <cell r="J205">
            <v>1.55</v>
          </cell>
          <cell r="K205">
            <v>1.8</v>
          </cell>
          <cell r="M205">
            <v>3.3326580202568965</v>
          </cell>
          <cell r="N205">
            <v>2.9775280898876404</v>
          </cell>
          <cell r="O205">
            <v>3.1295548377028712</v>
          </cell>
          <cell r="P205">
            <v>3.3326580202568965</v>
          </cell>
          <cell r="Q205">
            <v>2.9775280898876404</v>
          </cell>
          <cell r="R205">
            <v>2.8444444444444446</v>
          </cell>
          <cell r="S205">
            <v>3.3326580202568965</v>
          </cell>
          <cell r="T205" t="str">
            <v>MID</v>
          </cell>
          <cell r="U205" t="str">
            <v>CM</v>
          </cell>
          <cell r="V205" t="str">
            <v>BOU</v>
          </cell>
          <cell r="W205" t="str">
            <v>Bournemouth</v>
          </cell>
          <cell r="X205">
            <v>6</v>
          </cell>
          <cell r="Y205">
            <v>136</v>
          </cell>
          <cell r="Z205">
            <v>30</v>
          </cell>
          <cell r="AA205">
            <v>106</v>
          </cell>
          <cell r="AB205">
            <v>2848</v>
          </cell>
          <cell r="AC205">
            <v>2848</v>
          </cell>
          <cell r="AD205">
            <v>0.61261261261261268</v>
          </cell>
          <cell r="AE205">
            <v>3</v>
          </cell>
          <cell r="AF205">
            <v>2</v>
          </cell>
          <cell r="AG205">
            <v>-2.5280898876404487E-2</v>
          </cell>
          <cell r="AH205">
            <v>-2.9705056179775272E-2</v>
          </cell>
          <cell r="AI205">
            <v>-5.4985955056179786E-2</v>
          </cell>
          <cell r="AJ205">
            <v>1.6000000000000014E-2</v>
          </cell>
          <cell r="AK205">
            <v>9</v>
          </cell>
          <cell r="AL205">
            <v>603</v>
          </cell>
          <cell r="AM205">
            <v>5</v>
          </cell>
          <cell r="AN205">
            <v>0</v>
          </cell>
          <cell r="AO205">
            <v>69</v>
          </cell>
          <cell r="AP205" t="str">
            <v>Scott</v>
          </cell>
          <cell r="AQ205">
            <v>3.7359550561797752</v>
          </cell>
          <cell r="AR205">
            <v>0</v>
          </cell>
          <cell r="AS205">
            <v>5.4213483146067416</v>
          </cell>
          <cell r="AT205">
            <v>10.842696629213483</v>
          </cell>
          <cell r="AU205">
            <v>1.6853932584269662</v>
          </cell>
          <cell r="AV205">
            <v>10.842696629213483</v>
          </cell>
          <cell r="AW205">
            <v>10.842696629213483</v>
          </cell>
          <cell r="AX205">
            <v>0.40338202257510114</v>
          </cell>
          <cell r="AY205">
            <v>0</v>
          </cell>
          <cell r="AZ205">
            <v>3.7</v>
          </cell>
          <cell r="BA205">
            <v>136</v>
          </cell>
          <cell r="BB205" t="str">
            <v/>
          </cell>
          <cell r="BC205">
            <v>34</v>
          </cell>
          <cell r="BD205">
            <v>19</v>
          </cell>
          <cell r="BE205">
            <v>0.55882352941176472</v>
          </cell>
          <cell r="BF205">
            <v>80</v>
          </cell>
          <cell r="BG205">
            <v>0.88888888888888884</v>
          </cell>
          <cell r="BH205">
            <v>1</v>
          </cell>
          <cell r="BI205">
            <v>3</v>
          </cell>
          <cell r="BJ205">
            <v>39</v>
          </cell>
          <cell r="BK205">
            <v>0</v>
          </cell>
          <cell r="BL205">
            <v>0.91891891891891897</v>
          </cell>
          <cell r="BM205">
            <v>8.108108108108103E-2</v>
          </cell>
          <cell r="BN205">
            <v>0.95844594594594601</v>
          </cell>
          <cell r="BO205">
            <v>38</v>
          </cell>
          <cell r="BP205">
            <v>0</v>
          </cell>
          <cell r="BQ205">
            <v>0.8327485380116959</v>
          </cell>
          <cell r="BR205">
            <v>3.8</v>
          </cell>
          <cell r="BS205">
            <v>0.12008426966292134</v>
          </cell>
          <cell r="BT205">
            <v>2.94</v>
          </cell>
          <cell r="BU205">
            <v>9.2907303370786509E-2</v>
          </cell>
          <cell r="BV205">
            <v>0.21299157303370786</v>
          </cell>
          <cell r="BW205">
            <v>0</v>
          </cell>
          <cell r="BX205">
            <v>38</v>
          </cell>
          <cell r="BY205">
            <v>1.4939473684210527</v>
          </cell>
          <cell r="BZ205">
            <v>1.1490526315789471</v>
          </cell>
        </row>
        <row r="206">
          <cell r="A206" t="str">
            <v>Dwight McNeil</v>
          </cell>
          <cell r="B206" t="str">
            <v/>
          </cell>
          <cell r="C206" t="str">
            <v>McNeil</v>
          </cell>
          <cell r="D206" t="str">
            <v/>
          </cell>
          <cell r="F206" t="str">
            <v/>
          </cell>
          <cell r="H206" t="str">
            <v/>
          </cell>
          <cell r="I206">
            <v>3.5</v>
          </cell>
          <cell r="J206">
            <v>3.8000000000000003</v>
          </cell>
          <cell r="K206">
            <v>4.4000000000000004</v>
          </cell>
          <cell r="M206">
            <v>3.3316460211186603</v>
          </cell>
          <cell r="N206">
            <v>3.2075796726959527</v>
          </cell>
          <cell r="O206">
            <v>4.7916366509251835</v>
          </cell>
          <cell r="P206">
            <v>3.3316460211186603</v>
          </cell>
          <cell r="Q206">
            <v>3.2075796726959527</v>
          </cell>
          <cell r="R206">
            <v>2.6206896551724137</v>
          </cell>
          <cell r="S206">
            <v>3.3316460211186603</v>
          </cell>
          <cell r="T206" t="str">
            <v>MID</v>
          </cell>
          <cell r="U206" t="str">
            <v>LW</v>
          </cell>
          <cell r="V206" t="str">
            <v>EVE</v>
          </cell>
          <cell r="W206" t="str">
            <v>Everton</v>
          </cell>
          <cell r="X206">
            <v>5.5</v>
          </cell>
          <cell r="Y206">
            <v>53.000000000000007</v>
          </cell>
          <cell r="Z206">
            <v>4</v>
          </cell>
          <cell r="AA206">
            <v>49.000000000000007</v>
          </cell>
          <cell r="AB206">
            <v>1161</v>
          </cell>
          <cell r="AC206">
            <v>1161</v>
          </cell>
          <cell r="AD206">
            <v>0.43801652892561993</v>
          </cell>
          <cell r="AE206">
            <v>0</v>
          </cell>
          <cell r="AF206">
            <v>3</v>
          </cell>
          <cell r="AG206">
            <v>-0.1062015503875969</v>
          </cell>
          <cell r="AH206">
            <v>8.4496124031007758E-2</v>
          </cell>
          <cell r="AI206">
            <v>-2.1705426356589147E-2</v>
          </cell>
          <cell r="AJ206">
            <v>9.9999999999988987E-4</v>
          </cell>
          <cell r="AK206">
            <v>1</v>
          </cell>
          <cell r="AL206">
            <v>186</v>
          </cell>
          <cell r="AM206">
            <v>1</v>
          </cell>
          <cell r="AN206">
            <v>0</v>
          </cell>
          <cell r="AO206">
            <v>241</v>
          </cell>
          <cell r="AP206" t="str">
            <v>McNeil</v>
          </cell>
          <cell r="AQ206">
            <v>1.7019810508182602</v>
          </cell>
          <cell r="AR206">
            <v>0</v>
          </cell>
          <cell r="AS206">
            <v>4.0585701981050812</v>
          </cell>
          <cell r="AT206">
            <v>7.2661498708010326</v>
          </cell>
          <cell r="AU206">
            <v>1.5055986218776918</v>
          </cell>
          <cell r="AV206">
            <v>7.2661498708010326</v>
          </cell>
          <cell r="AW206">
            <v>7.2661498708010326</v>
          </cell>
          <cell r="AX206">
            <v>7.2162790697674339E-2</v>
          </cell>
          <cell r="AY206">
            <v>0</v>
          </cell>
          <cell r="AZ206">
            <v>2.4</v>
          </cell>
          <cell r="BA206">
            <v>53.000000000000007</v>
          </cell>
          <cell r="BB206" t="str">
            <v/>
          </cell>
          <cell r="BC206">
            <v>14</v>
          </cell>
          <cell r="BD206">
            <v>3</v>
          </cell>
          <cell r="BE206">
            <v>0.21428571428571427</v>
          </cell>
          <cell r="BF206">
            <v>76</v>
          </cell>
          <cell r="BG206">
            <v>0.84444444444444444</v>
          </cell>
          <cell r="BH206">
            <v>1</v>
          </cell>
          <cell r="BI206">
            <v>8</v>
          </cell>
          <cell r="BJ206">
            <v>13</v>
          </cell>
          <cell r="BK206">
            <v>14</v>
          </cell>
          <cell r="BL206">
            <v>0.3888888888888889</v>
          </cell>
          <cell r="BM206">
            <v>0.22222222222222227</v>
          </cell>
          <cell r="BN206">
            <v>0.49342105263157893</v>
          </cell>
          <cell r="BO206">
            <v>38</v>
          </cell>
          <cell r="BP206">
            <v>0</v>
          </cell>
          <cell r="BQ206">
            <v>0.33947368421052632</v>
          </cell>
          <cell r="BR206">
            <v>1.37</v>
          </cell>
          <cell r="BS206">
            <v>0.1062015503875969</v>
          </cell>
          <cell r="BT206">
            <v>1.91</v>
          </cell>
          <cell r="BU206">
            <v>0.14806201550387596</v>
          </cell>
          <cell r="BV206">
            <v>0.25426356589147286</v>
          </cell>
          <cell r="BW206">
            <v>0</v>
          </cell>
          <cell r="BX206">
            <v>38</v>
          </cell>
          <cell r="BY206">
            <v>1.5786842105263159</v>
          </cell>
          <cell r="BZ206">
            <v>1.0643157894736839</v>
          </cell>
        </row>
        <row r="207">
          <cell r="A207" t="str">
            <v>Pedro Porro Sauceda</v>
          </cell>
          <cell r="B207" t="str">
            <v/>
          </cell>
          <cell r="C207" t="str">
            <v>Pedro Porro</v>
          </cell>
          <cell r="D207" t="str">
            <v/>
          </cell>
          <cell r="F207" t="str">
            <v/>
          </cell>
          <cell r="H207" t="str">
            <v/>
          </cell>
          <cell r="I207">
            <v>3</v>
          </cell>
          <cell r="J207">
            <v>3.6</v>
          </cell>
          <cell r="K207">
            <v>3.9</v>
          </cell>
          <cell r="M207">
            <v>3.3276487205112937</v>
          </cell>
          <cell r="N207">
            <v>3.1099176512710347</v>
          </cell>
          <cell r="O207">
            <v>2.7940536818236068</v>
          </cell>
          <cell r="P207">
            <v>3.3276487205112937</v>
          </cell>
          <cell r="Q207">
            <v>3.1099176512710347</v>
          </cell>
          <cell r="R207">
            <v>5.2555555555555555</v>
          </cell>
          <cell r="S207">
            <v>3.3276487205112937</v>
          </cell>
          <cell r="T207" t="str">
            <v>DEF</v>
          </cell>
          <cell r="U207" t="str">
            <v>RB</v>
          </cell>
          <cell r="V207" t="str">
            <v>TOT</v>
          </cell>
          <cell r="W207" t="str">
            <v>Spurs</v>
          </cell>
          <cell r="X207">
            <v>5.5</v>
          </cell>
          <cell r="Y207">
            <v>117</v>
          </cell>
          <cell r="Z207">
            <v>16</v>
          </cell>
          <cell r="AA207">
            <v>101</v>
          </cell>
          <cell r="AB207">
            <v>2793</v>
          </cell>
          <cell r="AC207">
            <v>2793</v>
          </cell>
          <cell r="AD207">
            <v>0.62566844919786102</v>
          </cell>
          <cell r="AE207">
            <v>1</v>
          </cell>
          <cell r="AF207">
            <v>3</v>
          </cell>
          <cell r="AG207">
            <v>-1.6111707841031178E-3</v>
          </cell>
          <cell r="AH207">
            <v>-4.4146079484425352E-2</v>
          </cell>
          <cell r="AI207">
            <v>-4.5757250268528449E-2</v>
          </cell>
          <cell r="AJ207">
            <v>0.23499999999999988</v>
          </cell>
          <cell r="AK207">
            <v>8</v>
          </cell>
          <cell r="AL207">
            <v>502</v>
          </cell>
          <cell r="AM207">
            <v>10</v>
          </cell>
          <cell r="AN207">
            <v>0</v>
          </cell>
          <cell r="AO207">
            <v>499</v>
          </cell>
          <cell r="AP207" t="str">
            <v>Pedro Porro</v>
          </cell>
          <cell r="AQ207">
            <v>4.3723594701038309</v>
          </cell>
          <cell r="AR207">
            <v>0</v>
          </cell>
          <cell r="AS207">
            <v>4.0644468313641244</v>
          </cell>
          <cell r="AT207">
            <v>6.7124955245256004</v>
          </cell>
          <cell r="AU207">
            <v>2.3401360544217691</v>
          </cell>
          <cell r="AV207">
            <v>6.7124955245256004</v>
          </cell>
          <cell r="AW207">
            <v>6.7124955245256004</v>
          </cell>
          <cell r="AX207">
            <v>0.15016219119226643</v>
          </cell>
          <cell r="AY207">
            <v>0</v>
          </cell>
          <cell r="AZ207">
            <v>3.4</v>
          </cell>
          <cell r="BA207">
            <v>117</v>
          </cell>
          <cell r="BB207" t="str">
            <v/>
          </cell>
          <cell r="BC207">
            <v>32</v>
          </cell>
          <cell r="BD207">
            <v>26</v>
          </cell>
          <cell r="BE207">
            <v>0.8125</v>
          </cell>
          <cell r="BF207">
            <v>86</v>
          </cell>
          <cell r="BG207">
            <v>0.9555555555555556</v>
          </cell>
          <cell r="BH207">
            <v>1</v>
          </cell>
          <cell r="BI207">
            <v>2</v>
          </cell>
          <cell r="BJ207">
            <v>21</v>
          </cell>
          <cell r="BK207">
            <v>0</v>
          </cell>
          <cell r="BL207">
            <v>0.94117647058823528</v>
          </cell>
          <cell r="BM207">
            <v>5.8823529411764719E-2</v>
          </cell>
          <cell r="BN207">
            <v>0.95554035567715456</v>
          </cell>
          <cell r="BO207">
            <v>38</v>
          </cell>
          <cell r="BP207">
            <v>0</v>
          </cell>
          <cell r="BQ207">
            <v>0.81666666666666665</v>
          </cell>
          <cell r="BR207">
            <v>1.05</v>
          </cell>
          <cell r="BS207">
            <v>3.3834586466165419E-2</v>
          </cell>
          <cell r="BT207">
            <v>4.37</v>
          </cell>
          <cell r="BU207">
            <v>0.14081632653061224</v>
          </cell>
          <cell r="BV207">
            <v>0.17465091299677765</v>
          </cell>
          <cell r="BW207">
            <v>0</v>
          </cell>
          <cell r="BX207">
            <v>38</v>
          </cell>
          <cell r="BY207">
            <v>1.4628947368421052</v>
          </cell>
          <cell r="BZ207">
            <v>1.1801052631578945</v>
          </cell>
        </row>
        <row r="208">
          <cell r="A208" t="str">
            <v>Marco Bizot</v>
          </cell>
          <cell r="B208" t="str">
            <v/>
          </cell>
          <cell r="C208" t="str">
            <v>M.Bizot</v>
          </cell>
          <cell r="D208" t="str">
            <v/>
          </cell>
          <cell r="F208" t="str">
            <v/>
          </cell>
          <cell r="H208" t="str">
            <v/>
          </cell>
          <cell r="I208" t="e">
            <v>#N/A</v>
          </cell>
          <cell r="J208" t="e">
            <v>#N/A</v>
          </cell>
          <cell r="K208" t="e">
            <v>#N/A</v>
          </cell>
          <cell r="M208">
            <v>3.3275470019191626</v>
          </cell>
          <cell r="N208">
            <v>2.4615384615384617</v>
          </cell>
          <cell r="O208">
            <v>2.3187179487179486</v>
          </cell>
          <cell r="P208">
            <v>3.3275470019191626</v>
          </cell>
          <cell r="Q208">
            <v>2.4615384615384617</v>
          </cell>
          <cell r="R208">
            <v>2</v>
          </cell>
          <cell r="S208">
            <v>3.3275470019191626</v>
          </cell>
          <cell r="T208" t="str">
            <v>GK</v>
          </cell>
          <cell r="U208" t="str">
            <v>GK</v>
          </cell>
          <cell r="V208" t="str">
            <v>AVL</v>
          </cell>
          <cell r="W208" t="str">
            <v>Aston Villa</v>
          </cell>
          <cell r="X208">
            <v>4.5</v>
          </cell>
          <cell r="Y208">
            <v>16</v>
          </cell>
          <cell r="Z208">
            <v>0</v>
          </cell>
          <cell r="AA208">
            <v>16</v>
          </cell>
          <cell r="AB208">
            <v>585</v>
          </cell>
          <cell r="AC208">
            <v>585</v>
          </cell>
          <cell r="AD208">
            <v>0.50793650793650791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9.9999999999988987E-4</v>
          </cell>
          <cell r="AK208">
            <v>0</v>
          </cell>
          <cell r="AL208">
            <v>75</v>
          </cell>
          <cell r="AM208">
            <v>2</v>
          </cell>
          <cell r="AN208">
            <v>19</v>
          </cell>
          <cell r="AO208">
            <v>29</v>
          </cell>
          <cell r="AP208" t="str">
            <v>M.Bizot</v>
          </cell>
          <cell r="AQ208">
            <v>1.5384615384615385</v>
          </cell>
          <cell r="AR208">
            <v>0</v>
          </cell>
          <cell r="AS208">
            <v>8.1538461538461533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2.2999999999999998</v>
          </cell>
          <cell r="BA208">
            <v>16</v>
          </cell>
          <cell r="BB208" t="str">
            <v/>
          </cell>
          <cell r="BC208">
            <v>6</v>
          </cell>
          <cell r="BD208">
            <v>6</v>
          </cell>
          <cell r="BE208">
            <v>1</v>
          </cell>
          <cell r="BF208">
            <v>90</v>
          </cell>
          <cell r="BG208">
            <v>1</v>
          </cell>
          <cell r="BH208">
            <v>1</v>
          </cell>
          <cell r="BI208">
            <v>1</v>
          </cell>
          <cell r="BJ208">
            <v>45</v>
          </cell>
          <cell r="BK208">
            <v>30</v>
          </cell>
          <cell r="BL208">
            <v>0.16216216216216217</v>
          </cell>
          <cell r="BM208">
            <v>2.7027027027026973E-2</v>
          </cell>
          <cell r="BN208">
            <v>0.58108108108108114</v>
          </cell>
          <cell r="BO208">
            <v>38</v>
          </cell>
          <cell r="BP208">
            <v>0</v>
          </cell>
          <cell r="BQ208">
            <v>0.17105263157894737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38</v>
          </cell>
          <cell r="BY208">
            <v>1.4915789473684211</v>
          </cell>
          <cell r="BZ208">
            <v>1.1514210526315787</v>
          </cell>
        </row>
        <row r="209">
          <cell r="A209" t="str">
            <v>Ryan Sessegnon</v>
          </cell>
          <cell r="B209" t="str">
            <v/>
          </cell>
          <cell r="C209" t="str">
            <v>Sessegnon</v>
          </cell>
          <cell r="D209" t="str">
            <v/>
          </cell>
          <cell r="F209" t="str">
            <v/>
          </cell>
          <cell r="H209" t="str">
            <v/>
          </cell>
          <cell r="I209">
            <v>0</v>
          </cell>
          <cell r="J209">
            <v>1.8</v>
          </cell>
          <cell r="K209">
            <v>3.6</v>
          </cell>
          <cell r="M209">
            <v>3.3266500198507929</v>
          </cell>
          <cell r="N209">
            <v>3.9785242290748895</v>
          </cell>
          <cell r="O209">
            <v>3.2876711637298102</v>
          </cell>
          <cell r="P209">
            <v>3.4409431324079076</v>
          </cell>
          <cell r="Q209">
            <v>3.3232378854625551</v>
          </cell>
          <cell r="R209">
            <v>7.4374999999999991</v>
          </cell>
          <cell r="S209">
            <v>3.3266500198507929</v>
          </cell>
          <cell r="T209" t="str">
            <v>DEF</v>
          </cell>
          <cell r="U209" t="str">
            <v>LB</v>
          </cell>
          <cell r="V209" t="str">
            <v>FUL</v>
          </cell>
          <cell r="W209" t="str">
            <v>Fulham</v>
          </cell>
          <cell r="X209">
            <v>4.5</v>
          </cell>
          <cell r="Y209">
            <v>95</v>
          </cell>
          <cell r="Z209">
            <v>24</v>
          </cell>
          <cell r="AA209">
            <v>71</v>
          </cell>
          <cell r="AB209">
            <v>1816</v>
          </cell>
          <cell r="AC209">
            <v>1816</v>
          </cell>
          <cell r="AD209">
            <v>0.78189300411522633</v>
          </cell>
          <cell r="AE209">
            <v>3</v>
          </cell>
          <cell r="AF209">
            <v>3</v>
          </cell>
          <cell r="AG209">
            <v>6.9383259911894285E-2</v>
          </cell>
          <cell r="AH209">
            <v>5.9471365638766538E-2</v>
          </cell>
          <cell r="AI209">
            <v>0.12885462555066082</v>
          </cell>
          <cell r="AJ209">
            <v>4.0000000000000036E-3</v>
          </cell>
          <cell r="AK209">
            <v>8</v>
          </cell>
          <cell r="AL209">
            <v>332</v>
          </cell>
          <cell r="AM209">
            <v>0</v>
          </cell>
          <cell r="AN209">
            <v>0</v>
          </cell>
          <cell r="AO209">
            <v>269</v>
          </cell>
          <cell r="AP209" t="str">
            <v>Sessegnon</v>
          </cell>
          <cell r="AQ209">
            <v>4.4933920704845818</v>
          </cell>
          <cell r="AR209">
            <v>0</v>
          </cell>
          <cell r="AS209">
            <v>3.463656387665198</v>
          </cell>
          <cell r="AT209">
            <v>10.203744493392069</v>
          </cell>
          <cell r="AU209">
            <v>2.2466960352422909</v>
          </cell>
          <cell r="AV209">
            <v>10.203744493392069</v>
          </cell>
          <cell r="AW209">
            <v>10.203744493392069</v>
          </cell>
          <cell r="AX209">
            <v>0.56066244493392048</v>
          </cell>
          <cell r="AY209">
            <v>0</v>
          </cell>
          <cell r="AZ209">
            <v>3.5</v>
          </cell>
          <cell r="BA209">
            <v>95</v>
          </cell>
          <cell r="BB209" t="str">
            <v/>
          </cell>
          <cell r="BC209">
            <v>20</v>
          </cell>
          <cell r="BD209">
            <v>14</v>
          </cell>
          <cell r="BE209">
            <v>0.7</v>
          </cell>
          <cell r="BF209">
            <v>85</v>
          </cell>
          <cell r="BG209">
            <v>0.94444444444444442</v>
          </cell>
          <cell r="BH209">
            <v>1</v>
          </cell>
          <cell r="BI209">
            <v>7</v>
          </cell>
          <cell r="BJ209">
            <v>19</v>
          </cell>
          <cell r="BK209">
            <v>1</v>
          </cell>
          <cell r="BL209">
            <v>0.7142857142857143</v>
          </cell>
          <cell r="BM209">
            <v>0.25</v>
          </cell>
          <cell r="BN209">
            <v>0.77815126050420158</v>
          </cell>
          <cell r="BO209">
            <v>38</v>
          </cell>
          <cell r="BP209">
            <v>0</v>
          </cell>
          <cell r="BQ209">
            <v>0.53099415204678357</v>
          </cell>
          <cell r="BR209">
            <v>1.6</v>
          </cell>
          <cell r="BS209">
            <v>7.9295154185022032E-2</v>
          </cell>
          <cell r="BT209">
            <v>1.8</v>
          </cell>
          <cell r="BU209">
            <v>8.9207048458149779E-2</v>
          </cell>
          <cell r="BV209">
            <v>0.16850220264317181</v>
          </cell>
          <cell r="BW209">
            <v>0</v>
          </cell>
          <cell r="BX209">
            <v>38</v>
          </cell>
          <cell r="BY209">
            <v>1.6842105263157894</v>
          </cell>
          <cell r="BZ209">
            <v>0.95878947368421041</v>
          </cell>
        </row>
        <row r="210">
          <cell r="A210" t="str">
            <v>Rúben dos Santos Gato Alves Dias</v>
          </cell>
          <cell r="B210" t="str">
            <v/>
          </cell>
          <cell r="C210" t="str">
            <v>Rúben</v>
          </cell>
          <cell r="D210" t="str">
            <v/>
          </cell>
          <cell r="E210" t="str">
            <v>Ruben Dias</v>
          </cell>
          <cell r="F210" t="str">
            <v/>
          </cell>
          <cell r="G210" t="str">
            <v>Rúben Dias</v>
          </cell>
          <cell r="H210" t="str">
            <v/>
          </cell>
          <cell r="I210">
            <v>2.9</v>
          </cell>
          <cell r="J210">
            <v>3.0999999999999996</v>
          </cell>
          <cell r="K210">
            <v>3.3</v>
          </cell>
          <cell r="M210">
            <v>3.3264305182420264</v>
          </cell>
          <cell r="N210">
            <v>4.2374941561477319</v>
          </cell>
          <cell r="O210">
            <v>1.7548943030788751</v>
          </cell>
          <cell r="P210">
            <v>3.3264305182420264</v>
          </cell>
          <cell r="Q210">
            <v>4.2374941561477319</v>
          </cell>
          <cell r="R210">
            <v>0.97777777777777775</v>
          </cell>
          <cell r="S210">
            <v>3.3264305182420264</v>
          </cell>
          <cell r="T210" t="str">
            <v>DEF</v>
          </cell>
          <cell r="U210" t="str">
            <v>CB</v>
          </cell>
          <cell r="V210" t="str">
            <v>MCI</v>
          </cell>
          <cell r="W210" t="str">
            <v>Man City</v>
          </cell>
          <cell r="X210">
            <v>5.5</v>
          </cell>
          <cell r="Y210">
            <v>113</v>
          </cell>
          <cell r="Z210">
            <v>10</v>
          </cell>
          <cell r="AA210">
            <v>103</v>
          </cell>
          <cell r="AB210">
            <v>2139</v>
          </cell>
          <cell r="AC210">
            <v>2139</v>
          </cell>
          <cell r="AD210">
            <v>0.7902097902097901</v>
          </cell>
          <cell r="AE210">
            <v>2</v>
          </cell>
          <cell r="AF210">
            <v>0</v>
          </cell>
          <cell r="AG210">
            <v>6.0168302945301545E-2</v>
          </cell>
          <cell r="AH210">
            <v>-2.7349228611500701E-2</v>
          </cell>
          <cell r="AI210">
            <v>3.2819074333800845E-2</v>
          </cell>
          <cell r="AJ210">
            <v>1.2999999999999901E-2</v>
          </cell>
          <cell r="AK210">
            <v>4</v>
          </cell>
          <cell r="AL210">
            <v>453</v>
          </cell>
          <cell r="AM210">
            <v>3</v>
          </cell>
          <cell r="AN210">
            <v>0</v>
          </cell>
          <cell r="AO210">
            <v>390</v>
          </cell>
          <cell r="AP210" t="str">
            <v>Rúben</v>
          </cell>
          <cell r="AQ210">
            <v>6.3356708742402983</v>
          </cell>
          <cell r="AR210">
            <v>0</v>
          </cell>
          <cell r="AS210">
            <v>3.0444132772323513</v>
          </cell>
          <cell r="AT210">
            <v>6.8705002337540906</v>
          </cell>
          <cell r="AU210">
            <v>0.53482935951379151</v>
          </cell>
          <cell r="AV210">
            <v>6.8705002337540906</v>
          </cell>
          <cell r="AW210">
            <v>6.8705002337540906</v>
          </cell>
          <cell r="AX210">
            <v>0.16106451612903225</v>
          </cell>
          <cell r="AY210">
            <v>0</v>
          </cell>
          <cell r="AZ210">
            <v>4.3</v>
          </cell>
          <cell r="BA210">
            <v>113</v>
          </cell>
          <cell r="BB210" t="str">
            <v/>
          </cell>
          <cell r="BC210">
            <v>24</v>
          </cell>
          <cell r="BD210">
            <v>22</v>
          </cell>
          <cell r="BE210">
            <v>0.91666666666666663</v>
          </cell>
          <cell r="BF210">
            <v>88</v>
          </cell>
          <cell r="BG210">
            <v>0.97777777777777775</v>
          </cell>
          <cell r="BH210">
            <v>1</v>
          </cell>
          <cell r="BI210">
            <v>2</v>
          </cell>
          <cell r="BJ210">
            <v>18</v>
          </cell>
          <cell r="BK210">
            <v>4</v>
          </cell>
          <cell r="BL210">
            <v>0.8</v>
          </cell>
          <cell r="BM210">
            <v>6.6666666666666652E-2</v>
          </cell>
          <cell r="BN210">
            <v>0.84090909090909094</v>
          </cell>
          <cell r="BO210">
            <v>38</v>
          </cell>
          <cell r="BP210">
            <v>0</v>
          </cell>
          <cell r="BQ210">
            <v>0.62543859649122802</v>
          </cell>
          <cell r="BR210">
            <v>0.56999999999999995</v>
          </cell>
          <cell r="BS210">
            <v>2.3983169705469841E-2</v>
          </cell>
          <cell r="BT210">
            <v>0.65</v>
          </cell>
          <cell r="BU210">
            <v>2.7349228611500701E-2</v>
          </cell>
          <cell r="BV210">
            <v>5.1332398316970541E-2</v>
          </cell>
          <cell r="BW210">
            <v>0</v>
          </cell>
          <cell r="BX210">
            <v>38</v>
          </cell>
          <cell r="BY210">
            <v>1.223421052631579</v>
          </cell>
          <cell r="BZ210">
            <v>1.4195789473684208</v>
          </cell>
        </row>
        <row r="211">
          <cell r="A211" t="str">
            <v>Habib Diarra</v>
          </cell>
          <cell r="B211" t="str">
            <v/>
          </cell>
          <cell r="C211" t="str">
            <v>Diarra</v>
          </cell>
          <cell r="D211" t="str">
            <v/>
          </cell>
          <cell r="F211" t="str">
            <v/>
          </cell>
          <cell r="H211" t="str">
            <v/>
          </cell>
          <cell r="I211" t="e">
            <v>#N/A</v>
          </cell>
          <cell r="J211" t="e">
            <v>#N/A</v>
          </cell>
          <cell r="K211" t="e">
            <v>#N/A</v>
          </cell>
          <cell r="M211">
            <v>3.3121734933935834</v>
          </cell>
          <cell r="N211">
            <v>3.9379900213827508</v>
          </cell>
          <cell r="O211">
            <v>4.2142153662712083</v>
          </cell>
          <cell r="P211">
            <v>3.3121734933935834</v>
          </cell>
          <cell r="Q211">
            <v>3.9379900213827508</v>
          </cell>
          <cell r="R211">
            <v>3.1775700934579438</v>
          </cell>
          <cell r="S211">
            <v>3.3121734933935834</v>
          </cell>
          <cell r="T211" t="str">
            <v>MID</v>
          </cell>
          <cell r="U211" t="str">
            <v>CM</v>
          </cell>
          <cell r="V211" t="str">
            <v>SUN</v>
          </cell>
          <cell r="W211" t="str">
            <v>Sunderland</v>
          </cell>
          <cell r="X211">
            <v>5.5</v>
          </cell>
          <cell r="Y211">
            <v>65</v>
          </cell>
          <cell r="Z211">
            <v>0</v>
          </cell>
          <cell r="AA211">
            <v>65</v>
          </cell>
          <cell r="AB211">
            <v>1403</v>
          </cell>
          <cell r="AC211">
            <v>1403</v>
          </cell>
          <cell r="AD211">
            <v>0.59090909090909094</v>
          </cell>
          <cell r="AE211">
            <v>2</v>
          </cell>
          <cell r="AF211">
            <v>6</v>
          </cell>
          <cell r="AG211">
            <v>-8.1468282252316476E-2</v>
          </cell>
          <cell r="AH211">
            <v>0.33036350677120463</v>
          </cell>
          <cell r="AI211">
            <v>0.24889522451888807</v>
          </cell>
          <cell r="AJ211">
            <v>9.9999999999988987E-4</v>
          </cell>
          <cell r="AK211">
            <v>3</v>
          </cell>
          <cell r="AL211">
            <v>209</v>
          </cell>
          <cell r="AM211">
            <v>6</v>
          </cell>
          <cell r="AN211">
            <v>0</v>
          </cell>
          <cell r="AO211">
            <v>543</v>
          </cell>
          <cell r="AP211" t="str">
            <v>Diarra</v>
          </cell>
          <cell r="AQ211">
            <v>1.029935851746258</v>
          </cell>
          <cell r="AR211">
            <v>0</v>
          </cell>
          <cell r="AS211">
            <v>2.9080541696364932</v>
          </cell>
          <cell r="AT211">
            <v>4.786172487526728</v>
          </cell>
          <cell r="AU211">
            <v>0.84818246614397719</v>
          </cell>
          <cell r="AV211">
            <v>4.786172487526728</v>
          </cell>
          <cell r="AW211">
            <v>4.786172487526728</v>
          </cell>
          <cell r="AX211">
            <v>3.6238163119845221E-2</v>
          </cell>
          <cell r="AY211">
            <v>0</v>
          </cell>
          <cell r="AZ211">
            <v>3.2</v>
          </cell>
          <cell r="BA211">
            <v>65</v>
          </cell>
          <cell r="BB211" t="str">
            <v/>
          </cell>
          <cell r="BC211">
            <v>15</v>
          </cell>
          <cell r="BD211">
            <v>8</v>
          </cell>
          <cell r="BE211">
            <v>0.53333333333333333</v>
          </cell>
          <cell r="BF211">
            <v>85</v>
          </cell>
          <cell r="BG211">
            <v>0.94444444444444442</v>
          </cell>
          <cell r="BH211">
            <v>1</v>
          </cell>
          <cell r="BI211">
            <v>5</v>
          </cell>
          <cell r="BJ211">
            <v>27</v>
          </cell>
          <cell r="BK211">
            <v>1</v>
          </cell>
          <cell r="BL211">
            <v>0.7142857142857143</v>
          </cell>
          <cell r="BM211">
            <v>0.41666666666666669</v>
          </cell>
          <cell r="BN211">
            <v>0.80504201680672272</v>
          </cell>
          <cell r="BO211">
            <v>38</v>
          </cell>
          <cell r="BP211">
            <v>0</v>
          </cell>
          <cell r="BQ211">
            <v>0.41023391812865495</v>
          </cell>
          <cell r="BR211">
            <v>3.27</v>
          </cell>
          <cell r="BS211">
            <v>0.20976478973627941</v>
          </cell>
          <cell r="BT211">
            <v>0.85</v>
          </cell>
          <cell r="BU211">
            <v>5.4526015680684242E-2</v>
          </cell>
          <cell r="BV211">
            <v>0.26429080541696365</v>
          </cell>
          <cell r="BW211">
            <v>0</v>
          </cell>
          <cell r="BX211">
            <v>38</v>
          </cell>
          <cell r="BY211">
            <v>1.5878947368421052</v>
          </cell>
          <cell r="BZ211">
            <v>1.0551052631578945</v>
          </cell>
        </row>
        <row r="212">
          <cell r="A212" t="str">
            <v>Lisandro Martínez</v>
          </cell>
          <cell r="B212" t="str">
            <v/>
          </cell>
          <cell r="C212" t="str">
            <v>Martinez</v>
          </cell>
          <cell r="D212" t="str">
            <v/>
          </cell>
          <cell r="E212" t="str">
            <v>L Martinez</v>
          </cell>
          <cell r="F212" t="str">
            <v/>
          </cell>
          <cell r="G212" t="str">
            <v>Lisandro Martinez</v>
          </cell>
          <cell r="H212" t="str">
            <v/>
          </cell>
          <cell r="I212">
            <v>3</v>
          </cell>
          <cell r="J212">
            <v>3.2</v>
          </cell>
          <cell r="K212">
            <v>3.4</v>
          </cell>
          <cell r="M212">
            <v>3.3104470864753344</v>
          </cell>
          <cell r="N212">
            <v>3.043938161106591</v>
          </cell>
          <cell r="O212">
            <v>2.1477970165446161</v>
          </cell>
          <cell r="P212">
            <v>3.3104470864753344</v>
          </cell>
          <cell r="Q212">
            <v>3.043938161106591</v>
          </cell>
          <cell r="R212">
            <v>4.833333333333333</v>
          </cell>
          <cell r="S212">
            <v>3.3104470864753344</v>
          </cell>
          <cell r="T212" t="str">
            <v>DEF</v>
          </cell>
          <cell r="U212" t="str">
            <v>CB</v>
          </cell>
          <cell r="V212" t="str">
            <v>MUN</v>
          </cell>
          <cell r="W212" t="str">
            <v>Man Utd</v>
          </cell>
          <cell r="X212">
            <v>5</v>
          </cell>
          <cell r="Y212">
            <v>51</v>
          </cell>
          <cell r="Z212">
            <v>8</v>
          </cell>
          <cell r="AA212">
            <v>43</v>
          </cell>
          <cell r="AB212">
            <v>1229</v>
          </cell>
          <cell r="AC212">
            <v>1229</v>
          </cell>
          <cell r="AD212">
            <v>0.56666666666666665</v>
          </cell>
          <cell r="AE212">
            <v>0</v>
          </cell>
          <cell r="AF212">
            <v>0</v>
          </cell>
          <cell r="AG212">
            <v>-1.0984540276647681E-2</v>
          </cell>
          <cell r="AH212">
            <v>-4.3938161106590726E-2</v>
          </cell>
          <cell r="AI212">
            <v>-5.4922701383238404E-2</v>
          </cell>
          <cell r="AJ212">
            <v>2.4999999999999911E-2</v>
          </cell>
          <cell r="AK212">
            <v>3</v>
          </cell>
          <cell r="AL212">
            <v>241</v>
          </cell>
          <cell r="AM212">
            <v>0</v>
          </cell>
          <cell r="AN212">
            <v>0</v>
          </cell>
          <cell r="AO212">
            <v>419</v>
          </cell>
          <cell r="AP212" t="str">
            <v>Martinez</v>
          </cell>
          <cell r="AQ212">
            <v>6.087876322213182</v>
          </cell>
          <cell r="AR212">
            <v>0</v>
          </cell>
          <cell r="AS212">
            <v>4.8136696501220504</v>
          </cell>
          <cell r="AT212">
            <v>7.4328722538649314</v>
          </cell>
          <cell r="AU212">
            <v>1.3449959316517495</v>
          </cell>
          <cell r="AV212">
            <v>7.4328722538649314</v>
          </cell>
          <cell r="AW212">
            <v>7.4328722538649314</v>
          </cell>
          <cell r="AX212">
            <v>0.2223775427176567</v>
          </cell>
          <cell r="AY212">
            <v>0</v>
          </cell>
          <cell r="AZ212">
            <v>2.8</v>
          </cell>
          <cell r="BA212">
            <v>51</v>
          </cell>
          <cell r="BB212" t="str">
            <v/>
          </cell>
          <cell r="BC212">
            <v>13</v>
          </cell>
          <cell r="BD212">
            <v>11</v>
          </cell>
          <cell r="BE212">
            <v>0.84615384615384615</v>
          </cell>
          <cell r="BF212">
            <v>87</v>
          </cell>
          <cell r="BG212">
            <v>0.96666666666666667</v>
          </cell>
          <cell r="BH212">
            <v>1</v>
          </cell>
          <cell r="BI212">
            <v>5</v>
          </cell>
          <cell r="BJ212">
            <v>20</v>
          </cell>
          <cell r="BK212">
            <v>1</v>
          </cell>
          <cell r="BL212">
            <v>0.68421052631578949</v>
          </cell>
          <cell r="BM212">
            <v>0.26315789473684209</v>
          </cell>
          <cell r="BN212">
            <v>0.75680580762250449</v>
          </cell>
          <cell r="BO212">
            <v>38</v>
          </cell>
          <cell r="BP212">
            <v>0</v>
          </cell>
          <cell r="BQ212">
            <v>0.35935672514619882</v>
          </cell>
          <cell r="BR212">
            <v>0.15</v>
          </cell>
          <cell r="BS212">
            <v>1.0984540276647681E-2</v>
          </cell>
          <cell r="BT212">
            <v>0.6</v>
          </cell>
          <cell r="BU212">
            <v>4.3938161106590726E-2</v>
          </cell>
          <cell r="BV212">
            <v>5.4922701383238404E-2</v>
          </cell>
          <cell r="BW212">
            <v>0</v>
          </cell>
          <cell r="BX212">
            <v>38</v>
          </cell>
          <cell r="BY212">
            <v>1.3231578947368421</v>
          </cell>
          <cell r="BZ212">
            <v>1.3198421052631577</v>
          </cell>
        </row>
        <row r="213">
          <cell r="A213" t="str">
            <v>Joël Piroe</v>
          </cell>
          <cell r="B213" t="str">
            <v/>
          </cell>
          <cell r="C213" t="str">
            <v>Piroe</v>
          </cell>
          <cell r="D213" t="str">
            <v/>
          </cell>
          <cell r="F213" t="str">
            <v/>
          </cell>
          <cell r="H213" t="str">
            <v/>
          </cell>
          <cell r="I213" t="e">
            <v>#N/A</v>
          </cell>
          <cell r="J213" t="e">
            <v>#N/A</v>
          </cell>
          <cell r="K213" t="e">
            <v>#N/A</v>
          </cell>
          <cell r="M213">
            <v>3.2933688524590163</v>
          </cell>
          <cell r="N213">
            <v>4.6680327868852451</v>
          </cell>
          <cell r="O213">
            <v>2.9866421707179192</v>
          </cell>
          <cell r="P213">
            <v>3.2933688524590163</v>
          </cell>
          <cell r="Q213">
            <v>4.6680327868852451</v>
          </cell>
          <cell r="R213">
            <v>6.9310344827586201</v>
          </cell>
          <cell r="S213">
            <v>3.2933688524590163</v>
          </cell>
          <cell r="T213" t="str">
            <v>FWD</v>
          </cell>
          <cell r="U213" t="str">
            <v>CF</v>
          </cell>
          <cell r="V213" t="str">
            <v>LEE</v>
          </cell>
          <cell r="W213" t="str">
            <v>Leeds</v>
          </cell>
          <cell r="X213">
            <v>5</v>
          </cell>
          <cell r="Y213">
            <v>17</v>
          </cell>
          <cell r="Z213">
            <v>0</v>
          </cell>
          <cell r="AA213">
            <v>17</v>
          </cell>
          <cell r="AB213">
            <v>244</v>
          </cell>
          <cell r="AC213">
            <v>244</v>
          </cell>
          <cell r="AD213">
            <v>0.21249999999999999</v>
          </cell>
          <cell r="AE213">
            <v>0</v>
          </cell>
          <cell r="AF213">
            <v>0</v>
          </cell>
          <cell r="AG213">
            <v>-0.33196721311475413</v>
          </cell>
          <cell r="AH213">
            <v>-4.7950819672131155E-2</v>
          </cell>
          <cell r="AI213">
            <v>-0.3799180327868853</v>
          </cell>
          <cell r="AJ213">
            <v>4.9999999999998934E-3</v>
          </cell>
          <cell r="AK213">
            <v>0</v>
          </cell>
          <cell r="AL213">
            <v>42</v>
          </cell>
          <cell r="AM213">
            <v>0</v>
          </cell>
          <cell r="AN213">
            <v>0</v>
          </cell>
          <cell r="AO213">
            <v>348</v>
          </cell>
          <cell r="AP213" t="str">
            <v>Piroe</v>
          </cell>
          <cell r="AQ213">
            <v>0.54918032786885251</v>
          </cell>
          <cell r="AR213">
            <v>0</v>
          </cell>
          <cell r="AS213">
            <v>2.7459016393442623</v>
          </cell>
          <cell r="AT213">
            <v>3.8442622950819669</v>
          </cell>
          <cell r="AU213">
            <v>0.54918032786885251</v>
          </cell>
          <cell r="AV213">
            <v>3.8442622950819669</v>
          </cell>
          <cell r="AW213">
            <v>3.8442622950819669</v>
          </cell>
          <cell r="AX213">
            <v>2.9106557377049175E-2</v>
          </cell>
          <cell r="AY213">
            <v>0</v>
          </cell>
          <cell r="AZ213">
            <v>1.1000000000000001</v>
          </cell>
          <cell r="BA213">
            <v>17</v>
          </cell>
          <cell r="BB213" t="str">
            <v/>
          </cell>
          <cell r="BC213">
            <v>2</v>
          </cell>
          <cell r="BD213">
            <v>0</v>
          </cell>
          <cell r="BE213">
            <v>0</v>
          </cell>
          <cell r="BF213">
            <v>67</v>
          </cell>
          <cell r="BG213">
            <v>0.74444444444444446</v>
          </cell>
          <cell r="BH213">
            <v>1</v>
          </cell>
          <cell r="BI213">
            <v>14</v>
          </cell>
          <cell r="BJ213">
            <v>9</v>
          </cell>
          <cell r="BK213">
            <v>21</v>
          </cell>
          <cell r="BL213">
            <v>5.4054054054054057E-2</v>
          </cell>
          <cell r="BM213">
            <v>0.3783783783783784</v>
          </cell>
          <cell r="BN213">
            <v>0.18112141992739011</v>
          </cell>
          <cell r="BO213">
            <v>38</v>
          </cell>
          <cell r="BP213">
            <v>0</v>
          </cell>
          <cell r="BQ213">
            <v>7.1345029239766086E-2</v>
          </cell>
          <cell r="BR213">
            <v>0.9</v>
          </cell>
          <cell r="BS213">
            <v>0.33196721311475413</v>
          </cell>
          <cell r="BT213">
            <v>0.13</v>
          </cell>
          <cell r="BU213">
            <v>4.7950819672131155E-2</v>
          </cell>
          <cell r="BV213">
            <v>0.3799180327868853</v>
          </cell>
          <cell r="BW213">
            <v>0</v>
          </cell>
          <cell r="BX213">
            <v>38</v>
          </cell>
          <cell r="BY213">
            <v>1.4823684210526316</v>
          </cell>
          <cell r="BZ213">
            <v>1.1606315789473682</v>
          </cell>
        </row>
        <row r="214">
          <cell r="A214" t="str">
            <v>Lewis Hall</v>
          </cell>
          <cell r="B214" t="str">
            <v/>
          </cell>
          <cell r="C214" t="str">
            <v>Hall</v>
          </cell>
          <cell r="D214" t="str">
            <v/>
          </cell>
          <cell r="F214" t="str">
            <v/>
          </cell>
          <cell r="H214" t="str">
            <v/>
          </cell>
          <cell r="I214">
            <v>2.1</v>
          </cell>
          <cell r="J214">
            <v>2.6666666666666665</v>
          </cell>
          <cell r="K214">
            <v>3.8</v>
          </cell>
          <cell r="M214">
            <v>3.2913289190210531</v>
          </cell>
          <cell r="N214">
            <v>2.7270220588235294</v>
          </cell>
          <cell r="O214">
            <v>1.9845388247658109</v>
          </cell>
          <cell r="P214">
            <v>3.2913289190210531</v>
          </cell>
          <cell r="Q214">
            <v>2.7270220588235294</v>
          </cell>
          <cell r="R214">
            <v>1.5311572700296736</v>
          </cell>
          <cell r="S214">
            <v>3.2913289190210531</v>
          </cell>
          <cell r="T214" t="str">
            <v>DEF</v>
          </cell>
          <cell r="U214" t="str">
            <v>LB</v>
          </cell>
          <cell r="V214" t="str">
            <v>NEW</v>
          </cell>
          <cell r="W214" t="str">
            <v>Newcastle</v>
          </cell>
          <cell r="X214">
            <v>5</v>
          </cell>
          <cell r="Y214">
            <v>79</v>
          </cell>
          <cell r="Z214">
            <v>10</v>
          </cell>
          <cell r="AA214">
            <v>69</v>
          </cell>
          <cell r="AB214">
            <v>2176</v>
          </cell>
          <cell r="AC214">
            <v>2176</v>
          </cell>
          <cell r="AD214">
            <v>0.52666666666666662</v>
          </cell>
          <cell r="AE214">
            <v>1</v>
          </cell>
          <cell r="AF214">
            <v>2</v>
          </cell>
          <cell r="AG214">
            <v>-4.1360294117646912E-4</v>
          </cell>
          <cell r="AH214">
            <v>-3.2261029411764702E-2</v>
          </cell>
          <cell r="AI214">
            <v>-3.2674632352941158E-2</v>
          </cell>
          <cell r="AJ214">
            <v>4.8000000000000043E-2</v>
          </cell>
          <cell r="AK214">
            <v>4</v>
          </cell>
          <cell r="AL214">
            <v>347</v>
          </cell>
          <cell r="AM214">
            <v>4</v>
          </cell>
          <cell r="AN214">
            <v>0</v>
          </cell>
          <cell r="AO214">
            <v>449</v>
          </cell>
          <cell r="AP214" t="str">
            <v>Hall</v>
          </cell>
          <cell r="AQ214">
            <v>4.703125</v>
          </cell>
          <cell r="AR214">
            <v>0</v>
          </cell>
          <cell r="AS214">
            <v>5.295955882352942</v>
          </cell>
          <cell r="AT214">
            <v>6.8373161764705888</v>
          </cell>
          <cell r="AU214">
            <v>2.1341911764705883</v>
          </cell>
          <cell r="AV214">
            <v>6.8373161764705888</v>
          </cell>
          <cell r="AW214">
            <v>6.8373161764705888</v>
          </cell>
          <cell r="AX214">
            <v>0.15877481617647063</v>
          </cell>
          <cell r="AY214">
            <v>0</v>
          </cell>
          <cell r="AZ214">
            <v>2.6</v>
          </cell>
          <cell r="BA214">
            <v>79</v>
          </cell>
          <cell r="BB214" t="str">
            <v/>
          </cell>
          <cell r="BC214">
            <v>24</v>
          </cell>
          <cell r="BD214">
            <v>19</v>
          </cell>
          <cell r="BE214">
            <v>0.79166666666666663</v>
          </cell>
          <cell r="BF214">
            <v>86</v>
          </cell>
          <cell r="BG214">
            <v>0.9555555555555556</v>
          </cell>
          <cell r="BH214">
            <v>1</v>
          </cell>
          <cell r="BI214">
            <v>6</v>
          </cell>
          <cell r="BJ214">
            <v>19</v>
          </cell>
          <cell r="BK214">
            <v>4</v>
          </cell>
          <cell r="BL214">
            <v>0.70588235294117652</v>
          </cell>
          <cell r="BM214">
            <v>0.1764705882352941</v>
          </cell>
          <cell r="BN214">
            <v>0.77086183310533518</v>
          </cell>
          <cell r="BO214">
            <v>38</v>
          </cell>
          <cell r="BP214">
            <v>0</v>
          </cell>
          <cell r="BQ214">
            <v>0.63625730994152052</v>
          </cell>
          <cell r="BR214">
            <v>1.01</v>
          </cell>
          <cell r="BS214">
            <v>4.1773897058823527E-2</v>
          </cell>
          <cell r="BT214">
            <v>2.78</v>
          </cell>
          <cell r="BU214">
            <v>0.11498161764705882</v>
          </cell>
          <cell r="BV214">
            <v>0.15675551470588234</v>
          </cell>
          <cell r="BW214">
            <v>0</v>
          </cell>
          <cell r="BX214">
            <v>38</v>
          </cell>
          <cell r="BY214">
            <v>1.5081578947368421</v>
          </cell>
          <cell r="BZ214">
            <v>1.1348421052631577</v>
          </cell>
        </row>
        <row r="215">
          <cell r="A215" t="str">
            <v>Tanaka Ao</v>
          </cell>
          <cell r="B215" t="str">
            <v/>
          </cell>
          <cell r="C215" t="str">
            <v>Tanaka</v>
          </cell>
          <cell r="D215" t="str">
            <v/>
          </cell>
          <cell r="E215" t="str">
            <v>Ao Tanaka</v>
          </cell>
          <cell r="F215" t="str">
            <v/>
          </cell>
          <cell r="H215" t="str">
            <v/>
          </cell>
          <cell r="I215" t="e">
            <v>#N/A</v>
          </cell>
          <cell r="J215" t="e">
            <v>#N/A</v>
          </cell>
          <cell r="K215" t="e">
            <v>#N/A</v>
          </cell>
          <cell r="M215">
            <v>3.2892208168711785</v>
          </cell>
          <cell r="N215">
            <v>3.2708492731446062</v>
          </cell>
          <cell r="O215">
            <v>2.5919165626384246</v>
          </cell>
          <cell r="P215">
            <v>3.2892208168711785</v>
          </cell>
          <cell r="Q215">
            <v>3.2708492731446062</v>
          </cell>
          <cell r="R215">
            <v>3.3157894736842106</v>
          </cell>
          <cell r="S215">
            <v>3.2892208168711785</v>
          </cell>
          <cell r="T215" t="str">
            <v>MID</v>
          </cell>
          <cell r="U215" t="str">
            <v>CM</v>
          </cell>
          <cell r="V215" t="str">
            <v>LEE</v>
          </cell>
          <cell r="W215" t="str">
            <v>Leeds</v>
          </cell>
          <cell r="X215">
            <v>5</v>
          </cell>
          <cell r="Y215">
            <v>67</v>
          </cell>
          <cell r="Z215">
            <v>10</v>
          </cell>
          <cell r="AA215">
            <v>57</v>
          </cell>
          <cell r="AB215">
            <v>1307</v>
          </cell>
          <cell r="AC215">
            <v>1307</v>
          </cell>
          <cell r="AD215">
            <v>0.47857142857142854</v>
          </cell>
          <cell r="AE215">
            <v>2</v>
          </cell>
          <cell r="AF215">
            <v>1</v>
          </cell>
          <cell r="AG215">
            <v>3.8561591430757464E-2</v>
          </cell>
          <cell r="AH215">
            <v>-2.6855394032134647E-2</v>
          </cell>
          <cell r="AI215">
            <v>1.1706197398622803E-2</v>
          </cell>
          <cell r="AJ215">
            <v>2.9999999999998916E-3</v>
          </cell>
          <cell r="AK215">
            <v>4</v>
          </cell>
          <cell r="AL215">
            <v>288</v>
          </cell>
          <cell r="AM215">
            <v>1</v>
          </cell>
          <cell r="AN215">
            <v>0</v>
          </cell>
          <cell r="AO215">
            <v>345</v>
          </cell>
          <cell r="AP215" t="str">
            <v>Tanaka</v>
          </cell>
          <cell r="AQ215">
            <v>2.180566182096404</v>
          </cell>
          <cell r="AR215">
            <v>0</v>
          </cell>
          <cell r="AS215">
            <v>4.7054322876817141</v>
          </cell>
          <cell r="AT215">
            <v>8.4353481254781943</v>
          </cell>
          <cell r="AU215">
            <v>1.5493496557000765</v>
          </cell>
          <cell r="AV215">
            <v>8.4353481254781943</v>
          </cell>
          <cell r="AW215">
            <v>8.4353481254781943</v>
          </cell>
          <cell r="AX215">
            <v>0.15634506503442999</v>
          </cell>
          <cell r="AY215">
            <v>0</v>
          </cell>
          <cell r="AZ215">
            <v>2.4</v>
          </cell>
          <cell r="BA215">
            <v>67</v>
          </cell>
          <cell r="BB215" t="str">
            <v/>
          </cell>
          <cell r="BC215">
            <v>14</v>
          </cell>
          <cell r="BD215">
            <v>0</v>
          </cell>
          <cell r="BE215">
            <v>0</v>
          </cell>
          <cell r="BF215">
            <v>75</v>
          </cell>
          <cell r="BG215">
            <v>0.83333333333333337</v>
          </cell>
          <cell r="BH215">
            <v>1</v>
          </cell>
          <cell r="BI215">
            <v>14</v>
          </cell>
          <cell r="BJ215">
            <v>19</v>
          </cell>
          <cell r="BK215">
            <v>9</v>
          </cell>
          <cell r="BL215">
            <v>0.3783783783783784</v>
          </cell>
          <cell r="BM215">
            <v>0.37837837837837834</v>
          </cell>
          <cell r="BN215">
            <v>0.53585585585585593</v>
          </cell>
          <cell r="BO215">
            <v>38</v>
          </cell>
          <cell r="BP215">
            <v>0</v>
          </cell>
          <cell r="BQ215">
            <v>0.38216374269005848</v>
          </cell>
          <cell r="BR215">
            <v>1.44</v>
          </cell>
          <cell r="BS215">
            <v>9.9158377964804895E-2</v>
          </cell>
          <cell r="BT215">
            <v>1.39</v>
          </cell>
          <cell r="BU215">
            <v>9.5715378729915826E-2</v>
          </cell>
          <cell r="BV215">
            <v>0.19487375669472073</v>
          </cell>
          <cell r="BW215">
            <v>0</v>
          </cell>
          <cell r="BX215">
            <v>38</v>
          </cell>
          <cell r="BY215">
            <v>1.4823684210526316</v>
          </cell>
          <cell r="BZ215">
            <v>1.1606315789473682</v>
          </cell>
        </row>
        <row r="216">
          <cell r="A216" t="str">
            <v>Jayden Bogle</v>
          </cell>
          <cell r="B216" t="str">
            <v/>
          </cell>
          <cell r="C216" t="str">
            <v>Bogle</v>
          </cell>
          <cell r="D216" t="str">
            <v/>
          </cell>
          <cell r="F216" t="str">
            <v/>
          </cell>
          <cell r="H216" t="str">
            <v/>
          </cell>
          <cell r="I216" t="e">
            <v>#N/A</v>
          </cell>
          <cell r="J216" t="e">
            <v>#N/A</v>
          </cell>
          <cell r="K216" t="e">
            <v>#N/A</v>
          </cell>
          <cell r="M216">
            <v>3.2759661023025144</v>
          </cell>
          <cell r="N216">
            <v>2.7692307692307687</v>
          </cell>
          <cell r="O216">
            <v>2.1337879511268549</v>
          </cell>
          <cell r="P216">
            <v>3.2759661023025144</v>
          </cell>
          <cell r="Q216">
            <v>2.7692307692307687</v>
          </cell>
          <cell r="R216">
            <v>3.986754966887418</v>
          </cell>
          <cell r="S216">
            <v>3.2759661023025144</v>
          </cell>
          <cell r="T216" t="str">
            <v>DEF</v>
          </cell>
          <cell r="U216" t="str">
            <v>RB</v>
          </cell>
          <cell r="V216" t="str">
            <v>LEE</v>
          </cell>
          <cell r="W216" t="str">
            <v>Leeds</v>
          </cell>
          <cell r="X216">
            <v>4.5</v>
          </cell>
          <cell r="Y216">
            <v>95.999999999999986</v>
          </cell>
          <cell r="Z216">
            <v>6</v>
          </cell>
          <cell r="AA216">
            <v>89.999999999999986</v>
          </cell>
          <cell r="AB216">
            <v>2795</v>
          </cell>
          <cell r="AC216">
            <v>2795</v>
          </cell>
          <cell r="AD216">
            <v>0.62745098039215685</v>
          </cell>
          <cell r="AE216">
            <v>1</v>
          </cell>
          <cell r="AF216">
            <v>5</v>
          </cell>
          <cell r="AG216">
            <v>-3.477638640429339E-2</v>
          </cell>
          <cell r="AH216">
            <v>6.0858676207513424E-2</v>
          </cell>
          <cell r="AI216">
            <v>2.6082289803220027E-2</v>
          </cell>
          <cell r="AJ216">
            <v>4.9999999999998934E-3</v>
          </cell>
          <cell r="AK216">
            <v>1</v>
          </cell>
          <cell r="AL216">
            <v>311</v>
          </cell>
          <cell r="AM216">
            <v>6</v>
          </cell>
          <cell r="AN216">
            <v>0</v>
          </cell>
          <cell r="AO216">
            <v>330</v>
          </cell>
          <cell r="AP216" t="str">
            <v>Bogle</v>
          </cell>
          <cell r="AQ216">
            <v>3.4461538461538463</v>
          </cell>
          <cell r="AR216">
            <v>0</v>
          </cell>
          <cell r="AS216">
            <v>4.092307692307692</v>
          </cell>
          <cell r="AT216">
            <v>5.476923076923077</v>
          </cell>
          <cell r="AU216">
            <v>2.0307692307692311</v>
          </cell>
          <cell r="AV216">
            <v>5.476923076923077</v>
          </cell>
          <cell r="AW216">
            <v>5.476923076923077</v>
          </cell>
          <cell r="AX216">
            <v>6.4907692307692319E-2</v>
          </cell>
          <cell r="AY216">
            <v>0</v>
          </cell>
          <cell r="AZ216">
            <v>2.8</v>
          </cell>
          <cell r="BA216">
            <v>95.999999999999986</v>
          </cell>
          <cell r="BB216" t="str">
            <v/>
          </cell>
          <cell r="BC216">
            <v>32</v>
          </cell>
          <cell r="BD216">
            <v>18</v>
          </cell>
          <cell r="BE216">
            <v>0.5625</v>
          </cell>
          <cell r="BF216">
            <v>86</v>
          </cell>
          <cell r="BG216">
            <v>0.9555555555555556</v>
          </cell>
          <cell r="BH216">
            <v>1</v>
          </cell>
          <cell r="BI216">
            <v>2</v>
          </cell>
          <cell r="BJ216">
            <v>27</v>
          </cell>
          <cell r="BK216">
            <v>0</v>
          </cell>
          <cell r="BL216">
            <v>0.94117647058823528</v>
          </cell>
          <cell r="BM216">
            <v>5.8823529411764719E-2</v>
          </cell>
          <cell r="BN216">
            <v>0.95964432284541723</v>
          </cell>
          <cell r="BO216">
            <v>38</v>
          </cell>
          <cell r="BP216">
            <v>0</v>
          </cell>
          <cell r="BQ216">
            <v>0.81725146198830412</v>
          </cell>
          <cell r="BR216">
            <v>2.08</v>
          </cell>
          <cell r="BS216">
            <v>6.6976744186046516E-2</v>
          </cell>
          <cell r="BT216">
            <v>3.11</v>
          </cell>
          <cell r="BU216">
            <v>0.10014311270125223</v>
          </cell>
          <cell r="BV216">
            <v>0.16711985688729875</v>
          </cell>
          <cell r="BW216">
            <v>0</v>
          </cell>
          <cell r="BX216">
            <v>38</v>
          </cell>
          <cell r="BY216">
            <v>1.4823684210526316</v>
          </cell>
          <cell r="BZ216">
            <v>1.1606315789473682</v>
          </cell>
        </row>
        <row r="217">
          <cell r="A217" t="str">
            <v>Brian Brobbey</v>
          </cell>
          <cell r="B217" t="str">
            <v/>
          </cell>
          <cell r="C217" t="str">
            <v>Brobbey</v>
          </cell>
          <cell r="D217" t="str">
            <v/>
          </cell>
          <cell r="F217" t="str">
            <v/>
          </cell>
          <cell r="H217" t="str">
            <v/>
          </cell>
          <cell r="I217" t="e">
            <v>#N/A</v>
          </cell>
          <cell r="J217" t="e">
            <v>#N/A</v>
          </cell>
          <cell r="K217" t="e">
            <v>#N/A</v>
          </cell>
          <cell r="M217">
            <v>3.2749125000000001</v>
          </cell>
          <cell r="N217">
            <v>3.7375000000000003</v>
          </cell>
          <cell r="O217">
            <v>3.3642926861702129</v>
          </cell>
          <cell r="P217">
            <v>3.2749125000000001</v>
          </cell>
          <cell r="Q217">
            <v>3.7375000000000003</v>
          </cell>
          <cell r="R217">
            <v>3.1531914893617023</v>
          </cell>
          <cell r="S217">
            <v>3.2749125000000001</v>
          </cell>
          <cell r="T217" t="str">
            <v>FWD</v>
          </cell>
          <cell r="U217" t="str">
            <v>CF</v>
          </cell>
          <cell r="V217" t="str">
            <v>SUN</v>
          </cell>
          <cell r="W217" t="str">
            <v>Sunderland</v>
          </cell>
          <cell r="X217">
            <v>6</v>
          </cell>
          <cell r="Y217">
            <v>92</v>
          </cell>
          <cell r="Z217">
            <v>0</v>
          </cell>
          <cell r="AA217">
            <v>92</v>
          </cell>
          <cell r="AB217">
            <v>1920</v>
          </cell>
          <cell r="AC217">
            <v>1920</v>
          </cell>
          <cell r="AD217">
            <v>0.4946236559139785</v>
          </cell>
          <cell r="AE217">
            <v>7</v>
          </cell>
          <cell r="AF217">
            <v>2</v>
          </cell>
          <cell r="AG217">
            <v>4.593750000000002E-2</v>
          </cell>
          <cell r="AH217">
            <v>6.2343749999999996E-2</v>
          </cell>
          <cell r="AI217">
            <v>0.10828125</v>
          </cell>
          <cell r="AJ217">
            <v>0.19999999999999996</v>
          </cell>
          <cell r="AK217">
            <v>12</v>
          </cell>
          <cell r="AL217">
            <v>309</v>
          </cell>
          <cell r="AM217">
            <v>6</v>
          </cell>
          <cell r="AN217">
            <v>0</v>
          </cell>
          <cell r="AO217">
            <v>552</v>
          </cell>
          <cell r="AP217" t="str">
            <v>Brobbey</v>
          </cell>
          <cell r="AQ217">
            <v>0.85312499999999991</v>
          </cell>
          <cell r="AR217">
            <v>0</v>
          </cell>
          <cell r="AS217">
            <v>1.7875000000000001</v>
          </cell>
          <cell r="AT217">
            <v>3.0062500000000001</v>
          </cell>
          <cell r="AU217">
            <v>0.36562500000000003</v>
          </cell>
          <cell r="AV217">
            <v>3.0062500000000001</v>
          </cell>
          <cell r="AW217">
            <v>3.0062500000000001</v>
          </cell>
          <cell r="AX217">
            <v>2.2761607142857142E-2</v>
          </cell>
          <cell r="AY217">
            <v>0</v>
          </cell>
          <cell r="AZ217">
            <v>3</v>
          </cell>
          <cell r="BA217">
            <v>92</v>
          </cell>
          <cell r="BB217" t="str">
            <v/>
          </cell>
          <cell r="BC217">
            <v>22</v>
          </cell>
          <cell r="BD217">
            <v>6</v>
          </cell>
          <cell r="BE217">
            <v>0.27272727272727271</v>
          </cell>
          <cell r="BF217">
            <v>78</v>
          </cell>
          <cell r="BG217">
            <v>0.8666666666666667</v>
          </cell>
          <cell r="BH217">
            <v>1</v>
          </cell>
          <cell r="BI217">
            <v>9</v>
          </cell>
          <cell r="BJ217">
            <v>22</v>
          </cell>
          <cell r="BK217">
            <v>2</v>
          </cell>
          <cell r="BL217">
            <v>0.66666666666666663</v>
          </cell>
          <cell r="BM217">
            <v>0.27272727272727276</v>
          </cell>
          <cell r="BN217">
            <v>0.76068376068376076</v>
          </cell>
          <cell r="BO217">
            <v>38</v>
          </cell>
          <cell r="BP217">
            <v>0</v>
          </cell>
          <cell r="BQ217">
            <v>0.56140350877192979</v>
          </cell>
          <cell r="BR217">
            <v>6.02</v>
          </cell>
          <cell r="BS217">
            <v>0.28218749999999998</v>
          </cell>
          <cell r="BT217">
            <v>0.67</v>
          </cell>
          <cell r="BU217">
            <v>3.1406250000000004E-2</v>
          </cell>
          <cell r="BV217">
            <v>0.31359375</v>
          </cell>
          <cell r="BW217">
            <v>0</v>
          </cell>
          <cell r="BX217">
            <v>38</v>
          </cell>
          <cell r="BY217">
            <v>1.5878947368421052</v>
          </cell>
          <cell r="BZ217">
            <v>1.0551052631578945</v>
          </cell>
        </row>
        <row r="218">
          <cell r="A218" t="str">
            <v>James Garner</v>
          </cell>
          <cell r="B218" t="str">
            <v/>
          </cell>
          <cell r="C218" t="str">
            <v>Garner</v>
          </cell>
          <cell r="D218" t="str">
            <v/>
          </cell>
          <cell r="F218" t="str">
            <v/>
          </cell>
          <cell r="H218" t="str">
            <v/>
          </cell>
          <cell r="I218">
            <v>1.6</v>
          </cell>
          <cell r="J218">
            <v>2</v>
          </cell>
          <cell r="K218">
            <v>2.4</v>
          </cell>
          <cell r="M218">
            <v>3.2726349652000755</v>
          </cell>
          <cell r="N218">
            <v>3.1380017579841781</v>
          </cell>
          <cell r="O218">
            <v>2.9980042972946577</v>
          </cell>
          <cell r="P218">
            <v>3.2726349652000755</v>
          </cell>
          <cell r="Q218">
            <v>3.1380017579841781</v>
          </cell>
          <cell r="R218">
            <v>2.833333333333333</v>
          </cell>
          <cell r="S218">
            <v>3.2726349652000755</v>
          </cell>
          <cell r="T218" t="str">
            <v>MID</v>
          </cell>
          <cell r="U218" t="str">
            <v>DM</v>
          </cell>
          <cell r="V218" t="str">
            <v>EVE</v>
          </cell>
          <cell r="W218" t="str">
            <v>Everton</v>
          </cell>
          <cell r="X218">
            <v>6</v>
          </cell>
          <cell r="Y218">
            <v>159</v>
          </cell>
          <cell r="Z218">
            <v>40</v>
          </cell>
          <cell r="AA218">
            <v>119</v>
          </cell>
          <cell r="AB218">
            <v>3413</v>
          </cell>
          <cell r="AC218">
            <v>3413</v>
          </cell>
          <cell r="AD218">
            <v>0.69736842105263153</v>
          </cell>
          <cell r="AE218">
            <v>2</v>
          </cell>
          <cell r="AF218">
            <v>7</v>
          </cell>
          <cell r="AG218">
            <v>-2.6369762672135977E-3</v>
          </cell>
          <cell r="AH218">
            <v>2.1623205391151507E-2</v>
          </cell>
          <cell r="AI218">
            <v>1.8986229123937909E-2</v>
          </cell>
          <cell r="AJ218">
            <v>4.0000000000000036E-2</v>
          </cell>
          <cell r="AK218">
            <v>13</v>
          </cell>
          <cell r="AL218">
            <v>818</v>
          </cell>
          <cell r="AM218">
            <v>12</v>
          </cell>
          <cell r="AN218">
            <v>0</v>
          </cell>
          <cell r="AO218">
            <v>239</v>
          </cell>
          <cell r="AP218" t="str">
            <v>Garner</v>
          </cell>
          <cell r="AQ218">
            <v>4.0609434515089369</v>
          </cell>
          <cell r="AR218">
            <v>0</v>
          </cell>
          <cell r="AS218">
            <v>4.8784060943451513</v>
          </cell>
          <cell r="AT218">
            <v>12.077351303838265</v>
          </cell>
          <cell r="AU218">
            <v>3.1380017579841781</v>
          </cell>
          <cell r="AV218">
            <v>12.077351303838265</v>
          </cell>
          <cell r="AW218">
            <v>12.077351303838265</v>
          </cell>
          <cell r="AX218">
            <v>0.54274069733372399</v>
          </cell>
          <cell r="AY218">
            <v>0</v>
          </cell>
          <cell r="AZ218">
            <v>4.2</v>
          </cell>
          <cell r="BA218">
            <v>159</v>
          </cell>
          <cell r="BB218" t="str">
            <v/>
          </cell>
          <cell r="BC218">
            <v>38</v>
          </cell>
          <cell r="BD218">
            <v>37</v>
          </cell>
          <cell r="BE218">
            <v>0.97368421052631582</v>
          </cell>
          <cell r="BF218">
            <v>90</v>
          </cell>
          <cell r="BG218">
            <v>1</v>
          </cell>
          <cell r="BH218">
            <v>1</v>
          </cell>
          <cell r="BI218">
            <v>0</v>
          </cell>
          <cell r="BJ218">
            <v>0</v>
          </cell>
          <cell r="BK218">
            <v>0</v>
          </cell>
          <cell r="BL218">
            <v>1</v>
          </cell>
          <cell r="BM218">
            <v>0</v>
          </cell>
          <cell r="BN218">
            <v>1</v>
          </cell>
          <cell r="BO218">
            <v>38</v>
          </cell>
          <cell r="BP218">
            <v>0</v>
          </cell>
          <cell r="BQ218">
            <v>0.99795321637426904</v>
          </cell>
          <cell r="BR218">
            <v>2.1</v>
          </cell>
          <cell r="BS218">
            <v>5.5376501611485503E-2</v>
          </cell>
          <cell r="BT218">
            <v>6.18</v>
          </cell>
          <cell r="BU218">
            <v>0.16296513331380016</v>
          </cell>
          <cell r="BV218">
            <v>0.21834163492528566</v>
          </cell>
          <cell r="BW218">
            <v>0</v>
          </cell>
          <cell r="BX218">
            <v>38</v>
          </cell>
          <cell r="BY218">
            <v>1.5786842105263159</v>
          </cell>
          <cell r="BZ218">
            <v>1.0643157894736839</v>
          </cell>
        </row>
        <row r="219">
          <cell r="A219" t="str">
            <v>Martín Zubimendi Ibáñez</v>
          </cell>
          <cell r="B219" t="str">
            <v/>
          </cell>
          <cell r="C219" t="str">
            <v>Zubimendi</v>
          </cell>
          <cell r="D219" t="str">
            <v/>
          </cell>
          <cell r="E219" t="str">
            <v>Martín Zubimendi</v>
          </cell>
          <cell r="F219" t="str">
            <v/>
          </cell>
          <cell r="H219" t="str">
            <v/>
          </cell>
          <cell r="I219" t="e">
            <v>#N/A</v>
          </cell>
          <cell r="J219" t="e">
            <v>#N/A</v>
          </cell>
          <cell r="K219" t="e">
            <v>#N/A</v>
          </cell>
          <cell r="M219">
            <v>3.271801822267721</v>
          </cell>
          <cell r="N219">
            <v>3.3420260782347042</v>
          </cell>
          <cell r="O219">
            <v>2.3743943806340648</v>
          </cell>
          <cell r="P219">
            <v>3.271801822267721</v>
          </cell>
          <cell r="Q219">
            <v>3.3420260782347042</v>
          </cell>
          <cell r="R219">
            <v>3.6865203761755487</v>
          </cell>
          <cell r="S219">
            <v>3.271801822267721</v>
          </cell>
          <cell r="T219" t="str">
            <v>MID</v>
          </cell>
          <cell r="U219" t="str">
            <v>DM</v>
          </cell>
          <cell r="V219" t="str">
            <v>ARS</v>
          </cell>
          <cell r="W219" t="str">
            <v>Arsenal</v>
          </cell>
          <cell r="X219">
            <v>5.5</v>
          </cell>
          <cell r="Y219">
            <v>133</v>
          </cell>
          <cell r="Z219">
            <v>14</v>
          </cell>
          <cell r="AA219">
            <v>119</v>
          </cell>
          <cell r="AB219">
            <v>2991</v>
          </cell>
          <cell r="AC219">
            <v>2991</v>
          </cell>
          <cell r="AD219">
            <v>0.63636363636363635</v>
          </cell>
          <cell r="AE219">
            <v>5</v>
          </cell>
          <cell r="AF219">
            <v>1</v>
          </cell>
          <cell r="AG219">
            <v>6.499498495486461E-2</v>
          </cell>
          <cell r="AH219">
            <v>-3.8214643931795383E-2</v>
          </cell>
          <cell r="AI219">
            <v>2.6780341023069226E-2</v>
          </cell>
          <cell r="AJ219">
            <v>1.2999999999999901E-2</v>
          </cell>
          <cell r="AK219">
            <v>9</v>
          </cell>
          <cell r="AL219">
            <v>604</v>
          </cell>
          <cell r="AM219">
            <v>4</v>
          </cell>
          <cell r="AN219">
            <v>0</v>
          </cell>
          <cell r="AO219">
            <v>19</v>
          </cell>
          <cell r="AP219" t="str">
            <v>Zubimendi</v>
          </cell>
          <cell r="AQ219">
            <v>3.4543630892678037</v>
          </cell>
          <cell r="AR219">
            <v>0</v>
          </cell>
          <cell r="AS219">
            <v>3.2577733199598797</v>
          </cell>
          <cell r="AT219">
            <v>8.6218655967903715</v>
          </cell>
          <cell r="AU219">
            <v>1.9097291875626878</v>
          </cell>
          <cell r="AV219">
            <v>8.6218655967903715</v>
          </cell>
          <cell r="AW219">
            <v>8.6218655967903715</v>
          </cell>
          <cell r="AX219">
            <v>0.16977432296890677</v>
          </cell>
          <cell r="AY219">
            <v>0</v>
          </cell>
          <cell r="AZ219">
            <v>3.5</v>
          </cell>
          <cell r="BA219">
            <v>133</v>
          </cell>
          <cell r="BB219" t="str">
            <v/>
          </cell>
          <cell r="BC219">
            <v>34</v>
          </cell>
          <cell r="BD219">
            <v>22</v>
          </cell>
          <cell r="BE219">
            <v>0.6470588235294118</v>
          </cell>
          <cell r="BF219">
            <v>84</v>
          </cell>
          <cell r="BG219">
            <v>0.93333333333333335</v>
          </cell>
          <cell r="BH219">
            <v>1</v>
          </cell>
          <cell r="BI219">
            <v>4</v>
          </cell>
          <cell r="BJ219">
            <v>32</v>
          </cell>
          <cell r="BK219">
            <v>0</v>
          </cell>
          <cell r="BL219">
            <v>0.89473684210526316</v>
          </cell>
          <cell r="BM219">
            <v>0.10526315789473684</v>
          </cell>
          <cell r="BN219">
            <v>0.93483709273182958</v>
          </cell>
          <cell r="BO219">
            <v>38</v>
          </cell>
          <cell r="BP219">
            <v>0</v>
          </cell>
          <cell r="BQ219">
            <v>0.87456140350877198</v>
          </cell>
          <cell r="BR219">
            <v>2.84</v>
          </cell>
          <cell r="BS219">
            <v>8.5456369107321961E-2</v>
          </cell>
          <cell r="BT219">
            <v>2.27</v>
          </cell>
          <cell r="BU219">
            <v>6.8304914744232698E-2</v>
          </cell>
          <cell r="BV219">
            <v>0.15376128385155466</v>
          </cell>
          <cell r="BW219">
            <v>0</v>
          </cell>
          <cell r="BX219">
            <v>38</v>
          </cell>
          <cell r="BY219">
            <v>0.87184210526315797</v>
          </cell>
          <cell r="BZ219">
            <v>1.7711578947368418</v>
          </cell>
        </row>
        <row r="220">
          <cell r="A220" t="str">
            <v>Fabian Schär</v>
          </cell>
          <cell r="B220" t="str">
            <v/>
          </cell>
          <cell r="C220" t="str">
            <v>Schär</v>
          </cell>
          <cell r="D220" t="str">
            <v/>
          </cell>
          <cell r="E220" t="str">
            <v>Schar</v>
          </cell>
          <cell r="F220" t="str">
            <v/>
          </cell>
          <cell r="G220" t="str">
            <v>Fabian Schar</v>
          </cell>
          <cell r="H220" t="str">
            <v/>
          </cell>
          <cell r="I220">
            <v>3.4</v>
          </cell>
          <cell r="J220">
            <v>3.6</v>
          </cell>
          <cell r="K220">
            <v>3.9</v>
          </cell>
          <cell r="M220">
            <v>3.2690634315932998</v>
          </cell>
          <cell r="N220">
            <v>3.1515151515151514</v>
          </cell>
          <cell r="O220">
            <v>1.4870775941230483</v>
          </cell>
          <cell r="P220">
            <v>3.2690634315932998</v>
          </cell>
          <cell r="Q220">
            <v>3.1515151515151514</v>
          </cell>
          <cell r="R220">
            <v>0</v>
          </cell>
          <cell r="S220">
            <v>3.2690634315932998</v>
          </cell>
          <cell r="T220" t="str">
            <v>DEF</v>
          </cell>
          <cell r="U220" t="str">
            <v>CB</v>
          </cell>
          <cell r="V220" t="str">
            <v>NEW</v>
          </cell>
          <cell r="W220" t="str">
            <v>Newcastle</v>
          </cell>
          <cell r="X220">
            <v>5</v>
          </cell>
          <cell r="Y220">
            <v>51</v>
          </cell>
          <cell r="Z220">
            <v>12</v>
          </cell>
          <cell r="AA220">
            <v>39</v>
          </cell>
          <cell r="AB220">
            <v>1089</v>
          </cell>
          <cell r="AC220">
            <v>1089</v>
          </cell>
          <cell r="AD220">
            <v>0.63749999999999996</v>
          </cell>
          <cell r="AE220">
            <v>0</v>
          </cell>
          <cell r="AF220">
            <v>0</v>
          </cell>
          <cell r="AG220">
            <v>-8.0165289256198355E-2</v>
          </cell>
          <cell r="AH220">
            <v>-4.9586776859504127E-2</v>
          </cell>
          <cell r="AI220">
            <v>-0.12975206611570247</v>
          </cell>
          <cell r="AJ220">
            <v>0</v>
          </cell>
          <cell r="AK220">
            <v>0</v>
          </cell>
          <cell r="AL220">
            <v>186</v>
          </cell>
          <cell r="AM220">
            <v>1</v>
          </cell>
          <cell r="AN220">
            <v>0</v>
          </cell>
          <cell r="AO220">
            <v>446</v>
          </cell>
          <cell r="AP220" t="str">
            <v>Schär</v>
          </cell>
          <cell r="AQ220">
            <v>8.1616161616161609</v>
          </cell>
          <cell r="AR220">
            <v>0</v>
          </cell>
          <cell r="AS220">
            <v>3.393939393939394</v>
          </cell>
          <cell r="AT220">
            <v>9.2929292929292924</v>
          </cell>
          <cell r="AU220">
            <v>1.1313131313131313</v>
          </cell>
          <cell r="AV220">
            <v>9.2929292929292924</v>
          </cell>
          <cell r="AW220">
            <v>9.2929292929292924</v>
          </cell>
          <cell r="AX220">
            <v>0.44817676767676762</v>
          </cell>
          <cell r="AY220">
            <v>0</v>
          </cell>
          <cell r="AZ220">
            <v>3.2</v>
          </cell>
          <cell r="BA220">
            <v>51</v>
          </cell>
          <cell r="BB220">
            <v>75</v>
          </cell>
          <cell r="BC220">
            <v>11</v>
          </cell>
          <cell r="BD220">
            <v>9</v>
          </cell>
          <cell r="BE220">
            <v>0.81818181818181823</v>
          </cell>
          <cell r="BF220">
            <v>88</v>
          </cell>
          <cell r="BG220">
            <v>0.97777777777777775</v>
          </cell>
          <cell r="BH220">
            <v>1</v>
          </cell>
          <cell r="BI220">
            <v>5</v>
          </cell>
          <cell r="BJ220">
            <v>25</v>
          </cell>
          <cell r="BK220">
            <v>3</v>
          </cell>
          <cell r="BL220">
            <v>0.57894736842105265</v>
          </cell>
          <cell r="BM220">
            <v>0.35361842105263158</v>
          </cell>
          <cell r="BN220">
            <v>0.69856459330143539</v>
          </cell>
          <cell r="BO220">
            <v>38</v>
          </cell>
          <cell r="BP220">
            <v>0</v>
          </cell>
          <cell r="BQ220">
            <v>0.31842105263157894</v>
          </cell>
          <cell r="BR220">
            <v>0.97</v>
          </cell>
          <cell r="BS220">
            <v>8.0165289256198355E-2</v>
          </cell>
          <cell r="BT220">
            <v>0.6</v>
          </cell>
          <cell r="BU220">
            <v>4.9586776859504127E-2</v>
          </cell>
          <cell r="BV220">
            <v>0.12975206611570247</v>
          </cell>
          <cell r="BW220">
            <v>0</v>
          </cell>
          <cell r="BX220">
            <v>38</v>
          </cell>
          <cell r="BY220">
            <v>1.5081578947368421</v>
          </cell>
          <cell r="BZ220">
            <v>1.1348421052631577</v>
          </cell>
        </row>
        <row r="221">
          <cell r="A221" t="str">
            <v>Gabriel Gudmundsson</v>
          </cell>
          <cell r="B221" t="str">
            <v/>
          </cell>
          <cell r="C221" t="str">
            <v>Gudmundsson</v>
          </cell>
          <cell r="D221" t="str">
            <v/>
          </cell>
          <cell r="F221" t="str">
            <v/>
          </cell>
          <cell r="H221" t="str">
            <v/>
          </cell>
          <cell r="I221" t="e">
            <v>#N/A</v>
          </cell>
          <cell r="J221" t="e">
            <v>#N/A</v>
          </cell>
          <cell r="K221" t="e">
            <v>#N/A</v>
          </cell>
          <cell r="M221">
            <v>3.2620300479555073</v>
          </cell>
          <cell r="N221">
            <v>1.974971558589306</v>
          </cell>
          <cell r="O221">
            <v>2.6734788395904441</v>
          </cell>
          <cell r="P221">
            <v>3.2620300479555073</v>
          </cell>
          <cell r="Q221">
            <v>1.974971558589306</v>
          </cell>
          <cell r="R221">
            <v>3.2666666666666666</v>
          </cell>
          <cell r="S221">
            <v>3.2620300479555073</v>
          </cell>
          <cell r="T221" t="str">
            <v>DEF</v>
          </cell>
          <cell r="U221" t="str">
            <v>LB</v>
          </cell>
          <cell r="V221" t="str">
            <v>LEE</v>
          </cell>
          <cell r="W221" t="str">
            <v>Leeds</v>
          </cell>
          <cell r="X221">
            <v>4.5</v>
          </cell>
          <cell r="Y221">
            <v>68</v>
          </cell>
          <cell r="Z221">
            <v>6</v>
          </cell>
          <cell r="AA221">
            <v>62</v>
          </cell>
          <cell r="AB221">
            <v>2637</v>
          </cell>
          <cell r="AC221">
            <v>2637</v>
          </cell>
          <cell r="AD221">
            <v>0.47222222222222221</v>
          </cell>
          <cell r="AE221">
            <v>0</v>
          </cell>
          <cell r="AF221">
            <v>0</v>
          </cell>
          <cell r="AG221">
            <v>-3.7542662116040959E-2</v>
          </cell>
          <cell r="AH221">
            <v>-9.8634812286689424E-2</v>
          </cell>
          <cell r="AI221">
            <v>-0.13617747440273037</v>
          </cell>
          <cell r="AJ221">
            <v>6.9999999999998952E-3</v>
          </cell>
          <cell r="AK221">
            <v>8</v>
          </cell>
          <cell r="AL221">
            <v>286</v>
          </cell>
          <cell r="AM221">
            <v>4</v>
          </cell>
          <cell r="AN221">
            <v>0</v>
          </cell>
          <cell r="AO221">
            <v>331</v>
          </cell>
          <cell r="AP221" t="str">
            <v>Gudmundsson</v>
          </cell>
          <cell r="AQ221">
            <v>3.790671217292378</v>
          </cell>
          <cell r="AR221">
            <v>0</v>
          </cell>
          <cell r="AS221">
            <v>3.5676905574516495</v>
          </cell>
          <cell r="AT221">
            <v>5.8612059158134242</v>
          </cell>
          <cell r="AU221">
            <v>2.0705346985210467</v>
          </cell>
          <cell r="AV221">
            <v>5.8612059158134242</v>
          </cell>
          <cell r="AW221">
            <v>5.8612059158134242</v>
          </cell>
          <cell r="AX221">
            <v>9.1423208191126273E-2</v>
          </cell>
          <cell r="AY221">
            <v>0</v>
          </cell>
          <cell r="AZ221">
            <v>2.1</v>
          </cell>
          <cell r="BA221">
            <v>68</v>
          </cell>
          <cell r="BB221" t="str">
            <v/>
          </cell>
          <cell r="BC221">
            <v>31</v>
          </cell>
          <cell r="BD221">
            <v>21</v>
          </cell>
          <cell r="BE221">
            <v>0.67741935483870963</v>
          </cell>
          <cell r="BF221">
            <v>84</v>
          </cell>
          <cell r="BG221">
            <v>0.93333333333333335</v>
          </cell>
          <cell r="BH221">
            <v>1</v>
          </cell>
          <cell r="BI221">
            <v>1</v>
          </cell>
          <cell r="BJ221">
            <v>22</v>
          </cell>
          <cell r="BK221">
            <v>0</v>
          </cell>
          <cell r="BL221">
            <v>0.96875</v>
          </cell>
          <cell r="BM221">
            <v>3.125E-2</v>
          </cell>
          <cell r="BN221">
            <v>0.97693452380952384</v>
          </cell>
          <cell r="BO221">
            <v>38</v>
          </cell>
          <cell r="BP221">
            <v>0</v>
          </cell>
          <cell r="BQ221">
            <v>0.77105263157894732</v>
          </cell>
          <cell r="BR221">
            <v>1.1000000000000001</v>
          </cell>
          <cell r="BS221">
            <v>3.7542662116040959E-2</v>
          </cell>
          <cell r="BT221">
            <v>2.89</v>
          </cell>
          <cell r="BU221">
            <v>9.8634812286689424E-2</v>
          </cell>
          <cell r="BV221">
            <v>0.13617747440273037</v>
          </cell>
          <cell r="BW221">
            <v>0</v>
          </cell>
          <cell r="BX221">
            <v>38</v>
          </cell>
          <cell r="BY221">
            <v>1.4823684210526316</v>
          </cell>
          <cell r="BZ221">
            <v>1.1606315789473682</v>
          </cell>
        </row>
        <row r="222">
          <cell r="A222" t="str">
            <v>Christantus Uche</v>
          </cell>
          <cell r="B222" t="str">
            <v/>
          </cell>
          <cell r="C222" t="str">
            <v>Uche</v>
          </cell>
          <cell r="D222" t="str">
            <v/>
          </cell>
          <cell r="F222" t="str">
            <v/>
          </cell>
          <cell r="H222" t="str">
            <v/>
          </cell>
          <cell r="I222" t="e">
            <v>#N/A</v>
          </cell>
          <cell r="J222" t="e">
            <v>#N/A</v>
          </cell>
          <cell r="K222" t="e">
            <v>#N/A</v>
          </cell>
          <cell r="M222">
            <v>3.257622641509434</v>
          </cell>
          <cell r="N222">
            <v>8.6603773584905674</v>
          </cell>
          <cell r="O222">
            <v>2.2377358490566039</v>
          </cell>
          <cell r="P222">
            <v>3.257622641509434</v>
          </cell>
          <cell r="Q222">
            <v>8.6603773584905674</v>
          </cell>
          <cell r="R222">
            <v>0</v>
          </cell>
          <cell r="S222">
            <v>3.257622641509434</v>
          </cell>
          <cell r="T222" t="str">
            <v>FWD</v>
          </cell>
          <cell r="U222" t="str">
            <v/>
          </cell>
          <cell r="V222" t="str">
            <v>CRY</v>
          </cell>
          <cell r="W222" t="str">
            <v>Crystal Palace</v>
          </cell>
          <cell r="X222">
            <v>5</v>
          </cell>
          <cell r="Y222">
            <v>17</v>
          </cell>
          <cell r="Z222">
            <v>0</v>
          </cell>
          <cell r="AA222">
            <v>17</v>
          </cell>
          <cell r="AB222">
            <v>159</v>
          </cell>
          <cell r="AC222">
            <v>159</v>
          </cell>
          <cell r="AD222">
            <v>0.24285714285714283</v>
          </cell>
          <cell r="AE222">
            <v>0</v>
          </cell>
          <cell r="AF222">
            <v>1</v>
          </cell>
          <cell r="AG222">
            <v>-0.27735849056603773</v>
          </cell>
          <cell r="AH222">
            <v>0.56037735849056602</v>
          </cell>
          <cell r="AI222">
            <v>0.28301886792452829</v>
          </cell>
          <cell r="AJ222">
            <v>0</v>
          </cell>
          <cell r="AK222">
            <v>0</v>
          </cell>
          <cell r="AL222">
            <v>42</v>
          </cell>
          <cell r="AM222">
            <v>0</v>
          </cell>
          <cell r="AN222">
            <v>0</v>
          </cell>
          <cell r="AO222">
            <v>225</v>
          </cell>
          <cell r="AP222" t="str">
            <v>Uche</v>
          </cell>
          <cell r="AQ222">
            <v>1.5283018867924527</v>
          </cell>
          <cell r="AR222">
            <v>0</v>
          </cell>
          <cell r="AS222">
            <v>4.584905660377359</v>
          </cell>
          <cell r="AT222">
            <v>6.6226415094339623</v>
          </cell>
          <cell r="AU222">
            <v>0.50943396226415094</v>
          </cell>
          <cell r="AV222">
            <v>6.6226415094339623</v>
          </cell>
          <cell r="AW222">
            <v>6.6226415094339623</v>
          </cell>
          <cell r="AX222">
            <v>5.0142857142857142E-2</v>
          </cell>
          <cell r="AY222">
            <v>0</v>
          </cell>
          <cell r="AZ222">
            <v>1.2</v>
          </cell>
          <cell r="BA222">
            <v>17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0.9</v>
          </cell>
          <cell r="BH222">
            <v>1</v>
          </cell>
          <cell r="BI222">
            <v>14</v>
          </cell>
          <cell r="BJ222">
            <v>12</v>
          </cell>
          <cell r="BK222">
            <v>11</v>
          </cell>
          <cell r="BL222">
            <v>0</v>
          </cell>
          <cell r="BM222">
            <v>0.56000000000000005</v>
          </cell>
          <cell r="BN222" t="e">
            <v>#DIV/0!</v>
          </cell>
          <cell r="BO222">
            <v>38</v>
          </cell>
          <cell r="BP222">
            <v>0</v>
          </cell>
          <cell r="BQ222">
            <v>4.6491228070175437E-2</v>
          </cell>
          <cell r="BR222">
            <v>0.49</v>
          </cell>
          <cell r="BS222">
            <v>0.27735849056603773</v>
          </cell>
          <cell r="BT222">
            <v>0.01</v>
          </cell>
          <cell r="BU222">
            <v>5.6603773584905656E-3</v>
          </cell>
          <cell r="BV222">
            <v>0.28301886792452829</v>
          </cell>
          <cell r="BW222">
            <v>0</v>
          </cell>
          <cell r="BX222">
            <v>38</v>
          </cell>
          <cell r="BY222">
            <v>1.631578947368421</v>
          </cell>
          <cell r="BZ222">
            <v>1.0114210526315788</v>
          </cell>
        </row>
        <row r="223">
          <cell r="A223" t="str">
            <v>Daniel James</v>
          </cell>
          <cell r="B223" t="str">
            <v/>
          </cell>
          <cell r="C223" t="str">
            <v>James</v>
          </cell>
          <cell r="D223" t="str">
            <v/>
          </cell>
          <cell r="F223" t="str">
            <v/>
          </cell>
          <cell r="H223" t="str">
            <v/>
          </cell>
          <cell r="I223">
            <v>1.1000000000000001</v>
          </cell>
          <cell r="J223">
            <v>2.2333333333333329</v>
          </cell>
          <cell r="K223">
            <v>2.8</v>
          </cell>
          <cell r="M223">
            <v>3.255368943468365</v>
          </cell>
          <cell r="N223">
            <v>2.5648994515539307</v>
          </cell>
          <cell r="O223">
            <v>2.7991009604243375</v>
          </cell>
          <cell r="P223">
            <v>3.255368943468365</v>
          </cell>
          <cell r="Q223">
            <v>2.5648994515539307</v>
          </cell>
          <cell r="R223">
            <v>2.1478873239436624</v>
          </cell>
          <cell r="S223">
            <v>3.255368943468365</v>
          </cell>
          <cell r="T223" t="str">
            <v>MID</v>
          </cell>
          <cell r="U223" t="str">
            <v>RW</v>
          </cell>
          <cell r="V223" t="str">
            <v>LEE</v>
          </cell>
          <cell r="W223" t="str">
            <v>Leeds</v>
          </cell>
          <cell r="X223">
            <v>5</v>
          </cell>
          <cell r="Y223">
            <v>23</v>
          </cell>
          <cell r="Z223">
            <v>0</v>
          </cell>
          <cell r="AA223">
            <v>23</v>
          </cell>
          <cell r="AB223">
            <v>547</v>
          </cell>
          <cell r="AC223">
            <v>547</v>
          </cell>
          <cell r="AD223">
            <v>0.24210526315789474</v>
          </cell>
          <cell r="AE223">
            <v>0</v>
          </cell>
          <cell r="AF223">
            <v>0</v>
          </cell>
          <cell r="AG223">
            <v>-0.14972577696526507</v>
          </cell>
          <cell r="AH223">
            <v>-0.11681901279707493</v>
          </cell>
          <cell r="AI223">
            <v>-0.26654478976233997</v>
          </cell>
          <cell r="AJ223">
            <v>9.9999999999988987E-4</v>
          </cell>
          <cell r="AK223">
            <v>0</v>
          </cell>
          <cell r="AL223">
            <v>93</v>
          </cell>
          <cell r="AM223">
            <v>0</v>
          </cell>
          <cell r="AN223">
            <v>0</v>
          </cell>
          <cell r="AO223">
            <v>343</v>
          </cell>
          <cell r="AP223" t="str">
            <v>James</v>
          </cell>
          <cell r="AQ223">
            <v>1.0036563071297988</v>
          </cell>
          <cell r="AR223">
            <v>0</v>
          </cell>
          <cell r="AS223">
            <v>2.1188299817184646</v>
          </cell>
          <cell r="AT223">
            <v>3.9031078610603291</v>
          </cell>
          <cell r="AU223">
            <v>0.78062157221206585</v>
          </cell>
          <cell r="AV223">
            <v>3.9031078610603291</v>
          </cell>
          <cell r="AW223">
            <v>3.9031078610603291</v>
          </cell>
          <cell r="AX223">
            <v>2.9552102376599637E-2</v>
          </cell>
          <cell r="AY223">
            <v>0</v>
          </cell>
          <cell r="AZ223">
            <v>1.2</v>
          </cell>
          <cell r="BA223">
            <v>23</v>
          </cell>
          <cell r="BB223" t="str">
            <v/>
          </cell>
          <cell r="BC223">
            <v>6</v>
          </cell>
          <cell r="BD223">
            <v>0</v>
          </cell>
          <cell r="BE223">
            <v>0</v>
          </cell>
          <cell r="BF223">
            <v>61</v>
          </cell>
          <cell r="BG223">
            <v>0.67777777777777781</v>
          </cell>
          <cell r="BH223">
            <v>1</v>
          </cell>
          <cell r="BI223">
            <v>13</v>
          </cell>
          <cell r="BJ223">
            <v>15</v>
          </cell>
          <cell r="BK223">
            <v>4</v>
          </cell>
          <cell r="BL223">
            <v>0.2608695652173913</v>
          </cell>
          <cell r="BM223">
            <v>0.56521739130434778</v>
          </cell>
          <cell r="BN223">
            <v>0.44262295081967212</v>
          </cell>
          <cell r="BO223">
            <v>38</v>
          </cell>
          <cell r="BP223">
            <v>0</v>
          </cell>
          <cell r="BQ223">
            <v>0.15994152046783625</v>
          </cell>
          <cell r="BR223">
            <v>0.91</v>
          </cell>
          <cell r="BS223">
            <v>0.14972577696526507</v>
          </cell>
          <cell r="BT223">
            <v>0.71</v>
          </cell>
          <cell r="BU223">
            <v>0.11681901279707493</v>
          </cell>
          <cell r="BV223">
            <v>0.26654478976233997</v>
          </cell>
          <cell r="BW223">
            <v>0</v>
          </cell>
          <cell r="BX223">
            <v>38</v>
          </cell>
          <cell r="BY223">
            <v>1.4823684210526316</v>
          </cell>
          <cell r="BZ223">
            <v>1.1606315789473682</v>
          </cell>
        </row>
        <row r="224">
          <cell r="A224" t="str">
            <v>Daniel Ballard</v>
          </cell>
          <cell r="B224" t="str">
            <v/>
          </cell>
          <cell r="C224" t="str">
            <v>Ballard</v>
          </cell>
          <cell r="D224" t="str">
            <v/>
          </cell>
          <cell r="E224" t="str">
            <v>Dan Ballard</v>
          </cell>
          <cell r="F224" t="str">
            <v/>
          </cell>
          <cell r="H224" t="str">
            <v/>
          </cell>
          <cell r="I224" t="e">
            <v>#N/A</v>
          </cell>
          <cell r="J224" t="e">
            <v>#N/A</v>
          </cell>
          <cell r="K224" t="e">
            <v>#N/A</v>
          </cell>
          <cell r="M224">
            <v>3.2545874565803956</v>
          </cell>
          <cell r="N224">
            <v>3.2891791044776117</v>
          </cell>
          <cell r="O224">
            <v>1.8430428216062542</v>
          </cell>
          <cell r="P224">
            <v>3.2545874565803956</v>
          </cell>
          <cell r="Q224">
            <v>3.2891791044776117</v>
          </cell>
          <cell r="R224">
            <v>-1.1714285714285713</v>
          </cell>
          <cell r="S224">
            <v>3.2545874565803956</v>
          </cell>
          <cell r="T224" t="str">
            <v>DEF</v>
          </cell>
          <cell r="U224" t="str">
            <v>CB</v>
          </cell>
          <cell r="V224" t="str">
            <v>SUN</v>
          </cell>
          <cell r="W224" t="str">
            <v>Sunderland</v>
          </cell>
          <cell r="X224">
            <v>5</v>
          </cell>
          <cell r="Y224">
            <v>116</v>
          </cell>
          <cell r="Z224">
            <v>30</v>
          </cell>
          <cell r="AA224">
            <v>86</v>
          </cell>
          <cell r="AB224">
            <v>2144</v>
          </cell>
          <cell r="AC224">
            <v>2144</v>
          </cell>
          <cell r="AD224">
            <v>0.8</v>
          </cell>
          <cell r="AE224">
            <v>2</v>
          </cell>
          <cell r="AF224">
            <v>2</v>
          </cell>
          <cell r="AG224">
            <v>-1.9309701492537315E-2</v>
          </cell>
          <cell r="AH224">
            <v>5.7509328358208947E-2</v>
          </cell>
          <cell r="AI224">
            <v>3.8199626865671632E-2</v>
          </cell>
          <cell r="AJ224">
            <v>2.2999999999999909E-2</v>
          </cell>
          <cell r="AK224">
            <v>9</v>
          </cell>
          <cell r="AL224">
            <v>340</v>
          </cell>
          <cell r="AM224">
            <v>4</v>
          </cell>
          <cell r="AN224">
            <v>0</v>
          </cell>
          <cell r="AO224">
            <v>532</v>
          </cell>
          <cell r="AP224" t="str">
            <v>Ballard</v>
          </cell>
          <cell r="AQ224">
            <v>8.8348880597014929</v>
          </cell>
          <cell r="AR224">
            <v>0</v>
          </cell>
          <cell r="AS224">
            <v>2.6389925373134329</v>
          </cell>
          <cell r="AT224">
            <v>10.097014925373134</v>
          </cell>
          <cell r="AU224">
            <v>1.2621268656716418</v>
          </cell>
          <cell r="AV224">
            <v>10.097014925373134</v>
          </cell>
          <cell r="AW224">
            <v>10.097014925373134</v>
          </cell>
          <cell r="AX224">
            <v>0.54748134328358211</v>
          </cell>
          <cell r="AY224">
            <v>0</v>
          </cell>
          <cell r="AZ224">
            <v>4</v>
          </cell>
          <cell r="BA224">
            <v>116</v>
          </cell>
          <cell r="BB224" t="str">
            <v/>
          </cell>
          <cell r="BC224">
            <v>24</v>
          </cell>
          <cell r="BD224">
            <v>20</v>
          </cell>
          <cell r="BE224">
            <v>0.83333333333333337</v>
          </cell>
          <cell r="BF224">
            <v>82</v>
          </cell>
          <cell r="BG224">
            <v>0.91111111111111109</v>
          </cell>
          <cell r="BH224">
            <v>1</v>
          </cell>
          <cell r="BI224">
            <v>5</v>
          </cell>
          <cell r="BJ224">
            <v>35</v>
          </cell>
          <cell r="BK224">
            <v>0</v>
          </cell>
          <cell r="BL224">
            <v>0.82758620689655171</v>
          </cell>
          <cell r="BM224">
            <v>0.17241379310344829</v>
          </cell>
          <cell r="BN224">
            <v>0.90117746005046262</v>
          </cell>
          <cell r="BO224">
            <v>38</v>
          </cell>
          <cell r="BP224">
            <v>0</v>
          </cell>
          <cell r="BQ224">
            <v>0.62690058479532162</v>
          </cell>
          <cell r="BR224">
            <v>2.46</v>
          </cell>
          <cell r="BS224">
            <v>0.10326492537313432</v>
          </cell>
          <cell r="BT224">
            <v>0.63</v>
          </cell>
          <cell r="BU224">
            <v>2.644589552238806E-2</v>
          </cell>
          <cell r="BV224">
            <v>0.12971082089552238</v>
          </cell>
          <cell r="BW224">
            <v>0</v>
          </cell>
          <cell r="BX224">
            <v>38</v>
          </cell>
          <cell r="BY224">
            <v>1.5878947368421052</v>
          </cell>
          <cell r="BZ224">
            <v>1.0551052631578945</v>
          </cell>
        </row>
        <row r="225">
          <cell r="A225" t="str">
            <v>Filip Jörgensen</v>
          </cell>
          <cell r="B225" t="str">
            <v/>
          </cell>
          <cell r="C225" t="str">
            <v>Jörgensen</v>
          </cell>
          <cell r="D225" t="str">
            <v/>
          </cell>
          <cell r="E225" t="str">
            <v>Filip Jørgensen</v>
          </cell>
          <cell r="F225" t="str">
            <v/>
          </cell>
          <cell r="H225" t="str">
            <v/>
          </cell>
          <cell r="I225" t="e">
            <v>#N/A</v>
          </cell>
          <cell r="J225" t="e">
            <v>#N/A</v>
          </cell>
          <cell r="K225" t="e">
            <v>#N/A</v>
          </cell>
          <cell r="M225">
            <v>3.2462465803038913</v>
          </cell>
          <cell r="N225">
            <v>2.1428571428571428</v>
          </cell>
          <cell r="O225">
            <v>2.1398015873015876</v>
          </cell>
          <cell r="P225">
            <v>3.3615509329570843</v>
          </cell>
          <cell r="Q225">
            <v>2.1428571428571428</v>
          </cell>
          <cell r="R225">
            <v>2.3684210526315788</v>
          </cell>
          <cell r="S225">
            <v>3.2462465803038913</v>
          </cell>
          <cell r="T225" t="str">
            <v>GK</v>
          </cell>
          <cell r="U225" t="str">
            <v>GK</v>
          </cell>
          <cell r="V225" t="str">
            <v>CHE</v>
          </cell>
          <cell r="W225" t="str">
            <v>Chelsea</v>
          </cell>
          <cell r="X225">
            <v>5</v>
          </cell>
          <cell r="Y225">
            <v>9</v>
          </cell>
          <cell r="Z225">
            <v>0</v>
          </cell>
          <cell r="AA225">
            <v>9</v>
          </cell>
          <cell r="AB225">
            <v>378</v>
          </cell>
          <cell r="AC225">
            <v>378</v>
          </cell>
          <cell r="AD225">
            <v>0.36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2.0000000000000018E-3</v>
          </cell>
          <cell r="AK225">
            <v>0</v>
          </cell>
          <cell r="AL225">
            <v>50</v>
          </cell>
          <cell r="AM225">
            <v>0</v>
          </cell>
          <cell r="AN225">
            <v>8</v>
          </cell>
          <cell r="AO225">
            <v>141</v>
          </cell>
          <cell r="AP225" t="str">
            <v>Jörgensen</v>
          </cell>
          <cell r="AQ225">
            <v>0.71428571428571419</v>
          </cell>
          <cell r="AR225">
            <v>0</v>
          </cell>
          <cell r="AS225">
            <v>8.0952380952380949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1.8</v>
          </cell>
          <cell r="BA225">
            <v>9</v>
          </cell>
          <cell r="BB225" t="str">
            <v/>
          </cell>
          <cell r="BC225">
            <v>3</v>
          </cell>
          <cell r="BD225">
            <v>3</v>
          </cell>
          <cell r="BE225">
            <v>1</v>
          </cell>
          <cell r="BF225">
            <v>90</v>
          </cell>
          <cell r="BG225">
            <v>1</v>
          </cell>
          <cell r="BH225">
            <v>1</v>
          </cell>
          <cell r="BI225">
            <v>2</v>
          </cell>
          <cell r="BJ225">
            <v>55</v>
          </cell>
          <cell r="BK225">
            <v>23</v>
          </cell>
          <cell r="BL225">
            <v>0.10714285714285714</v>
          </cell>
          <cell r="BM225">
            <v>7.1428571428571397E-2</v>
          </cell>
          <cell r="BN225">
            <v>0.65277777777777779</v>
          </cell>
          <cell r="BO225">
            <v>38</v>
          </cell>
          <cell r="BP225">
            <v>0</v>
          </cell>
          <cell r="BQ225">
            <v>0.11052631578947368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38</v>
          </cell>
          <cell r="BY225">
            <v>1.4473684210526316</v>
          </cell>
          <cell r="BZ225">
            <v>1.1956315789473682</v>
          </cell>
        </row>
        <row r="226">
          <cell r="A226" t="str">
            <v>Noussair Mazraoui</v>
          </cell>
          <cell r="B226" t="str">
            <v/>
          </cell>
          <cell r="C226" t="str">
            <v>Mazraoui</v>
          </cell>
          <cell r="D226" t="str">
            <v/>
          </cell>
          <cell r="F226" t="str">
            <v/>
          </cell>
          <cell r="H226" t="str">
            <v/>
          </cell>
          <cell r="I226">
            <v>2.4</v>
          </cell>
          <cell r="J226">
            <v>2.4</v>
          </cell>
          <cell r="K226">
            <v>2.4</v>
          </cell>
          <cell r="M226">
            <v>3.2442692600976137</v>
          </cell>
          <cell r="N226">
            <v>3.7584442169907883</v>
          </cell>
          <cell r="O226">
            <v>1.964127120642793</v>
          </cell>
          <cell r="P226">
            <v>3.2442692600976137</v>
          </cell>
          <cell r="Q226">
            <v>3.7584442169907883</v>
          </cell>
          <cell r="R226">
            <v>5.798657718120805</v>
          </cell>
          <cell r="S226">
            <v>3.2442692600976137</v>
          </cell>
          <cell r="T226" t="str">
            <v>DEF</v>
          </cell>
          <cell r="U226" t="str">
            <v>RB</v>
          </cell>
          <cell r="V226" t="str">
            <v>MUN</v>
          </cell>
          <cell r="W226" t="str">
            <v>Man Utd</v>
          </cell>
          <cell r="X226">
            <v>4.5</v>
          </cell>
          <cell r="Y226">
            <v>53</v>
          </cell>
          <cell r="Z226">
            <v>2</v>
          </cell>
          <cell r="AA226">
            <v>51</v>
          </cell>
          <cell r="AB226">
            <v>977</v>
          </cell>
          <cell r="AC226">
            <v>977</v>
          </cell>
          <cell r="AD226">
            <v>0.58888888888888891</v>
          </cell>
          <cell r="AE226">
            <v>0</v>
          </cell>
          <cell r="AF226">
            <v>0</v>
          </cell>
          <cell r="AG226">
            <v>-1.7502558853633571E-2</v>
          </cell>
          <cell r="AH226">
            <v>-3.2241555783009211E-2</v>
          </cell>
          <cell r="AI226">
            <v>-4.9744114636642786E-2</v>
          </cell>
          <cell r="AJ226">
            <v>8.0000000000000071E-3</v>
          </cell>
          <cell r="AK226">
            <v>6</v>
          </cell>
          <cell r="AL226">
            <v>233</v>
          </cell>
          <cell r="AM226">
            <v>3</v>
          </cell>
          <cell r="AN226">
            <v>0</v>
          </cell>
          <cell r="AO226">
            <v>422</v>
          </cell>
          <cell r="AP226" t="str">
            <v>Mazraoui</v>
          </cell>
          <cell r="AQ226">
            <v>4.8638689866939613</v>
          </cell>
          <cell r="AR226">
            <v>0</v>
          </cell>
          <cell r="AS226">
            <v>3.3899692937563972</v>
          </cell>
          <cell r="AT226">
            <v>6.9273285568065504</v>
          </cell>
          <cell r="AU226">
            <v>2.0634595701125895</v>
          </cell>
          <cell r="AV226">
            <v>6.9273285568065504</v>
          </cell>
          <cell r="AW226">
            <v>6.9273285568065504</v>
          </cell>
          <cell r="AX226">
            <v>0.16498567041965198</v>
          </cell>
          <cell r="AY226">
            <v>0</v>
          </cell>
          <cell r="AZ226">
            <v>2.6</v>
          </cell>
          <cell r="BA226">
            <v>53</v>
          </cell>
          <cell r="BB226" t="str">
            <v/>
          </cell>
          <cell r="BC226">
            <v>11</v>
          </cell>
          <cell r="BD226">
            <v>3</v>
          </cell>
          <cell r="BE226">
            <v>0.27272727272727271</v>
          </cell>
          <cell r="BF226">
            <v>72</v>
          </cell>
          <cell r="BG226">
            <v>0.8</v>
          </cell>
          <cell r="BH226">
            <v>1</v>
          </cell>
          <cell r="BI226">
            <v>9</v>
          </cell>
          <cell r="BJ226">
            <v>22</v>
          </cell>
          <cell r="BK226">
            <v>6</v>
          </cell>
          <cell r="BL226">
            <v>0.42307692307692307</v>
          </cell>
          <cell r="BM226">
            <v>0.34615384615384615</v>
          </cell>
          <cell r="BN226">
            <v>0.59935897435897434</v>
          </cell>
          <cell r="BO226">
            <v>38</v>
          </cell>
          <cell r="BP226">
            <v>0</v>
          </cell>
          <cell r="BQ226">
            <v>0.28567251461988302</v>
          </cell>
          <cell r="BR226">
            <v>0.19</v>
          </cell>
          <cell r="BS226">
            <v>1.7502558853633571E-2</v>
          </cell>
          <cell r="BT226">
            <v>0.35</v>
          </cell>
          <cell r="BU226">
            <v>3.2241555783009211E-2</v>
          </cell>
          <cell r="BV226">
            <v>4.9744114636642786E-2</v>
          </cell>
          <cell r="BW226">
            <v>0</v>
          </cell>
          <cell r="BX226">
            <v>38</v>
          </cell>
          <cell r="BY226">
            <v>1.3231578947368421</v>
          </cell>
          <cell r="BZ226">
            <v>1.3198421052631577</v>
          </cell>
        </row>
        <row r="227">
          <cell r="A227" t="str">
            <v>Nordi Mukiele</v>
          </cell>
          <cell r="B227" t="str">
            <v/>
          </cell>
          <cell r="C227" t="str">
            <v>Mukiele</v>
          </cell>
          <cell r="D227" t="str">
            <v/>
          </cell>
          <cell r="F227" t="str">
            <v/>
          </cell>
          <cell r="H227" t="str">
            <v/>
          </cell>
          <cell r="I227" t="e">
            <v>#N/A</v>
          </cell>
          <cell r="J227" t="e">
            <v>#N/A</v>
          </cell>
          <cell r="K227" t="e">
            <v>#N/A</v>
          </cell>
          <cell r="M227">
            <v>3.2414309653297519</v>
          </cell>
          <cell r="N227">
            <v>3.9062499999999996</v>
          </cell>
          <cell r="O227">
            <v>2.3016002873563219</v>
          </cell>
          <cell r="P227">
            <v>3.2414309653297519</v>
          </cell>
          <cell r="Q227">
            <v>3.9062499999999996</v>
          </cell>
          <cell r="R227">
            <v>3.5444444444444447</v>
          </cell>
          <cell r="S227">
            <v>3.2414309653297519</v>
          </cell>
          <cell r="T227" t="str">
            <v>DEF</v>
          </cell>
          <cell r="U227" t="str">
            <v>RB</v>
          </cell>
          <cell r="V227" t="str">
            <v>SUN</v>
          </cell>
          <cell r="W227" t="str">
            <v>Sunderland</v>
          </cell>
          <cell r="X227">
            <v>5.5</v>
          </cell>
          <cell r="Y227">
            <v>151</v>
          </cell>
          <cell r="Z227">
            <v>26</v>
          </cell>
          <cell r="AA227">
            <v>125</v>
          </cell>
          <cell r="AB227">
            <v>2784</v>
          </cell>
          <cell r="AC227">
            <v>2784</v>
          </cell>
          <cell r="AD227">
            <v>0.85795454545454541</v>
          </cell>
          <cell r="AE227">
            <v>3</v>
          </cell>
          <cell r="AF227">
            <v>5</v>
          </cell>
          <cell r="AG227">
            <v>4.4612068965517233E-2</v>
          </cell>
          <cell r="AH227">
            <v>7.5969827586206906E-2</v>
          </cell>
          <cell r="AI227">
            <v>0.12058189655172416</v>
          </cell>
          <cell r="AJ227">
            <v>9.000000000000008E-2</v>
          </cell>
          <cell r="AK227">
            <v>11</v>
          </cell>
          <cell r="AL227">
            <v>489</v>
          </cell>
          <cell r="AM227">
            <v>5</v>
          </cell>
          <cell r="AN227">
            <v>0</v>
          </cell>
          <cell r="AO227">
            <v>533</v>
          </cell>
          <cell r="AP227" t="str">
            <v>Mukiele</v>
          </cell>
          <cell r="AQ227">
            <v>6.3749999999999991</v>
          </cell>
          <cell r="AR227">
            <v>0</v>
          </cell>
          <cell r="AS227">
            <v>4.09375</v>
          </cell>
          <cell r="AT227">
            <v>8.53125</v>
          </cell>
          <cell r="AU227">
            <v>2.15625</v>
          </cell>
          <cell r="AV227">
            <v>8.53125</v>
          </cell>
          <cell r="AW227">
            <v>8.53125</v>
          </cell>
          <cell r="AX227">
            <v>0.35528124999999999</v>
          </cell>
          <cell r="AY227">
            <v>0</v>
          </cell>
          <cell r="AZ227">
            <v>4.7</v>
          </cell>
          <cell r="BA227">
            <v>151</v>
          </cell>
          <cell r="BB227" t="str">
            <v/>
          </cell>
          <cell r="BC227">
            <v>32</v>
          </cell>
          <cell r="BD227">
            <v>29</v>
          </cell>
          <cell r="BE227">
            <v>0.90625</v>
          </cell>
          <cell r="BF227">
            <v>87</v>
          </cell>
          <cell r="BG227">
            <v>0.96666666666666667</v>
          </cell>
          <cell r="BH227">
            <v>1</v>
          </cell>
          <cell r="BI227">
            <v>0</v>
          </cell>
          <cell r="BJ227">
            <v>0</v>
          </cell>
          <cell r="BK227">
            <v>1</v>
          </cell>
          <cell r="BL227">
            <v>0.96969696969696972</v>
          </cell>
          <cell r="BM227">
            <v>0</v>
          </cell>
          <cell r="BN227">
            <v>0.96969696969696961</v>
          </cell>
          <cell r="BO227">
            <v>38</v>
          </cell>
          <cell r="BP227">
            <v>0</v>
          </cell>
          <cell r="BQ227">
            <v>0.81403508771929822</v>
          </cell>
          <cell r="BR227">
            <v>1.62</v>
          </cell>
          <cell r="BS227">
            <v>5.2370689655172421E-2</v>
          </cell>
          <cell r="BT227">
            <v>2.65</v>
          </cell>
          <cell r="BU227">
            <v>8.5668103448275856E-2</v>
          </cell>
          <cell r="BV227">
            <v>0.13803879310344827</v>
          </cell>
          <cell r="BW227">
            <v>0</v>
          </cell>
          <cell r="BX227">
            <v>38</v>
          </cell>
          <cell r="BY227">
            <v>1.5878947368421052</v>
          </cell>
          <cell r="BZ227">
            <v>1.0551052631578945</v>
          </cell>
        </row>
        <row r="228">
          <cell r="A228" t="str">
            <v>Ethan Nwaneri</v>
          </cell>
          <cell r="B228" t="str">
            <v/>
          </cell>
          <cell r="C228" t="str">
            <v>Nwaneri</v>
          </cell>
          <cell r="D228" t="str">
            <v/>
          </cell>
          <cell r="F228" t="str">
            <v/>
          </cell>
          <cell r="H228" t="str">
            <v/>
          </cell>
          <cell r="I228">
            <v>1</v>
          </cell>
          <cell r="J228">
            <v>1.5</v>
          </cell>
          <cell r="K228">
            <v>2.5</v>
          </cell>
          <cell r="M228">
            <v>3.2390175421546541</v>
          </cell>
          <cell r="N228">
            <v>0</v>
          </cell>
          <cell r="O228">
            <v>2.1090909090909089</v>
          </cell>
          <cell r="P228">
            <v>3.2390175421546541</v>
          </cell>
          <cell r="Q228">
            <v>3.9272727272727272</v>
          </cell>
          <cell r="R228">
            <v>0</v>
          </cell>
          <cell r="S228">
            <v>3.2390175421546541</v>
          </cell>
          <cell r="T228" t="str">
            <v>MID</v>
          </cell>
          <cell r="U228" t="str">
            <v>AM</v>
          </cell>
          <cell r="V228" t="str">
            <v>ARS</v>
          </cell>
          <cell r="W228" t="str">
            <v>Arsenal</v>
          </cell>
          <cell r="X228">
            <v>5.5</v>
          </cell>
          <cell r="Y228">
            <v>8</v>
          </cell>
          <cell r="Z228">
            <v>0</v>
          </cell>
          <cell r="AA228">
            <v>8</v>
          </cell>
          <cell r="AB228">
            <v>165</v>
          </cell>
          <cell r="AC228">
            <v>165</v>
          </cell>
          <cell r="AD228">
            <v>0.2424242424242424</v>
          </cell>
          <cell r="AE228">
            <v>0</v>
          </cell>
          <cell r="AF228">
            <v>0</v>
          </cell>
          <cell r="AG228">
            <v>-0.12545454545454546</v>
          </cell>
          <cell r="AH228">
            <v>-4.3636363636363633E-2</v>
          </cell>
          <cell r="AI228">
            <v>-0.1690909090909091</v>
          </cell>
          <cell r="AJ228">
            <v>0</v>
          </cell>
          <cell r="AK228">
            <v>0</v>
          </cell>
          <cell r="AL228">
            <v>20</v>
          </cell>
          <cell r="AM228">
            <v>0</v>
          </cell>
          <cell r="AN228">
            <v>0</v>
          </cell>
          <cell r="AO228">
            <v>22</v>
          </cell>
          <cell r="AP228" t="str">
            <v>Nwaneri</v>
          </cell>
          <cell r="AQ228">
            <v>0.49090909090909091</v>
          </cell>
          <cell r="AR228">
            <v>0</v>
          </cell>
          <cell r="AS228">
            <v>4.9090909090909101</v>
          </cell>
          <cell r="AT228">
            <v>6.3818181818181809</v>
          </cell>
          <cell r="AU228">
            <v>0.98181818181818181</v>
          </cell>
          <cell r="AV228">
            <v>6.3818181818181809</v>
          </cell>
          <cell r="AW228">
            <v>6.3818181818181809</v>
          </cell>
          <cell r="AX228">
            <v>4.8319480519480512E-2</v>
          </cell>
          <cell r="AY228">
            <v>0</v>
          </cell>
          <cell r="AZ228">
            <v>1.3</v>
          </cell>
          <cell r="BA228">
            <v>8</v>
          </cell>
          <cell r="BB228" t="str">
            <v/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0.9</v>
          </cell>
          <cell r="BH228">
            <v>1</v>
          </cell>
          <cell r="BI228">
            <v>6</v>
          </cell>
          <cell r="BJ228">
            <v>29</v>
          </cell>
          <cell r="BK228">
            <v>11</v>
          </cell>
          <cell r="BL228">
            <v>0</v>
          </cell>
          <cell r="BM228">
            <v>0.3529411764705882</v>
          </cell>
          <cell r="BN228" t="e">
            <v>#DIV/0!</v>
          </cell>
          <cell r="BO228">
            <v>38</v>
          </cell>
          <cell r="BP228">
            <v>0</v>
          </cell>
          <cell r="BQ228">
            <v>4.8245614035087717E-2</v>
          </cell>
          <cell r="BR228">
            <v>0.23</v>
          </cell>
          <cell r="BS228">
            <v>0.12545454545454546</v>
          </cell>
          <cell r="BT228">
            <v>0.08</v>
          </cell>
          <cell r="BU228">
            <v>4.3636363636363633E-2</v>
          </cell>
          <cell r="BV228">
            <v>0.1690909090909091</v>
          </cell>
          <cell r="BW228">
            <v>0</v>
          </cell>
          <cell r="BX228">
            <v>38</v>
          </cell>
          <cell r="BY228">
            <v>0.87184210526315797</v>
          </cell>
          <cell r="BZ228">
            <v>1.7711578947368418</v>
          </cell>
        </row>
        <row r="229">
          <cell r="A229" t="str">
            <v>Neco Williams</v>
          </cell>
          <cell r="B229" t="str">
            <v/>
          </cell>
          <cell r="C229" t="str">
            <v>N.Williams</v>
          </cell>
          <cell r="D229" t="str">
            <v/>
          </cell>
          <cell r="F229" t="str">
            <v/>
          </cell>
          <cell r="H229" t="str">
            <v/>
          </cell>
          <cell r="I229">
            <v>1.5</v>
          </cell>
          <cell r="J229">
            <v>2.1</v>
          </cell>
          <cell r="K229">
            <v>3.1</v>
          </cell>
          <cell r="M229">
            <v>3.2321693828922995</v>
          </cell>
          <cell r="N229">
            <v>3.2969091476740555</v>
          </cell>
          <cell r="O229">
            <v>2.0495650119679469</v>
          </cell>
          <cell r="P229">
            <v>3.2321693828922995</v>
          </cell>
          <cell r="Q229">
            <v>3.2969091476740555</v>
          </cell>
          <cell r="R229">
            <v>2.3111111111111113</v>
          </cell>
          <cell r="S229">
            <v>3.2321693828922995</v>
          </cell>
          <cell r="T229" t="str">
            <v>DEF</v>
          </cell>
          <cell r="U229" t="str">
            <v>LB</v>
          </cell>
          <cell r="V229" t="str">
            <v>NFO</v>
          </cell>
          <cell r="W229" t="str">
            <v>Nott'm Forest</v>
          </cell>
          <cell r="X229">
            <v>5</v>
          </cell>
          <cell r="Y229">
            <v>128</v>
          </cell>
          <cell r="Z229">
            <v>8</v>
          </cell>
          <cell r="AA229">
            <v>120</v>
          </cell>
          <cell r="AB229">
            <v>3203</v>
          </cell>
          <cell r="AC229">
            <v>3203</v>
          </cell>
          <cell r="AD229">
            <v>0.69189189189189193</v>
          </cell>
          <cell r="AE229">
            <v>2</v>
          </cell>
          <cell r="AF229">
            <v>3</v>
          </cell>
          <cell r="AG229">
            <v>-2.809865750858509E-4</v>
          </cell>
          <cell r="AH229">
            <v>-2.7255697783328148E-2</v>
          </cell>
          <cell r="AI229">
            <v>-2.7536684358413999E-2</v>
          </cell>
          <cell r="AJ229">
            <v>0.1080000000000001</v>
          </cell>
          <cell r="AK229">
            <v>15</v>
          </cell>
          <cell r="AL229">
            <v>531</v>
          </cell>
          <cell r="AM229">
            <v>6</v>
          </cell>
          <cell r="AN229">
            <v>0</v>
          </cell>
          <cell r="AO229">
            <v>469</v>
          </cell>
          <cell r="AP229" t="str">
            <v>N.Williams</v>
          </cell>
          <cell r="AQ229">
            <v>4.1486106774898532</v>
          </cell>
          <cell r="AR229">
            <v>0</v>
          </cell>
          <cell r="AS229">
            <v>4.5057758351545427</v>
          </cell>
          <cell r="AT229">
            <v>6.7861379956290975</v>
          </cell>
          <cell r="AU229">
            <v>2.6375273181392442</v>
          </cell>
          <cell r="AV229">
            <v>6.7861379956290975</v>
          </cell>
          <cell r="AW229">
            <v>6.7861379956290975</v>
          </cell>
          <cell r="AX229">
            <v>0.15524352169840772</v>
          </cell>
          <cell r="AY229">
            <v>0</v>
          </cell>
          <cell r="AZ229">
            <v>3.5</v>
          </cell>
          <cell r="BA229">
            <v>128</v>
          </cell>
          <cell r="BB229" t="str">
            <v/>
          </cell>
          <cell r="BC229">
            <v>36</v>
          </cell>
          <cell r="BD229">
            <v>33</v>
          </cell>
          <cell r="BE229">
            <v>0.91666666666666663</v>
          </cell>
          <cell r="BF229">
            <v>88</v>
          </cell>
          <cell r="BG229">
            <v>0.97777777777777775</v>
          </cell>
          <cell r="BH229">
            <v>1</v>
          </cell>
          <cell r="BI229">
            <v>1</v>
          </cell>
          <cell r="BJ229">
            <v>46</v>
          </cell>
          <cell r="BK229">
            <v>0</v>
          </cell>
          <cell r="BL229">
            <v>0.97297297297297303</v>
          </cell>
          <cell r="BM229">
            <v>2.7027027027026973E-2</v>
          </cell>
          <cell r="BN229">
            <v>0.9871007371007372</v>
          </cell>
          <cell r="BO229">
            <v>38</v>
          </cell>
          <cell r="BP229">
            <v>0</v>
          </cell>
          <cell r="BQ229">
            <v>0.93654970760233913</v>
          </cell>
          <cell r="BR229">
            <v>2.0099999999999998</v>
          </cell>
          <cell r="BS229">
            <v>5.6478301592257259E-2</v>
          </cell>
          <cell r="BT229">
            <v>3.97</v>
          </cell>
          <cell r="BU229">
            <v>0.11155167030908525</v>
          </cell>
          <cell r="BV229">
            <v>0.1680299719013425</v>
          </cell>
          <cell r="BW229">
            <v>0</v>
          </cell>
          <cell r="BX229">
            <v>38</v>
          </cell>
          <cell r="BY229">
            <v>1.7036842105263157</v>
          </cell>
          <cell r="BZ229">
            <v>0.9393157894736841</v>
          </cell>
        </row>
        <row r="230">
          <cell r="A230" t="str">
            <v>Antonee Robinson</v>
          </cell>
          <cell r="B230" t="str">
            <v/>
          </cell>
          <cell r="C230" t="str">
            <v>Robinson</v>
          </cell>
          <cell r="D230" t="str">
            <v/>
          </cell>
          <cell r="F230" t="str">
            <v/>
          </cell>
          <cell r="H230" t="str">
            <v/>
          </cell>
          <cell r="I230">
            <v>2.7</v>
          </cell>
          <cell r="J230">
            <v>2.8000000000000003</v>
          </cell>
          <cell r="K230">
            <v>2.9</v>
          </cell>
          <cell r="M230">
            <v>3.2227236307440985</v>
          </cell>
          <cell r="N230">
            <v>3.181573638197714</v>
          </cell>
          <cell r="O230">
            <v>2.8634493920859083</v>
          </cell>
          <cell r="P230">
            <v>3.1059410171594548</v>
          </cell>
          <cell r="Q230">
            <v>3.181573638197714</v>
          </cell>
          <cell r="R230">
            <v>4.8306878306878307</v>
          </cell>
          <cell r="S230">
            <v>3.2227236307440985</v>
          </cell>
          <cell r="T230" t="str">
            <v>DEF</v>
          </cell>
          <cell r="U230" t="str">
            <v>LB</v>
          </cell>
          <cell r="V230" t="str">
            <v>FUL</v>
          </cell>
          <cell r="W230" t="str">
            <v>Fulham</v>
          </cell>
          <cell r="X230">
            <v>4.5</v>
          </cell>
          <cell r="Y230">
            <v>65</v>
          </cell>
          <cell r="Z230">
            <v>8</v>
          </cell>
          <cell r="AA230">
            <v>57</v>
          </cell>
          <cell r="AB230">
            <v>1487</v>
          </cell>
          <cell r="AC230">
            <v>1487</v>
          </cell>
          <cell r="AD230">
            <v>0.65656565656565657</v>
          </cell>
          <cell r="AE230">
            <v>1</v>
          </cell>
          <cell r="AF230">
            <v>0</v>
          </cell>
          <cell r="AG230">
            <v>-4.2367182246133145E-3</v>
          </cell>
          <cell r="AH230">
            <v>-9.5628782784129132E-2</v>
          </cell>
          <cell r="AI230">
            <v>-9.9865501008742433E-2</v>
          </cell>
          <cell r="AJ230">
            <v>3.499999999999992E-2</v>
          </cell>
          <cell r="AK230">
            <v>7</v>
          </cell>
          <cell r="AL230">
            <v>280</v>
          </cell>
          <cell r="AM230">
            <v>5</v>
          </cell>
          <cell r="AN230">
            <v>0</v>
          </cell>
          <cell r="AO230">
            <v>254</v>
          </cell>
          <cell r="AP230" t="str">
            <v>Robinson</v>
          </cell>
          <cell r="AQ230">
            <v>4.9119031607262951</v>
          </cell>
          <cell r="AR230">
            <v>0</v>
          </cell>
          <cell r="AS230">
            <v>5.4700739744451914</v>
          </cell>
          <cell r="AT230">
            <v>7.5911230665770004</v>
          </cell>
          <cell r="AU230">
            <v>2.6792199058507062</v>
          </cell>
          <cell r="AV230">
            <v>7.5911230665770004</v>
          </cell>
          <cell r="AW230">
            <v>7.5911230665770004</v>
          </cell>
          <cell r="AX230">
            <v>0.24152589105581707</v>
          </cell>
          <cell r="AY230">
            <v>0</v>
          </cell>
          <cell r="AZ230">
            <v>3</v>
          </cell>
          <cell r="BA230">
            <v>65</v>
          </cell>
          <cell r="BB230" t="str">
            <v/>
          </cell>
          <cell r="BC230">
            <v>17</v>
          </cell>
          <cell r="BD230">
            <v>12</v>
          </cell>
          <cell r="BE230">
            <v>0.70588235294117652</v>
          </cell>
          <cell r="BF230">
            <v>83</v>
          </cell>
          <cell r="BG230">
            <v>0.92222222222222228</v>
          </cell>
          <cell r="BH230">
            <v>1</v>
          </cell>
          <cell r="BI230">
            <v>5</v>
          </cell>
          <cell r="BJ230">
            <v>17</v>
          </cell>
          <cell r="BK230">
            <v>5</v>
          </cell>
          <cell r="BL230">
            <v>0.62962962962962965</v>
          </cell>
          <cell r="BM230">
            <v>0.18518518518518517</v>
          </cell>
          <cell r="BN230">
            <v>0.70548862115127176</v>
          </cell>
          <cell r="BO230">
            <v>38</v>
          </cell>
          <cell r="BP230">
            <v>0</v>
          </cell>
          <cell r="BQ230">
            <v>0.4347953216374269</v>
          </cell>
          <cell r="BR230">
            <v>1.07</v>
          </cell>
          <cell r="BS230">
            <v>6.4761264290517817E-2</v>
          </cell>
          <cell r="BT230">
            <v>1.58</v>
          </cell>
          <cell r="BU230">
            <v>9.5628782784129132E-2</v>
          </cell>
          <cell r="BV230">
            <v>0.16039004707464694</v>
          </cell>
          <cell r="BW230">
            <v>0</v>
          </cell>
          <cell r="BX230">
            <v>38</v>
          </cell>
          <cell r="BY230">
            <v>1.6842105263157894</v>
          </cell>
          <cell r="BZ230">
            <v>0.95878947368421041</v>
          </cell>
        </row>
        <row r="231">
          <cell r="A231" t="str">
            <v>Romaine Mundle</v>
          </cell>
          <cell r="B231" t="str">
            <v/>
          </cell>
          <cell r="C231" t="str">
            <v>Mundle</v>
          </cell>
          <cell r="D231" t="str">
            <v/>
          </cell>
          <cell r="F231" t="str">
            <v/>
          </cell>
          <cell r="H231" t="str">
            <v/>
          </cell>
          <cell r="I231" t="e">
            <v>#N/A</v>
          </cell>
          <cell r="J231" t="e">
            <v>#N/A</v>
          </cell>
          <cell r="K231" t="e">
            <v>#N/A</v>
          </cell>
          <cell r="M231">
            <v>3.220891417926941</v>
          </cell>
          <cell r="N231">
            <v>2.3157894736842102</v>
          </cell>
          <cell r="O231">
            <v>1.9293233082706767</v>
          </cell>
          <cell r="P231">
            <v>3.220891417926941</v>
          </cell>
          <cell r="Q231">
            <v>2.3157894736842102</v>
          </cell>
          <cell r="R231">
            <v>0</v>
          </cell>
          <cell r="S231">
            <v>3.220891417926941</v>
          </cell>
          <cell r="T231" t="str">
            <v>MID</v>
          </cell>
          <cell r="U231" t="str">
            <v>LW</v>
          </cell>
          <cell r="V231" t="str">
            <v>SUN</v>
          </cell>
          <cell r="W231" t="str">
            <v>Sunderland</v>
          </cell>
          <cell r="X231">
            <v>5</v>
          </cell>
          <cell r="Y231">
            <v>14</v>
          </cell>
          <cell r="Z231">
            <v>0</v>
          </cell>
          <cell r="AA231">
            <v>14</v>
          </cell>
          <cell r="AB231">
            <v>399</v>
          </cell>
          <cell r="AC231">
            <v>399</v>
          </cell>
          <cell r="AD231">
            <v>0.2</v>
          </cell>
          <cell r="AE231">
            <v>0</v>
          </cell>
          <cell r="AF231">
            <v>0</v>
          </cell>
          <cell r="AG231">
            <v>-0.19624060150375938</v>
          </cell>
          <cell r="AH231">
            <v>-0.10827067669172932</v>
          </cell>
          <cell r="AI231">
            <v>-0.30451127819548873</v>
          </cell>
          <cell r="AJ231">
            <v>0</v>
          </cell>
          <cell r="AK231">
            <v>0</v>
          </cell>
          <cell r="AL231">
            <v>42</v>
          </cell>
          <cell r="AM231">
            <v>1</v>
          </cell>
          <cell r="AN231">
            <v>0</v>
          </cell>
          <cell r="AO231">
            <v>547</v>
          </cell>
          <cell r="AP231" t="str">
            <v>Mundle</v>
          </cell>
          <cell r="AQ231">
            <v>0.99248120300751863</v>
          </cell>
          <cell r="AR231">
            <v>0</v>
          </cell>
          <cell r="AS231">
            <v>3.6390977443609018</v>
          </cell>
          <cell r="AT231">
            <v>5.458646616541353</v>
          </cell>
          <cell r="AU231">
            <v>0.82706766917293217</v>
          </cell>
          <cell r="AV231">
            <v>5.458646616541353</v>
          </cell>
          <cell r="AW231">
            <v>5.458646616541353</v>
          </cell>
          <cell r="AX231">
            <v>4.1329752953813102E-2</v>
          </cell>
          <cell r="AY231">
            <v>0</v>
          </cell>
          <cell r="AZ231">
            <v>1</v>
          </cell>
          <cell r="BA231">
            <v>14</v>
          </cell>
          <cell r="BB231" t="str">
            <v/>
          </cell>
          <cell r="BC231">
            <v>2</v>
          </cell>
          <cell r="BD231">
            <v>0</v>
          </cell>
          <cell r="BE231">
            <v>0</v>
          </cell>
          <cell r="BF231">
            <v>66</v>
          </cell>
          <cell r="BG231">
            <v>0.73333333333333328</v>
          </cell>
          <cell r="BH231">
            <v>1</v>
          </cell>
          <cell r="BI231">
            <v>12</v>
          </cell>
          <cell r="BJ231">
            <v>23</v>
          </cell>
          <cell r="BK231">
            <v>1</v>
          </cell>
          <cell r="BL231">
            <v>0.13333333333333333</v>
          </cell>
          <cell r="BM231">
            <v>0.8</v>
          </cell>
          <cell r="BN231">
            <v>0.43535353535353538</v>
          </cell>
          <cell r="BO231">
            <v>38</v>
          </cell>
          <cell r="BP231">
            <v>0</v>
          </cell>
          <cell r="BQ231">
            <v>0.11666666666666667</v>
          </cell>
          <cell r="BR231">
            <v>0.87</v>
          </cell>
          <cell r="BS231">
            <v>0.19624060150375938</v>
          </cell>
          <cell r="BT231">
            <v>0.48</v>
          </cell>
          <cell r="BU231">
            <v>0.10827067669172932</v>
          </cell>
          <cell r="BV231">
            <v>0.30451127819548873</v>
          </cell>
          <cell r="BW231">
            <v>0</v>
          </cell>
          <cell r="BX231">
            <v>38</v>
          </cell>
          <cell r="BY231">
            <v>1.5878947368421052</v>
          </cell>
          <cell r="BZ231">
            <v>1.0551052631578945</v>
          </cell>
        </row>
        <row r="232">
          <cell r="A232" t="str">
            <v>Evann Guessand</v>
          </cell>
          <cell r="B232" t="str">
            <v/>
          </cell>
          <cell r="C232" t="str">
            <v>Guessand</v>
          </cell>
          <cell r="D232" t="str">
            <v/>
          </cell>
          <cell r="F232" t="str">
            <v/>
          </cell>
          <cell r="H232" t="str">
            <v/>
          </cell>
          <cell r="I232" t="e">
            <v>#N/A</v>
          </cell>
          <cell r="J232" t="e">
            <v>#N/A</v>
          </cell>
          <cell r="K232" t="e">
            <v>#N/A</v>
          </cell>
          <cell r="M232">
            <v>3.2199079175314913</v>
          </cell>
          <cell r="N232">
            <v>3.243124312431243</v>
          </cell>
          <cell r="O232">
            <v>3.1119289860020483</v>
          </cell>
          <cell r="P232">
            <v>3.2399582620843921</v>
          </cell>
          <cell r="Q232">
            <v>3.243124312431243</v>
          </cell>
          <cell r="R232">
            <v>4.6206896551724137</v>
          </cell>
          <cell r="S232">
            <v>3.2199079175314913</v>
          </cell>
          <cell r="T232" t="str">
            <v>MID</v>
          </cell>
          <cell r="U232" t="str">
            <v>RW</v>
          </cell>
          <cell r="V232" t="str">
            <v>AVL</v>
          </cell>
          <cell r="W232" t="str">
            <v>Aston Villa</v>
          </cell>
          <cell r="X232">
            <v>5.5</v>
          </cell>
          <cell r="Y232">
            <v>44</v>
          </cell>
          <cell r="Z232">
            <v>0</v>
          </cell>
          <cell r="AA232">
            <v>44</v>
          </cell>
          <cell r="AB232">
            <v>909</v>
          </cell>
          <cell r="AC232">
            <v>909</v>
          </cell>
          <cell r="AD232">
            <v>0.61538461538461542</v>
          </cell>
          <cell r="AE232">
            <v>1</v>
          </cell>
          <cell r="AF232">
            <v>3</v>
          </cell>
          <cell r="AG232">
            <v>-5.5445544554455481E-2</v>
          </cell>
          <cell r="AH232">
            <v>0.21287128712871287</v>
          </cell>
          <cell r="AI232">
            <v>0.15742574257425737</v>
          </cell>
          <cell r="AJ232">
            <v>9.9999999999988987E-4</v>
          </cell>
          <cell r="AK232">
            <v>0</v>
          </cell>
          <cell r="AL232">
            <v>143</v>
          </cell>
          <cell r="AM232">
            <v>0</v>
          </cell>
          <cell r="AN232">
            <v>0</v>
          </cell>
          <cell r="AO232">
            <v>42</v>
          </cell>
          <cell r="AP232" t="str">
            <v>Guessand</v>
          </cell>
          <cell r="AQ232">
            <v>1.1793179317931792</v>
          </cell>
          <cell r="AR232">
            <v>0</v>
          </cell>
          <cell r="AS232">
            <v>3.1694169416941698</v>
          </cell>
          <cell r="AT232">
            <v>6.1177117711771176</v>
          </cell>
          <cell r="AU232">
            <v>1.7689768976897688</v>
          </cell>
          <cell r="AV232">
            <v>6.1177117711771176</v>
          </cell>
          <cell r="AW232">
            <v>6.1177117711771176</v>
          </cell>
          <cell r="AX232">
            <v>4.6319817696055317E-2</v>
          </cell>
          <cell r="AY232">
            <v>0</v>
          </cell>
          <cell r="AZ232">
            <v>2.1</v>
          </cell>
          <cell r="BA232">
            <v>44</v>
          </cell>
          <cell r="BB232" t="str">
            <v/>
          </cell>
          <cell r="BC232">
            <v>6</v>
          </cell>
          <cell r="BD232">
            <v>0</v>
          </cell>
          <cell r="BE232">
            <v>0</v>
          </cell>
          <cell r="BF232">
            <v>67</v>
          </cell>
          <cell r="BG232">
            <v>0.74444444444444446</v>
          </cell>
          <cell r="BH232">
            <v>1</v>
          </cell>
          <cell r="BI232">
            <v>7</v>
          </cell>
          <cell r="BJ232">
            <v>27</v>
          </cell>
          <cell r="BK232">
            <v>5</v>
          </cell>
          <cell r="BL232">
            <v>0.33333333333333331</v>
          </cell>
          <cell r="BM232">
            <v>0.3888888888888889</v>
          </cell>
          <cell r="BN232">
            <v>0.60199004975124382</v>
          </cell>
          <cell r="BO232">
            <v>38</v>
          </cell>
          <cell r="BP232">
            <v>0</v>
          </cell>
          <cell r="BQ232">
            <v>0.26578947368421052</v>
          </cell>
          <cell r="BR232">
            <v>1.56</v>
          </cell>
          <cell r="BS232">
            <v>0.15445544554455448</v>
          </cell>
          <cell r="BT232">
            <v>0.85</v>
          </cell>
          <cell r="BU232">
            <v>8.415841584158415E-2</v>
          </cell>
          <cell r="BV232">
            <v>0.23861386138613863</v>
          </cell>
          <cell r="BW232">
            <v>0</v>
          </cell>
          <cell r="BX232">
            <v>38</v>
          </cell>
          <cell r="BY232">
            <v>1.4915789473684211</v>
          </cell>
          <cell r="BZ232">
            <v>1.1514210526315787</v>
          </cell>
        </row>
        <row r="233">
          <cell r="A233" t="str">
            <v>Anthony Elanga</v>
          </cell>
          <cell r="B233" t="str">
            <v/>
          </cell>
          <cell r="C233" t="str">
            <v>Elanga</v>
          </cell>
          <cell r="D233" t="str">
            <v/>
          </cell>
          <cell r="F233" t="str">
            <v/>
          </cell>
          <cell r="H233" t="str">
            <v/>
          </cell>
          <cell r="I233">
            <v>1.4</v>
          </cell>
          <cell r="J233">
            <v>2.9</v>
          </cell>
          <cell r="K233">
            <v>4</v>
          </cell>
          <cell r="M233">
            <v>3.2167573461887211</v>
          </cell>
          <cell r="N233">
            <v>2.5806451612903225</v>
          </cell>
          <cell r="O233">
            <v>3.0933071869791156</v>
          </cell>
          <cell r="P233">
            <v>3.2167573461887211</v>
          </cell>
          <cell r="Q233">
            <v>2.5806451612903225</v>
          </cell>
          <cell r="R233">
            <v>3.7234042553191493</v>
          </cell>
          <cell r="S233">
            <v>3.2167573461887211</v>
          </cell>
          <cell r="T233" t="str">
            <v>MID</v>
          </cell>
          <cell r="U233" t="str">
            <v>RW</v>
          </cell>
          <cell r="V233" t="str">
            <v>NEW</v>
          </cell>
          <cell r="W233" t="str">
            <v>Newcastle</v>
          </cell>
          <cell r="X233">
            <v>6</v>
          </cell>
          <cell r="Y233">
            <v>48</v>
          </cell>
          <cell r="Z233">
            <v>0</v>
          </cell>
          <cell r="AA233">
            <v>48</v>
          </cell>
          <cell r="AB233">
            <v>1302</v>
          </cell>
          <cell r="AC233">
            <v>1302</v>
          </cell>
          <cell r="AD233">
            <v>0.25</v>
          </cell>
          <cell r="AE233">
            <v>0</v>
          </cell>
          <cell r="AF233">
            <v>1</v>
          </cell>
          <cell r="AG233">
            <v>-0.1140552995391705</v>
          </cell>
          <cell r="AH233">
            <v>-5.1152073732718892E-2</v>
          </cell>
          <cell r="AI233">
            <v>-0.16520737327188939</v>
          </cell>
          <cell r="AJ233">
            <v>6.0000000000000053E-3</v>
          </cell>
          <cell r="AK233">
            <v>0</v>
          </cell>
          <cell r="AL233">
            <v>179</v>
          </cell>
          <cell r="AM233">
            <v>0</v>
          </cell>
          <cell r="AN233">
            <v>0</v>
          </cell>
          <cell r="AO233">
            <v>454</v>
          </cell>
          <cell r="AP233" t="str">
            <v>Elanga</v>
          </cell>
          <cell r="AQ233">
            <v>0.48387096774193555</v>
          </cell>
          <cell r="AR233">
            <v>0</v>
          </cell>
          <cell r="AS233">
            <v>1.720430107526882</v>
          </cell>
          <cell r="AT233">
            <v>2.9569892473118284</v>
          </cell>
          <cell r="AU233">
            <v>0.75268817204301075</v>
          </cell>
          <cell r="AV233">
            <v>2.9569892473118284</v>
          </cell>
          <cell r="AW233">
            <v>2.9569892473118284</v>
          </cell>
          <cell r="AX233">
            <v>2.2388632872503842E-2</v>
          </cell>
          <cell r="AY233">
            <v>0</v>
          </cell>
          <cell r="AZ233">
            <v>1.5</v>
          </cell>
          <cell r="BA233">
            <v>48</v>
          </cell>
          <cell r="BB233" t="str">
            <v/>
          </cell>
          <cell r="BC233">
            <v>14</v>
          </cell>
          <cell r="BD233">
            <v>2</v>
          </cell>
          <cell r="BE233">
            <v>0.14285714285714285</v>
          </cell>
          <cell r="BF233">
            <v>70</v>
          </cell>
          <cell r="BG233">
            <v>0.77777777777777779</v>
          </cell>
          <cell r="BH233">
            <v>1</v>
          </cell>
          <cell r="BI233">
            <v>18</v>
          </cell>
          <cell r="BJ233">
            <v>19</v>
          </cell>
          <cell r="BK233">
            <v>2</v>
          </cell>
          <cell r="BL233">
            <v>0.41176470588235292</v>
          </cell>
          <cell r="BM233">
            <v>0.52941176470588236</v>
          </cell>
          <cell r="BN233">
            <v>0.5714285714285714</v>
          </cell>
          <cell r="BO233">
            <v>38</v>
          </cell>
          <cell r="BP233">
            <v>0</v>
          </cell>
          <cell r="BQ233">
            <v>0.38070175438596493</v>
          </cell>
          <cell r="BR233">
            <v>1.65</v>
          </cell>
          <cell r="BS233">
            <v>0.1140552995391705</v>
          </cell>
          <cell r="BT233">
            <v>1.74</v>
          </cell>
          <cell r="BU233">
            <v>0.12027649769585254</v>
          </cell>
          <cell r="BV233">
            <v>0.23433179723502304</v>
          </cell>
          <cell r="BW233">
            <v>0</v>
          </cell>
          <cell r="BX233">
            <v>38</v>
          </cell>
          <cell r="BY233">
            <v>1.5081578947368421</v>
          </cell>
          <cell r="BZ233">
            <v>1.1348421052631577</v>
          </cell>
        </row>
        <row r="234">
          <cell r="A234" t="str">
            <v>Michael Keane</v>
          </cell>
          <cell r="B234" t="str">
            <v/>
          </cell>
          <cell r="C234" t="str">
            <v>Keane</v>
          </cell>
          <cell r="D234" t="str">
            <v/>
          </cell>
          <cell r="F234" t="str">
            <v/>
          </cell>
          <cell r="H234" t="str">
            <v/>
          </cell>
          <cell r="I234">
            <v>2</v>
          </cell>
          <cell r="J234">
            <v>2.8666666666666667</v>
          </cell>
          <cell r="K234">
            <v>3.4</v>
          </cell>
          <cell r="M234">
            <v>3.2137268148072966</v>
          </cell>
          <cell r="N234">
            <v>3.4733384853168467</v>
          </cell>
          <cell r="O234">
            <v>2.2393466244272253</v>
          </cell>
          <cell r="P234">
            <v>3.2137268148072966</v>
          </cell>
          <cell r="Q234">
            <v>3.4733384853168467</v>
          </cell>
          <cell r="R234">
            <v>2.554083885209713</v>
          </cell>
          <cell r="S234">
            <v>3.2137268148072966</v>
          </cell>
          <cell r="T234" t="str">
            <v>DEF</v>
          </cell>
          <cell r="U234" t="str">
            <v>CB</v>
          </cell>
          <cell r="V234" t="str">
            <v>EVE</v>
          </cell>
          <cell r="W234" t="str">
            <v>Everton</v>
          </cell>
          <cell r="X234">
            <v>5</v>
          </cell>
          <cell r="Y234">
            <v>131</v>
          </cell>
          <cell r="Z234">
            <v>30</v>
          </cell>
          <cell r="AA234">
            <v>101</v>
          </cell>
          <cell r="AB234">
            <v>2588</v>
          </cell>
          <cell r="AC234">
            <v>2588</v>
          </cell>
          <cell r="AD234">
            <v>0.79393939393939394</v>
          </cell>
          <cell r="AE234">
            <v>3</v>
          </cell>
          <cell r="AF234">
            <v>1</v>
          </cell>
          <cell r="AG234">
            <v>2.4343122102009271E-2</v>
          </cell>
          <cell r="AH234">
            <v>1.7735703245749614E-2</v>
          </cell>
          <cell r="AI234">
            <v>4.2078825347758891E-2</v>
          </cell>
          <cell r="AJ234">
            <v>1.4999999999999902E-2</v>
          </cell>
          <cell r="AK234">
            <v>8</v>
          </cell>
          <cell r="AL234">
            <v>404</v>
          </cell>
          <cell r="AM234">
            <v>1</v>
          </cell>
          <cell r="AN234">
            <v>0</v>
          </cell>
          <cell r="AO234">
            <v>231</v>
          </cell>
          <cell r="AP234" t="str">
            <v>Keane</v>
          </cell>
          <cell r="AQ234">
            <v>9.1132148377125191</v>
          </cell>
          <cell r="AR234">
            <v>0</v>
          </cell>
          <cell r="AS234">
            <v>2.9918856259659972</v>
          </cell>
          <cell r="AT234">
            <v>10.385625965996908</v>
          </cell>
          <cell r="AU234">
            <v>1.2724111282843895</v>
          </cell>
          <cell r="AV234">
            <v>10.385625965996908</v>
          </cell>
          <cell r="AW234">
            <v>10.385625965996908</v>
          </cell>
          <cell r="AX234">
            <v>0.58312480680061818</v>
          </cell>
          <cell r="AY234">
            <v>0</v>
          </cell>
          <cell r="AZ234">
            <v>4</v>
          </cell>
          <cell r="BA234">
            <v>131</v>
          </cell>
          <cell r="BB234" t="str">
            <v/>
          </cell>
          <cell r="BC234">
            <v>29</v>
          </cell>
          <cell r="BD234">
            <v>27</v>
          </cell>
          <cell r="BE234">
            <v>0.93103448275862066</v>
          </cell>
          <cell r="BF234">
            <v>89</v>
          </cell>
          <cell r="BG234">
            <v>0.98888888888888893</v>
          </cell>
          <cell r="BH234">
            <v>1</v>
          </cell>
          <cell r="BI234">
            <v>4</v>
          </cell>
          <cell r="BJ234">
            <v>4</v>
          </cell>
          <cell r="BK234">
            <v>1</v>
          </cell>
          <cell r="BL234">
            <v>0.8529411764705882</v>
          </cell>
          <cell r="BM234">
            <v>0.11764705882352944</v>
          </cell>
          <cell r="BN234">
            <v>0.8595505617977528</v>
          </cell>
          <cell r="BO234">
            <v>38</v>
          </cell>
          <cell r="BP234">
            <v>0</v>
          </cell>
          <cell r="BQ234">
            <v>0.75672514619883036</v>
          </cell>
          <cell r="BR234">
            <v>2.2999999999999998</v>
          </cell>
          <cell r="BS234">
            <v>7.9984544049459039E-2</v>
          </cell>
          <cell r="BT234">
            <v>0.49</v>
          </cell>
          <cell r="BU234">
            <v>1.704018547140649E-2</v>
          </cell>
          <cell r="BV234">
            <v>9.7024729520865521E-2</v>
          </cell>
          <cell r="BW234">
            <v>0</v>
          </cell>
          <cell r="BX234">
            <v>38</v>
          </cell>
          <cell r="BY234">
            <v>1.5786842105263159</v>
          </cell>
          <cell r="BZ234">
            <v>1.0643157894736839</v>
          </cell>
        </row>
        <row r="235">
          <cell r="A235" t="str">
            <v>Pau Torres</v>
          </cell>
          <cell r="B235" t="str">
            <v/>
          </cell>
          <cell r="C235" t="str">
            <v>Pau</v>
          </cell>
          <cell r="D235" t="str">
            <v/>
          </cell>
          <cell r="F235" t="str">
            <v/>
          </cell>
          <cell r="H235" t="str">
            <v/>
          </cell>
          <cell r="I235">
            <v>2.2999999999999998</v>
          </cell>
          <cell r="J235">
            <v>2.5999999999999996</v>
          </cell>
          <cell r="K235">
            <v>2.9</v>
          </cell>
          <cell r="M235">
            <v>3.2032267419838396</v>
          </cell>
          <cell r="N235">
            <v>3.1560071727435743</v>
          </cell>
          <cell r="O235">
            <v>3.6021547136111205</v>
          </cell>
          <cell r="P235">
            <v>3.2032267419838396</v>
          </cell>
          <cell r="Q235">
            <v>3.1560071727435743</v>
          </cell>
          <cell r="R235">
            <v>2.6802030456852792</v>
          </cell>
          <cell r="S235">
            <v>3.2032267419838396</v>
          </cell>
          <cell r="T235" t="str">
            <v>DEF</v>
          </cell>
          <cell r="U235" t="str">
            <v>CB</v>
          </cell>
          <cell r="V235" t="str">
            <v>AVL</v>
          </cell>
          <cell r="W235" t="str">
            <v>Aston Villa</v>
          </cell>
          <cell r="X235">
            <v>4.5</v>
          </cell>
          <cell r="Y235">
            <v>64</v>
          </cell>
          <cell r="Z235">
            <v>4</v>
          </cell>
          <cell r="AA235">
            <v>60</v>
          </cell>
          <cell r="AB235">
            <v>1673</v>
          </cell>
          <cell r="AC235">
            <v>1673</v>
          </cell>
          <cell r="AD235">
            <v>0.67724867724867721</v>
          </cell>
          <cell r="AE235">
            <v>0</v>
          </cell>
          <cell r="AF235">
            <v>2</v>
          </cell>
          <cell r="AG235">
            <v>-7.1548117154811713E-2</v>
          </cell>
          <cell r="AH235">
            <v>8.6610878661087853E-2</v>
          </cell>
          <cell r="AI235">
            <v>1.506276150627614E-2</v>
          </cell>
          <cell r="AJ235">
            <v>2.9999999999998916E-3</v>
          </cell>
          <cell r="AK235">
            <v>2</v>
          </cell>
          <cell r="AL235">
            <v>280</v>
          </cell>
          <cell r="AM235">
            <v>1</v>
          </cell>
          <cell r="AN235">
            <v>0</v>
          </cell>
          <cell r="AO235">
            <v>34</v>
          </cell>
          <cell r="AP235" t="str">
            <v>Pau</v>
          </cell>
          <cell r="AQ235">
            <v>4.7340107591153613</v>
          </cell>
          <cell r="AR235">
            <v>0</v>
          </cell>
          <cell r="AS235">
            <v>4.1554094441123723</v>
          </cell>
          <cell r="AT235">
            <v>5.8912133891213383</v>
          </cell>
          <cell r="AU235">
            <v>1.1572026300059775</v>
          </cell>
          <cell r="AV235">
            <v>5.8912133891213383</v>
          </cell>
          <cell r="AW235">
            <v>5.8912133891213383</v>
          </cell>
          <cell r="AX235">
            <v>9.3493723849372351E-2</v>
          </cell>
          <cell r="AY235">
            <v>0</v>
          </cell>
          <cell r="AZ235">
            <v>3</v>
          </cell>
          <cell r="BA235">
            <v>64</v>
          </cell>
          <cell r="BB235" t="str">
            <v/>
          </cell>
          <cell r="BC235">
            <v>18</v>
          </cell>
          <cell r="BD235">
            <v>15</v>
          </cell>
          <cell r="BE235">
            <v>0.83333333333333337</v>
          </cell>
          <cell r="BF235">
            <v>88</v>
          </cell>
          <cell r="BG235">
            <v>0.97777777777777775</v>
          </cell>
          <cell r="BH235">
            <v>1</v>
          </cell>
          <cell r="BI235">
            <v>3</v>
          </cell>
          <cell r="BJ235">
            <v>31</v>
          </cell>
          <cell r="BK235">
            <v>11</v>
          </cell>
          <cell r="BL235">
            <v>0.5625</v>
          </cell>
          <cell r="BM235">
            <v>9.375E-2</v>
          </cell>
          <cell r="BN235">
            <v>0.71661931818181823</v>
          </cell>
          <cell r="BO235">
            <v>38</v>
          </cell>
          <cell r="BP235">
            <v>0</v>
          </cell>
          <cell r="BQ235">
            <v>0.48918128654970761</v>
          </cell>
          <cell r="BR235">
            <v>1.33</v>
          </cell>
          <cell r="BS235">
            <v>7.1548117154811713E-2</v>
          </cell>
          <cell r="BT235">
            <v>0.39</v>
          </cell>
          <cell r="BU235">
            <v>2.0980274955170356E-2</v>
          </cell>
          <cell r="BV235">
            <v>9.2528392109982066E-2</v>
          </cell>
          <cell r="BW235">
            <v>0</v>
          </cell>
          <cell r="BX235">
            <v>38</v>
          </cell>
          <cell r="BY235">
            <v>1.4915789473684211</v>
          </cell>
          <cell r="BZ235">
            <v>1.1514210526315787</v>
          </cell>
        </row>
        <row r="236">
          <cell r="A236" t="str">
            <v>Alexis Mac Allister</v>
          </cell>
          <cell r="B236" t="str">
            <v/>
          </cell>
          <cell r="C236" t="str">
            <v>Mac Allister</v>
          </cell>
          <cell r="D236" t="str">
            <v/>
          </cell>
          <cell r="F236" t="str">
            <v/>
          </cell>
          <cell r="H236" t="str">
            <v/>
          </cell>
          <cell r="I236">
            <v>3.3</v>
          </cell>
          <cell r="J236">
            <v>3.6</v>
          </cell>
          <cell r="K236">
            <v>4</v>
          </cell>
          <cell r="M236">
            <v>3.1997738213795714</v>
          </cell>
          <cell r="N236">
            <v>3.0896759608138655</v>
          </cell>
          <cell r="O236">
            <v>2.8102762860429142</v>
          </cell>
          <cell r="P236">
            <v>3.1997738213795714</v>
          </cell>
          <cell r="Q236">
            <v>3.0896759608138655</v>
          </cell>
          <cell r="R236">
            <v>3.9561403508771931</v>
          </cell>
          <cell r="S236">
            <v>3.1997738213795714</v>
          </cell>
          <cell r="T236" t="str">
            <v>MID</v>
          </cell>
          <cell r="U236" t="str">
            <v>CM</v>
          </cell>
          <cell r="V236" t="str">
            <v>LIV</v>
          </cell>
          <cell r="W236" t="str">
            <v>Liverpool</v>
          </cell>
          <cell r="X236">
            <v>5.5</v>
          </cell>
          <cell r="Y236">
            <v>107.99999999999999</v>
          </cell>
          <cell r="Z236">
            <v>8</v>
          </cell>
          <cell r="AA236">
            <v>99.999999999999986</v>
          </cell>
          <cell r="AB236">
            <v>2654</v>
          </cell>
          <cell r="AC236">
            <v>2654</v>
          </cell>
          <cell r="AD236">
            <v>0.53071253071253066</v>
          </cell>
          <cell r="AE236">
            <v>2</v>
          </cell>
          <cell r="AF236">
            <v>5</v>
          </cell>
          <cell r="AG236">
            <v>-6.4091936699321797E-2</v>
          </cell>
          <cell r="AH236">
            <v>0.11224566691785984</v>
          </cell>
          <cell r="AI236">
            <v>4.8153730218538027E-2</v>
          </cell>
          <cell r="AJ236">
            <v>1.8000000000000016E-2</v>
          </cell>
          <cell r="AK236">
            <v>9</v>
          </cell>
          <cell r="AL236">
            <v>490</v>
          </cell>
          <cell r="AM236">
            <v>7</v>
          </cell>
          <cell r="AN236">
            <v>0</v>
          </cell>
          <cell r="AO236">
            <v>372</v>
          </cell>
          <cell r="AP236" t="str">
            <v>Mac Allister</v>
          </cell>
          <cell r="AQ236">
            <v>1.977392614920874</v>
          </cell>
          <cell r="AR236">
            <v>0</v>
          </cell>
          <cell r="AS236">
            <v>3.4604370761115297</v>
          </cell>
          <cell r="AT236">
            <v>7.0753579502637534</v>
          </cell>
          <cell r="AU236">
            <v>1.6375282592313487</v>
          </cell>
          <cell r="AV236">
            <v>7.0753579502637534</v>
          </cell>
          <cell r="AW236">
            <v>7.0753579502637534</v>
          </cell>
          <cell r="AX236">
            <v>5.8425772418990239E-2</v>
          </cell>
          <cell r="AY236">
            <v>0</v>
          </cell>
          <cell r="AZ236">
            <v>2.9</v>
          </cell>
          <cell r="BA236">
            <v>107.99999999999999</v>
          </cell>
          <cell r="BB236" t="str">
            <v/>
          </cell>
          <cell r="BC236">
            <v>31</v>
          </cell>
          <cell r="BD236">
            <v>20</v>
          </cell>
          <cell r="BE236">
            <v>0.64516129032258063</v>
          </cell>
          <cell r="BF236">
            <v>82</v>
          </cell>
          <cell r="BG236">
            <v>0.91111111111111109</v>
          </cell>
          <cell r="BH236">
            <v>1</v>
          </cell>
          <cell r="BI236">
            <v>6</v>
          </cell>
          <cell r="BJ236">
            <v>20</v>
          </cell>
          <cell r="BK236">
            <v>0</v>
          </cell>
          <cell r="BL236">
            <v>0.83783783783783783</v>
          </cell>
          <cell r="BM236">
            <v>0.16216216216216217</v>
          </cell>
          <cell r="BN236">
            <v>0.87738958470665795</v>
          </cell>
          <cell r="BO236">
            <v>38</v>
          </cell>
          <cell r="BP236">
            <v>0</v>
          </cell>
          <cell r="BQ236">
            <v>0.7760233918128655</v>
          </cell>
          <cell r="BR236">
            <v>3.89</v>
          </cell>
          <cell r="BS236">
            <v>0.13191409193669934</v>
          </cell>
          <cell r="BT236">
            <v>1.69</v>
          </cell>
          <cell r="BU236">
            <v>5.7309721175584021E-2</v>
          </cell>
          <cell r="BV236">
            <v>0.18922381311228337</v>
          </cell>
          <cell r="BW236">
            <v>0</v>
          </cell>
          <cell r="BX236">
            <v>38</v>
          </cell>
          <cell r="BY236">
            <v>1.4176315789473684</v>
          </cell>
          <cell r="BZ236">
            <v>1.2253684210526314</v>
          </cell>
        </row>
        <row r="237">
          <cell r="A237" t="str">
            <v>Daichi Kamada</v>
          </cell>
          <cell r="B237" t="str">
            <v/>
          </cell>
          <cell r="C237" t="str">
            <v>Kamada</v>
          </cell>
          <cell r="D237" t="str">
            <v/>
          </cell>
          <cell r="F237" t="str">
            <v/>
          </cell>
          <cell r="H237" t="str">
            <v/>
          </cell>
          <cell r="I237">
            <v>1.3</v>
          </cell>
          <cell r="J237">
            <v>1.3</v>
          </cell>
          <cell r="K237">
            <v>1.3</v>
          </cell>
          <cell r="M237">
            <v>3.1894757984902031</v>
          </cell>
          <cell r="N237">
            <v>2.4012638230647707</v>
          </cell>
          <cell r="O237">
            <v>3.2072384999105052</v>
          </cell>
          <cell r="P237">
            <v>3.1778739670723519</v>
          </cell>
          <cell r="Q237">
            <v>2.4012638230647707</v>
          </cell>
          <cell r="R237">
            <v>2.5615763546798029</v>
          </cell>
          <cell r="S237">
            <v>3.1894757984902031</v>
          </cell>
          <cell r="T237" t="str">
            <v>MID</v>
          </cell>
          <cell r="U237" t="str">
            <v>AM</v>
          </cell>
          <cell r="V237" t="str">
            <v>CRY</v>
          </cell>
          <cell r="W237" t="str">
            <v>Crystal Palace</v>
          </cell>
          <cell r="X237">
            <v>5</v>
          </cell>
          <cell r="Y237">
            <v>67</v>
          </cell>
          <cell r="Z237">
            <v>10</v>
          </cell>
          <cell r="AA237">
            <v>57</v>
          </cell>
          <cell r="AB237">
            <v>1899</v>
          </cell>
          <cell r="AC237">
            <v>1899</v>
          </cell>
          <cell r="AD237">
            <v>0.47857142857142854</v>
          </cell>
          <cell r="AE237">
            <v>0</v>
          </cell>
          <cell r="AF237">
            <v>2</v>
          </cell>
          <cell r="AG237">
            <v>-7.772511848341232E-2</v>
          </cell>
          <cell r="AH237">
            <v>-5.8767772511848351E-2</v>
          </cell>
          <cell r="AI237">
            <v>-0.13649289099526069</v>
          </cell>
          <cell r="AJ237">
            <v>2.9999999999998916E-3</v>
          </cell>
          <cell r="AK237">
            <v>0</v>
          </cell>
          <cell r="AL237">
            <v>331</v>
          </cell>
          <cell r="AM237">
            <v>3</v>
          </cell>
          <cell r="AN237">
            <v>0</v>
          </cell>
          <cell r="AO237">
            <v>214</v>
          </cell>
          <cell r="AP237" t="str">
            <v>Kamada</v>
          </cell>
          <cell r="AQ237">
            <v>1.6008425487098474</v>
          </cell>
          <cell r="AR237">
            <v>0</v>
          </cell>
          <cell r="AS237">
            <v>4.5497630331753545</v>
          </cell>
          <cell r="AT237">
            <v>8.7625065824117936</v>
          </cell>
          <cell r="AU237">
            <v>2.611901000526593</v>
          </cell>
          <cell r="AV237">
            <v>8.7625065824117936</v>
          </cell>
          <cell r="AW237">
            <v>8.7625065824117936</v>
          </cell>
          <cell r="AX237">
            <v>0.17990047393364914</v>
          </cell>
          <cell r="AY237">
            <v>0</v>
          </cell>
          <cell r="AZ237">
            <v>2.4</v>
          </cell>
          <cell r="BA237">
            <v>67</v>
          </cell>
          <cell r="BB237" t="str">
            <v/>
          </cell>
          <cell r="BC237">
            <v>22</v>
          </cell>
          <cell r="BD237">
            <v>8</v>
          </cell>
          <cell r="BE237">
            <v>0.36363636363636365</v>
          </cell>
          <cell r="BF237">
            <v>80</v>
          </cell>
          <cell r="BG237">
            <v>0.88888888888888884</v>
          </cell>
          <cell r="BH237">
            <v>1</v>
          </cell>
          <cell r="BI237">
            <v>6</v>
          </cell>
          <cell r="BJ237">
            <v>22</v>
          </cell>
          <cell r="BK237">
            <v>0</v>
          </cell>
          <cell r="BL237">
            <v>0.7857142857142857</v>
          </cell>
          <cell r="BM237">
            <v>0.2142857142857143</v>
          </cell>
          <cell r="BN237">
            <v>0.84464285714285714</v>
          </cell>
          <cell r="BO237">
            <v>38</v>
          </cell>
          <cell r="BP237">
            <v>0</v>
          </cell>
          <cell r="BQ237">
            <v>0.55526315789473679</v>
          </cell>
          <cell r="BR237">
            <v>1.64</v>
          </cell>
          <cell r="BS237">
            <v>7.772511848341232E-2</v>
          </cell>
          <cell r="BT237">
            <v>3.24</v>
          </cell>
          <cell r="BU237">
            <v>0.15355450236966825</v>
          </cell>
          <cell r="BV237">
            <v>0.23127962085308057</v>
          </cell>
          <cell r="BW237">
            <v>0</v>
          </cell>
          <cell r="BX237">
            <v>38</v>
          </cell>
          <cell r="BY237">
            <v>1.631578947368421</v>
          </cell>
          <cell r="BZ237">
            <v>1.0114210526315788</v>
          </cell>
        </row>
        <row r="238">
          <cell r="A238" t="str">
            <v>Chris Richards</v>
          </cell>
          <cell r="B238" t="str">
            <v/>
          </cell>
          <cell r="C238" t="str">
            <v>Richards</v>
          </cell>
          <cell r="D238" t="str">
            <v/>
          </cell>
          <cell r="E238" t="str">
            <v>C Richards</v>
          </cell>
          <cell r="F238" t="str">
            <v/>
          </cell>
          <cell r="H238" t="str">
            <v/>
          </cell>
          <cell r="I238">
            <v>3</v>
          </cell>
          <cell r="J238">
            <v>3.3</v>
          </cell>
          <cell r="K238">
            <v>3.6</v>
          </cell>
          <cell r="M238">
            <v>3.1888035638267462</v>
          </cell>
          <cell r="N238">
            <v>3.2495575221238937</v>
          </cell>
          <cell r="O238">
            <v>3.1827947097150644</v>
          </cell>
          <cell r="P238">
            <v>3.116738343418501</v>
          </cell>
          <cell r="Q238">
            <v>3.2495575221238937</v>
          </cell>
          <cell r="R238">
            <v>2.6799007444168734</v>
          </cell>
          <cell r="S238">
            <v>3.1888035638267462</v>
          </cell>
          <cell r="T238" t="str">
            <v>DEF</v>
          </cell>
          <cell r="U238" t="str">
            <v>CB</v>
          </cell>
          <cell r="V238" t="str">
            <v>CRY</v>
          </cell>
          <cell r="W238" t="str">
            <v>Crystal Palace</v>
          </cell>
          <cell r="X238">
            <v>5</v>
          </cell>
          <cell r="Y238">
            <v>128</v>
          </cell>
          <cell r="Z238">
            <v>26</v>
          </cell>
          <cell r="AA238">
            <v>102</v>
          </cell>
          <cell r="AB238">
            <v>2825</v>
          </cell>
          <cell r="AC238">
            <v>2825</v>
          </cell>
          <cell r="AD238">
            <v>0.77575757575757576</v>
          </cell>
          <cell r="AE238">
            <v>1</v>
          </cell>
          <cell r="AF238">
            <v>0</v>
          </cell>
          <cell r="AG238">
            <v>-4.5238938053097352E-2</v>
          </cell>
          <cell r="AH238">
            <v>-4.9699115044247795E-2</v>
          </cell>
          <cell r="AI238">
            <v>-9.4938053097345154E-2</v>
          </cell>
          <cell r="AJ238">
            <v>8.999999999999897E-3</v>
          </cell>
          <cell r="AK238">
            <v>5</v>
          </cell>
          <cell r="AL238">
            <v>453</v>
          </cell>
          <cell r="AM238">
            <v>4</v>
          </cell>
          <cell r="AN238">
            <v>0</v>
          </cell>
          <cell r="AO238">
            <v>202</v>
          </cell>
          <cell r="AP238" t="str">
            <v>Richards</v>
          </cell>
          <cell r="AQ238">
            <v>8.1876106194690266</v>
          </cell>
          <cell r="AR238">
            <v>0</v>
          </cell>
          <cell r="AS238">
            <v>2.0707964601769913</v>
          </cell>
          <cell r="AT238">
            <v>9.9079646017699119</v>
          </cell>
          <cell r="AU238">
            <v>1.7203539823008851</v>
          </cell>
          <cell r="AV238">
            <v>9.9079646017699119</v>
          </cell>
          <cell r="AW238">
            <v>9.9079646017699119</v>
          </cell>
          <cell r="AX238">
            <v>0.52413362831858412</v>
          </cell>
          <cell r="AY238">
            <v>0</v>
          </cell>
          <cell r="AZ238">
            <v>3.9</v>
          </cell>
          <cell r="BA238">
            <v>128</v>
          </cell>
          <cell r="BB238" t="str">
            <v/>
          </cell>
          <cell r="BC238">
            <v>31</v>
          </cell>
          <cell r="BD238">
            <v>30</v>
          </cell>
          <cell r="BE238">
            <v>0.967741935483871</v>
          </cell>
          <cell r="BF238">
            <v>90</v>
          </cell>
          <cell r="BG238">
            <v>1</v>
          </cell>
          <cell r="BH238">
            <v>1</v>
          </cell>
          <cell r="BI238">
            <v>2</v>
          </cell>
          <cell r="BJ238">
            <v>23</v>
          </cell>
          <cell r="BK238">
            <v>1</v>
          </cell>
          <cell r="BL238">
            <v>0.91176470588235292</v>
          </cell>
          <cell r="BM238">
            <v>5.8823529411764719E-2</v>
          </cell>
          <cell r="BN238">
            <v>0.93431372549019609</v>
          </cell>
          <cell r="BO238">
            <v>38</v>
          </cell>
          <cell r="BP238">
            <v>0</v>
          </cell>
          <cell r="BQ238">
            <v>0.82602339181286555</v>
          </cell>
          <cell r="BR238">
            <v>2.42</v>
          </cell>
          <cell r="BS238">
            <v>7.709734513274337E-2</v>
          </cell>
          <cell r="BT238">
            <v>1.56</v>
          </cell>
          <cell r="BU238">
            <v>4.9699115044247795E-2</v>
          </cell>
          <cell r="BV238">
            <v>0.12679646017699117</v>
          </cell>
          <cell r="BW238">
            <v>0</v>
          </cell>
          <cell r="BX238">
            <v>38</v>
          </cell>
          <cell r="BY238">
            <v>1.631578947368421</v>
          </cell>
          <cell r="BZ238">
            <v>1.0114210526315788</v>
          </cell>
        </row>
        <row r="239">
          <cell r="A239" t="str">
            <v>Facundo Buonanotte</v>
          </cell>
          <cell r="B239" t="str">
            <v/>
          </cell>
          <cell r="C239" t="str">
            <v>Buonanotte</v>
          </cell>
          <cell r="D239" t="str">
            <v/>
          </cell>
          <cell r="F239" t="str">
            <v/>
          </cell>
          <cell r="H239" t="str">
            <v/>
          </cell>
          <cell r="I239">
            <v>2</v>
          </cell>
          <cell r="J239">
            <v>2.1666666666666665</v>
          </cell>
          <cell r="K239">
            <v>2.4</v>
          </cell>
          <cell r="M239">
            <v>3.1824036783860983</v>
          </cell>
          <cell r="N239">
            <v>0</v>
          </cell>
          <cell r="O239">
            <v>4.7544444444444451</v>
          </cell>
          <cell r="P239">
            <v>2.6421982382449301</v>
          </cell>
          <cell r="Q239">
            <v>1.6666666666666665</v>
          </cell>
          <cell r="R239">
            <v>3.75</v>
          </cell>
          <cell r="S239">
            <v>3.1824036783860983</v>
          </cell>
          <cell r="T239" t="str">
            <v>MID</v>
          </cell>
          <cell r="U239" t="str">
            <v>AM</v>
          </cell>
          <cell r="V239" t="str">
            <v>BHA</v>
          </cell>
          <cell r="W239" t="str">
            <v>Brighton</v>
          </cell>
          <cell r="X239">
            <v>5</v>
          </cell>
          <cell r="Y239">
            <v>3</v>
          </cell>
          <cell r="Z239">
            <v>0</v>
          </cell>
          <cell r="AA239">
            <v>3</v>
          </cell>
          <cell r="AB239">
            <v>81</v>
          </cell>
          <cell r="AC239">
            <v>81</v>
          </cell>
          <cell r="AD239">
            <v>0.6</v>
          </cell>
          <cell r="AE239">
            <v>0</v>
          </cell>
          <cell r="AF239">
            <v>0</v>
          </cell>
          <cell r="AG239">
            <v>-6.6666666666666666E-2</v>
          </cell>
          <cell r="AH239">
            <v>-0.31111111111111112</v>
          </cell>
          <cell r="AI239">
            <v>-0.37777777777777777</v>
          </cell>
          <cell r="AJ239">
            <v>9.9999999999988987E-4</v>
          </cell>
          <cell r="AK239">
            <v>0</v>
          </cell>
          <cell r="AL239">
            <v>9</v>
          </cell>
          <cell r="AM239">
            <v>1</v>
          </cell>
          <cell r="AN239">
            <v>0</v>
          </cell>
          <cell r="AO239">
            <v>128</v>
          </cell>
          <cell r="AP239" t="str">
            <v>Buonanotte</v>
          </cell>
          <cell r="AQ239">
            <v>1.1111111111111112</v>
          </cell>
          <cell r="AR239">
            <v>0</v>
          </cell>
          <cell r="AS239">
            <v>1.6666666666666665</v>
          </cell>
          <cell r="AT239">
            <v>3.333333333333333</v>
          </cell>
          <cell r="AU239">
            <v>0.55555555555555558</v>
          </cell>
          <cell r="AV239">
            <v>3.333333333333333</v>
          </cell>
          <cell r="AW239">
            <v>3.333333333333333</v>
          </cell>
          <cell r="AX239">
            <v>2.5238095238095237E-2</v>
          </cell>
          <cell r="AY239">
            <v>0</v>
          </cell>
          <cell r="AZ239">
            <v>0.8</v>
          </cell>
          <cell r="BA239">
            <v>3</v>
          </cell>
          <cell r="BB239" t="str">
            <v/>
          </cell>
          <cell r="BC239">
            <v>1</v>
          </cell>
          <cell r="BD239">
            <v>0</v>
          </cell>
          <cell r="BE239">
            <v>0</v>
          </cell>
          <cell r="BF239">
            <v>45</v>
          </cell>
          <cell r="BG239">
            <v>0.5</v>
          </cell>
          <cell r="BH239">
            <v>1</v>
          </cell>
          <cell r="BI239">
            <v>0</v>
          </cell>
          <cell r="BJ239">
            <v>0</v>
          </cell>
          <cell r="BK239">
            <v>4</v>
          </cell>
          <cell r="BL239">
            <v>0.2</v>
          </cell>
          <cell r="BM239">
            <v>0</v>
          </cell>
          <cell r="BN239">
            <v>0.2</v>
          </cell>
          <cell r="BO239">
            <v>38</v>
          </cell>
          <cell r="BP239">
            <v>0</v>
          </cell>
          <cell r="BQ239">
            <v>2.368421052631579E-2</v>
          </cell>
          <cell r="BR239">
            <v>0.06</v>
          </cell>
          <cell r="BS239">
            <v>6.6666666666666666E-2</v>
          </cell>
          <cell r="BT239">
            <v>0.28000000000000003</v>
          </cell>
          <cell r="BU239">
            <v>0.31111111111111112</v>
          </cell>
          <cell r="BV239">
            <v>0.37777777777777777</v>
          </cell>
          <cell r="BW239">
            <v>0</v>
          </cell>
          <cell r="BX239">
            <v>38</v>
          </cell>
          <cell r="BY239">
            <v>1.4144736842105263</v>
          </cell>
          <cell r="BZ239">
            <v>1.2285263157894735</v>
          </cell>
        </row>
        <row r="240">
          <cell r="A240" t="str">
            <v>Cristian Romero</v>
          </cell>
          <cell r="B240" t="str">
            <v/>
          </cell>
          <cell r="C240" t="str">
            <v>Romero</v>
          </cell>
          <cell r="D240" t="str">
            <v/>
          </cell>
          <cell r="F240" t="str">
            <v/>
          </cell>
          <cell r="H240" t="str">
            <v/>
          </cell>
          <cell r="I240">
            <v>2.4</v>
          </cell>
          <cell r="J240">
            <v>2.7666666666666671</v>
          </cell>
          <cell r="K240">
            <v>3.2</v>
          </cell>
          <cell r="M240">
            <v>3.1797109145195885</v>
          </cell>
          <cell r="N240">
            <v>3.2808988764044948</v>
          </cell>
          <cell r="O240">
            <v>1.7548127340823969</v>
          </cell>
          <cell r="P240">
            <v>3.1797109145195885</v>
          </cell>
          <cell r="Q240">
            <v>3.2808988764044948</v>
          </cell>
          <cell r="R240">
            <v>0</v>
          </cell>
          <cell r="S240">
            <v>3.1797109145195885</v>
          </cell>
          <cell r="T240" t="str">
            <v>DEF</v>
          </cell>
          <cell r="U240" t="str">
            <v>CB</v>
          </cell>
          <cell r="V240" t="str">
            <v>TOT</v>
          </cell>
          <cell r="W240" t="str">
            <v>Spurs</v>
          </cell>
          <cell r="X240">
            <v>5</v>
          </cell>
          <cell r="Y240">
            <v>91</v>
          </cell>
          <cell r="Z240">
            <v>18</v>
          </cell>
          <cell r="AA240">
            <v>73</v>
          </cell>
          <cell r="AB240">
            <v>1869</v>
          </cell>
          <cell r="AC240">
            <v>1869</v>
          </cell>
          <cell r="AD240">
            <v>0.79130434782608694</v>
          </cell>
          <cell r="AE240">
            <v>4</v>
          </cell>
          <cell r="AF240">
            <v>1</v>
          </cell>
          <cell r="AG240">
            <v>0.12568218298555378</v>
          </cell>
          <cell r="AH240">
            <v>-1.2038523274478331E-2</v>
          </cell>
          <cell r="AI240">
            <v>0.11364365971107543</v>
          </cell>
          <cell r="AJ240">
            <v>8.999999999999897E-3</v>
          </cell>
          <cell r="AK240">
            <v>10</v>
          </cell>
          <cell r="AL240">
            <v>305</v>
          </cell>
          <cell r="AM240">
            <v>9</v>
          </cell>
          <cell r="AN240">
            <v>0</v>
          </cell>
          <cell r="AO240">
            <v>500</v>
          </cell>
          <cell r="AP240" t="str">
            <v>Romero</v>
          </cell>
          <cell r="AQ240">
            <v>6.2471910112359552</v>
          </cell>
          <cell r="AR240">
            <v>0</v>
          </cell>
          <cell r="AS240">
            <v>3.9550561797752803</v>
          </cell>
          <cell r="AT240">
            <v>8.8539325842696641</v>
          </cell>
          <cell r="AU240">
            <v>2.606741573033708</v>
          </cell>
          <cell r="AV240">
            <v>8.8539325842696641</v>
          </cell>
          <cell r="AW240">
            <v>8.8539325842696641</v>
          </cell>
          <cell r="AX240">
            <v>0.39432584269662935</v>
          </cell>
          <cell r="AY240">
            <v>0</v>
          </cell>
          <cell r="AZ240">
            <v>4</v>
          </cell>
          <cell r="BA240">
            <v>91</v>
          </cell>
          <cell r="BB240" t="str">
            <v/>
          </cell>
          <cell r="BC240">
            <v>22</v>
          </cell>
          <cell r="BD240">
            <v>15</v>
          </cell>
          <cell r="BE240">
            <v>0.68181818181818177</v>
          </cell>
          <cell r="BF240">
            <v>84</v>
          </cell>
          <cell r="BG240">
            <v>0.93333333333333335</v>
          </cell>
          <cell r="BH240">
            <v>1</v>
          </cell>
          <cell r="BI240">
            <v>1</v>
          </cell>
          <cell r="BJ240">
            <v>31</v>
          </cell>
          <cell r="BK240">
            <v>0</v>
          </cell>
          <cell r="BL240">
            <v>0.95652173913043481</v>
          </cell>
          <cell r="BM240">
            <v>4.3478260869565188E-2</v>
          </cell>
          <cell r="BN240">
            <v>0.97256728778467916</v>
          </cell>
          <cell r="BO240">
            <v>38</v>
          </cell>
          <cell r="BP240">
            <v>0</v>
          </cell>
          <cell r="BQ240">
            <v>0.54649122807017547</v>
          </cell>
          <cell r="BR240">
            <v>1.39</v>
          </cell>
          <cell r="BS240">
            <v>6.6934189406099506E-2</v>
          </cell>
          <cell r="BT240">
            <v>1.25</v>
          </cell>
          <cell r="BU240">
            <v>6.019261637239165E-2</v>
          </cell>
          <cell r="BV240">
            <v>0.12712680577849117</v>
          </cell>
          <cell r="BW240">
            <v>0</v>
          </cell>
          <cell r="BX240">
            <v>38</v>
          </cell>
          <cell r="BY240">
            <v>1.4628947368421052</v>
          </cell>
          <cell r="BZ240">
            <v>1.1801052631578945</v>
          </cell>
        </row>
        <row r="241">
          <cell r="A241" t="str">
            <v>James Tarkowski</v>
          </cell>
          <cell r="B241" t="str">
            <v/>
          </cell>
          <cell r="C241" t="str">
            <v>Tarkowski</v>
          </cell>
          <cell r="D241" t="str">
            <v/>
          </cell>
          <cell r="F241" t="str">
            <v/>
          </cell>
          <cell r="H241" t="str">
            <v/>
          </cell>
          <cell r="I241">
            <v>2.8</v>
          </cell>
          <cell r="J241">
            <v>3.3499999999999996</v>
          </cell>
          <cell r="K241">
            <v>3.9</v>
          </cell>
          <cell r="M241">
            <v>3.177764222384889</v>
          </cell>
          <cell r="N241">
            <v>3.4054054054054057</v>
          </cell>
          <cell r="O241">
            <v>2.467779279279279</v>
          </cell>
          <cell r="P241">
            <v>3.177764222384889</v>
          </cell>
          <cell r="Q241">
            <v>3.4054054054054057</v>
          </cell>
          <cell r="R241">
            <v>4.1666666666666661</v>
          </cell>
          <cell r="S241">
            <v>3.177764222384889</v>
          </cell>
          <cell r="T241" t="str">
            <v>DEF</v>
          </cell>
          <cell r="U241" t="str">
            <v>CB</v>
          </cell>
          <cell r="V241" t="str">
            <v>EVE</v>
          </cell>
          <cell r="W241" t="str">
            <v>Everton</v>
          </cell>
          <cell r="X241">
            <v>6</v>
          </cell>
          <cell r="Y241">
            <v>170</v>
          </cell>
          <cell r="Z241">
            <v>44</v>
          </cell>
          <cell r="AA241">
            <v>126</v>
          </cell>
          <cell r="AB241">
            <v>3330</v>
          </cell>
          <cell r="AC241">
            <v>3330</v>
          </cell>
          <cell r="AD241">
            <v>0.76576576576576583</v>
          </cell>
          <cell r="AE241">
            <v>2</v>
          </cell>
          <cell r="AF241">
            <v>3</v>
          </cell>
          <cell r="AG241">
            <v>-1.4324324324324324E-2</v>
          </cell>
          <cell r="AH241">
            <v>2.4324324324324326E-2</v>
          </cell>
          <cell r="AI241">
            <v>1.0000000000000009E-2</v>
          </cell>
          <cell r="AJ241">
            <v>0.11699999999999999</v>
          </cell>
          <cell r="AK241">
            <v>12</v>
          </cell>
          <cell r="AL241">
            <v>592</v>
          </cell>
          <cell r="AM241">
            <v>8</v>
          </cell>
          <cell r="AN241">
            <v>0</v>
          </cell>
          <cell r="AO241">
            <v>229</v>
          </cell>
          <cell r="AP241" t="str">
            <v>Tarkowski</v>
          </cell>
          <cell r="AQ241">
            <v>8.7837837837837824</v>
          </cell>
          <cell r="AR241">
            <v>0</v>
          </cell>
          <cell r="AS241">
            <v>2.4324324324324325</v>
          </cell>
          <cell r="AT241">
            <v>10.162162162162163</v>
          </cell>
          <cell r="AU241">
            <v>1.3783783783783783</v>
          </cell>
          <cell r="AV241">
            <v>10.162162162162163</v>
          </cell>
          <cell r="AW241">
            <v>10.162162162162163</v>
          </cell>
          <cell r="AX241">
            <v>0.55552702702702716</v>
          </cell>
          <cell r="AY241">
            <v>0</v>
          </cell>
          <cell r="AZ241">
            <v>4.5999999999999996</v>
          </cell>
          <cell r="BA241">
            <v>170</v>
          </cell>
          <cell r="BB241" t="str">
            <v/>
          </cell>
          <cell r="BC241">
            <v>37</v>
          </cell>
          <cell r="BD241">
            <v>37</v>
          </cell>
          <cell r="BE241">
            <v>1</v>
          </cell>
          <cell r="BF241">
            <v>90</v>
          </cell>
          <cell r="BG241">
            <v>1</v>
          </cell>
          <cell r="BH241">
            <v>1</v>
          </cell>
          <cell r="BI241">
            <v>0</v>
          </cell>
          <cell r="BJ241">
            <v>0</v>
          </cell>
          <cell r="BK241">
            <v>0</v>
          </cell>
          <cell r="BL241">
            <v>1</v>
          </cell>
          <cell r="BM241">
            <v>0</v>
          </cell>
          <cell r="BN241">
            <v>1</v>
          </cell>
          <cell r="BO241">
            <v>38</v>
          </cell>
          <cell r="BP241">
            <v>0</v>
          </cell>
          <cell r="BQ241">
            <v>0.97368421052631582</v>
          </cell>
          <cell r="BR241">
            <v>2.5299999999999998</v>
          </cell>
          <cell r="BS241">
            <v>6.8378378378378374E-2</v>
          </cell>
          <cell r="BT241">
            <v>2.1</v>
          </cell>
          <cell r="BU241">
            <v>5.675675675675676E-2</v>
          </cell>
          <cell r="BV241">
            <v>0.12513513513513513</v>
          </cell>
          <cell r="BW241">
            <v>0</v>
          </cell>
          <cell r="BX241">
            <v>38</v>
          </cell>
          <cell r="BY241">
            <v>1.5786842105263159</v>
          </cell>
          <cell r="BZ241">
            <v>1.0643157894736839</v>
          </cell>
        </row>
        <row r="242">
          <cell r="A242" t="str">
            <v>Ryan Christie</v>
          </cell>
          <cell r="B242" t="str">
            <v/>
          </cell>
          <cell r="C242" t="str">
            <v>Christie</v>
          </cell>
          <cell r="D242" t="str">
            <v/>
          </cell>
          <cell r="F242" t="str">
            <v/>
          </cell>
          <cell r="H242" t="str">
            <v/>
          </cell>
          <cell r="I242">
            <v>2</v>
          </cell>
          <cell r="J242">
            <v>2.3333333333333335</v>
          </cell>
          <cell r="K242">
            <v>2.6</v>
          </cell>
          <cell r="M242">
            <v>3.1713604713724499</v>
          </cell>
          <cell r="N242">
            <v>2.8578732106339468</v>
          </cell>
          <cell r="O242">
            <v>2.6745705521472396</v>
          </cell>
          <cell r="P242">
            <v>3.1713604713724499</v>
          </cell>
          <cell r="Q242">
            <v>2.8578732106339468</v>
          </cell>
          <cell r="R242">
            <v>0.98484848484848497</v>
          </cell>
          <cell r="S242">
            <v>3.1713604713724499</v>
          </cell>
          <cell r="T242" t="str">
            <v>MID</v>
          </cell>
          <cell r="U242" t="str">
            <v>CM</v>
          </cell>
          <cell r="V242" t="str">
            <v>BOU</v>
          </cell>
          <cell r="W242" t="str">
            <v>Bournemouth</v>
          </cell>
          <cell r="X242">
            <v>5</v>
          </cell>
          <cell r="Y242">
            <v>47</v>
          </cell>
          <cell r="Z242">
            <v>4</v>
          </cell>
          <cell r="AA242">
            <v>43</v>
          </cell>
          <cell r="AB242">
            <v>978</v>
          </cell>
          <cell r="AC242">
            <v>978</v>
          </cell>
          <cell r="AD242">
            <v>0.36153846153846153</v>
          </cell>
          <cell r="AE242">
            <v>2</v>
          </cell>
          <cell r="AF242">
            <v>1</v>
          </cell>
          <cell r="AG242">
            <v>1.7484662576687154E-2</v>
          </cell>
          <cell r="AH242">
            <v>1.9325153374233128E-2</v>
          </cell>
          <cell r="AI242">
            <v>3.6809815950920255E-2</v>
          </cell>
          <cell r="AJ242">
            <v>2.0000000000000018E-3</v>
          </cell>
          <cell r="AK242">
            <v>2</v>
          </cell>
          <cell r="AL242">
            <v>214</v>
          </cell>
          <cell r="AM242">
            <v>3</v>
          </cell>
          <cell r="AN242">
            <v>0</v>
          </cell>
          <cell r="AO242">
            <v>75</v>
          </cell>
          <cell r="AP242" t="str">
            <v>Christie</v>
          </cell>
          <cell r="AQ242">
            <v>2.259713701431493</v>
          </cell>
          <cell r="AR242">
            <v>0</v>
          </cell>
          <cell r="AS242">
            <v>4.1206543967280158</v>
          </cell>
          <cell r="AT242">
            <v>8.1748466257668717</v>
          </cell>
          <cell r="AU242">
            <v>1.7944785276073618</v>
          </cell>
          <cell r="AV242">
            <v>8.1748466257668717</v>
          </cell>
          <cell r="AW242">
            <v>8.1748466257668717</v>
          </cell>
          <cell r="AX242">
            <v>0.13758895705521476</v>
          </cell>
          <cell r="AY242">
            <v>0</v>
          </cell>
          <cell r="AZ242">
            <v>1.8</v>
          </cell>
          <cell r="BA242">
            <v>47</v>
          </cell>
          <cell r="BB242" t="str">
            <v/>
          </cell>
          <cell r="BC242">
            <v>9</v>
          </cell>
          <cell r="BD242">
            <v>0</v>
          </cell>
          <cell r="BE242">
            <v>0</v>
          </cell>
          <cell r="BF242">
            <v>65</v>
          </cell>
          <cell r="BG242">
            <v>0.72222222222222221</v>
          </cell>
          <cell r="BH242">
            <v>1</v>
          </cell>
          <cell r="BI242">
            <v>17</v>
          </cell>
          <cell r="BJ242">
            <v>24</v>
          </cell>
          <cell r="BK242">
            <v>1</v>
          </cell>
          <cell r="BL242">
            <v>0.33333333333333331</v>
          </cell>
          <cell r="BM242">
            <v>0.62962962962962965</v>
          </cell>
          <cell r="BN242">
            <v>0.57948717948717943</v>
          </cell>
          <cell r="BO242">
            <v>38</v>
          </cell>
          <cell r="BP242">
            <v>0</v>
          </cell>
          <cell r="BQ242">
            <v>0.28596491228070176</v>
          </cell>
          <cell r="BR242">
            <v>1.81</v>
          </cell>
          <cell r="BS242">
            <v>0.16656441717791409</v>
          </cell>
          <cell r="BT242">
            <v>0.79</v>
          </cell>
          <cell r="BU242">
            <v>7.2699386503067495E-2</v>
          </cell>
          <cell r="BV242">
            <v>0.2392638036809816</v>
          </cell>
          <cell r="BW242">
            <v>0</v>
          </cell>
          <cell r="BX242">
            <v>38</v>
          </cell>
          <cell r="BY242">
            <v>1.4939473684210527</v>
          </cell>
          <cell r="BZ242">
            <v>1.1490526315789471</v>
          </cell>
        </row>
        <row r="243">
          <cell r="A243" t="str">
            <v>Pape Matar Sarr</v>
          </cell>
          <cell r="B243" t="str">
            <v/>
          </cell>
          <cell r="C243" t="str">
            <v>P.M.Sarr</v>
          </cell>
          <cell r="D243" t="str">
            <v/>
          </cell>
          <cell r="E243" t="str">
            <v>P Sarr</v>
          </cell>
          <cell r="F243" t="str">
            <v/>
          </cell>
          <cell r="H243" t="str">
            <v/>
          </cell>
          <cell r="I243">
            <v>2</v>
          </cell>
          <cell r="J243">
            <v>2</v>
          </cell>
          <cell r="K243">
            <v>2</v>
          </cell>
          <cell r="M243">
            <v>3.1637574333132776</v>
          </cell>
          <cell r="N243">
            <v>4.0396253602305476</v>
          </cell>
          <cell r="O243">
            <v>3.8463040715288548</v>
          </cell>
          <cell r="P243">
            <v>3.1637574333132776</v>
          </cell>
          <cell r="Q243">
            <v>4.0396253602305476</v>
          </cell>
          <cell r="R243">
            <v>11.410256410256409</v>
          </cell>
          <cell r="S243">
            <v>3.1637574333132776</v>
          </cell>
          <cell r="T243" t="str">
            <v>MID</v>
          </cell>
          <cell r="U243" t="str">
            <v>CM</v>
          </cell>
          <cell r="V243" t="str">
            <v>TOT</v>
          </cell>
          <cell r="W243" t="str">
            <v>Spurs</v>
          </cell>
          <cell r="X243">
            <v>5</v>
          </cell>
          <cell r="Y243">
            <v>71</v>
          </cell>
          <cell r="Z243">
            <v>8</v>
          </cell>
          <cell r="AA243">
            <v>63</v>
          </cell>
          <cell r="AB243">
            <v>1388</v>
          </cell>
          <cell r="AC243">
            <v>1388</v>
          </cell>
          <cell r="AD243">
            <v>0.54615384615384621</v>
          </cell>
          <cell r="AE243">
            <v>2</v>
          </cell>
          <cell r="AF243">
            <v>4</v>
          </cell>
          <cell r="AG243">
            <v>2.3991354466858794E-2</v>
          </cell>
          <cell r="AH243">
            <v>0.18739193083573485</v>
          </cell>
          <cell r="AI243">
            <v>0.2113832853025937</v>
          </cell>
          <cell r="AJ243">
            <v>4.0000000000000036E-3</v>
          </cell>
          <cell r="AK243">
            <v>2</v>
          </cell>
          <cell r="AL243">
            <v>313</v>
          </cell>
          <cell r="AM243">
            <v>3</v>
          </cell>
          <cell r="AN243">
            <v>0</v>
          </cell>
          <cell r="AO243">
            <v>518</v>
          </cell>
          <cell r="AP243" t="str">
            <v>P.M.Sarr</v>
          </cell>
          <cell r="AQ243">
            <v>4.7449567723342936</v>
          </cell>
          <cell r="AR243">
            <v>0</v>
          </cell>
          <cell r="AS243">
            <v>4.9373198847262252</v>
          </cell>
          <cell r="AT243">
            <v>11.734149855907782</v>
          </cell>
          <cell r="AU243">
            <v>2.0518731988472623</v>
          </cell>
          <cell r="AV243">
            <v>11.734149855907782</v>
          </cell>
          <cell r="AW243">
            <v>11.734149855907782</v>
          </cell>
          <cell r="AX243">
            <v>0.50395893371757938</v>
          </cell>
          <cell r="AY243">
            <v>0</v>
          </cell>
          <cell r="AZ243">
            <v>2.7</v>
          </cell>
          <cell r="BA243">
            <v>71</v>
          </cell>
          <cell r="BB243" t="str">
            <v/>
          </cell>
          <cell r="BC243">
            <v>13</v>
          </cell>
          <cell r="BD243">
            <v>11</v>
          </cell>
          <cell r="BE243">
            <v>0.84615384615384615</v>
          </cell>
          <cell r="BF243">
            <v>89</v>
          </cell>
          <cell r="BG243">
            <v>0.98888888888888893</v>
          </cell>
          <cell r="BH243">
            <v>1</v>
          </cell>
          <cell r="BI243">
            <v>13</v>
          </cell>
          <cell r="BJ243">
            <v>19</v>
          </cell>
          <cell r="BK243">
            <v>3</v>
          </cell>
          <cell r="BL243">
            <v>0.44827586206896552</v>
          </cell>
          <cell r="BM243">
            <v>0.44827586206896552</v>
          </cell>
          <cell r="BN243">
            <v>0.56605966679581554</v>
          </cell>
          <cell r="BO243">
            <v>38</v>
          </cell>
          <cell r="BP243">
            <v>0</v>
          </cell>
          <cell r="BQ243">
            <v>0.40584795321637429</v>
          </cell>
          <cell r="BR243">
            <v>1.63</v>
          </cell>
          <cell r="BS243">
            <v>0.10569164265129682</v>
          </cell>
          <cell r="BT243">
            <v>1.1100000000000001</v>
          </cell>
          <cell r="BU243">
            <v>7.1974063400576369E-2</v>
          </cell>
          <cell r="BV243">
            <v>0.17766570605187321</v>
          </cell>
          <cell r="BW243">
            <v>0</v>
          </cell>
          <cell r="BX243">
            <v>38</v>
          </cell>
          <cell r="BY243">
            <v>1.4628947368421052</v>
          </cell>
          <cell r="BZ243">
            <v>1.1801052631578945</v>
          </cell>
        </row>
        <row r="244">
          <cell r="A244" t="str">
            <v>Ayden Heaven</v>
          </cell>
          <cell r="B244" t="str">
            <v/>
          </cell>
          <cell r="C244" t="str">
            <v>Heaven</v>
          </cell>
          <cell r="D244" t="str">
            <v/>
          </cell>
          <cell r="F244" t="str">
            <v/>
          </cell>
          <cell r="H244" t="str">
            <v/>
          </cell>
          <cell r="I244">
            <v>2.5</v>
          </cell>
          <cell r="J244">
            <v>2.5</v>
          </cell>
          <cell r="K244">
            <v>2.5</v>
          </cell>
          <cell r="M244">
            <v>3.1584087732478965</v>
          </cell>
          <cell r="N244">
            <v>2.7826086956521738</v>
          </cell>
          <cell r="O244">
            <v>1.7790386473429951</v>
          </cell>
          <cell r="P244">
            <v>3.1584087732478965</v>
          </cell>
          <cell r="Q244">
            <v>2.7826086956521738</v>
          </cell>
          <cell r="R244">
            <v>4.1481481481481479</v>
          </cell>
          <cell r="S244">
            <v>3.1584087732478965</v>
          </cell>
          <cell r="T244" t="str">
            <v>DEF</v>
          </cell>
          <cell r="U244" t="str">
            <v>CB</v>
          </cell>
          <cell r="V244" t="str">
            <v>MUN</v>
          </cell>
          <cell r="W244" t="str">
            <v>Man Utd</v>
          </cell>
          <cell r="X244">
            <v>4.5</v>
          </cell>
          <cell r="Y244">
            <v>42</v>
          </cell>
          <cell r="Z244">
            <v>10</v>
          </cell>
          <cell r="AA244">
            <v>32</v>
          </cell>
          <cell r="AB244">
            <v>920</v>
          </cell>
          <cell r="AC244">
            <v>920</v>
          </cell>
          <cell r="AD244">
            <v>0.5490196078431373</v>
          </cell>
          <cell r="AE244">
            <v>0</v>
          </cell>
          <cell r="AF244">
            <v>1</v>
          </cell>
          <cell r="AG244">
            <v>-3.3260869565217392E-2</v>
          </cell>
          <cell r="AH244">
            <v>8.0217391304347824E-2</v>
          </cell>
          <cell r="AI244">
            <v>4.6956521739130438E-2</v>
          </cell>
          <cell r="AJ244">
            <v>4.0000000000000036E-3</v>
          </cell>
          <cell r="AK244">
            <v>3</v>
          </cell>
          <cell r="AL244">
            <v>164</v>
          </cell>
          <cell r="AM244">
            <v>2</v>
          </cell>
          <cell r="AN244">
            <v>0</v>
          </cell>
          <cell r="AO244">
            <v>421</v>
          </cell>
          <cell r="AP244" t="str">
            <v>Heaven</v>
          </cell>
          <cell r="AQ244">
            <v>6.1739130434782599</v>
          </cell>
          <cell r="AR244">
            <v>0</v>
          </cell>
          <cell r="AS244">
            <v>3.3913043478260865</v>
          </cell>
          <cell r="AT244">
            <v>8.086956521739129</v>
          </cell>
          <cell r="AU244">
            <v>1.9130434782608696</v>
          </cell>
          <cell r="AV244">
            <v>8.086956521739129</v>
          </cell>
          <cell r="AW244">
            <v>8.086956521739129</v>
          </cell>
          <cell r="AX244">
            <v>0.30152173913043462</v>
          </cell>
          <cell r="AY244">
            <v>0</v>
          </cell>
          <cell r="AZ244">
            <v>2.5</v>
          </cell>
          <cell r="BA244">
            <v>42</v>
          </cell>
          <cell r="BB244" t="str">
            <v/>
          </cell>
          <cell r="BC244">
            <v>11</v>
          </cell>
          <cell r="BD244">
            <v>7</v>
          </cell>
          <cell r="BE244">
            <v>0.63636363636363635</v>
          </cell>
          <cell r="BF244">
            <v>80</v>
          </cell>
          <cell r="BG244">
            <v>0.88888888888888884</v>
          </cell>
          <cell r="BH244">
            <v>1</v>
          </cell>
          <cell r="BI244">
            <v>6</v>
          </cell>
          <cell r="BJ244">
            <v>8</v>
          </cell>
          <cell r="BK244">
            <v>21</v>
          </cell>
          <cell r="BL244">
            <v>0.28947368421052633</v>
          </cell>
          <cell r="BM244">
            <v>0.1578947368421052</v>
          </cell>
          <cell r="BN244">
            <v>0.36052631578947369</v>
          </cell>
          <cell r="BO244">
            <v>38</v>
          </cell>
          <cell r="BP244">
            <v>0</v>
          </cell>
          <cell r="BQ244">
            <v>0.26900584795321636</v>
          </cell>
          <cell r="BR244">
            <v>0.34</v>
          </cell>
          <cell r="BS244">
            <v>3.3260869565217392E-2</v>
          </cell>
          <cell r="BT244">
            <v>0.18</v>
          </cell>
          <cell r="BU244">
            <v>1.7608695652173913E-2</v>
          </cell>
          <cell r="BV244">
            <v>5.0869565217391305E-2</v>
          </cell>
          <cell r="BW244">
            <v>0</v>
          </cell>
          <cell r="BX244">
            <v>38</v>
          </cell>
          <cell r="BY244">
            <v>1.3231578947368421</v>
          </cell>
          <cell r="BZ244">
            <v>1.3198421052631577</v>
          </cell>
        </row>
        <row r="245">
          <cell r="A245" t="str">
            <v>Dilane Bakwa</v>
          </cell>
          <cell r="B245" t="str">
            <v/>
          </cell>
          <cell r="C245" t="str">
            <v>Bakwa</v>
          </cell>
          <cell r="D245" t="str">
            <v/>
          </cell>
          <cell r="F245" t="str">
            <v/>
          </cell>
          <cell r="H245" t="str">
            <v/>
          </cell>
          <cell r="I245" t="e">
            <v>#N/A</v>
          </cell>
          <cell r="J245" t="e">
            <v>#N/A</v>
          </cell>
          <cell r="K245" t="e">
            <v>#N/A</v>
          </cell>
          <cell r="M245">
            <v>3.1509608687825823</v>
          </cell>
          <cell r="N245">
            <v>3.0309653916211294</v>
          </cell>
          <cell r="O245">
            <v>2.6196835352815397</v>
          </cell>
          <cell r="P245">
            <v>3.1509608687825823</v>
          </cell>
          <cell r="Q245">
            <v>3.0309653916211294</v>
          </cell>
          <cell r="R245">
            <v>3.7101449275362319</v>
          </cell>
          <cell r="S245">
            <v>3.1509608687825823</v>
          </cell>
          <cell r="T245" t="str">
            <v>MID</v>
          </cell>
          <cell r="U245" t="str">
            <v>RW</v>
          </cell>
          <cell r="V245" t="str">
            <v>NFO</v>
          </cell>
          <cell r="W245" t="str">
            <v>Nott'm Forest</v>
          </cell>
          <cell r="X245">
            <v>5.5</v>
          </cell>
          <cell r="Y245">
            <v>26</v>
          </cell>
          <cell r="Z245">
            <v>0</v>
          </cell>
          <cell r="AA245">
            <v>26</v>
          </cell>
          <cell r="AB245">
            <v>549</v>
          </cell>
          <cell r="AC245">
            <v>549</v>
          </cell>
          <cell r="AD245">
            <v>0.33766233766233766</v>
          </cell>
          <cell r="AE245">
            <v>0</v>
          </cell>
          <cell r="AF245">
            <v>2</v>
          </cell>
          <cell r="AG245">
            <v>-8.8524590163934422E-2</v>
          </cell>
          <cell r="AH245">
            <v>0.1622950819672131</v>
          </cell>
          <cell r="AI245">
            <v>7.3770491803278659E-2</v>
          </cell>
          <cell r="AJ245">
            <v>0</v>
          </cell>
          <cell r="AK245">
            <v>1</v>
          </cell>
          <cell r="AL245">
            <v>100</v>
          </cell>
          <cell r="AM245">
            <v>1</v>
          </cell>
          <cell r="AN245">
            <v>0</v>
          </cell>
          <cell r="AO245">
            <v>485</v>
          </cell>
          <cell r="AP245" t="str">
            <v>Bakwa</v>
          </cell>
          <cell r="AQ245">
            <v>0.34972677595628415</v>
          </cell>
          <cell r="AR245">
            <v>0</v>
          </cell>
          <cell r="AS245">
            <v>3.2641165755919861</v>
          </cell>
          <cell r="AT245">
            <v>4.0801457194899822</v>
          </cell>
          <cell r="AU245">
            <v>0.4663023679417122</v>
          </cell>
          <cell r="AV245">
            <v>4.0801457194899822</v>
          </cell>
          <cell r="AW245">
            <v>4.0801457194899822</v>
          </cell>
          <cell r="AX245">
            <v>3.0892531876138437E-2</v>
          </cell>
          <cell r="AY245">
            <v>0</v>
          </cell>
          <cell r="AZ245">
            <v>1.9</v>
          </cell>
          <cell r="BA245">
            <v>26</v>
          </cell>
          <cell r="BB245" t="str">
            <v/>
          </cell>
          <cell r="BC245">
            <v>6</v>
          </cell>
          <cell r="BD245">
            <v>0</v>
          </cell>
          <cell r="BE245">
            <v>0</v>
          </cell>
          <cell r="BF245">
            <v>64</v>
          </cell>
          <cell r="BG245">
            <v>0.71111111111111114</v>
          </cell>
          <cell r="BH245">
            <v>1</v>
          </cell>
          <cell r="BI245">
            <v>8</v>
          </cell>
          <cell r="BJ245">
            <v>21</v>
          </cell>
          <cell r="BK245">
            <v>7</v>
          </cell>
          <cell r="BL245">
            <v>0.2857142857142857</v>
          </cell>
          <cell r="BM245">
            <v>0.38095238095238093</v>
          </cell>
          <cell r="BN245">
            <v>0.5200892857142857</v>
          </cell>
          <cell r="BO245">
            <v>38</v>
          </cell>
          <cell r="BP245">
            <v>0</v>
          </cell>
          <cell r="BQ245">
            <v>0.16052631578947368</v>
          </cell>
          <cell r="BR245">
            <v>0.54</v>
          </cell>
          <cell r="BS245">
            <v>8.8524590163934422E-2</v>
          </cell>
          <cell r="BT245">
            <v>1.01</v>
          </cell>
          <cell r="BU245">
            <v>0.16557377049180327</v>
          </cell>
          <cell r="BV245">
            <v>0.25409836065573771</v>
          </cell>
          <cell r="BW245">
            <v>0</v>
          </cell>
          <cell r="BX245">
            <v>38</v>
          </cell>
          <cell r="BY245">
            <v>1.7036842105263157</v>
          </cell>
          <cell r="BZ245">
            <v>0.9393157894736841</v>
          </cell>
        </row>
        <row r="246">
          <cell r="A246" t="str">
            <v>Milos Kerkez</v>
          </cell>
          <cell r="B246" t="str">
            <v/>
          </cell>
          <cell r="C246" t="str">
            <v>Kerkez</v>
          </cell>
          <cell r="D246" t="str">
            <v/>
          </cell>
          <cell r="F246" t="str">
            <v/>
          </cell>
          <cell r="H246" t="str">
            <v/>
          </cell>
          <cell r="I246">
            <v>2.1</v>
          </cell>
          <cell r="J246">
            <v>2.8</v>
          </cell>
          <cell r="K246">
            <v>3.5</v>
          </cell>
          <cell r="M246">
            <v>3.1492289345759827</v>
          </cell>
          <cell r="N246">
            <v>2.9129275877387824</v>
          </cell>
          <cell r="O246">
            <v>1.5528389693469569</v>
          </cell>
          <cell r="P246">
            <v>3.1492289345759827</v>
          </cell>
          <cell r="Q246">
            <v>2.9129275877387824</v>
          </cell>
          <cell r="R246">
            <v>2.1066666666666669</v>
          </cell>
          <cell r="S246">
            <v>3.1492289345759827</v>
          </cell>
          <cell r="T246" t="str">
            <v>DEF</v>
          </cell>
          <cell r="U246" t="str">
            <v>LB</v>
          </cell>
          <cell r="V246" t="str">
            <v>LIV</v>
          </cell>
          <cell r="W246" t="str">
            <v>Liverpool</v>
          </cell>
          <cell r="X246">
            <v>5.5</v>
          </cell>
          <cell r="Y246">
            <v>85</v>
          </cell>
          <cell r="Z246">
            <v>2</v>
          </cell>
          <cell r="AA246">
            <v>83</v>
          </cell>
          <cell r="AB246">
            <v>2251</v>
          </cell>
          <cell r="AC246">
            <v>2251</v>
          </cell>
          <cell r="AD246">
            <v>0.45454545454545453</v>
          </cell>
          <cell r="AE246">
            <v>2</v>
          </cell>
          <cell r="AF246">
            <v>1</v>
          </cell>
          <cell r="AG246">
            <v>1.9991115059973329E-2</v>
          </cell>
          <cell r="AH246">
            <v>1.2394491337183473E-2</v>
          </cell>
          <cell r="AI246">
            <v>3.2385606397156833E-2</v>
          </cell>
          <cell r="AJ246">
            <v>7.0999999999999952E-2</v>
          </cell>
          <cell r="AK246">
            <v>4</v>
          </cell>
          <cell r="AL246">
            <v>357</v>
          </cell>
          <cell r="AM246">
            <v>4</v>
          </cell>
          <cell r="AN246">
            <v>0</v>
          </cell>
          <cell r="AO246">
            <v>358</v>
          </cell>
          <cell r="AP246" t="str">
            <v>Kerkez</v>
          </cell>
          <cell r="AQ246">
            <v>3.2638827187916486</v>
          </cell>
          <cell r="AR246">
            <v>0</v>
          </cell>
          <cell r="AS246">
            <v>3.0884051532652155</v>
          </cell>
          <cell r="AT246">
            <v>4.7027987561083968</v>
          </cell>
          <cell r="AU246">
            <v>1.4389160373167482</v>
          </cell>
          <cell r="AV246">
            <v>4.7027987561083968</v>
          </cell>
          <cell r="AW246">
            <v>4.7027987561083968</v>
          </cell>
          <cell r="AX246">
            <v>3.009791203909374E-2</v>
          </cell>
          <cell r="AY246">
            <v>0</v>
          </cell>
          <cell r="AZ246">
            <v>2.5</v>
          </cell>
          <cell r="BA246">
            <v>85</v>
          </cell>
          <cell r="BB246" t="str">
            <v/>
          </cell>
          <cell r="BC246">
            <v>27</v>
          </cell>
          <cell r="BD246">
            <v>15</v>
          </cell>
          <cell r="BE246">
            <v>0.55555555555555558</v>
          </cell>
          <cell r="BF246">
            <v>79</v>
          </cell>
          <cell r="BG246">
            <v>0.87777777777777777</v>
          </cell>
          <cell r="BH246">
            <v>1</v>
          </cell>
          <cell r="BI246">
            <v>7</v>
          </cell>
          <cell r="BJ246">
            <v>16</v>
          </cell>
          <cell r="BK246">
            <v>4</v>
          </cell>
          <cell r="BL246">
            <v>0.71052631578947367</v>
          </cell>
          <cell r="BM246">
            <v>0.18421052631578949</v>
          </cell>
          <cell r="BN246">
            <v>0.76915389740173212</v>
          </cell>
          <cell r="BO246">
            <v>38</v>
          </cell>
          <cell r="BP246">
            <v>0</v>
          </cell>
          <cell r="BQ246">
            <v>0.65818713450292399</v>
          </cell>
          <cell r="BR246">
            <v>1.5</v>
          </cell>
          <cell r="BS246">
            <v>5.9973345179920041E-2</v>
          </cell>
          <cell r="BT246">
            <v>0.69</v>
          </cell>
          <cell r="BU246">
            <v>2.7587738782763212E-2</v>
          </cell>
          <cell r="BV246">
            <v>8.756108396268325E-2</v>
          </cell>
          <cell r="BW246">
            <v>0</v>
          </cell>
          <cell r="BX246">
            <v>38</v>
          </cell>
          <cell r="BY246">
            <v>1.4176315789473684</v>
          </cell>
          <cell r="BZ246">
            <v>1.2253684210526314</v>
          </cell>
        </row>
        <row r="247">
          <cell r="A247" t="str">
            <v>Dan Ndoye</v>
          </cell>
          <cell r="B247" t="str">
            <v/>
          </cell>
          <cell r="C247" t="str">
            <v>Ndoye</v>
          </cell>
          <cell r="D247" t="str">
            <v/>
          </cell>
          <cell r="F247" t="str">
            <v/>
          </cell>
          <cell r="H247" t="str">
            <v/>
          </cell>
          <cell r="I247" t="e">
            <v>#N/A</v>
          </cell>
          <cell r="J247" t="e">
            <v>#N/A</v>
          </cell>
          <cell r="K247" t="e">
            <v>#N/A</v>
          </cell>
          <cell r="M247">
            <v>3.1482985100185754</v>
          </cell>
          <cell r="N247">
            <v>3.0419880034275919</v>
          </cell>
          <cell r="O247">
            <v>2.2306769494430165</v>
          </cell>
          <cell r="P247">
            <v>3.1482985100185754</v>
          </cell>
          <cell r="Q247">
            <v>3.0419880034275919</v>
          </cell>
          <cell r="R247">
            <v>0</v>
          </cell>
          <cell r="S247">
            <v>3.1482985100185754</v>
          </cell>
          <cell r="T247" t="str">
            <v>MID</v>
          </cell>
          <cell r="U247" t="str">
            <v>RW</v>
          </cell>
          <cell r="V247" t="str">
            <v>NFO</v>
          </cell>
          <cell r="W247" t="str">
            <v>Nott'm Forest</v>
          </cell>
          <cell r="X247">
            <v>5.5</v>
          </cell>
          <cell r="Y247">
            <v>50</v>
          </cell>
          <cell r="Z247">
            <v>0</v>
          </cell>
          <cell r="AA247">
            <v>50</v>
          </cell>
          <cell r="AB247">
            <v>1167</v>
          </cell>
          <cell r="AC247">
            <v>1167</v>
          </cell>
          <cell r="AD247">
            <v>0.37878787878787884</v>
          </cell>
          <cell r="AE247">
            <v>1</v>
          </cell>
          <cell r="AF247">
            <v>2</v>
          </cell>
          <cell r="AG247">
            <v>-3.8560411311054088E-3</v>
          </cell>
          <cell r="AH247">
            <v>3.7789203084832898E-2</v>
          </cell>
          <cell r="AI247">
            <v>3.3933161953727475E-2</v>
          </cell>
          <cell r="AJ247">
            <v>6.9999999999998952E-3</v>
          </cell>
          <cell r="AK247">
            <v>4</v>
          </cell>
          <cell r="AL247">
            <v>178</v>
          </cell>
          <cell r="AM247">
            <v>1</v>
          </cell>
          <cell r="AN247">
            <v>0</v>
          </cell>
          <cell r="AO247">
            <v>483</v>
          </cell>
          <cell r="AP247" t="str">
            <v>Ndoye</v>
          </cell>
          <cell r="AQ247">
            <v>1.460154241645244</v>
          </cell>
          <cell r="AR247">
            <v>0</v>
          </cell>
          <cell r="AS247">
            <v>3.0419880034275919</v>
          </cell>
          <cell r="AT247">
            <v>5.840616966580976</v>
          </cell>
          <cell r="AU247">
            <v>1.3384747215081405</v>
          </cell>
          <cell r="AV247">
            <v>5.840616966580976</v>
          </cell>
          <cell r="AW247">
            <v>5.840616966580976</v>
          </cell>
          <cell r="AX247">
            <v>4.4221814175541677E-2</v>
          </cell>
          <cell r="AY247">
            <v>0</v>
          </cell>
          <cell r="AZ247">
            <v>2.1</v>
          </cell>
          <cell r="BA247">
            <v>50</v>
          </cell>
          <cell r="BB247" t="str">
            <v/>
          </cell>
          <cell r="BC247">
            <v>14</v>
          </cell>
          <cell r="BD247">
            <v>3</v>
          </cell>
          <cell r="BE247">
            <v>0.21428571428571427</v>
          </cell>
          <cell r="BF247">
            <v>71</v>
          </cell>
          <cell r="BG247">
            <v>0.78888888888888886</v>
          </cell>
          <cell r="BH247">
            <v>1</v>
          </cell>
          <cell r="BI247">
            <v>10</v>
          </cell>
          <cell r="BJ247">
            <v>18</v>
          </cell>
          <cell r="BK247">
            <v>5</v>
          </cell>
          <cell r="BL247">
            <v>0.48275862068965519</v>
          </cell>
          <cell r="BM247">
            <v>0.34482758620689652</v>
          </cell>
          <cell r="BN247">
            <v>0.61389023797960174</v>
          </cell>
          <cell r="BO247">
            <v>38</v>
          </cell>
          <cell r="BP247">
            <v>0</v>
          </cell>
          <cell r="BQ247">
            <v>0.3412280701754386</v>
          </cell>
          <cell r="BR247">
            <v>1.05</v>
          </cell>
          <cell r="BS247">
            <v>8.0976863753213377E-2</v>
          </cell>
          <cell r="BT247">
            <v>1.51</v>
          </cell>
          <cell r="BU247">
            <v>0.11645244215938304</v>
          </cell>
          <cell r="BV247">
            <v>0.19742930591259641</v>
          </cell>
          <cell r="BW247">
            <v>0</v>
          </cell>
          <cell r="BX247">
            <v>38</v>
          </cell>
          <cell r="BY247">
            <v>1.7036842105263157</v>
          </cell>
          <cell r="BZ247">
            <v>0.9393157894736841</v>
          </cell>
        </row>
        <row r="248">
          <cell r="A248" t="str">
            <v>Andrey Nascimento dos Santos</v>
          </cell>
          <cell r="B248" t="str">
            <v/>
          </cell>
          <cell r="C248" t="str">
            <v>Andrey Santos</v>
          </cell>
          <cell r="D248" t="str">
            <v/>
          </cell>
          <cell r="F248" t="str">
            <v/>
          </cell>
          <cell r="H248" t="str">
            <v/>
          </cell>
          <cell r="I248">
            <v>0</v>
          </cell>
          <cell r="J248">
            <v>0</v>
          </cell>
          <cell r="K248">
            <v>0</v>
          </cell>
          <cell r="M248">
            <v>3.1442018306108275</v>
          </cell>
          <cell r="N248">
            <v>2.4482758620689653</v>
          </cell>
          <cell r="O248">
            <v>2.6293679613681529</v>
          </cell>
          <cell r="P248">
            <v>3.1442018306108275</v>
          </cell>
          <cell r="Q248">
            <v>2.4482758620689653</v>
          </cell>
          <cell r="R248">
            <v>5.016304347826086</v>
          </cell>
          <cell r="S248">
            <v>3.1442018306108275</v>
          </cell>
          <cell r="T248" t="str">
            <v>MID</v>
          </cell>
          <cell r="U248" t="str">
            <v>DM</v>
          </cell>
          <cell r="V248" t="str">
            <v>MUN</v>
          </cell>
          <cell r="W248" t="str">
            <v>Man Utd</v>
          </cell>
          <cell r="X248">
            <v>5</v>
          </cell>
          <cell r="Y248">
            <v>47</v>
          </cell>
          <cell r="Z248">
            <v>4</v>
          </cell>
          <cell r="AA248">
            <v>43</v>
          </cell>
          <cell r="AB248">
            <v>1247</v>
          </cell>
          <cell r="AC248">
            <v>1247</v>
          </cell>
          <cell r="AD248">
            <v>0.34814814814814815</v>
          </cell>
          <cell r="AE248">
            <v>1</v>
          </cell>
          <cell r="AF248">
            <v>0</v>
          </cell>
          <cell r="AG248">
            <v>-7.2173215717722533E-2</v>
          </cell>
          <cell r="AH248">
            <v>-6.3512429831595829E-2</v>
          </cell>
          <cell r="AI248">
            <v>-0.13568564554931836</v>
          </cell>
          <cell r="AJ248">
            <v>1.6000000000000014E-2</v>
          </cell>
          <cell r="AK248">
            <v>3</v>
          </cell>
          <cell r="AL248">
            <v>257</v>
          </cell>
          <cell r="AM248">
            <v>4</v>
          </cell>
          <cell r="AN248">
            <v>0</v>
          </cell>
          <cell r="AO248">
            <v>162</v>
          </cell>
          <cell r="AP248" t="str">
            <v>Andrey Santos</v>
          </cell>
          <cell r="AQ248">
            <v>2.5052125100240579</v>
          </cell>
          <cell r="AR248">
            <v>0</v>
          </cell>
          <cell r="AS248">
            <v>2.7329591018444264</v>
          </cell>
          <cell r="AT248">
            <v>7.3448275862068959</v>
          </cell>
          <cell r="AU248">
            <v>2.1066559743384121</v>
          </cell>
          <cell r="AV248">
            <v>7.3448275862068959</v>
          </cell>
          <cell r="AW248">
            <v>7.3448275862068959</v>
          </cell>
          <cell r="AX248">
            <v>7.7827586206896504E-2</v>
          </cell>
          <cell r="AY248">
            <v>0</v>
          </cell>
          <cell r="AZ248">
            <v>1.7</v>
          </cell>
          <cell r="BA248">
            <v>47</v>
          </cell>
          <cell r="BB248" t="str">
            <v/>
          </cell>
          <cell r="BC248">
            <v>13</v>
          </cell>
          <cell r="BD248">
            <v>4</v>
          </cell>
          <cell r="BE248">
            <v>0.30769230769230771</v>
          </cell>
          <cell r="BF248">
            <v>71</v>
          </cell>
          <cell r="BG248">
            <v>0.78888888888888886</v>
          </cell>
          <cell r="BH248">
            <v>1</v>
          </cell>
          <cell r="BI248">
            <v>14</v>
          </cell>
          <cell r="BJ248">
            <v>24</v>
          </cell>
          <cell r="BK248">
            <v>10</v>
          </cell>
          <cell r="BL248">
            <v>0.35135135135135137</v>
          </cell>
          <cell r="BM248">
            <v>0.3783783783783784</v>
          </cell>
          <cell r="BN248">
            <v>0.57061286638751429</v>
          </cell>
          <cell r="BO248">
            <v>38</v>
          </cell>
          <cell r="BP248">
            <v>0</v>
          </cell>
          <cell r="BQ248">
            <v>0.36461988304093568</v>
          </cell>
          <cell r="BR248">
            <v>2</v>
          </cell>
          <cell r="BS248">
            <v>0.14434643143544507</v>
          </cell>
          <cell r="BT248">
            <v>0.88</v>
          </cell>
          <cell r="BU248">
            <v>6.3512429831595829E-2</v>
          </cell>
          <cell r="BV248">
            <v>0.2078588612670409</v>
          </cell>
          <cell r="BW248">
            <v>0</v>
          </cell>
          <cell r="BX248">
            <v>38</v>
          </cell>
          <cell r="BY248">
            <v>1.3231578947368421</v>
          </cell>
          <cell r="BZ248">
            <v>1.3198421052631577</v>
          </cell>
        </row>
        <row r="249">
          <cell r="A249" t="str">
            <v>Maxence Lacroix</v>
          </cell>
          <cell r="B249" t="str">
            <v/>
          </cell>
          <cell r="C249" t="str">
            <v>Lacroix</v>
          </cell>
          <cell r="D249" t="str">
            <v/>
          </cell>
          <cell r="F249" t="str">
            <v/>
          </cell>
          <cell r="H249" t="str">
            <v/>
          </cell>
          <cell r="I249">
            <v>3.3</v>
          </cell>
          <cell r="J249">
            <v>3.3</v>
          </cell>
          <cell r="K249">
            <v>3.3</v>
          </cell>
          <cell r="M249">
            <v>3.1403908101370401</v>
          </cell>
          <cell r="N249">
            <v>3.2518638573743921</v>
          </cell>
          <cell r="O249">
            <v>1.8381697887582913</v>
          </cell>
          <cell r="P249">
            <v>3.0683255897287949</v>
          </cell>
          <cell r="Q249">
            <v>3.2518638573743921</v>
          </cell>
          <cell r="R249">
            <v>3.7960784313725489</v>
          </cell>
          <cell r="S249">
            <v>3.1403908101370401</v>
          </cell>
          <cell r="T249" t="str">
            <v>DEF</v>
          </cell>
          <cell r="U249" t="str">
            <v>CB</v>
          </cell>
          <cell r="V249" t="str">
            <v>CRY</v>
          </cell>
          <cell r="W249" t="str">
            <v>Crystal Palace</v>
          </cell>
          <cell r="X249">
            <v>6</v>
          </cell>
          <cell r="Y249">
            <v>154</v>
          </cell>
          <cell r="Z249">
            <v>40</v>
          </cell>
          <cell r="AA249">
            <v>114</v>
          </cell>
          <cell r="AB249">
            <v>3085</v>
          </cell>
          <cell r="AC249">
            <v>3085</v>
          </cell>
          <cell r="AD249">
            <v>0.73333333333333339</v>
          </cell>
          <cell r="AE249">
            <v>1</v>
          </cell>
          <cell r="AF249">
            <v>2</v>
          </cell>
          <cell r="AG249">
            <v>-4.2301458670988668E-2</v>
          </cell>
          <cell r="AH249">
            <v>3.4132901134521873E-2</v>
          </cell>
          <cell r="AI249">
            <v>-8.1685575364667945E-3</v>
          </cell>
          <cell r="AJ249">
            <v>0.1339999999999999</v>
          </cell>
          <cell r="AK249">
            <v>11</v>
          </cell>
          <cell r="AL249">
            <v>529</v>
          </cell>
          <cell r="AM249">
            <v>4</v>
          </cell>
          <cell r="AN249">
            <v>0</v>
          </cell>
          <cell r="AO249">
            <v>200</v>
          </cell>
          <cell r="AP249" t="str">
            <v>Lacroix</v>
          </cell>
          <cell r="AQ249">
            <v>8.8427876823338742</v>
          </cell>
          <cell r="AR249">
            <v>0</v>
          </cell>
          <cell r="AS249">
            <v>2.7384116693679088</v>
          </cell>
          <cell r="AT249">
            <v>10.554294975688817</v>
          </cell>
          <cell r="AU249">
            <v>1.7115072933549433</v>
          </cell>
          <cell r="AV249">
            <v>10.554294975688817</v>
          </cell>
          <cell r="AW249">
            <v>10.554294975688817</v>
          </cell>
          <cell r="AX249">
            <v>0.60395542949756897</v>
          </cell>
          <cell r="AY249">
            <v>0</v>
          </cell>
          <cell r="AZ249">
            <v>4.4000000000000004</v>
          </cell>
          <cell r="BA249">
            <v>154</v>
          </cell>
          <cell r="BB249" t="str">
            <v/>
          </cell>
          <cell r="BC249">
            <v>35</v>
          </cell>
          <cell r="BD249">
            <v>33</v>
          </cell>
          <cell r="BE249">
            <v>0.94285714285714284</v>
          </cell>
          <cell r="BF249">
            <v>88</v>
          </cell>
          <cell r="BG249">
            <v>0.97777777777777775</v>
          </cell>
          <cell r="BH249">
            <v>1</v>
          </cell>
          <cell r="BI249">
            <v>0</v>
          </cell>
          <cell r="BJ249">
            <v>0</v>
          </cell>
          <cell r="BK249">
            <v>1</v>
          </cell>
          <cell r="BL249">
            <v>0.97222222222222221</v>
          </cell>
          <cell r="BM249">
            <v>0</v>
          </cell>
          <cell r="BN249">
            <v>0.97222222222222221</v>
          </cell>
          <cell r="BO249">
            <v>38</v>
          </cell>
          <cell r="BP249">
            <v>0</v>
          </cell>
          <cell r="BQ249">
            <v>0.90204678362573099</v>
          </cell>
          <cell r="BR249">
            <v>2.4500000000000002</v>
          </cell>
          <cell r="BS249">
            <v>7.1474878444084289E-2</v>
          </cell>
          <cell r="BT249">
            <v>0.83</v>
          </cell>
          <cell r="BU249">
            <v>2.4213938411669366E-2</v>
          </cell>
          <cell r="BV249">
            <v>9.5688816855753658E-2</v>
          </cell>
          <cell r="BW249">
            <v>0</v>
          </cell>
          <cell r="BX249">
            <v>38</v>
          </cell>
          <cell r="BY249">
            <v>1.631578947368421</v>
          </cell>
          <cell r="BZ249">
            <v>1.0114210526315788</v>
          </cell>
        </row>
        <row r="250">
          <cell r="A250" t="str">
            <v>Kevin Santos Lopes de Macedo</v>
          </cell>
          <cell r="B250" t="str">
            <v/>
          </cell>
          <cell r="C250" t="str">
            <v>Kevin</v>
          </cell>
          <cell r="D250" t="str">
            <v/>
          </cell>
          <cell r="F250" t="str">
            <v/>
          </cell>
          <cell r="H250" t="str">
            <v/>
          </cell>
          <cell r="I250" t="e">
            <v>#N/A</v>
          </cell>
          <cell r="J250" t="e">
            <v>#N/A</v>
          </cell>
          <cell r="K250" t="e">
            <v>#N/A</v>
          </cell>
          <cell r="M250">
            <v>3.1364755790655394</v>
          </cell>
          <cell r="N250">
            <v>3.2349514563106792</v>
          </cell>
          <cell r="O250">
            <v>2.4771562224183583</v>
          </cell>
          <cell r="P250">
            <v>3.117674662511484</v>
          </cell>
          <cell r="Q250">
            <v>3.2349514563106792</v>
          </cell>
          <cell r="R250">
            <v>3.0909090909090908</v>
          </cell>
          <cell r="S250">
            <v>3.1364755790655394</v>
          </cell>
          <cell r="T250" t="str">
            <v>MID</v>
          </cell>
          <cell r="U250" t="str">
            <v>LW</v>
          </cell>
          <cell r="V250" t="str">
            <v>FUL</v>
          </cell>
          <cell r="W250" t="str">
            <v>Fulham</v>
          </cell>
          <cell r="X250">
            <v>5.5</v>
          </cell>
          <cell r="Y250">
            <v>49</v>
          </cell>
          <cell r="Z250">
            <v>0</v>
          </cell>
          <cell r="AA250">
            <v>49</v>
          </cell>
          <cell r="AB250">
            <v>1030</v>
          </cell>
          <cell r="AC250">
            <v>1030</v>
          </cell>
          <cell r="AD250">
            <v>0.34265734265734266</v>
          </cell>
          <cell r="AE250">
            <v>1</v>
          </cell>
          <cell r="AF250">
            <v>3</v>
          </cell>
          <cell r="AG250">
            <v>-1.8349514563106795E-2</v>
          </cell>
          <cell r="AH250">
            <v>0.13368932038834952</v>
          </cell>
          <cell r="AI250">
            <v>0.11533980582524272</v>
          </cell>
          <cell r="AJ250">
            <v>9.9999999999988987E-4</v>
          </cell>
          <cell r="AK250">
            <v>0</v>
          </cell>
          <cell r="AL250">
            <v>183</v>
          </cell>
          <cell r="AM250">
            <v>1</v>
          </cell>
          <cell r="AN250">
            <v>0</v>
          </cell>
          <cell r="AO250">
            <v>263</v>
          </cell>
          <cell r="AP250" t="str">
            <v>Kevin</v>
          </cell>
          <cell r="AQ250">
            <v>1.1223300970873789</v>
          </cell>
          <cell r="AR250">
            <v>0</v>
          </cell>
          <cell r="AS250">
            <v>3.1689320388349511</v>
          </cell>
          <cell r="AT250">
            <v>5.677669902912621</v>
          </cell>
          <cell r="AU250">
            <v>1.3864077669902912</v>
          </cell>
          <cell r="AV250">
            <v>5.677669902912621</v>
          </cell>
          <cell r="AW250">
            <v>5.677669902912621</v>
          </cell>
          <cell r="AX250">
            <v>4.2988072122052697E-2</v>
          </cell>
          <cell r="AY250">
            <v>0</v>
          </cell>
          <cell r="AZ250">
            <v>1.9</v>
          </cell>
          <cell r="BA250">
            <v>49</v>
          </cell>
          <cell r="BB250" t="str">
            <v/>
          </cell>
          <cell r="BC250">
            <v>9</v>
          </cell>
          <cell r="BD250">
            <v>0</v>
          </cell>
          <cell r="BE250">
            <v>0</v>
          </cell>
          <cell r="BF250">
            <v>68</v>
          </cell>
          <cell r="BG250">
            <v>0.75555555555555554</v>
          </cell>
          <cell r="BH250">
            <v>1</v>
          </cell>
          <cell r="BI250">
            <v>17</v>
          </cell>
          <cell r="BJ250">
            <v>25</v>
          </cell>
          <cell r="BK250">
            <v>1</v>
          </cell>
          <cell r="BL250">
            <v>0.33333333333333331</v>
          </cell>
          <cell r="BM250">
            <v>0.62962962962962965</v>
          </cell>
          <cell r="BN250">
            <v>0.57843137254901955</v>
          </cell>
          <cell r="BO250">
            <v>38</v>
          </cell>
          <cell r="BP250">
            <v>0</v>
          </cell>
          <cell r="BQ250">
            <v>0.30116959064327486</v>
          </cell>
          <cell r="BR250">
            <v>1.21</v>
          </cell>
          <cell r="BS250">
            <v>0.10572815533980583</v>
          </cell>
          <cell r="BT250">
            <v>1.47</v>
          </cell>
          <cell r="BU250">
            <v>0.12844660194174756</v>
          </cell>
          <cell r="BV250">
            <v>0.2341747572815534</v>
          </cell>
          <cell r="BW250">
            <v>0</v>
          </cell>
          <cell r="BX250">
            <v>38</v>
          </cell>
          <cell r="BY250">
            <v>1.6842105263157894</v>
          </cell>
          <cell r="BZ250">
            <v>0.95878947368421041</v>
          </cell>
        </row>
        <row r="251">
          <cell r="A251" t="str">
            <v>Ryan Gravenberch</v>
          </cell>
          <cell r="B251" t="str">
            <v/>
          </cell>
          <cell r="C251" t="str">
            <v>Gravenberch</v>
          </cell>
          <cell r="D251" t="str">
            <v/>
          </cell>
          <cell r="F251" t="str">
            <v/>
          </cell>
          <cell r="H251" t="str">
            <v/>
          </cell>
          <cell r="I251">
            <v>1.7</v>
          </cell>
          <cell r="J251">
            <v>2.1</v>
          </cell>
          <cell r="K251">
            <v>2.5</v>
          </cell>
          <cell r="M251">
            <v>3.1355861405274199</v>
          </cell>
          <cell r="N251">
            <v>3.7378803075894349</v>
          </cell>
          <cell r="O251">
            <v>2.7439083918421932</v>
          </cell>
          <cell r="P251">
            <v>3.1355861405274199</v>
          </cell>
          <cell r="Q251">
            <v>3.7378803075894349</v>
          </cell>
          <cell r="R251">
            <v>3.8177570093457942</v>
          </cell>
          <cell r="S251">
            <v>3.1355861405274199</v>
          </cell>
          <cell r="T251" t="str">
            <v>MID</v>
          </cell>
          <cell r="U251" t="str">
            <v>DM</v>
          </cell>
          <cell r="V251" t="str">
            <v>LIV</v>
          </cell>
          <cell r="W251" t="str">
            <v>Liverpool</v>
          </cell>
          <cell r="X251">
            <v>6</v>
          </cell>
          <cell r="Y251">
            <v>144</v>
          </cell>
          <cell r="Z251">
            <v>14</v>
          </cell>
          <cell r="AA251">
            <v>130</v>
          </cell>
          <cell r="AB251">
            <v>2991</v>
          </cell>
          <cell r="AC251">
            <v>2991</v>
          </cell>
          <cell r="AD251">
            <v>0.66666666666666663</v>
          </cell>
          <cell r="AE251">
            <v>5</v>
          </cell>
          <cell r="AF251">
            <v>5</v>
          </cell>
          <cell r="AG251">
            <v>9.3580742226680058E-2</v>
          </cell>
          <cell r="AH251">
            <v>8.2447342026078257E-2</v>
          </cell>
          <cell r="AI251">
            <v>0.17602808425275832</v>
          </cell>
          <cell r="AJ251">
            <v>1.6000000000000014E-2</v>
          </cell>
          <cell r="AK251">
            <v>17</v>
          </cell>
          <cell r="AL251">
            <v>671</v>
          </cell>
          <cell r="AM251">
            <v>5</v>
          </cell>
          <cell r="AN251">
            <v>0</v>
          </cell>
          <cell r="AO251">
            <v>371</v>
          </cell>
          <cell r="AP251" t="str">
            <v>Gravenberch</v>
          </cell>
          <cell r="AQ251">
            <v>3.2203276496155131</v>
          </cell>
          <cell r="AR251">
            <v>0</v>
          </cell>
          <cell r="AS251">
            <v>3.6516215312604481</v>
          </cell>
          <cell r="AT251">
            <v>8.5683717820127043</v>
          </cell>
          <cell r="AU251">
            <v>1.6964226011367436</v>
          </cell>
          <cell r="AV251">
            <v>8.5683717820127043</v>
          </cell>
          <cell r="AW251">
            <v>8.5683717820127043</v>
          </cell>
          <cell r="AX251">
            <v>0.16592276830491473</v>
          </cell>
          <cell r="AY251">
            <v>0</v>
          </cell>
          <cell r="AZ251">
            <v>4</v>
          </cell>
          <cell r="BA251">
            <v>144</v>
          </cell>
          <cell r="BB251" t="str">
            <v/>
          </cell>
          <cell r="BC251">
            <v>34</v>
          </cell>
          <cell r="BD251">
            <v>28</v>
          </cell>
          <cell r="BE251">
            <v>0.82352941176470584</v>
          </cell>
          <cell r="BF251">
            <v>86</v>
          </cell>
          <cell r="BG251">
            <v>0.9555555555555556</v>
          </cell>
          <cell r="BH251">
            <v>1</v>
          </cell>
          <cell r="BI251">
            <v>2</v>
          </cell>
          <cell r="BJ251">
            <v>29</v>
          </cell>
          <cell r="BK251">
            <v>0</v>
          </cell>
          <cell r="BL251">
            <v>0.94444444444444442</v>
          </cell>
          <cell r="BM251">
            <v>5.555555555555558E-2</v>
          </cell>
          <cell r="BN251">
            <v>0.96317829457364335</v>
          </cell>
          <cell r="BO251">
            <v>38</v>
          </cell>
          <cell r="BP251">
            <v>0</v>
          </cell>
          <cell r="BQ251">
            <v>0.87456140350877198</v>
          </cell>
          <cell r="BR251">
            <v>1.89</v>
          </cell>
          <cell r="BS251">
            <v>5.6870611835506513E-2</v>
          </cell>
          <cell r="BT251">
            <v>2.2599999999999998</v>
          </cell>
          <cell r="BU251">
            <v>6.8004012036108313E-2</v>
          </cell>
          <cell r="BV251">
            <v>0.12487462387161483</v>
          </cell>
          <cell r="BW251">
            <v>0</v>
          </cell>
          <cell r="BX251">
            <v>38</v>
          </cell>
          <cell r="BY251">
            <v>1.4176315789473684</v>
          </cell>
          <cell r="BZ251">
            <v>1.2253684210526314</v>
          </cell>
        </row>
        <row r="252">
          <cell r="A252" t="str">
            <v>Kenny Tete</v>
          </cell>
          <cell r="B252" t="str">
            <v/>
          </cell>
          <cell r="C252" t="str">
            <v>Tete</v>
          </cell>
          <cell r="D252" t="str">
            <v/>
          </cell>
          <cell r="F252" t="str">
            <v/>
          </cell>
          <cell r="H252" t="str">
            <v/>
          </cell>
          <cell r="I252">
            <v>1.9</v>
          </cell>
          <cell r="J252">
            <v>2.3333333333333335</v>
          </cell>
          <cell r="K252">
            <v>2.9</v>
          </cell>
          <cell r="M252">
            <v>3.1352630039908145</v>
          </cell>
          <cell r="N252">
            <v>3.1797878280290339</v>
          </cell>
          <cell r="O252">
            <v>1.6013414293690675</v>
          </cell>
          <cell r="P252">
            <v>3.0184803904061712</v>
          </cell>
          <cell r="Q252">
            <v>3.1797878280290339</v>
          </cell>
          <cell r="R252">
            <v>0</v>
          </cell>
          <cell r="S252">
            <v>3.1352630039908145</v>
          </cell>
          <cell r="T252" t="str">
            <v>DEF</v>
          </cell>
          <cell r="U252" t="str">
            <v>RB</v>
          </cell>
          <cell r="V252" t="str">
            <v>FUL</v>
          </cell>
          <cell r="W252" t="str">
            <v>Fulham</v>
          </cell>
          <cell r="X252">
            <v>4.5</v>
          </cell>
          <cell r="Y252">
            <v>81</v>
          </cell>
          <cell r="Z252">
            <v>14</v>
          </cell>
          <cell r="AA252">
            <v>67</v>
          </cell>
          <cell r="AB252">
            <v>1791</v>
          </cell>
          <cell r="AC252">
            <v>1791</v>
          </cell>
          <cell r="AD252">
            <v>0.81818181818181812</v>
          </cell>
          <cell r="AE252">
            <v>1</v>
          </cell>
          <cell r="AF252">
            <v>0</v>
          </cell>
          <cell r="AG252">
            <v>4.020100502512565E-3</v>
          </cell>
          <cell r="AH252">
            <v>-7.3366834170854267E-2</v>
          </cell>
          <cell r="AI252">
            <v>-6.9346733668341709E-2</v>
          </cell>
          <cell r="AJ252">
            <v>2.0000000000000018E-3</v>
          </cell>
          <cell r="AK252">
            <v>5</v>
          </cell>
          <cell r="AL252">
            <v>318</v>
          </cell>
          <cell r="AM252">
            <v>2</v>
          </cell>
          <cell r="AN252">
            <v>0</v>
          </cell>
          <cell r="AO252">
            <v>256</v>
          </cell>
          <cell r="AP252" t="str">
            <v>Tete</v>
          </cell>
          <cell r="AQ252">
            <v>4.7459519821328859</v>
          </cell>
          <cell r="AR252">
            <v>0</v>
          </cell>
          <cell r="AS252">
            <v>3.8916806253489673</v>
          </cell>
          <cell r="AT252">
            <v>7.8308207705192627</v>
          </cell>
          <cell r="AU252">
            <v>3.0848687883863763</v>
          </cell>
          <cell r="AV252">
            <v>7.8308207705192627</v>
          </cell>
          <cell r="AW252">
            <v>7.8308207705192627</v>
          </cell>
          <cell r="AX252">
            <v>0.2705293132328308</v>
          </cell>
          <cell r="AY252">
            <v>0</v>
          </cell>
          <cell r="AZ252">
            <v>3.7</v>
          </cell>
          <cell r="BA252">
            <v>81</v>
          </cell>
          <cell r="BB252" t="str">
            <v/>
          </cell>
          <cell r="BC252">
            <v>21</v>
          </cell>
          <cell r="BD252">
            <v>15</v>
          </cell>
          <cell r="BE252">
            <v>0.7142857142857143</v>
          </cell>
          <cell r="BF252">
            <v>85</v>
          </cell>
          <cell r="BG252">
            <v>0.94444444444444442</v>
          </cell>
          <cell r="BH252">
            <v>1</v>
          </cell>
          <cell r="BI252">
            <v>1</v>
          </cell>
          <cell r="BJ252">
            <v>8</v>
          </cell>
          <cell r="BK252">
            <v>6</v>
          </cell>
          <cell r="BL252">
            <v>0.75</v>
          </cell>
          <cell r="BM252">
            <v>3.5714285714285726E-2</v>
          </cell>
          <cell r="BN252">
            <v>0.77352941176470591</v>
          </cell>
          <cell r="BO252">
            <v>38</v>
          </cell>
          <cell r="BP252">
            <v>0</v>
          </cell>
          <cell r="BQ252">
            <v>0.52368421052631575</v>
          </cell>
          <cell r="BR252">
            <v>0.92</v>
          </cell>
          <cell r="BS252">
            <v>4.6231155778894473E-2</v>
          </cell>
          <cell r="BT252">
            <v>1.46</v>
          </cell>
          <cell r="BU252">
            <v>7.3366834170854267E-2</v>
          </cell>
          <cell r="BV252">
            <v>0.11959798994974874</v>
          </cell>
          <cell r="BW252">
            <v>0</v>
          </cell>
          <cell r="BX252">
            <v>38</v>
          </cell>
          <cell r="BY252">
            <v>1.6842105263157894</v>
          </cell>
          <cell r="BZ252">
            <v>0.95878947368421041</v>
          </cell>
        </row>
        <row r="253">
          <cell r="A253" t="str">
            <v>Micky van de Ven</v>
          </cell>
          <cell r="B253" t="str">
            <v/>
          </cell>
          <cell r="C253" t="str">
            <v>Van de Ven</v>
          </cell>
          <cell r="D253" t="str">
            <v/>
          </cell>
          <cell r="F253" t="str">
            <v/>
          </cell>
          <cell r="H253" t="str">
            <v/>
          </cell>
          <cell r="I253">
            <v>2.5</v>
          </cell>
          <cell r="J253">
            <v>2.75</v>
          </cell>
          <cell r="K253">
            <v>3</v>
          </cell>
          <cell r="M253">
            <v>3.1335560349523264</v>
          </cell>
          <cell r="N253">
            <v>3.146991121341665</v>
          </cell>
          <cell r="O253">
            <v>1.8457866052833496</v>
          </cell>
          <cell r="P253">
            <v>3.1335560349523255</v>
          </cell>
          <cell r="Q253">
            <v>3.1469911213416641</v>
          </cell>
          <cell r="R253">
            <v>2.7388888888888885</v>
          </cell>
          <cell r="S253">
            <v>3.1335560349523264</v>
          </cell>
          <cell r="T253" t="str">
            <v>DEF</v>
          </cell>
          <cell r="U253" t="str">
            <v>CB</v>
          </cell>
          <cell r="V253" t="str">
            <v>TOT</v>
          </cell>
          <cell r="W253" t="str">
            <v>Spurs</v>
          </cell>
          <cell r="X253">
            <v>5</v>
          </cell>
          <cell r="Y253">
            <v>116.00000000000001</v>
          </cell>
          <cell r="Z253">
            <v>6</v>
          </cell>
          <cell r="AA253">
            <v>110.00000000000001</v>
          </cell>
          <cell r="AB253">
            <v>3041</v>
          </cell>
          <cell r="AC253">
            <v>3041</v>
          </cell>
          <cell r="AD253">
            <v>0.66285714285714292</v>
          </cell>
          <cell r="AE253">
            <v>4</v>
          </cell>
          <cell r="AF253">
            <v>1</v>
          </cell>
          <cell r="AG253">
            <v>3.4922722788556418E-2</v>
          </cell>
          <cell r="AH253">
            <v>1.8349227227885567E-2</v>
          </cell>
          <cell r="AI253">
            <v>5.3271950016441985E-2</v>
          </cell>
          <cell r="AJ253">
            <v>5.600000000000005E-2</v>
          </cell>
          <cell r="AK253">
            <v>10</v>
          </cell>
          <cell r="AL253">
            <v>431</v>
          </cell>
          <cell r="AM253">
            <v>9</v>
          </cell>
          <cell r="AN253">
            <v>0</v>
          </cell>
          <cell r="AO253">
            <v>503</v>
          </cell>
          <cell r="AP253" t="str">
            <v>Van de Ven</v>
          </cell>
          <cell r="AQ253">
            <v>4.9779677737586319</v>
          </cell>
          <cell r="AR253">
            <v>0</v>
          </cell>
          <cell r="AS253">
            <v>3.4616902334758302</v>
          </cell>
          <cell r="AT253">
            <v>6.0651101611312068</v>
          </cell>
          <cell r="AU253">
            <v>1.087142387372575</v>
          </cell>
          <cell r="AV253">
            <v>6.0651101611312068</v>
          </cell>
          <cell r="AW253">
            <v>6.0651101611312068</v>
          </cell>
          <cell r="AX253">
            <v>0.10549260111805328</v>
          </cell>
          <cell r="AY253">
            <v>0</v>
          </cell>
          <cell r="AZ253">
            <v>3.3</v>
          </cell>
          <cell r="BA253">
            <v>116.00000000000001</v>
          </cell>
          <cell r="BB253" t="str">
            <v/>
          </cell>
          <cell r="BC253">
            <v>35</v>
          </cell>
          <cell r="BD253">
            <v>32</v>
          </cell>
          <cell r="BE253">
            <v>0.91428571428571426</v>
          </cell>
          <cell r="BF253">
            <v>87</v>
          </cell>
          <cell r="BG253">
            <v>0.96666666666666667</v>
          </cell>
          <cell r="BH253">
            <v>1</v>
          </cell>
          <cell r="BI253">
            <v>0</v>
          </cell>
          <cell r="BJ253">
            <v>0</v>
          </cell>
          <cell r="BK253">
            <v>1</v>
          </cell>
          <cell r="BL253">
            <v>0.97222222222222221</v>
          </cell>
          <cell r="BM253">
            <v>0</v>
          </cell>
          <cell r="BN253">
            <v>0.97222222222222221</v>
          </cell>
          <cell r="BO253">
            <v>38</v>
          </cell>
          <cell r="BP253">
            <v>0</v>
          </cell>
          <cell r="BQ253">
            <v>0.88918128654970763</v>
          </cell>
          <cell r="BR253">
            <v>2.82</v>
          </cell>
          <cell r="BS253">
            <v>8.345938835909239E-2</v>
          </cell>
          <cell r="BT253">
            <v>0.38</v>
          </cell>
          <cell r="BU253">
            <v>1.1246300559026636E-2</v>
          </cell>
          <cell r="BV253">
            <v>9.4705688918119021E-2</v>
          </cell>
          <cell r="BW253">
            <v>0</v>
          </cell>
          <cell r="BX253">
            <v>38</v>
          </cell>
          <cell r="BY253">
            <v>1.4628947368421052</v>
          </cell>
          <cell r="BZ253">
            <v>1.1801052631578945</v>
          </cell>
        </row>
        <row r="254">
          <cell r="A254" t="str">
            <v>Timothy Castagne</v>
          </cell>
          <cell r="B254" t="str">
            <v/>
          </cell>
          <cell r="C254" t="str">
            <v>Castagne</v>
          </cell>
          <cell r="D254" t="str">
            <v/>
          </cell>
          <cell r="F254" t="str">
            <v/>
          </cell>
          <cell r="H254" t="str">
            <v/>
          </cell>
          <cell r="I254">
            <v>1.9</v>
          </cell>
          <cell r="J254">
            <v>2.6999999999999997</v>
          </cell>
          <cell r="K254">
            <v>3.1</v>
          </cell>
          <cell r="M254">
            <v>3.1319981499175218</v>
          </cell>
          <cell r="N254">
            <v>2.6670293797606095</v>
          </cell>
          <cell r="O254">
            <v>2.1840460113831903</v>
          </cell>
          <cell r="P254">
            <v>3.015215536332879</v>
          </cell>
          <cell r="Q254">
            <v>2.6670293797606095</v>
          </cell>
          <cell r="R254">
            <v>4.5263157894736841</v>
          </cell>
          <cell r="S254">
            <v>3.1319981499175218</v>
          </cell>
          <cell r="T254" t="str">
            <v>DEF</v>
          </cell>
          <cell r="U254" t="str">
            <v>RB</v>
          </cell>
          <cell r="V254" t="str">
            <v>FUL</v>
          </cell>
          <cell r="W254" t="str">
            <v>Fulham</v>
          </cell>
          <cell r="X254">
            <v>4.5</v>
          </cell>
          <cell r="Y254">
            <v>61</v>
          </cell>
          <cell r="Z254">
            <v>4</v>
          </cell>
          <cell r="AA254">
            <v>57</v>
          </cell>
          <cell r="AB254">
            <v>1838</v>
          </cell>
          <cell r="AC254">
            <v>1838</v>
          </cell>
          <cell r="AD254">
            <v>0.45185185185185184</v>
          </cell>
          <cell r="AE254">
            <v>0</v>
          </cell>
          <cell r="AF254">
            <v>2</v>
          </cell>
          <cell r="AG254">
            <v>-7.3449401523394992E-2</v>
          </cell>
          <cell r="AH254">
            <v>2.5952121871599565E-2</v>
          </cell>
          <cell r="AI254">
            <v>-4.7497279651795413E-2</v>
          </cell>
          <cell r="AJ254">
            <v>2.0000000000000018E-3</v>
          </cell>
          <cell r="AK254">
            <v>3</v>
          </cell>
          <cell r="AL254">
            <v>294</v>
          </cell>
          <cell r="AM254">
            <v>4</v>
          </cell>
          <cell r="AN254">
            <v>0</v>
          </cell>
          <cell r="AO254">
            <v>258</v>
          </cell>
          <cell r="AP254" t="str">
            <v>Castagne</v>
          </cell>
          <cell r="AQ254">
            <v>4.9597388465723613</v>
          </cell>
          <cell r="AR254">
            <v>0</v>
          </cell>
          <cell r="AS254">
            <v>2.6202393906420025</v>
          </cell>
          <cell r="AT254">
            <v>6.8313384113166489</v>
          </cell>
          <cell r="AU254">
            <v>1.8715995647442873</v>
          </cell>
          <cell r="AV254">
            <v>6.8313384113166489</v>
          </cell>
          <cell r="AW254">
            <v>6.8313384113166489</v>
          </cell>
          <cell r="AX254">
            <v>0.15836235038084878</v>
          </cell>
          <cell r="AY254">
            <v>0</v>
          </cell>
          <cell r="AZ254">
            <v>2</v>
          </cell>
          <cell r="BA254">
            <v>61</v>
          </cell>
          <cell r="BB254" t="str">
            <v/>
          </cell>
          <cell r="BC254">
            <v>20</v>
          </cell>
          <cell r="BD254">
            <v>16</v>
          </cell>
          <cell r="BE254">
            <v>0.8</v>
          </cell>
          <cell r="BF254">
            <v>86</v>
          </cell>
          <cell r="BG254">
            <v>0.9555555555555556</v>
          </cell>
          <cell r="BH254">
            <v>1</v>
          </cell>
          <cell r="BI254">
            <v>10</v>
          </cell>
          <cell r="BJ254">
            <v>12</v>
          </cell>
          <cell r="BK254">
            <v>8</v>
          </cell>
          <cell r="BL254">
            <v>0.52631578947368418</v>
          </cell>
          <cell r="BM254">
            <v>0.26315789473684215</v>
          </cell>
          <cell r="BN254">
            <v>0.59241126070991434</v>
          </cell>
          <cell r="BO254">
            <v>38</v>
          </cell>
          <cell r="BP254">
            <v>0</v>
          </cell>
          <cell r="BQ254">
            <v>0.53742690058479536</v>
          </cell>
          <cell r="BR254">
            <v>1.5</v>
          </cell>
          <cell r="BS254">
            <v>7.3449401523394992E-2</v>
          </cell>
          <cell r="BT254">
            <v>1.47</v>
          </cell>
          <cell r="BU254">
            <v>7.1980413492927095E-2</v>
          </cell>
          <cell r="BV254">
            <v>0.14542981501632207</v>
          </cell>
          <cell r="BW254">
            <v>0</v>
          </cell>
          <cell r="BX254">
            <v>38</v>
          </cell>
          <cell r="BY254">
            <v>1.6842105263157894</v>
          </cell>
          <cell r="BZ254">
            <v>0.95878947368421041</v>
          </cell>
        </row>
        <row r="255">
          <cell r="A255" t="str">
            <v>Harvey Elliott</v>
          </cell>
          <cell r="B255" t="str">
            <v/>
          </cell>
          <cell r="C255" t="str">
            <v>Elliott</v>
          </cell>
          <cell r="D255" t="str">
            <v/>
          </cell>
          <cell r="F255" t="str">
            <v/>
          </cell>
          <cell r="H255" t="str">
            <v/>
          </cell>
          <cell r="I255">
            <v>1.8</v>
          </cell>
          <cell r="J255">
            <v>2.1666666666666665</v>
          </cell>
          <cell r="K255">
            <v>2.8</v>
          </cell>
          <cell r="M255">
            <v>3.1300485711152954</v>
          </cell>
          <cell r="N255">
            <v>0</v>
          </cell>
          <cell r="O255">
            <v>2.1390909090909092</v>
          </cell>
          <cell r="P255">
            <v>3.1467671076712755</v>
          </cell>
          <cell r="Q255">
            <v>2.0454545454545454</v>
          </cell>
          <cell r="R255">
            <v>0</v>
          </cell>
          <cell r="S255">
            <v>3.1300485711152954</v>
          </cell>
          <cell r="T255" t="str">
            <v>MID</v>
          </cell>
          <cell r="U255" t="str">
            <v>AM</v>
          </cell>
          <cell r="V255" t="str">
            <v>LIV</v>
          </cell>
          <cell r="W255" t="str">
            <v>Liverpool</v>
          </cell>
          <cell r="X255">
            <v>5.5</v>
          </cell>
          <cell r="Y255">
            <v>5</v>
          </cell>
          <cell r="Z255">
            <v>0</v>
          </cell>
          <cell r="AA255">
            <v>5</v>
          </cell>
          <cell r="AB255">
            <v>110</v>
          </cell>
          <cell r="AC255">
            <v>110</v>
          </cell>
          <cell r="AD255">
            <v>0.22727272727272727</v>
          </cell>
          <cell r="AE255">
            <v>0</v>
          </cell>
          <cell r="AF255">
            <v>0</v>
          </cell>
          <cell r="AG255">
            <v>-0.23727272727272727</v>
          </cell>
          <cell r="AH255">
            <v>-6.545454545454546E-2</v>
          </cell>
          <cell r="AI255">
            <v>-0.30272727272727273</v>
          </cell>
          <cell r="AJ255">
            <v>9.9999999999988987E-4</v>
          </cell>
          <cell r="AK255">
            <v>0</v>
          </cell>
          <cell r="AL255">
            <v>17</v>
          </cell>
          <cell r="AM255">
            <v>0</v>
          </cell>
          <cell r="AN255">
            <v>0</v>
          </cell>
          <cell r="AO255">
            <v>383</v>
          </cell>
          <cell r="AP255" t="str">
            <v>Elliott</v>
          </cell>
          <cell r="AQ255">
            <v>0.81818181818181812</v>
          </cell>
          <cell r="AR255">
            <v>0</v>
          </cell>
          <cell r="AS255">
            <v>1.6363636363636362</v>
          </cell>
          <cell r="AT255">
            <v>2.4545454545454546</v>
          </cell>
          <cell r="AU255">
            <v>0</v>
          </cell>
          <cell r="AV255">
            <v>2.4545454545454546</v>
          </cell>
          <cell r="AW255">
            <v>2.4545454545454546</v>
          </cell>
          <cell r="AX255">
            <v>1.8584415584415585E-2</v>
          </cell>
          <cell r="AY255">
            <v>0</v>
          </cell>
          <cell r="AZ255">
            <v>1</v>
          </cell>
          <cell r="BA255">
            <v>5</v>
          </cell>
          <cell r="BB255" t="str">
            <v/>
          </cell>
          <cell r="BC255">
            <v>1</v>
          </cell>
          <cell r="BD255">
            <v>0</v>
          </cell>
          <cell r="BE255">
            <v>0</v>
          </cell>
          <cell r="BF255">
            <v>45</v>
          </cell>
          <cell r="BG255">
            <v>0.5</v>
          </cell>
          <cell r="BH255">
            <v>1</v>
          </cell>
          <cell r="BI255">
            <v>3</v>
          </cell>
          <cell r="BJ255">
            <v>22</v>
          </cell>
          <cell r="BK255">
            <v>4</v>
          </cell>
          <cell r="BL255">
            <v>0.125</v>
          </cell>
          <cell r="BM255">
            <v>0.375</v>
          </cell>
          <cell r="BN255">
            <v>0.55277777777777781</v>
          </cell>
          <cell r="BO255">
            <v>38</v>
          </cell>
          <cell r="BP255">
            <v>0</v>
          </cell>
          <cell r="BQ255">
            <v>3.2163742690058478E-2</v>
          </cell>
          <cell r="BR255">
            <v>0.28999999999999998</v>
          </cell>
          <cell r="BS255">
            <v>0.23727272727272727</v>
          </cell>
          <cell r="BT255">
            <v>0.08</v>
          </cell>
          <cell r="BU255">
            <v>6.545454545454546E-2</v>
          </cell>
          <cell r="BV255">
            <v>0.30272727272727273</v>
          </cell>
          <cell r="BW255">
            <v>0</v>
          </cell>
          <cell r="BX255">
            <v>38</v>
          </cell>
          <cell r="BY255">
            <v>1.4176315789473684</v>
          </cell>
          <cell r="BZ255">
            <v>1.2253684210526314</v>
          </cell>
        </row>
        <row r="256">
          <cell r="A256" t="str">
            <v>Dane Scarlett</v>
          </cell>
          <cell r="B256" t="str">
            <v/>
          </cell>
          <cell r="C256" t="str">
            <v>Scarlett</v>
          </cell>
          <cell r="D256" t="str">
            <v/>
          </cell>
          <cell r="F256" t="str">
            <v/>
          </cell>
          <cell r="H256" t="str">
            <v/>
          </cell>
          <cell r="I256">
            <v>0</v>
          </cell>
          <cell r="J256">
            <v>1</v>
          </cell>
          <cell r="K256">
            <v>2</v>
          </cell>
          <cell r="M256">
            <v>3.1288571428571426</v>
          </cell>
          <cell r="N256">
            <v>0</v>
          </cell>
          <cell r="O256">
            <v>2.6428571428571428</v>
          </cell>
          <cell r="P256">
            <v>3.1288571428571426</v>
          </cell>
          <cell r="Q256">
            <v>23.142857142857142</v>
          </cell>
          <cell r="R256">
            <v>0</v>
          </cell>
          <cell r="S256">
            <v>3.1288571428571426</v>
          </cell>
          <cell r="T256" t="str">
            <v>FWD</v>
          </cell>
          <cell r="U256" t="str">
            <v>CF</v>
          </cell>
          <cell r="V256" t="str">
            <v>TOT</v>
          </cell>
          <cell r="W256" t="str">
            <v>Spurs</v>
          </cell>
          <cell r="X256">
            <v>4.5</v>
          </cell>
          <cell r="Y256">
            <v>2</v>
          </cell>
          <cell r="Z256">
            <v>0</v>
          </cell>
          <cell r="AA256">
            <v>2</v>
          </cell>
          <cell r="AB256">
            <v>7</v>
          </cell>
          <cell r="AC256">
            <v>7</v>
          </cell>
          <cell r="AD256">
            <v>0.22222222222222221</v>
          </cell>
          <cell r="AE256">
            <v>0</v>
          </cell>
          <cell r="AF256">
            <v>0</v>
          </cell>
          <cell r="AG256">
            <v>0</v>
          </cell>
          <cell r="AH256">
            <v>-0.12857142857142856</v>
          </cell>
          <cell r="AI256">
            <v>-0.12857142857142856</v>
          </cell>
          <cell r="AJ256">
            <v>1.6999999999999904E-2</v>
          </cell>
          <cell r="AK256">
            <v>0</v>
          </cell>
          <cell r="AL256">
            <v>5</v>
          </cell>
          <cell r="AM256">
            <v>0</v>
          </cell>
          <cell r="AN256">
            <v>0</v>
          </cell>
          <cell r="AO256">
            <v>528</v>
          </cell>
          <cell r="AP256" t="str">
            <v>Scarlett</v>
          </cell>
          <cell r="AQ256">
            <v>0</v>
          </cell>
          <cell r="AR256">
            <v>0</v>
          </cell>
          <cell r="AS256">
            <v>11.571428571428571</v>
          </cell>
          <cell r="AT256">
            <v>11.571428571428571</v>
          </cell>
          <cell r="AU256">
            <v>0</v>
          </cell>
          <cell r="AV256">
            <v>11.571428571428571</v>
          </cell>
          <cell r="AW256">
            <v>11.571428571428571</v>
          </cell>
          <cell r="AX256">
            <v>0.48557142857142854</v>
          </cell>
          <cell r="AY256">
            <v>0</v>
          </cell>
          <cell r="AZ256">
            <v>1</v>
          </cell>
          <cell r="BA256">
            <v>2</v>
          </cell>
          <cell r="BB256" t="str">
            <v/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0.9</v>
          </cell>
          <cell r="BH256">
            <v>1</v>
          </cell>
          <cell r="BI256">
            <v>2</v>
          </cell>
          <cell r="BJ256">
            <v>5</v>
          </cell>
          <cell r="BK256">
            <v>9</v>
          </cell>
          <cell r="BL256">
            <v>0</v>
          </cell>
          <cell r="BM256">
            <v>0.18181818181818177</v>
          </cell>
          <cell r="BN256" t="e">
            <v>#DIV/0!</v>
          </cell>
          <cell r="BO256">
            <v>38</v>
          </cell>
          <cell r="BP256">
            <v>0</v>
          </cell>
          <cell r="BQ256">
            <v>2.0467836257309943E-3</v>
          </cell>
          <cell r="BR256">
            <v>0</v>
          </cell>
          <cell r="BS256">
            <v>0</v>
          </cell>
          <cell r="BT256">
            <v>0.01</v>
          </cell>
          <cell r="BU256">
            <v>0.12857142857142856</v>
          </cell>
          <cell r="BV256">
            <v>0.12857142857142856</v>
          </cell>
          <cell r="BW256">
            <v>0</v>
          </cell>
          <cell r="BX256">
            <v>38</v>
          </cell>
          <cell r="BY256">
            <v>1.4628947368421052</v>
          </cell>
          <cell r="BZ256">
            <v>1.1801052631578945</v>
          </cell>
        </row>
        <row r="257">
          <cell r="A257" t="str">
            <v>Djed Spence</v>
          </cell>
          <cell r="B257" t="str">
            <v/>
          </cell>
          <cell r="C257" t="str">
            <v>Spence</v>
          </cell>
          <cell r="D257" t="str">
            <v/>
          </cell>
          <cell r="F257" t="str">
            <v/>
          </cell>
          <cell r="H257" t="str">
            <v/>
          </cell>
          <cell r="I257">
            <v>0</v>
          </cell>
          <cell r="J257">
            <v>1</v>
          </cell>
          <cell r="K257">
            <v>2</v>
          </cell>
          <cell r="M257">
            <v>3.1285416294202522</v>
          </cell>
          <cell r="N257">
            <v>3.0785749145924846</v>
          </cell>
          <cell r="O257">
            <v>1.919568226596533</v>
          </cell>
          <cell r="P257">
            <v>3.1285416294202522</v>
          </cell>
          <cell r="Q257">
            <v>3.0785749145924846</v>
          </cell>
          <cell r="R257">
            <v>6.1481481481481479</v>
          </cell>
          <cell r="S257">
            <v>3.1285416294202522</v>
          </cell>
          <cell r="T257" t="str">
            <v>DEF</v>
          </cell>
          <cell r="U257" t="str">
            <v>RB</v>
          </cell>
          <cell r="V257" t="str">
            <v>TOT</v>
          </cell>
          <cell r="W257" t="str">
            <v>Spurs</v>
          </cell>
          <cell r="X257">
            <v>4.5</v>
          </cell>
          <cell r="Y257">
            <v>78</v>
          </cell>
          <cell r="Z257">
            <v>2</v>
          </cell>
          <cell r="AA257">
            <v>76</v>
          </cell>
          <cell r="AB257">
            <v>2049</v>
          </cell>
          <cell r="AC257">
            <v>2049</v>
          </cell>
          <cell r="AD257">
            <v>0.57777777777777783</v>
          </cell>
          <cell r="AE257">
            <v>0</v>
          </cell>
          <cell r="AF257">
            <v>0</v>
          </cell>
          <cell r="AG257">
            <v>-3.9531478770131773E-2</v>
          </cell>
          <cell r="AH257">
            <v>-7.7745241581259159E-2</v>
          </cell>
          <cell r="AI257">
            <v>-0.11727672035139093</v>
          </cell>
          <cell r="AJ257">
            <v>0.10200000000000009</v>
          </cell>
          <cell r="AK257">
            <v>3</v>
          </cell>
          <cell r="AL257">
            <v>271</v>
          </cell>
          <cell r="AM257">
            <v>4</v>
          </cell>
          <cell r="AN257">
            <v>0</v>
          </cell>
          <cell r="AO257">
            <v>505</v>
          </cell>
          <cell r="AP257" t="str">
            <v>Spence</v>
          </cell>
          <cell r="AQ257">
            <v>2.9165446559297221</v>
          </cell>
          <cell r="AR257">
            <v>0</v>
          </cell>
          <cell r="AS257">
            <v>4.5368472425573456</v>
          </cell>
          <cell r="AT257">
            <v>4.6988775012201076</v>
          </cell>
          <cell r="AU257">
            <v>1.7823328452903857</v>
          </cell>
          <cell r="AV257">
            <v>4.6988775012201076</v>
          </cell>
          <cell r="AW257">
            <v>4.6988775012201076</v>
          </cell>
          <cell r="AX257">
            <v>3.007281600780869E-2</v>
          </cell>
          <cell r="AY257">
            <v>0</v>
          </cell>
          <cell r="AZ257">
            <v>2.6</v>
          </cell>
          <cell r="BA257">
            <v>78</v>
          </cell>
          <cell r="BB257" t="str">
            <v/>
          </cell>
          <cell r="BC257">
            <v>23</v>
          </cell>
          <cell r="BD257">
            <v>16</v>
          </cell>
          <cell r="BE257">
            <v>0.69565217391304346</v>
          </cell>
          <cell r="BF257">
            <v>83</v>
          </cell>
          <cell r="BG257">
            <v>0.92222222222222228</v>
          </cell>
          <cell r="BH257">
            <v>1</v>
          </cell>
          <cell r="BI257">
            <v>7</v>
          </cell>
          <cell r="BJ257">
            <v>21</v>
          </cell>
          <cell r="BK257">
            <v>4</v>
          </cell>
          <cell r="BL257">
            <v>0.67647058823529416</v>
          </cell>
          <cell r="BM257">
            <v>0.20588235294117646</v>
          </cell>
          <cell r="BN257">
            <v>0.75832742735648473</v>
          </cell>
          <cell r="BO257">
            <v>38</v>
          </cell>
          <cell r="BP257">
            <v>0</v>
          </cell>
          <cell r="BQ257">
            <v>0.59912280701754383</v>
          </cell>
          <cell r="BR257">
            <v>0.9</v>
          </cell>
          <cell r="BS257">
            <v>3.9531478770131773E-2</v>
          </cell>
          <cell r="BT257">
            <v>1.77</v>
          </cell>
          <cell r="BU257">
            <v>7.7745241581259159E-2</v>
          </cell>
          <cell r="BV257">
            <v>0.11727672035139093</v>
          </cell>
          <cell r="BW257">
            <v>0</v>
          </cell>
          <cell r="BX257">
            <v>38</v>
          </cell>
          <cell r="BY257">
            <v>1.4628947368421052</v>
          </cell>
          <cell r="BZ257">
            <v>1.1801052631578945</v>
          </cell>
        </row>
        <row r="258">
          <cell r="A258" t="str">
            <v>Tom Cairney</v>
          </cell>
          <cell r="B258" t="str">
            <v/>
          </cell>
          <cell r="C258" t="str">
            <v>Cairney</v>
          </cell>
          <cell r="D258" t="str">
            <v/>
          </cell>
          <cell r="F258" t="str">
            <v/>
          </cell>
          <cell r="H258" t="str">
            <v/>
          </cell>
          <cell r="I258">
            <v>1.3</v>
          </cell>
          <cell r="J258">
            <v>1.6666666666666667</v>
          </cell>
          <cell r="K258">
            <v>2.1</v>
          </cell>
          <cell r="M258">
            <v>3.1165125236384066</v>
          </cell>
          <cell r="N258">
            <v>3.8505291005291</v>
          </cell>
          <cell r="O258">
            <v>3.06666629052885</v>
          </cell>
          <cell r="P258">
            <v>3.0977116070843511</v>
          </cell>
          <cell r="Q258">
            <v>3.8505291005291</v>
          </cell>
          <cell r="R258">
            <v>4.0379146919431275</v>
          </cell>
          <cell r="S258">
            <v>3.1165125236384066</v>
          </cell>
          <cell r="T258" t="str">
            <v>MID</v>
          </cell>
          <cell r="U258" t="str">
            <v>CM</v>
          </cell>
          <cell r="V258" t="str">
            <v>FUL</v>
          </cell>
          <cell r="W258" t="str">
            <v>Fulham</v>
          </cell>
          <cell r="X258">
            <v>5</v>
          </cell>
          <cell r="Y258">
            <v>41</v>
          </cell>
          <cell r="Z258">
            <v>0</v>
          </cell>
          <cell r="AA258">
            <v>41</v>
          </cell>
          <cell r="AB258">
            <v>756</v>
          </cell>
          <cell r="AC258">
            <v>756</v>
          </cell>
          <cell r="AD258">
            <v>0.34166666666666667</v>
          </cell>
          <cell r="AE258">
            <v>2</v>
          </cell>
          <cell r="AF258">
            <v>0</v>
          </cell>
          <cell r="AG258">
            <v>9.4047619047619047E-2</v>
          </cell>
          <cell r="AH258">
            <v>-9.6428571428571433E-2</v>
          </cell>
          <cell r="AI258">
            <v>-2.3809523809523725E-3</v>
          </cell>
          <cell r="AJ258">
            <v>0</v>
          </cell>
          <cell r="AK258">
            <v>1</v>
          </cell>
          <cell r="AL258">
            <v>181</v>
          </cell>
          <cell r="AM258">
            <v>3</v>
          </cell>
          <cell r="AN258">
            <v>0</v>
          </cell>
          <cell r="AO258">
            <v>266</v>
          </cell>
          <cell r="AP258" t="str">
            <v>Cairney</v>
          </cell>
          <cell r="AQ258">
            <v>1.1269841269841268</v>
          </cell>
          <cell r="AR258">
            <v>0</v>
          </cell>
          <cell r="AS258">
            <v>3.9444444444444442</v>
          </cell>
          <cell r="AT258">
            <v>5.7288359788359786</v>
          </cell>
          <cell r="AU258">
            <v>0.65740740740740733</v>
          </cell>
          <cell r="AV258">
            <v>5.7288359788359786</v>
          </cell>
          <cell r="AW258">
            <v>5.7288359788359786</v>
          </cell>
          <cell r="AX258">
            <v>4.3375472411186694E-2</v>
          </cell>
          <cell r="AY258">
            <v>0</v>
          </cell>
          <cell r="AZ258">
            <v>1.7</v>
          </cell>
          <cell r="BA258">
            <v>41</v>
          </cell>
          <cell r="BB258" t="str">
            <v/>
          </cell>
          <cell r="BC258">
            <v>6</v>
          </cell>
          <cell r="BD258">
            <v>0</v>
          </cell>
          <cell r="BE258">
            <v>0</v>
          </cell>
          <cell r="BF258">
            <v>71</v>
          </cell>
          <cell r="BG258">
            <v>0.78888888888888886</v>
          </cell>
          <cell r="BH258">
            <v>1</v>
          </cell>
          <cell r="BI258">
            <v>18</v>
          </cell>
          <cell r="BJ258">
            <v>20</v>
          </cell>
          <cell r="BK258">
            <v>12</v>
          </cell>
          <cell r="BL258">
            <v>0.16666666666666666</v>
          </cell>
          <cell r="BM258">
            <v>0.5</v>
          </cell>
          <cell r="BN258">
            <v>0.40140845070422537</v>
          </cell>
          <cell r="BO258">
            <v>38</v>
          </cell>
          <cell r="BP258">
            <v>0</v>
          </cell>
          <cell r="BQ258">
            <v>0.22105263157894736</v>
          </cell>
          <cell r="BR258">
            <v>1.21</v>
          </cell>
          <cell r="BS258">
            <v>0.14404761904761904</v>
          </cell>
          <cell r="BT258">
            <v>0.81</v>
          </cell>
          <cell r="BU258">
            <v>9.6428571428571433E-2</v>
          </cell>
          <cell r="BV258">
            <v>0.24047619047619045</v>
          </cell>
          <cell r="BW258">
            <v>0</v>
          </cell>
          <cell r="BX258">
            <v>38</v>
          </cell>
          <cell r="BY258">
            <v>1.6842105263157894</v>
          </cell>
          <cell r="BZ258">
            <v>0.95878947368421041</v>
          </cell>
        </row>
        <row r="259">
          <cell r="A259" t="str">
            <v>Veljko Milosavljevic</v>
          </cell>
          <cell r="B259" t="str">
            <v/>
          </cell>
          <cell r="C259" t="str">
            <v>Milosavljević</v>
          </cell>
          <cell r="D259" t="str">
            <v/>
          </cell>
          <cell r="E259" t="str">
            <v>Veljko Milosavljević</v>
          </cell>
          <cell r="F259" t="str">
            <v/>
          </cell>
          <cell r="H259" t="str">
            <v/>
          </cell>
          <cell r="I259">
            <v>3.4</v>
          </cell>
          <cell r="J259">
            <v>3.8499999999999996</v>
          </cell>
          <cell r="K259">
            <v>4.3</v>
          </cell>
          <cell r="M259">
            <v>3.1130688153334232</v>
          </cell>
          <cell r="N259">
            <v>4.6594005449591283</v>
          </cell>
          <cell r="O259">
            <v>1.7311625794732057</v>
          </cell>
          <cell r="P259">
            <v>3.1130688153334232</v>
          </cell>
          <cell r="Q259">
            <v>4.6594005449591283</v>
          </cell>
          <cell r="R259">
            <v>0</v>
          </cell>
          <cell r="S259">
            <v>3.1130688153334232</v>
          </cell>
          <cell r="T259" t="str">
            <v>DEF</v>
          </cell>
          <cell r="U259" t="str">
            <v>CB</v>
          </cell>
          <cell r="V259" t="str">
            <v>BOU</v>
          </cell>
          <cell r="W259" t="str">
            <v>Bournemouth</v>
          </cell>
          <cell r="X259">
            <v>5</v>
          </cell>
          <cell r="Y259">
            <v>19</v>
          </cell>
          <cell r="Z259">
            <v>0</v>
          </cell>
          <cell r="AA259">
            <v>19</v>
          </cell>
          <cell r="AB259">
            <v>367</v>
          </cell>
          <cell r="AC259">
            <v>367</v>
          </cell>
          <cell r="AD259">
            <v>0.54285714285714293</v>
          </cell>
          <cell r="AE259">
            <v>0</v>
          </cell>
          <cell r="AF259">
            <v>0</v>
          </cell>
          <cell r="AG259">
            <v>-3.6784741144414164E-2</v>
          </cell>
          <cell r="AH259">
            <v>-4.6594005449591289E-2</v>
          </cell>
          <cell r="AI259">
            <v>-8.337874659400546E-2</v>
          </cell>
          <cell r="AJ259">
            <v>9.9999999999988987E-4</v>
          </cell>
          <cell r="AK259">
            <v>0</v>
          </cell>
          <cell r="AL259">
            <v>63</v>
          </cell>
          <cell r="AM259">
            <v>0</v>
          </cell>
          <cell r="AN259">
            <v>0</v>
          </cell>
          <cell r="AO259">
            <v>63</v>
          </cell>
          <cell r="AP259" t="str">
            <v>Milosavljević</v>
          </cell>
          <cell r="AQ259">
            <v>8.3378746594005442</v>
          </cell>
          <cell r="AR259">
            <v>0</v>
          </cell>
          <cell r="AS259">
            <v>3.1880108991825615</v>
          </cell>
          <cell r="AT259">
            <v>9.5640326975476846</v>
          </cell>
          <cell r="AU259">
            <v>1.2261580381471389</v>
          </cell>
          <cell r="AV259">
            <v>9.5640326975476846</v>
          </cell>
          <cell r="AW259">
            <v>9.5640326975476846</v>
          </cell>
          <cell r="AX259">
            <v>0.48165803814713903</v>
          </cell>
          <cell r="AY259">
            <v>0</v>
          </cell>
          <cell r="AZ259">
            <v>2.7</v>
          </cell>
          <cell r="BA259">
            <v>19</v>
          </cell>
          <cell r="BB259" t="str">
            <v/>
          </cell>
          <cell r="BC259">
            <v>4</v>
          </cell>
          <cell r="BD259">
            <v>4</v>
          </cell>
          <cell r="BE259">
            <v>1</v>
          </cell>
          <cell r="BF259">
            <v>90</v>
          </cell>
          <cell r="BG259">
            <v>1</v>
          </cell>
          <cell r="BH259">
            <v>1</v>
          </cell>
          <cell r="BI259">
            <v>3</v>
          </cell>
          <cell r="BJ259">
            <v>3</v>
          </cell>
          <cell r="BK259">
            <v>15</v>
          </cell>
          <cell r="BL259">
            <v>0.18181818181818182</v>
          </cell>
          <cell r="BM259">
            <v>0.13636363636363635</v>
          </cell>
          <cell r="BN259">
            <v>0.20909090909090908</v>
          </cell>
          <cell r="BO259">
            <v>38</v>
          </cell>
          <cell r="BP259">
            <v>0</v>
          </cell>
          <cell r="BQ259">
            <v>0.10730994152046784</v>
          </cell>
          <cell r="BR259">
            <v>0.15</v>
          </cell>
          <cell r="BS259">
            <v>3.6784741144414164E-2</v>
          </cell>
          <cell r="BT259">
            <v>0.19</v>
          </cell>
          <cell r="BU259">
            <v>4.6594005449591289E-2</v>
          </cell>
          <cell r="BV259">
            <v>8.337874659400546E-2</v>
          </cell>
          <cell r="BW259">
            <v>0</v>
          </cell>
          <cell r="BX259">
            <v>38</v>
          </cell>
          <cell r="BY259">
            <v>1.4939473684210527</v>
          </cell>
          <cell r="BZ259">
            <v>1.1490526315789471</v>
          </cell>
        </row>
        <row r="260">
          <cell r="A260" t="str">
            <v>Nathan Collins</v>
          </cell>
          <cell r="B260" t="str">
            <v/>
          </cell>
          <cell r="C260" t="str">
            <v>Collins</v>
          </cell>
          <cell r="D260" t="str">
            <v/>
          </cell>
          <cell r="F260" t="str">
            <v/>
          </cell>
          <cell r="H260" t="str">
            <v/>
          </cell>
          <cell r="I260">
            <v>1.9</v>
          </cell>
          <cell r="J260">
            <v>2.6</v>
          </cell>
          <cell r="K260">
            <v>3.3</v>
          </cell>
          <cell r="M260">
            <v>3.1106829536070277</v>
          </cell>
          <cell r="N260">
            <v>2.9384045775833054</v>
          </cell>
          <cell r="O260">
            <v>1.8849594973634016</v>
          </cell>
          <cell r="P260">
            <v>3.1106829536070277</v>
          </cell>
          <cell r="Q260">
            <v>2.9384045775833054</v>
          </cell>
          <cell r="R260">
            <v>3.5</v>
          </cell>
          <cell r="S260">
            <v>3.1106829536070277</v>
          </cell>
          <cell r="T260" t="str">
            <v>DEF</v>
          </cell>
          <cell r="U260" t="str">
            <v>CB</v>
          </cell>
          <cell r="V260" t="str">
            <v>BRE</v>
          </cell>
          <cell r="W260" t="str">
            <v>Brentford</v>
          </cell>
          <cell r="X260">
            <v>5.5</v>
          </cell>
          <cell r="Y260">
            <v>129</v>
          </cell>
          <cell r="Z260">
            <v>32</v>
          </cell>
          <cell r="AA260">
            <v>97</v>
          </cell>
          <cell r="AB260">
            <v>2971</v>
          </cell>
          <cell r="AC260">
            <v>2971</v>
          </cell>
          <cell r="AD260">
            <v>0.67012987012987013</v>
          </cell>
          <cell r="AE260">
            <v>1</v>
          </cell>
          <cell r="AF260">
            <v>2</v>
          </cell>
          <cell r="AG260">
            <v>-3.7563110063951535E-2</v>
          </cell>
          <cell r="AH260">
            <v>8.7849209020531838E-3</v>
          </cell>
          <cell r="AI260">
            <v>-2.8778189161898352E-2</v>
          </cell>
          <cell r="AJ260">
            <v>2.2999999999999909E-2</v>
          </cell>
          <cell r="AK260">
            <v>7</v>
          </cell>
          <cell r="AL260">
            <v>450</v>
          </cell>
          <cell r="AM260">
            <v>7</v>
          </cell>
          <cell r="AN260">
            <v>0</v>
          </cell>
          <cell r="AO260">
            <v>84</v>
          </cell>
          <cell r="AP260" t="str">
            <v>Collins</v>
          </cell>
          <cell r="AQ260">
            <v>8.6940424099629752</v>
          </cell>
          <cell r="AR260">
            <v>0</v>
          </cell>
          <cell r="AS260">
            <v>4.21070346684618</v>
          </cell>
          <cell r="AT260">
            <v>9.6634129922584986</v>
          </cell>
          <cell r="AU260">
            <v>0.96937058229552342</v>
          </cell>
          <cell r="AV260">
            <v>9.6634129922584986</v>
          </cell>
          <cell r="AW260">
            <v>9.6634129922584986</v>
          </cell>
          <cell r="AX260">
            <v>0.49393150454392454</v>
          </cell>
          <cell r="AY260">
            <v>0</v>
          </cell>
          <cell r="AZ260">
            <v>3.7</v>
          </cell>
          <cell r="BA260">
            <v>129</v>
          </cell>
          <cell r="BB260" t="str">
            <v/>
          </cell>
          <cell r="BC260">
            <v>32</v>
          </cell>
          <cell r="BD260">
            <v>32</v>
          </cell>
          <cell r="BE260">
            <v>1</v>
          </cell>
          <cell r="BF260">
            <v>90</v>
          </cell>
          <cell r="BG260">
            <v>1</v>
          </cell>
          <cell r="BH260">
            <v>1</v>
          </cell>
          <cell r="BI260">
            <v>3</v>
          </cell>
          <cell r="BJ260">
            <v>32</v>
          </cell>
          <cell r="BK260">
            <v>3</v>
          </cell>
          <cell r="BL260">
            <v>0.84210526315789469</v>
          </cell>
          <cell r="BM260">
            <v>7.8947368421052655E-2</v>
          </cell>
          <cell r="BN260">
            <v>0.89824561403508763</v>
          </cell>
          <cell r="BO260">
            <v>38</v>
          </cell>
          <cell r="BP260">
            <v>0</v>
          </cell>
          <cell r="BQ260">
            <v>0.86871345029239766</v>
          </cell>
          <cell r="BR260">
            <v>2.2400000000000002</v>
          </cell>
          <cell r="BS260">
            <v>6.7855940760686642E-2</v>
          </cell>
          <cell r="BT260">
            <v>1.71</v>
          </cell>
          <cell r="BU260">
            <v>5.180074049141703E-2</v>
          </cell>
          <cell r="BV260">
            <v>0.11965668125210367</v>
          </cell>
          <cell r="BW260">
            <v>0</v>
          </cell>
          <cell r="BX260">
            <v>38</v>
          </cell>
          <cell r="BY260">
            <v>1.5555263157894736</v>
          </cell>
          <cell r="BZ260">
            <v>1.0874736842105261</v>
          </cell>
        </row>
        <row r="261">
          <cell r="A261" t="str">
            <v>Rodrigo Muniz Carvalho</v>
          </cell>
          <cell r="B261" t="str">
            <v/>
          </cell>
          <cell r="C261" t="str">
            <v>Muniz</v>
          </cell>
          <cell r="D261" t="str">
            <v/>
          </cell>
          <cell r="E261" t="str">
            <v>Rodrigo Muniz</v>
          </cell>
          <cell r="F261" t="str">
            <v/>
          </cell>
          <cell r="H261" t="str">
            <v/>
          </cell>
          <cell r="I261">
            <v>0</v>
          </cell>
          <cell r="J261">
            <v>2.1666666666666665</v>
          </cell>
          <cell r="K261">
            <v>3.7</v>
          </cell>
          <cell r="M261">
            <v>3.1094427558257345</v>
          </cell>
          <cell r="N261">
            <v>2.6990881458966562</v>
          </cell>
          <cell r="O261">
            <v>3.1018963531902761</v>
          </cell>
          <cell r="P261">
            <v>3.1094427558257345</v>
          </cell>
          <cell r="Q261">
            <v>2.6990881458966562</v>
          </cell>
          <cell r="R261">
            <v>1.994011976047904</v>
          </cell>
          <cell r="S261">
            <v>3.1094427558257345</v>
          </cell>
          <cell r="T261" t="str">
            <v>FWD</v>
          </cell>
          <cell r="U261" t="str">
            <v>CF</v>
          </cell>
          <cell r="V261" t="str">
            <v>FUL</v>
          </cell>
          <cell r="W261" t="str">
            <v>Fulham</v>
          </cell>
          <cell r="X261">
            <v>5.5</v>
          </cell>
          <cell r="Y261">
            <v>36</v>
          </cell>
          <cell r="Z261">
            <v>0</v>
          </cell>
          <cell r="AA261">
            <v>36</v>
          </cell>
          <cell r="AB261">
            <v>987</v>
          </cell>
          <cell r="AC261">
            <v>987</v>
          </cell>
          <cell r="AD261">
            <v>0.31168831168831168</v>
          </cell>
          <cell r="AE261">
            <v>1</v>
          </cell>
          <cell r="AF261">
            <v>1</v>
          </cell>
          <cell r="AG261">
            <v>-0.20972644376899691</v>
          </cell>
          <cell r="AH261">
            <v>7.750759878419454E-2</v>
          </cell>
          <cell r="AI261">
            <v>-0.13221884498480235</v>
          </cell>
          <cell r="AJ261">
            <v>8.0000000000000071E-3</v>
          </cell>
          <cell r="AK261">
            <v>3</v>
          </cell>
          <cell r="AL261">
            <v>94</v>
          </cell>
          <cell r="AM261">
            <v>2</v>
          </cell>
          <cell r="AN261">
            <v>0</v>
          </cell>
          <cell r="AO261">
            <v>271</v>
          </cell>
          <cell r="AP261" t="str">
            <v>Muniz</v>
          </cell>
          <cell r="AQ261">
            <v>2.1742654508611956</v>
          </cell>
          <cell r="AR261">
            <v>0</v>
          </cell>
          <cell r="AS261">
            <v>1.1246200607902737</v>
          </cell>
          <cell r="AT261">
            <v>3.8986828774062814</v>
          </cell>
          <cell r="AU261">
            <v>0.59979736575481257</v>
          </cell>
          <cell r="AV261">
            <v>3.8986828774062814</v>
          </cell>
          <cell r="AW261">
            <v>3.8986828774062814</v>
          </cell>
          <cell r="AX261">
            <v>2.9518598928933271E-2</v>
          </cell>
          <cell r="AY261">
            <v>0</v>
          </cell>
          <cell r="AZ261">
            <v>1.7</v>
          </cell>
          <cell r="BA261">
            <v>36</v>
          </cell>
          <cell r="BB261" t="str">
            <v/>
          </cell>
          <cell r="BC261">
            <v>10</v>
          </cell>
          <cell r="BD261">
            <v>1</v>
          </cell>
          <cell r="BE261">
            <v>0.1</v>
          </cell>
          <cell r="BF261">
            <v>74</v>
          </cell>
          <cell r="BG261">
            <v>0.82222222222222219</v>
          </cell>
          <cell r="BH261">
            <v>1</v>
          </cell>
          <cell r="BI261">
            <v>11</v>
          </cell>
          <cell r="BJ261">
            <v>23</v>
          </cell>
          <cell r="BK261">
            <v>0</v>
          </cell>
          <cell r="BL261">
            <v>0.47619047619047616</v>
          </cell>
          <cell r="BM261">
            <v>0.52380952380952384</v>
          </cell>
          <cell r="BN261">
            <v>0.63899613899613894</v>
          </cell>
          <cell r="BO261">
            <v>38</v>
          </cell>
          <cell r="BP261">
            <v>0</v>
          </cell>
          <cell r="BQ261">
            <v>0.28859649122807018</v>
          </cell>
          <cell r="BR261">
            <v>3.3</v>
          </cell>
          <cell r="BS261">
            <v>0.30091185410334342</v>
          </cell>
          <cell r="BT261">
            <v>0.15</v>
          </cell>
          <cell r="BU261">
            <v>1.3677811550151974E-2</v>
          </cell>
          <cell r="BV261">
            <v>0.31458966565349539</v>
          </cell>
          <cell r="BW261">
            <v>0</v>
          </cell>
          <cell r="BX261">
            <v>38</v>
          </cell>
          <cell r="BY261">
            <v>1.6842105263157894</v>
          </cell>
          <cell r="BZ261">
            <v>0.95878947368421041</v>
          </cell>
        </row>
        <row r="262">
          <cell r="A262" t="str">
            <v>Olivier Boscagli</v>
          </cell>
          <cell r="B262" t="str">
            <v/>
          </cell>
          <cell r="C262" t="str">
            <v>Boscagli</v>
          </cell>
          <cell r="D262" t="str">
            <v/>
          </cell>
          <cell r="F262" t="str">
            <v/>
          </cell>
          <cell r="H262" t="str">
            <v/>
          </cell>
          <cell r="I262" t="e">
            <v>#N/A</v>
          </cell>
          <cell r="J262" t="e">
            <v>#N/A</v>
          </cell>
          <cell r="K262" t="e">
            <v>#N/A</v>
          </cell>
          <cell r="M262">
            <v>3.1008246409815357</v>
          </cell>
          <cell r="N262">
            <v>3.5106382978723403</v>
          </cell>
          <cell r="O262">
            <v>1.925242525378946</v>
          </cell>
          <cell r="P262">
            <v>3.1008246409815357</v>
          </cell>
          <cell r="Q262">
            <v>3.5106382978723403</v>
          </cell>
          <cell r="R262">
            <v>2.5185185185185186</v>
          </cell>
          <cell r="S262">
            <v>3.1008246409815357</v>
          </cell>
          <cell r="T262" t="str">
            <v>DEF</v>
          </cell>
          <cell r="U262" t="str">
            <v>CB</v>
          </cell>
          <cell r="V262" t="str">
            <v>BHA</v>
          </cell>
          <cell r="W262" t="str">
            <v>Brighton</v>
          </cell>
          <cell r="X262">
            <v>4.5</v>
          </cell>
          <cell r="Y262">
            <v>39</v>
          </cell>
          <cell r="Z262">
            <v>6</v>
          </cell>
          <cell r="AA262">
            <v>33</v>
          </cell>
          <cell r="AB262">
            <v>799</v>
          </cell>
          <cell r="AC262">
            <v>799</v>
          </cell>
          <cell r="AD262">
            <v>0.72222222222222221</v>
          </cell>
          <cell r="AE262">
            <v>0</v>
          </cell>
          <cell r="AF262">
            <v>1</v>
          </cell>
          <cell r="AG262">
            <v>-5.6320400500625787E-3</v>
          </cell>
          <cell r="AH262">
            <v>5.9699624530663339E-2</v>
          </cell>
          <cell r="AI262">
            <v>5.4067584480600762E-2</v>
          </cell>
          <cell r="AJ262">
            <v>9.9999999999988987E-4</v>
          </cell>
          <cell r="AK262">
            <v>4</v>
          </cell>
          <cell r="AL262">
            <v>171</v>
          </cell>
          <cell r="AM262">
            <v>2</v>
          </cell>
          <cell r="AN262">
            <v>0</v>
          </cell>
          <cell r="AO262">
            <v>114</v>
          </cell>
          <cell r="AP262" t="str">
            <v>Boscagli</v>
          </cell>
          <cell r="AQ262">
            <v>6.5957446808510642</v>
          </cell>
          <cell r="AR262">
            <v>0</v>
          </cell>
          <cell r="AS262">
            <v>5.7446808510638299</v>
          </cell>
          <cell r="AT262">
            <v>8.297872340425533</v>
          </cell>
          <cell r="AU262">
            <v>1.7021276595744681</v>
          </cell>
          <cell r="AV262">
            <v>8.297872340425533</v>
          </cell>
          <cell r="AW262">
            <v>8.297872340425533</v>
          </cell>
          <cell r="AX262">
            <v>0.32704255319148945</v>
          </cell>
          <cell r="AY262">
            <v>0</v>
          </cell>
          <cell r="AZ262">
            <v>3.2</v>
          </cell>
          <cell r="BA262">
            <v>39</v>
          </cell>
          <cell r="BB262" t="str">
            <v/>
          </cell>
          <cell r="BC262">
            <v>9</v>
          </cell>
          <cell r="BD262">
            <v>7</v>
          </cell>
          <cell r="BE262">
            <v>0.77777777777777779</v>
          </cell>
          <cell r="BF262">
            <v>85</v>
          </cell>
          <cell r="BG262">
            <v>0.94444444444444442</v>
          </cell>
          <cell r="BH262">
            <v>1</v>
          </cell>
          <cell r="BI262">
            <v>3</v>
          </cell>
          <cell r="BJ262">
            <v>13</v>
          </cell>
          <cell r="BK262">
            <v>26</v>
          </cell>
          <cell r="BL262">
            <v>0.23684210526315788</v>
          </cell>
          <cell r="BM262">
            <v>7.8947368421052655E-2</v>
          </cell>
          <cell r="BN262">
            <v>0.3535603715170279</v>
          </cell>
          <cell r="BO262">
            <v>38</v>
          </cell>
          <cell r="BP262">
            <v>0</v>
          </cell>
          <cell r="BQ262">
            <v>0.23362573099415204</v>
          </cell>
          <cell r="BR262">
            <v>0.05</v>
          </cell>
          <cell r="BS262">
            <v>5.6320400500625787E-3</v>
          </cell>
          <cell r="BT262">
            <v>0.47</v>
          </cell>
          <cell r="BU262">
            <v>5.2941176470588228E-2</v>
          </cell>
          <cell r="BV262">
            <v>5.8573216520650805E-2</v>
          </cell>
          <cell r="BW262">
            <v>0</v>
          </cell>
          <cell r="BX262">
            <v>38</v>
          </cell>
          <cell r="BY262">
            <v>1.4144736842105263</v>
          </cell>
          <cell r="BZ262">
            <v>1.2285263157894735</v>
          </cell>
        </row>
        <row r="263">
          <cell r="A263" t="str">
            <v>Merlin Röhl</v>
          </cell>
          <cell r="B263" t="str">
            <v/>
          </cell>
          <cell r="C263" t="str">
            <v>Röhl</v>
          </cell>
          <cell r="D263" t="str">
            <v/>
          </cell>
          <cell r="F263" t="str">
            <v/>
          </cell>
          <cell r="H263" t="str">
            <v/>
          </cell>
          <cell r="I263" t="e">
            <v>#N/A</v>
          </cell>
          <cell r="J263" t="e">
            <v>#N/A</v>
          </cell>
          <cell r="K263" t="e">
            <v>#N/A</v>
          </cell>
          <cell r="M263">
            <v>3.0973094147448448</v>
          </cell>
          <cell r="N263">
            <v>4.4266666666666676</v>
          </cell>
          <cell r="O263">
            <v>2.6405110410094634</v>
          </cell>
          <cell r="P263">
            <v>3.0973094147448448</v>
          </cell>
          <cell r="Q263">
            <v>4.4266666666666676</v>
          </cell>
          <cell r="R263">
            <v>4.7129337539432186</v>
          </cell>
          <cell r="S263">
            <v>3.0973094147448448</v>
          </cell>
          <cell r="T263" t="str">
            <v>MID</v>
          </cell>
          <cell r="U263" t="str">
            <v>AM</v>
          </cell>
          <cell r="V263" t="str">
            <v>EVE</v>
          </cell>
          <cell r="W263" t="str">
            <v>Everton</v>
          </cell>
          <cell r="X263">
            <v>5</v>
          </cell>
          <cell r="Y263">
            <v>36</v>
          </cell>
          <cell r="Z263">
            <v>0</v>
          </cell>
          <cell r="AA263">
            <v>36</v>
          </cell>
          <cell r="AB263">
            <v>675</v>
          </cell>
          <cell r="AC263">
            <v>675</v>
          </cell>
          <cell r="AD263">
            <v>0.45</v>
          </cell>
          <cell r="AE263">
            <v>1</v>
          </cell>
          <cell r="AF263">
            <v>1</v>
          </cell>
          <cell r="AG263">
            <v>4.3999999999999997E-2</v>
          </cell>
          <cell r="AH263">
            <v>8.666666666666667E-2</v>
          </cell>
          <cell r="AI263">
            <v>0.13066666666666665</v>
          </cell>
          <cell r="AJ263">
            <v>9.9999999999988987E-4</v>
          </cell>
          <cell r="AK263">
            <v>2</v>
          </cell>
          <cell r="AL263">
            <v>98</v>
          </cell>
          <cell r="AM263">
            <v>0</v>
          </cell>
          <cell r="AN263">
            <v>0</v>
          </cell>
          <cell r="AO263">
            <v>246</v>
          </cell>
          <cell r="AP263" t="str">
            <v>Röhl</v>
          </cell>
          <cell r="AQ263">
            <v>1.8444444444444446</v>
          </cell>
          <cell r="AR263">
            <v>0</v>
          </cell>
          <cell r="AS263">
            <v>3.4429629629629632</v>
          </cell>
          <cell r="AT263">
            <v>8.3614814814814817</v>
          </cell>
          <cell r="AU263">
            <v>3.074074074074074</v>
          </cell>
          <cell r="AV263">
            <v>8.3614814814814817</v>
          </cell>
          <cell r="AW263">
            <v>8.3614814814814817</v>
          </cell>
          <cell r="AX263">
            <v>0.1510266666666667</v>
          </cell>
          <cell r="AY263">
            <v>0</v>
          </cell>
          <cell r="AZ263">
            <v>2.2000000000000002</v>
          </cell>
          <cell r="BA263">
            <v>36</v>
          </cell>
          <cell r="BB263" t="str">
            <v/>
          </cell>
          <cell r="BC263">
            <v>6</v>
          </cell>
          <cell r="BD263">
            <v>2</v>
          </cell>
          <cell r="BE263">
            <v>0.33333333333333331</v>
          </cell>
          <cell r="BF263">
            <v>83</v>
          </cell>
          <cell r="BG263">
            <v>0.92222222222222228</v>
          </cell>
          <cell r="BH263">
            <v>1</v>
          </cell>
          <cell r="BI263">
            <v>10</v>
          </cell>
          <cell r="BJ263">
            <v>19</v>
          </cell>
          <cell r="BK263">
            <v>11</v>
          </cell>
          <cell r="BL263">
            <v>0.22222222222222221</v>
          </cell>
          <cell r="BM263">
            <v>0.37037037037037035</v>
          </cell>
          <cell r="BN263">
            <v>0.40026773761713519</v>
          </cell>
          <cell r="BO263">
            <v>38</v>
          </cell>
          <cell r="BP263">
            <v>0</v>
          </cell>
          <cell r="BQ263">
            <v>0.19736842105263158</v>
          </cell>
          <cell r="BR263">
            <v>0.67</v>
          </cell>
          <cell r="BS263">
            <v>8.9333333333333334E-2</v>
          </cell>
          <cell r="BT263">
            <v>0.35</v>
          </cell>
          <cell r="BU263">
            <v>4.6666666666666669E-2</v>
          </cell>
          <cell r="BV263">
            <v>0.13600000000000001</v>
          </cell>
          <cell r="BW263">
            <v>0</v>
          </cell>
          <cell r="BX263">
            <v>38</v>
          </cell>
          <cell r="BY263">
            <v>1.5786842105263159</v>
          </cell>
          <cell r="BZ263">
            <v>1.0643157894736839</v>
          </cell>
        </row>
        <row r="264">
          <cell r="A264" t="str">
            <v>Trevoh Chalobah</v>
          </cell>
          <cell r="B264" t="str">
            <v/>
          </cell>
          <cell r="C264" t="str">
            <v>Chalobah</v>
          </cell>
          <cell r="D264" t="str">
            <v/>
          </cell>
          <cell r="F264" t="str">
            <v/>
          </cell>
          <cell r="H264" t="str">
            <v/>
          </cell>
          <cell r="I264">
            <v>2</v>
          </cell>
          <cell r="J264">
            <v>2.9</v>
          </cell>
          <cell r="K264">
            <v>3.7</v>
          </cell>
          <cell r="M264">
            <v>3.0881085421629759</v>
          </cell>
          <cell r="N264">
            <v>3.4187050359712226</v>
          </cell>
          <cell r="O264">
            <v>1.9247594515691797</v>
          </cell>
          <cell r="P264">
            <v>3.2034128948161689</v>
          </cell>
          <cell r="Q264">
            <v>3.4187050359712226</v>
          </cell>
          <cell r="R264">
            <v>1.9130434782608696</v>
          </cell>
          <cell r="S264">
            <v>3.0881085421629759</v>
          </cell>
          <cell r="T264" t="str">
            <v>DEF</v>
          </cell>
          <cell r="U264" t="str">
            <v>CB</v>
          </cell>
          <cell r="V264" t="str">
            <v>CHE</v>
          </cell>
          <cell r="W264" t="str">
            <v>Chelsea</v>
          </cell>
          <cell r="X264">
            <v>5.5</v>
          </cell>
          <cell r="Y264">
            <v>136</v>
          </cell>
          <cell r="Z264">
            <v>28</v>
          </cell>
          <cell r="AA264">
            <v>108</v>
          </cell>
          <cell r="AB264">
            <v>2780</v>
          </cell>
          <cell r="AC264">
            <v>2780</v>
          </cell>
          <cell r="AD264">
            <v>0.72727272727272729</v>
          </cell>
          <cell r="AE264">
            <v>3</v>
          </cell>
          <cell r="AF264">
            <v>1</v>
          </cell>
          <cell r="AG264">
            <v>5.0503597122302152E-2</v>
          </cell>
          <cell r="AH264">
            <v>-9.7122302158273582E-4</v>
          </cell>
          <cell r="AI264">
            <v>4.9532374100719423E-2</v>
          </cell>
          <cell r="AJ264">
            <v>2.200000000000002E-2</v>
          </cell>
          <cell r="AK264">
            <v>7</v>
          </cell>
          <cell r="AL264">
            <v>516</v>
          </cell>
          <cell r="AM264">
            <v>3</v>
          </cell>
          <cell r="AN264">
            <v>0</v>
          </cell>
          <cell r="AO264">
            <v>143</v>
          </cell>
          <cell r="AP264" t="str">
            <v>Chalobah</v>
          </cell>
          <cell r="AQ264">
            <v>7.2805755395683454</v>
          </cell>
          <cell r="AR264">
            <v>0</v>
          </cell>
          <cell r="AS264">
            <v>3.7669064748201437</v>
          </cell>
          <cell r="AT264">
            <v>8.3884892086330929</v>
          </cell>
          <cell r="AU264">
            <v>1.1079136690647482</v>
          </cell>
          <cell r="AV264">
            <v>8.3884892086330929</v>
          </cell>
          <cell r="AW264">
            <v>8.3884892086330929</v>
          </cell>
          <cell r="AX264">
            <v>0.33800719424460424</v>
          </cell>
          <cell r="AY264">
            <v>0</v>
          </cell>
          <cell r="AZ264">
            <v>4</v>
          </cell>
          <cell r="BA264">
            <v>136</v>
          </cell>
          <cell r="BB264" t="str">
            <v/>
          </cell>
          <cell r="BC264">
            <v>31</v>
          </cell>
          <cell r="BD264">
            <v>29</v>
          </cell>
          <cell r="BE264">
            <v>0.93548387096774188</v>
          </cell>
          <cell r="BF264">
            <v>88</v>
          </cell>
          <cell r="BG264">
            <v>0.97777777777777775</v>
          </cell>
          <cell r="BH264">
            <v>1</v>
          </cell>
          <cell r="BI264">
            <v>3</v>
          </cell>
          <cell r="BJ264">
            <v>18</v>
          </cell>
          <cell r="BK264">
            <v>1</v>
          </cell>
          <cell r="BL264">
            <v>0.88571428571428568</v>
          </cell>
          <cell r="BM264">
            <v>8.5714285714285743E-2</v>
          </cell>
          <cell r="BN264">
            <v>0.90909090909090906</v>
          </cell>
          <cell r="BO264">
            <v>38</v>
          </cell>
          <cell r="BP264">
            <v>0</v>
          </cell>
          <cell r="BQ264">
            <v>0.8128654970760234</v>
          </cell>
          <cell r="BR264">
            <v>1.44</v>
          </cell>
          <cell r="BS264">
            <v>4.6618705035971222E-2</v>
          </cell>
          <cell r="BT264">
            <v>1.03</v>
          </cell>
          <cell r="BU264">
            <v>3.3345323741007196E-2</v>
          </cell>
          <cell r="BV264">
            <v>7.9964028776978419E-2</v>
          </cell>
          <cell r="BW264">
            <v>0</v>
          </cell>
          <cell r="BX264">
            <v>38</v>
          </cell>
          <cell r="BY264">
            <v>1.4473684210526316</v>
          </cell>
          <cell r="BZ264">
            <v>1.1956315789473682</v>
          </cell>
        </row>
        <row r="265">
          <cell r="A265" t="str">
            <v>Matty Cash</v>
          </cell>
          <cell r="B265" t="str">
            <v/>
          </cell>
          <cell r="C265" t="str">
            <v>Cash</v>
          </cell>
          <cell r="D265" t="str">
            <v/>
          </cell>
          <cell r="F265" t="str">
            <v/>
          </cell>
          <cell r="H265" t="str">
            <v/>
          </cell>
          <cell r="I265">
            <v>2.2000000000000002</v>
          </cell>
          <cell r="J265">
            <v>2.4</v>
          </cell>
          <cell r="K265">
            <v>2.8</v>
          </cell>
          <cell r="M265">
            <v>3.0781071257034238</v>
          </cell>
          <cell r="N265">
            <v>3.3173076923076921</v>
          </cell>
          <cell r="O265">
            <v>1.7185384030807227</v>
          </cell>
          <cell r="P265">
            <v>3.0781071257034238</v>
          </cell>
          <cell r="Q265">
            <v>3.3173076923076921</v>
          </cell>
          <cell r="R265">
            <v>1.7975206611570249</v>
          </cell>
          <cell r="S265">
            <v>3.0781071257034238</v>
          </cell>
          <cell r="T265" t="str">
            <v>DEF</v>
          </cell>
          <cell r="U265" t="str">
            <v>RB</v>
          </cell>
          <cell r="V265" t="str">
            <v>AVL</v>
          </cell>
          <cell r="W265" t="str">
            <v>Aston Villa</v>
          </cell>
          <cell r="X265">
            <v>4.5</v>
          </cell>
          <cell r="Y265">
            <v>116.99999999999999</v>
          </cell>
          <cell r="Z265">
            <v>2</v>
          </cell>
          <cell r="AA265">
            <v>114.99999999999999</v>
          </cell>
          <cell r="AB265">
            <v>3016</v>
          </cell>
          <cell r="AC265">
            <v>3016</v>
          </cell>
          <cell r="AD265">
            <v>0.74285714285714277</v>
          </cell>
          <cell r="AE265">
            <v>3</v>
          </cell>
          <cell r="AF265">
            <v>3</v>
          </cell>
          <cell r="AG265">
            <v>5.5503978779840847E-2</v>
          </cell>
          <cell r="AH265">
            <v>1.7904509283819536E-3</v>
          </cell>
          <cell r="AI265">
            <v>5.7294429708222794E-2</v>
          </cell>
          <cell r="AJ265">
            <v>8.8000000000000078E-2</v>
          </cell>
          <cell r="AK265">
            <v>7</v>
          </cell>
          <cell r="AL265">
            <v>450</v>
          </cell>
          <cell r="AM265">
            <v>9</v>
          </cell>
          <cell r="AN265">
            <v>0</v>
          </cell>
          <cell r="AO265">
            <v>32</v>
          </cell>
          <cell r="AP265" t="str">
            <v>Cash</v>
          </cell>
          <cell r="AQ265">
            <v>3.4615384615384612</v>
          </cell>
          <cell r="AR265">
            <v>0</v>
          </cell>
          <cell r="AS265">
            <v>2.5384615384615388</v>
          </cell>
          <cell r="AT265">
            <v>5.365384615384615</v>
          </cell>
          <cell r="AU265">
            <v>1.9038461538461537</v>
          </cell>
          <cell r="AV265">
            <v>5.365384615384615</v>
          </cell>
          <cell r="AW265">
            <v>5.365384615384615</v>
          </cell>
          <cell r="AX265">
            <v>5.7211538461538439E-2</v>
          </cell>
          <cell r="AY265">
            <v>0</v>
          </cell>
          <cell r="AZ265">
            <v>3.3</v>
          </cell>
          <cell r="BA265">
            <v>116.99999999999999</v>
          </cell>
          <cell r="BB265" t="str">
            <v/>
          </cell>
          <cell r="BC265">
            <v>34</v>
          </cell>
          <cell r="BD265">
            <v>26</v>
          </cell>
          <cell r="BE265">
            <v>0.76470588235294112</v>
          </cell>
          <cell r="BF265">
            <v>87</v>
          </cell>
          <cell r="BG265">
            <v>0.96666666666666667</v>
          </cell>
          <cell r="BH265">
            <v>1</v>
          </cell>
          <cell r="BI265">
            <v>1</v>
          </cell>
          <cell r="BJ265">
            <v>45</v>
          </cell>
          <cell r="BK265">
            <v>0</v>
          </cell>
          <cell r="BL265">
            <v>0.97142857142857142</v>
          </cell>
          <cell r="BM265">
            <v>2.8571428571428581E-2</v>
          </cell>
          <cell r="BN265">
            <v>0.98620689655172422</v>
          </cell>
          <cell r="BO265">
            <v>38</v>
          </cell>
          <cell r="BP265">
            <v>0</v>
          </cell>
          <cell r="BQ265">
            <v>0.88187134502923981</v>
          </cell>
          <cell r="BR265">
            <v>1.1399999999999999</v>
          </cell>
          <cell r="BS265">
            <v>3.4018567639257292E-2</v>
          </cell>
          <cell r="BT265">
            <v>2.94</v>
          </cell>
          <cell r="BU265">
            <v>8.7732095490716186E-2</v>
          </cell>
          <cell r="BV265">
            <v>0.12175066312997349</v>
          </cell>
          <cell r="BW265">
            <v>0</v>
          </cell>
          <cell r="BX265">
            <v>38</v>
          </cell>
          <cell r="BY265">
            <v>1.4915789473684211</v>
          </cell>
          <cell r="BZ265">
            <v>1.1514210526315787</v>
          </cell>
        </row>
        <row r="266">
          <cell r="A266" t="str">
            <v>Chris Rigg</v>
          </cell>
          <cell r="B266" t="str">
            <v/>
          </cell>
          <cell r="C266" t="str">
            <v>Rigg</v>
          </cell>
          <cell r="D266" t="str">
            <v/>
          </cell>
          <cell r="F266" t="str">
            <v/>
          </cell>
          <cell r="H266" t="str">
            <v/>
          </cell>
          <cell r="I266" t="e">
            <v>#N/A</v>
          </cell>
          <cell r="J266" t="e">
            <v>#N/A</v>
          </cell>
          <cell r="K266" t="e">
            <v>#N/A</v>
          </cell>
          <cell r="M266">
            <v>3.0773186403365269</v>
          </cell>
          <cell r="N266">
            <v>3.0870712401055402</v>
          </cell>
          <cell r="O266">
            <v>2.8796378028304148</v>
          </cell>
          <cell r="P266">
            <v>3.0773186403365269</v>
          </cell>
          <cell r="Q266">
            <v>3.0870712401055402</v>
          </cell>
          <cell r="R266">
            <v>6.9834710743801658</v>
          </cell>
          <cell r="S266">
            <v>3.0773186403365269</v>
          </cell>
          <cell r="T266" t="str">
            <v>MID</v>
          </cell>
          <cell r="U266" t="str">
            <v>AM</v>
          </cell>
          <cell r="V266" t="str">
            <v>SUN</v>
          </cell>
          <cell r="W266" t="str">
            <v>Sunderland</v>
          </cell>
          <cell r="X266">
            <v>5</v>
          </cell>
          <cell r="Y266">
            <v>36</v>
          </cell>
          <cell r="Z266">
            <v>0</v>
          </cell>
          <cell r="AA266">
            <v>36</v>
          </cell>
          <cell r="AB266">
            <v>758</v>
          </cell>
          <cell r="AC266">
            <v>758</v>
          </cell>
          <cell r="AD266">
            <v>0.4</v>
          </cell>
          <cell r="AE266">
            <v>1</v>
          </cell>
          <cell r="AF266">
            <v>1</v>
          </cell>
          <cell r="AG266">
            <v>1.6622691292875982E-2</v>
          </cell>
          <cell r="AH266">
            <v>8.3113456464379981E-3</v>
          </cell>
          <cell r="AI266">
            <v>2.493403693931398E-2</v>
          </cell>
          <cell r="AJ266">
            <v>9.9999999999988987E-4</v>
          </cell>
          <cell r="AK266">
            <v>1</v>
          </cell>
          <cell r="AL266">
            <v>136</v>
          </cell>
          <cell r="AM266">
            <v>1</v>
          </cell>
          <cell r="AN266">
            <v>0</v>
          </cell>
          <cell r="AO266">
            <v>548</v>
          </cell>
          <cell r="AP266" t="str">
            <v>Rigg</v>
          </cell>
          <cell r="AQ266">
            <v>1.2862796833773087</v>
          </cell>
          <cell r="AR266">
            <v>0</v>
          </cell>
          <cell r="AS266">
            <v>2.4868073878627968</v>
          </cell>
          <cell r="AT266">
            <v>4.8878627968337733</v>
          </cell>
          <cell r="AU266">
            <v>1.1147757255936674</v>
          </cell>
          <cell r="AV266">
            <v>4.8878627968337733</v>
          </cell>
          <cell r="AW266">
            <v>4.8878627968337733</v>
          </cell>
          <cell r="AX266">
            <v>3.7008104033169995E-2</v>
          </cell>
          <cell r="AY266">
            <v>0</v>
          </cell>
          <cell r="AZ266">
            <v>2</v>
          </cell>
          <cell r="BA266">
            <v>36</v>
          </cell>
          <cell r="BB266" t="str">
            <v/>
          </cell>
          <cell r="BC266">
            <v>11</v>
          </cell>
          <cell r="BD266">
            <v>2</v>
          </cell>
          <cell r="BE266">
            <v>0.18181818181818182</v>
          </cell>
          <cell r="BF266">
            <v>65</v>
          </cell>
          <cell r="BG266">
            <v>0.72222222222222221</v>
          </cell>
          <cell r="BH266">
            <v>1</v>
          </cell>
          <cell r="BI266">
            <v>7</v>
          </cell>
          <cell r="BJ266">
            <v>6</v>
          </cell>
          <cell r="BK266">
            <v>18</v>
          </cell>
          <cell r="BL266">
            <v>0.30555555555555558</v>
          </cell>
          <cell r="BM266">
            <v>0.19444444444444448</v>
          </cell>
          <cell r="BN266">
            <v>0.36965811965811968</v>
          </cell>
          <cell r="BO266">
            <v>38</v>
          </cell>
          <cell r="BP266">
            <v>0</v>
          </cell>
          <cell r="BQ266">
            <v>0.2216374269005848</v>
          </cell>
          <cell r="BR266">
            <v>0.86</v>
          </cell>
          <cell r="BS266">
            <v>0.10211081794195251</v>
          </cell>
          <cell r="BT266">
            <v>0.93</v>
          </cell>
          <cell r="BU266">
            <v>0.11042216358839049</v>
          </cell>
          <cell r="BV266">
            <v>0.212532981530343</v>
          </cell>
          <cell r="BW266">
            <v>0</v>
          </cell>
          <cell r="BX266">
            <v>38</v>
          </cell>
          <cell r="BY266">
            <v>1.5878947368421052</v>
          </cell>
          <cell r="BZ266">
            <v>1.0551052631578945</v>
          </cell>
        </row>
        <row r="267">
          <cell r="A267" t="str">
            <v>Liam Delap</v>
          </cell>
          <cell r="B267" t="str">
            <v/>
          </cell>
          <cell r="C267" t="str">
            <v>Delap</v>
          </cell>
          <cell r="D267" t="str">
            <v/>
          </cell>
          <cell r="F267" t="str">
            <v/>
          </cell>
          <cell r="H267" t="str">
            <v/>
          </cell>
          <cell r="I267">
            <v>3.6</v>
          </cell>
          <cell r="J267">
            <v>3.6</v>
          </cell>
          <cell r="K267">
            <v>3.6</v>
          </cell>
          <cell r="M267">
            <v>3.0706428571428575</v>
          </cell>
          <cell r="N267">
            <v>2.7609890109890109</v>
          </cell>
          <cell r="O267">
            <v>2.4362982959069912</v>
          </cell>
          <cell r="P267">
            <v>3.0706428571428575</v>
          </cell>
          <cell r="Q267">
            <v>2.7609890109890109</v>
          </cell>
          <cell r="R267">
            <v>1.3444816053511708</v>
          </cell>
          <cell r="S267">
            <v>3.0706428571428575</v>
          </cell>
          <cell r="T267" t="str">
            <v>FWD</v>
          </cell>
          <cell r="U267" t="str">
            <v>CF</v>
          </cell>
          <cell r="V267" t="str">
            <v>CHE</v>
          </cell>
          <cell r="W267" t="str">
            <v>Chelsea</v>
          </cell>
          <cell r="X267">
            <v>5.5</v>
          </cell>
          <cell r="Y267">
            <v>45</v>
          </cell>
          <cell r="Z267">
            <v>0</v>
          </cell>
          <cell r="AA267">
            <v>45</v>
          </cell>
          <cell r="AB267">
            <v>1092</v>
          </cell>
          <cell r="AC267">
            <v>1092</v>
          </cell>
          <cell r="AD267">
            <v>0.29220779220779219</v>
          </cell>
          <cell r="AE267">
            <v>1</v>
          </cell>
          <cell r="AF267">
            <v>2</v>
          </cell>
          <cell r="AG267">
            <v>-0.29175824175824178</v>
          </cell>
          <cell r="AH267">
            <v>0.14587912087912089</v>
          </cell>
          <cell r="AI267">
            <v>-0.14587912087912086</v>
          </cell>
          <cell r="AJ267">
            <v>4.9999999999998934E-3</v>
          </cell>
          <cell r="AK267">
            <v>1</v>
          </cell>
          <cell r="AL267">
            <v>123</v>
          </cell>
          <cell r="AM267">
            <v>4</v>
          </cell>
          <cell r="AN267">
            <v>0</v>
          </cell>
          <cell r="AO267">
            <v>167</v>
          </cell>
          <cell r="AP267" t="str">
            <v>Delap</v>
          </cell>
          <cell r="AQ267">
            <v>0.73626373626373631</v>
          </cell>
          <cell r="AR267">
            <v>0</v>
          </cell>
          <cell r="AS267">
            <v>1.5338827838827838</v>
          </cell>
          <cell r="AT267">
            <v>2.5769230769230771</v>
          </cell>
          <cell r="AU267">
            <v>0.3067765567765568</v>
          </cell>
          <cell r="AV267">
            <v>2.5769230769230771</v>
          </cell>
          <cell r="AW267">
            <v>2.5769230769230771</v>
          </cell>
          <cell r="AX267">
            <v>1.9510989010989011E-2</v>
          </cell>
          <cell r="AY267">
            <v>0</v>
          </cell>
          <cell r="AZ267">
            <v>1.6</v>
          </cell>
          <cell r="BA267">
            <v>45</v>
          </cell>
          <cell r="BB267" t="str">
            <v/>
          </cell>
          <cell r="BC267">
            <v>12</v>
          </cell>
          <cell r="BD267">
            <v>3</v>
          </cell>
          <cell r="BE267">
            <v>0.25</v>
          </cell>
          <cell r="BF267">
            <v>67</v>
          </cell>
          <cell r="BG267">
            <v>0.74444444444444446</v>
          </cell>
          <cell r="BH267">
            <v>1</v>
          </cell>
          <cell r="BI267">
            <v>16</v>
          </cell>
          <cell r="BJ267">
            <v>19</v>
          </cell>
          <cell r="BK267">
            <v>1</v>
          </cell>
          <cell r="BL267">
            <v>0.41379310344827586</v>
          </cell>
          <cell r="BM267">
            <v>0.23529411764705882</v>
          </cell>
          <cell r="BN267">
            <v>0.58003088008234693</v>
          </cell>
          <cell r="BO267">
            <v>38</v>
          </cell>
          <cell r="BP267">
            <v>0</v>
          </cell>
          <cell r="BQ267">
            <v>0.31929824561403508</v>
          </cell>
          <cell r="BR267">
            <v>4.54</v>
          </cell>
          <cell r="BS267">
            <v>0.37417582417582418</v>
          </cell>
          <cell r="BT267">
            <v>0.23</v>
          </cell>
          <cell r="BU267">
            <v>1.8956043956043955E-2</v>
          </cell>
          <cell r="BV267">
            <v>0.39313186813186812</v>
          </cell>
          <cell r="BW267">
            <v>0</v>
          </cell>
          <cell r="BX267">
            <v>38</v>
          </cell>
          <cell r="BY267">
            <v>1.4473684210526316</v>
          </cell>
          <cell r="BZ267">
            <v>1.1956315789473682</v>
          </cell>
        </row>
        <row r="268">
          <cell r="A268" t="str">
            <v>Harrison Armstrong</v>
          </cell>
          <cell r="B268" t="str">
            <v/>
          </cell>
          <cell r="C268" t="str">
            <v>Armstrong</v>
          </cell>
          <cell r="D268" t="str">
            <v/>
          </cell>
          <cell r="F268" t="str">
            <v/>
          </cell>
          <cell r="H268" t="str">
            <v/>
          </cell>
          <cell r="I268">
            <v>0.7</v>
          </cell>
          <cell r="J268">
            <v>0.7</v>
          </cell>
          <cell r="K268">
            <v>0.7</v>
          </cell>
          <cell r="M268">
            <v>3.0639141928053477</v>
          </cell>
          <cell r="N268">
            <v>2.646946564885496</v>
          </cell>
          <cell r="O268">
            <v>2.2499989470913397</v>
          </cell>
          <cell r="P268">
            <v>3.0639141928053477</v>
          </cell>
          <cell r="Q268">
            <v>2.646946564885496</v>
          </cell>
          <cell r="R268">
            <v>5.0344827586206895</v>
          </cell>
          <cell r="S268">
            <v>3.0639141928053477</v>
          </cell>
          <cell r="T268" t="str">
            <v>MID</v>
          </cell>
          <cell r="U268" t="str">
            <v>CM</v>
          </cell>
          <cell r="V268" t="str">
            <v>EVE</v>
          </cell>
          <cell r="W268" t="str">
            <v>Everton</v>
          </cell>
          <cell r="X268">
            <v>5</v>
          </cell>
          <cell r="Y268">
            <v>21</v>
          </cell>
          <cell r="Z268">
            <v>2</v>
          </cell>
          <cell r="AA268">
            <v>19</v>
          </cell>
          <cell r="AB268">
            <v>524</v>
          </cell>
          <cell r="AC268">
            <v>524</v>
          </cell>
          <cell r="AD268">
            <v>0.32307692307692309</v>
          </cell>
          <cell r="AE268">
            <v>0</v>
          </cell>
          <cell r="AF268">
            <v>0</v>
          </cell>
          <cell r="AG268">
            <v>-0.13568702290076337</v>
          </cell>
          <cell r="AH268">
            <v>-3.7786259541984731E-2</v>
          </cell>
          <cell r="AI268">
            <v>-0.17347328244274809</v>
          </cell>
          <cell r="AJ268">
            <v>9.9999999999988987E-4</v>
          </cell>
          <cell r="AK268">
            <v>0</v>
          </cell>
          <cell r="AL268">
            <v>84</v>
          </cell>
          <cell r="AM268">
            <v>0</v>
          </cell>
          <cell r="AN268">
            <v>0</v>
          </cell>
          <cell r="AO268">
            <v>244</v>
          </cell>
          <cell r="AP268" t="str">
            <v>Armstrong</v>
          </cell>
          <cell r="AQ268">
            <v>1.8110687022900762</v>
          </cell>
          <cell r="AR268">
            <v>0</v>
          </cell>
          <cell r="AS268">
            <v>3.3435114503816794</v>
          </cell>
          <cell r="AT268">
            <v>6.9656488549618327</v>
          </cell>
          <cell r="AU268">
            <v>1.8110687022900762</v>
          </cell>
          <cell r="AV268">
            <v>6.9656488549618327</v>
          </cell>
          <cell r="AW268">
            <v>6.9656488549618327</v>
          </cell>
          <cell r="AX268">
            <v>5.2739912758996733E-2</v>
          </cell>
          <cell r="AY268">
            <v>0</v>
          </cell>
          <cell r="AZ268">
            <v>1.6</v>
          </cell>
          <cell r="BA268">
            <v>21</v>
          </cell>
          <cell r="BB268" t="str">
            <v/>
          </cell>
          <cell r="BC268">
            <v>6</v>
          </cell>
          <cell r="BD268">
            <v>1</v>
          </cell>
          <cell r="BE268">
            <v>0.16666666666666666</v>
          </cell>
          <cell r="BF268">
            <v>73</v>
          </cell>
          <cell r="BG268">
            <v>0.81111111111111112</v>
          </cell>
          <cell r="BH268">
            <v>1</v>
          </cell>
          <cell r="BI268">
            <v>7</v>
          </cell>
          <cell r="BJ268">
            <v>13</v>
          </cell>
          <cell r="BK268">
            <v>7</v>
          </cell>
          <cell r="BL268">
            <v>0.3</v>
          </cell>
          <cell r="BM268">
            <v>0.35</v>
          </cell>
          <cell r="BN268">
            <v>0.42465753424657532</v>
          </cell>
          <cell r="BO268">
            <v>38</v>
          </cell>
          <cell r="BP268">
            <v>0</v>
          </cell>
          <cell r="BQ268">
            <v>0.15321637426900586</v>
          </cell>
          <cell r="BR268">
            <v>0.79</v>
          </cell>
          <cell r="BS268">
            <v>0.13568702290076337</v>
          </cell>
          <cell r="BT268">
            <v>0.22</v>
          </cell>
          <cell r="BU268">
            <v>3.7786259541984731E-2</v>
          </cell>
          <cell r="BV268">
            <v>0.17347328244274809</v>
          </cell>
          <cell r="BW268">
            <v>0</v>
          </cell>
          <cell r="BX268">
            <v>38</v>
          </cell>
          <cell r="BY268">
            <v>1.5786842105263159</v>
          </cell>
          <cell r="BZ268">
            <v>1.0643157894736839</v>
          </cell>
        </row>
        <row r="269">
          <cell r="A269" t="str">
            <v>Jaka Bijol</v>
          </cell>
          <cell r="B269" t="str">
            <v/>
          </cell>
          <cell r="C269" t="str">
            <v>Bijol</v>
          </cell>
          <cell r="D269" t="str">
            <v/>
          </cell>
          <cell r="F269" t="str">
            <v/>
          </cell>
          <cell r="H269" t="str">
            <v/>
          </cell>
          <cell r="I269" t="e">
            <v>#N/A</v>
          </cell>
          <cell r="J269" t="e">
            <v>#N/A</v>
          </cell>
          <cell r="K269" t="e">
            <v>#N/A</v>
          </cell>
          <cell r="M269">
            <v>3.0602578335265527</v>
          </cell>
          <cell r="N269">
            <v>3.4666313559322033</v>
          </cell>
          <cell r="O269">
            <v>1.7353311457902714</v>
          </cell>
          <cell r="P269">
            <v>3.0602578335265527</v>
          </cell>
          <cell r="Q269">
            <v>3.4666313559322033</v>
          </cell>
          <cell r="R269">
            <v>5.0101626016260159</v>
          </cell>
          <cell r="S269">
            <v>3.0602578335265527</v>
          </cell>
          <cell r="T269" t="str">
            <v>DEF</v>
          </cell>
          <cell r="U269" t="str">
            <v>CB</v>
          </cell>
          <cell r="V269" t="str">
            <v>LEE</v>
          </cell>
          <cell r="W269" t="str">
            <v>Leeds</v>
          </cell>
          <cell r="X269">
            <v>5</v>
          </cell>
          <cell r="Y269">
            <v>99</v>
          </cell>
          <cell r="Z269">
            <v>22</v>
          </cell>
          <cell r="AA269">
            <v>77</v>
          </cell>
          <cell r="AB269">
            <v>1888</v>
          </cell>
          <cell r="AC269">
            <v>1888</v>
          </cell>
          <cell r="AD269">
            <v>0.79200000000000004</v>
          </cell>
          <cell r="AE269">
            <v>1</v>
          </cell>
          <cell r="AF269">
            <v>3</v>
          </cell>
          <cell r="AG269">
            <v>4.7669491525423671E-3</v>
          </cell>
          <cell r="AH269">
            <v>0.1072563559322034</v>
          </cell>
          <cell r="AI269">
            <v>0.11202330508474576</v>
          </cell>
          <cell r="AJ269">
            <v>4.0000000000000036E-3</v>
          </cell>
          <cell r="AK269">
            <v>6</v>
          </cell>
          <cell r="AL269">
            <v>323</v>
          </cell>
          <cell r="AM269">
            <v>4</v>
          </cell>
          <cell r="AN269">
            <v>0</v>
          </cell>
          <cell r="AO269">
            <v>327</v>
          </cell>
          <cell r="AP269" t="str">
            <v>Bijol</v>
          </cell>
          <cell r="AQ269">
            <v>8.734110169491526</v>
          </cell>
          <cell r="AR269">
            <v>0</v>
          </cell>
          <cell r="AS269">
            <v>2.8363347457627119</v>
          </cell>
          <cell r="AT269">
            <v>9.859639830508474</v>
          </cell>
          <cell r="AU269">
            <v>1.1255296610169492</v>
          </cell>
          <cell r="AV269">
            <v>9.859639830508474</v>
          </cell>
          <cell r="AW269">
            <v>9.859639830508474</v>
          </cell>
          <cell r="AX269">
            <v>0.51816551906779651</v>
          </cell>
          <cell r="AY269">
            <v>0</v>
          </cell>
          <cell r="AZ269">
            <v>4</v>
          </cell>
          <cell r="BA269">
            <v>99</v>
          </cell>
          <cell r="BB269" t="str">
            <v/>
          </cell>
          <cell r="BC269">
            <v>21</v>
          </cell>
          <cell r="BD269">
            <v>16</v>
          </cell>
          <cell r="BE269">
            <v>0.76190476190476186</v>
          </cell>
          <cell r="BF269">
            <v>85</v>
          </cell>
          <cell r="BG269">
            <v>0.94444444444444442</v>
          </cell>
          <cell r="BH269">
            <v>1</v>
          </cell>
          <cell r="BI269">
            <v>4</v>
          </cell>
          <cell r="BJ269">
            <v>25</v>
          </cell>
          <cell r="BK269">
            <v>9</v>
          </cell>
          <cell r="BL269">
            <v>0.61764705882352944</v>
          </cell>
          <cell r="BM269">
            <v>0.11764705882352944</v>
          </cell>
          <cell r="BN269">
            <v>0.73010380622837379</v>
          </cell>
          <cell r="BO269">
            <v>38</v>
          </cell>
          <cell r="BP269">
            <v>0</v>
          </cell>
          <cell r="BQ269">
            <v>0.55204678362573101</v>
          </cell>
          <cell r="BR269">
            <v>0.9</v>
          </cell>
          <cell r="BS269">
            <v>4.290254237288136E-2</v>
          </cell>
          <cell r="BT269">
            <v>0.75</v>
          </cell>
          <cell r="BU269">
            <v>3.5752118644067798E-2</v>
          </cell>
          <cell r="BV269">
            <v>7.8654661016949151E-2</v>
          </cell>
          <cell r="BW269">
            <v>0</v>
          </cell>
          <cell r="BX269">
            <v>38</v>
          </cell>
          <cell r="BY269">
            <v>1.4823684210526316</v>
          </cell>
          <cell r="BZ269">
            <v>1.1606315789473682</v>
          </cell>
        </row>
        <row r="270">
          <cell r="A270" t="str">
            <v>Josh King</v>
          </cell>
          <cell r="B270" t="str">
            <v/>
          </cell>
          <cell r="C270" t="str">
            <v>King</v>
          </cell>
          <cell r="D270" t="str">
            <v/>
          </cell>
          <cell r="E270" t="str">
            <v>Joshua King</v>
          </cell>
          <cell r="F270" t="str">
            <v/>
          </cell>
          <cell r="H270" t="str">
            <v/>
          </cell>
          <cell r="I270">
            <v>0</v>
          </cell>
          <cell r="J270">
            <v>0.6</v>
          </cell>
          <cell r="K270">
            <v>1.2</v>
          </cell>
          <cell r="M270">
            <v>3.0576094843865302</v>
          </cell>
          <cell r="N270">
            <v>3.1744186046511627</v>
          </cell>
          <cell r="O270">
            <v>2.7739758244645918</v>
          </cell>
          <cell r="P270">
            <v>3.0388085678324748</v>
          </cell>
          <cell r="Q270">
            <v>3.1744186046511627</v>
          </cell>
          <cell r="R270">
            <v>2.754237288135593</v>
          </cell>
          <cell r="S270">
            <v>3.0576094843865302</v>
          </cell>
          <cell r="T270" t="str">
            <v>MID</v>
          </cell>
          <cell r="U270" t="str">
            <v>AM</v>
          </cell>
          <cell r="V270" t="str">
            <v>FUL</v>
          </cell>
          <cell r="W270" t="str">
            <v>Fulham</v>
          </cell>
          <cell r="X270">
            <v>5.5</v>
          </cell>
          <cell r="Y270">
            <v>63</v>
          </cell>
          <cell r="Z270">
            <v>0</v>
          </cell>
          <cell r="AA270">
            <v>63</v>
          </cell>
          <cell r="AB270">
            <v>1290</v>
          </cell>
          <cell r="AC270">
            <v>1290</v>
          </cell>
          <cell r="AD270">
            <v>0.35795454545454547</v>
          </cell>
          <cell r="AE270">
            <v>1</v>
          </cell>
          <cell r="AF270">
            <v>3</v>
          </cell>
          <cell r="AG270">
            <v>-0.10255813953488373</v>
          </cell>
          <cell r="AH270">
            <v>0.16325581395348834</v>
          </cell>
          <cell r="AI270">
            <v>6.069767441860463E-2</v>
          </cell>
          <cell r="AJ270">
            <v>2.0000000000000018E-3</v>
          </cell>
          <cell r="AK270">
            <v>3</v>
          </cell>
          <cell r="AL270">
            <v>225</v>
          </cell>
          <cell r="AM270">
            <v>4</v>
          </cell>
          <cell r="AN270">
            <v>0</v>
          </cell>
          <cell r="AO270">
            <v>268</v>
          </cell>
          <cell r="AP270" t="str">
            <v>King</v>
          </cell>
          <cell r="AQ270">
            <v>1.1085271317829457</v>
          </cell>
          <cell r="AR270">
            <v>0</v>
          </cell>
          <cell r="AS270">
            <v>2.9728682170542635</v>
          </cell>
          <cell r="AT270">
            <v>5.391472868217055</v>
          </cell>
          <cell r="AU270">
            <v>1.3100775193798448</v>
          </cell>
          <cell r="AV270">
            <v>5.391472868217055</v>
          </cell>
          <cell r="AW270">
            <v>5.391472868217055</v>
          </cell>
          <cell r="AX270">
            <v>4.0821151716500553E-2</v>
          </cell>
          <cell r="AY270">
            <v>0</v>
          </cell>
          <cell r="AZ270">
            <v>2</v>
          </cell>
          <cell r="BA270">
            <v>63</v>
          </cell>
          <cell r="BB270" t="str">
            <v/>
          </cell>
          <cell r="BC270">
            <v>15</v>
          </cell>
          <cell r="BD270">
            <v>0</v>
          </cell>
          <cell r="BE270">
            <v>0</v>
          </cell>
          <cell r="BF270">
            <v>65</v>
          </cell>
          <cell r="BG270">
            <v>0.72222222222222221</v>
          </cell>
          <cell r="BH270">
            <v>1</v>
          </cell>
          <cell r="BI270">
            <v>17</v>
          </cell>
          <cell r="BJ270">
            <v>19</v>
          </cell>
          <cell r="BK270">
            <v>3</v>
          </cell>
          <cell r="BL270">
            <v>0.42857142857142855</v>
          </cell>
          <cell r="BM270">
            <v>0.48571428571428571</v>
          </cell>
          <cell r="BN270">
            <v>0.59560439560439549</v>
          </cell>
          <cell r="BO270">
            <v>38</v>
          </cell>
          <cell r="BP270">
            <v>0</v>
          </cell>
          <cell r="BQ270">
            <v>0.37719298245614036</v>
          </cell>
          <cell r="BR270">
            <v>2.4700000000000002</v>
          </cell>
          <cell r="BS270">
            <v>0.17232558139534884</v>
          </cell>
          <cell r="BT270">
            <v>0.66</v>
          </cell>
          <cell r="BU270">
            <v>4.6046511627906982E-2</v>
          </cell>
          <cell r="BV270">
            <v>0.21837209302325583</v>
          </cell>
          <cell r="BW270">
            <v>0</v>
          </cell>
          <cell r="BX270">
            <v>38</v>
          </cell>
          <cell r="BY270">
            <v>1.6842105263157894</v>
          </cell>
          <cell r="BZ270">
            <v>0.95878947368421041</v>
          </cell>
        </row>
        <row r="271">
          <cell r="A271" t="str">
            <v>Tyrick Mitchell</v>
          </cell>
          <cell r="B271" t="str">
            <v/>
          </cell>
          <cell r="C271" t="str">
            <v>Mitchell</v>
          </cell>
          <cell r="D271" t="str">
            <v/>
          </cell>
          <cell r="F271" t="str">
            <v/>
          </cell>
          <cell r="H271" t="str">
            <v/>
          </cell>
          <cell r="I271">
            <v>2.6</v>
          </cell>
          <cell r="J271">
            <v>3.0333333333333337</v>
          </cell>
          <cell r="K271">
            <v>3.3</v>
          </cell>
          <cell r="M271">
            <v>3.0526177758951158</v>
          </cell>
          <cell r="N271">
            <v>3.3273901014448199</v>
          </cell>
          <cell r="O271">
            <v>2.1713739698154084</v>
          </cell>
          <cell r="P271">
            <v>2.9805525554868706</v>
          </cell>
          <cell r="Q271">
            <v>3.3273901014448199</v>
          </cell>
          <cell r="R271">
            <v>2.8444444444444446</v>
          </cell>
          <cell r="S271">
            <v>3.0526177758951158</v>
          </cell>
          <cell r="T271" t="str">
            <v>DEF</v>
          </cell>
          <cell r="U271" t="str">
            <v>LB</v>
          </cell>
          <cell r="V271" t="str">
            <v>CRY</v>
          </cell>
          <cell r="W271" t="str">
            <v>Crystal Palace</v>
          </cell>
          <cell r="X271">
            <v>4.5</v>
          </cell>
          <cell r="Y271">
            <v>135</v>
          </cell>
          <cell r="Z271">
            <v>12</v>
          </cell>
          <cell r="AA271">
            <v>123</v>
          </cell>
          <cell r="AB271">
            <v>3253</v>
          </cell>
          <cell r="AC271">
            <v>3253</v>
          </cell>
          <cell r="AD271">
            <v>0.78947368421052633</v>
          </cell>
          <cell r="AE271">
            <v>1</v>
          </cell>
          <cell r="AF271">
            <v>3</v>
          </cell>
          <cell r="AG271">
            <v>-1.6323393790347369E-2</v>
          </cell>
          <cell r="AH271">
            <v>1.3003381494005539E-2</v>
          </cell>
          <cell r="AI271">
            <v>-3.3200122963418371E-3</v>
          </cell>
          <cell r="AJ271">
            <v>7.2999999999999954E-2</v>
          </cell>
          <cell r="AK271">
            <v>8</v>
          </cell>
          <cell r="AL271">
            <v>498</v>
          </cell>
          <cell r="AM271">
            <v>6</v>
          </cell>
          <cell r="AN271">
            <v>0</v>
          </cell>
          <cell r="AO271">
            <v>204</v>
          </cell>
          <cell r="AP271" t="str">
            <v>Mitchell</v>
          </cell>
          <cell r="AQ271">
            <v>3.9225330464186903</v>
          </cell>
          <cell r="AR271">
            <v>0</v>
          </cell>
          <cell r="AS271">
            <v>5.0587150322778971</v>
          </cell>
          <cell r="AT271">
            <v>6.6277282508453732</v>
          </cell>
          <cell r="AU271">
            <v>2.7051952044266829</v>
          </cell>
          <cell r="AV271">
            <v>6.6277282508453732</v>
          </cell>
          <cell r="AW271">
            <v>6.6277282508453732</v>
          </cell>
          <cell r="AX271">
            <v>0.14431324930833075</v>
          </cell>
          <cell r="AY271">
            <v>0</v>
          </cell>
          <cell r="AZ271">
            <v>3.6</v>
          </cell>
          <cell r="BA271">
            <v>135</v>
          </cell>
          <cell r="BB271" t="str">
            <v/>
          </cell>
          <cell r="BC271">
            <v>36</v>
          </cell>
          <cell r="BD271">
            <v>31</v>
          </cell>
          <cell r="BE271">
            <v>0.86111111111111116</v>
          </cell>
          <cell r="BF271">
            <v>88</v>
          </cell>
          <cell r="BG271">
            <v>0.97777777777777775</v>
          </cell>
          <cell r="BH271">
            <v>1</v>
          </cell>
          <cell r="BI271">
            <v>2</v>
          </cell>
          <cell r="BJ271">
            <v>45</v>
          </cell>
          <cell r="BK271">
            <v>0</v>
          </cell>
          <cell r="BL271">
            <v>0.94736842105263153</v>
          </cell>
          <cell r="BM271">
            <v>5.2631578947368474E-2</v>
          </cell>
          <cell r="BN271">
            <v>0.97428229665071764</v>
          </cell>
          <cell r="BO271">
            <v>38</v>
          </cell>
          <cell r="BP271">
            <v>0</v>
          </cell>
          <cell r="BQ271">
            <v>0.95116959064327489</v>
          </cell>
          <cell r="BR271">
            <v>1.59</v>
          </cell>
          <cell r="BS271">
            <v>4.3990162926529353E-2</v>
          </cell>
          <cell r="BT271">
            <v>2.5299999999999998</v>
          </cell>
          <cell r="BU271">
            <v>6.9996925914540417E-2</v>
          </cell>
          <cell r="BV271">
            <v>0.11398708884106977</v>
          </cell>
          <cell r="BW271">
            <v>0</v>
          </cell>
          <cell r="BX271">
            <v>38</v>
          </cell>
          <cell r="BY271">
            <v>1.631578947368421</v>
          </cell>
          <cell r="BZ271">
            <v>1.0114210526315788</v>
          </cell>
        </row>
        <row r="272">
          <cell r="A272" t="str">
            <v>Luke Shaw</v>
          </cell>
          <cell r="B272" t="str">
            <v/>
          </cell>
          <cell r="C272" t="str">
            <v>Shaw</v>
          </cell>
          <cell r="D272" t="str">
            <v/>
          </cell>
          <cell r="F272" t="str">
            <v/>
          </cell>
          <cell r="H272" t="str">
            <v/>
          </cell>
          <cell r="I272">
            <v>0.7</v>
          </cell>
          <cell r="J272">
            <v>2.4333333333333331</v>
          </cell>
          <cell r="K272">
            <v>4</v>
          </cell>
          <cell r="M272">
            <v>3.0454211956081445</v>
          </cell>
          <cell r="N272">
            <v>2.718944099378882</v>
          </cell>
          <cell r="O272">
            <v>2.0413651883331516</v>
          </cell>
          <cell r="P272">
            <v>3.0454211956081445</v>
          </cell>
          <cell r="Q272">
            <v>2.718944099378882</v>
          </cell>
          <cell r="R272">
            <v>5.9649122807017543</v>
          </cell>
          <cell r="S272">
            <v>3.0454211956081445</v>
          </cell>
          <cell r="T272" t="str">
            <v>DEF</v>
          </cell>
          <cell r="U272" t="str">
            <v>LB</v>
          </cell>
          <cell r="V272" t="str">
            <v>MUN</v>
          </cell>
          <cell r="W272" t="str">
            <v>Man Utd</v>
          </cell>
          <cell r="X272">
            <v>4.5</v>
          </cell>
          <cell r="Y272">
            <v>113</v>
          </cell>
          <cell r="Z272">
            <v>10</v>
          </cell>
          <cell r="AA272">
            <v>103</v>
          </cell>
          <cell r="AB272">
            <v>3220</v>
          </cell>
          <cell r="AC272">
            <v>3220</v>
          </cell>
          <cell r="AD272">
            <v>0.66081871345029242</v>
          </cell>
          <cell r="AE272">
            <v>1</v>
          </cell>
          <cell r="AF272">
            <v>1</v>
          </cell>
          <cell r="AG272">
            <v>7.8260869565217397E-3</v>
          </cell>
          <cell r="AH272">
            <v>-2.7391304347826089E-2</v>
          </cell>
          <cell r="AI272">
            <v>-1.9565217391304353E-2</v>
          </cell>
          <cell r="AJ272">
            <v>0.15599999999999992</v>
          </cell>
          <cell r="AK272">
            <v>3</v>
          </cell>
          <cell r="AL272">
            <v>449</v>
          </cell>
          <cell r="AM272">
            <v>9</v>
          </cell>
          <cell r="AN272">
            <v>0</v>
          </cell>
          <cell r="AO272">
            <v>423</v>
          </cell>
          <cell r="AP272" t="str">
            <v>Shaw</v>
          </cell>
          <cell r="AQ272">
            <v>3.933229813664596</v>
          </cell>
          <cell r="AR272">
            <v>0</v>
          </cell>
          <cell r="AS272">
            <v>2.7717391304347823</v>
          </cell>
          <cell r="AT272">
            <v>5.9130434782608701</v>
          </cell>
          <cell r="AU272">
            <v>1.9798136645962729</v>
          </cell>
          <cell r="AV272">
            <v>5.9130434782608701</v>
          </cell>
          <cell r="AW272">
            <v>5.9130434782608701</v>
          </cell>
          <cell r="AX272">
            <v>9.5000000000000043E-2</v>
          </cell>
          <cell r="AY272">
            <v>0</v>
          </cell>
          <cell r="AZ272">
            <v>3</v>
          </cell>
          <cell r="BA272">
            <v>113</v>
          </cell>
          <cell r="BB272" t="str">
            <v/>
          </cell>
          <cell r="BC272">
            <v>38</v>
          </cell>
          <cell r="BD272">
            <v>23</v>
          </cell>
          <cell r="BE272">
            <v>0.60526315789473684</v>
          </cell>
          <cell r="BF272">
            <v>85</v>
          </cell>
          <cell r="BG272">
            <v>0.94444444444444442</v>
          </cell>
          <cell r="BH272">
            <v>1</v>
          </cell>
          <cell r="BI272">
            <v>0</v>
          </cell>
          <cell r="BJ272">
            <v>0</v>
          </cell>
          <cell r="BK272">
            <v>0</v>
          </cell>
          <cell r="BL272">
            <v>1</v>
          </cell>
          <cell r="BM272">
            <v>0</v>
          </cell>
          <cell r="BN272">
            <v>1</v>
          </cell>
          <cell r="BO272">
            <v>38</v>
          </cell>
          <cell r="BP272">
            <v>0</v>
          </cell>
          <cell r="BQ272">
            <v>0.94152046783625731</v>
          </cell>
          <cell r="BR272">
            <v>0.72</v>
          </cell>
          <cell r="BS272">
            <v>2.0124223602484472E-2</v>
          </cell>
          <cell r="BT272">
            <v>1.98</v>
          </cell>
          <cell r="BU272">
            <v>5.5341614906832301E-2</v>
          </cell>
          <cell r="BV272">
            <v>7.5465838509316777E-2</v>
          </cell>
          <cell r="BW272">
            <v>0</v>
          </cell>
          <cell r="BX272">
            <v>38</v>
          </cell>
          <cell r="BY272">
            <v>1.3231578947368421</v>
          </cell>
          <cell r="BZ272">
            <v>1.3198421052631577</v>
          </cell>
        </row>
        <row r="273">
          <cell r="A273" t="str">
            <v>James McAtee</v>
          </cell>
          <cell r="B273" t="str">
            <v/>
          </cell>
          <cell r="C273" t="str">
            <v>McAtee</v>
          </cell>
          <cell r="D273" t="str">
            <v/>
          </cell>
          <cell r="F273" t="str">
            <v/>
          </cell>
          <cell r="H273" t="str">
            <v/>
          </cell>
          <cell r="I273">
            <v>0</v>
          </cell>
          <cell r="J273">
            <v>0.70000000000000007</v>
          </cell>
          <cell r="K273">
            <v>2.1</v>
          </cell>
          <cell r="M273">
            <v>3.0389295618609062</v>
          </cell>
          <cell r="N273">
            <v>0</v>
          </cell>
          <cell r="O273">
            <v>2.9692572463768121</v>
          </cell>
          <cell r="P273">
            <v>2.7785128951942397</v>
          </cell>
          <cell r="Q273">
            <v>4.4270833333333339</v>
          </cell>
          <cell r="R273">
            <v>5.2173913043478262</v>
          </cell>
          <cell r="S273">
            <v>3.0389295618609062</v>
          </cell>
          <cell r="T273" t="str">
            <v>MID</v>
          </cell>
          <cell r="U273" t="str">
            <v>AM</v>
          </cell>
          <cell r="V273" t="str">
            <v>NFO</v>
          </cell>
          <cell r="W273" t="str">
            <v>Nott'm Forest</v>
          </cell>
          <cell r="X273">
            <v>5.5</v>
          </cell>
          <cell r="Y273">
            <v>17</v>
          </cell>
          <cell r="Z273">
            <v>0</v>
          </cell>
          <cell r="AA273">
            <v>17</v>
          </cell>
          <cell r="AB273">
            <v>288</v>
          </cell>
          <cell r="AC273">
            <v>288</v>
          </cell>
          <cell r="AD273">
            <v>0.22077922077922077</v>
          </cell>
          <cell r="AE273">
            <v>0</v>
          </cell>
          <cell r="AF273">
            <v>1</v>
          </cell>
          <cell r="AG273">
            <v>-5.6250000000000001E-2</v>
          </cell>
          <cell r="AH273">
            <v>0.19687499999999999</v>
          </cell>
          <cell r="AI273">
            <v>0.140625</v>
          </cell>
          <cell r="AJ273">
            <v>9.9999999999988987E-4</v>
          </cell>
          <cell r="AK273">
            <v>0</v>
          </cell>
          <cell r="AL273">
            <v>60</v>
          </cell>
          <cell r="AM273">
            <v>1</v>
          </cell>
          <cell r="AN273">
            <v>0</v>
          </cell>
          <cell r="AO273">
            <v>486</v>
          </cell>
          <cell r="AP273" t="str">
            <v>McAtee</v>
          </cell>
          <cell r="AQ273">
            <v>1.8229166666666667</v>
          </cell>
          <cell r="AR273">
            <v>0</v>
          </cell>
          <cell r="AS273">
            <v>4.6875</v>
          </cell>
          <cell r="AT273">
            <v>8.3333333333333339</v>
          </cell>
          <cell r="AU273">
            <v>1.8229166666666667</v>
          </cell>
          <cell r="AV273">
            <v>8.3333333333333339</v>
          </cell>
          <cell r="AW273">
            <v>8.3333333333333339</v>
          </cell>
          <cell r="AX273">
            <v>0.14900000000000005</v>
          </cell>
          <cell r="AY273">
            <v>0</v>
          </cell>
          <cell r="AZ273">
            <v>1.2</v>
          </cell>
          <cell r="BA273">
            <v>17</v>
          </cell>
          <cell r="BB273" t="str">
            <v/>
          </cell>
          <cell r="BC273">
            <v>2</v>
          </cell>
          <cell r="BD273">
            <v>1</v>
          </cell>
          <cell r="BE273">
            <v>0.5</v>
          </cell>
          <cell r="BF273">
            <v>75</v>
          </cell>
          <cell r="BG273">
            <v>0.83333333333333337</v>
          </cell>
          <cell r="BH273">
            <v>1</v>
          </cell>
          <cell r="BI273">
            <v>12</v>
          </cell>
          <cell r="BJ273">
            <v>12</v>
          </cell>
          <cell r="BK273">
            <v>21</v>
          </cell>
          <cell r="BL273">
            <v>5.7142857142857141E-2</v>
          </cell>
          <cell r="BM273">
            <v>0.34285714285714286</v>
          </cell>
          <cell r="BN273">
            <v>0.20799999999999996</v>
          </cell>
          <cell r="BO273">
            <v>38</v>
          </cell>
          <cell r="BP273">
            <v>0</v>
          </cell>
          <cell r="BQ273">
            <v>8.4210526315789472E-2</v>
          </cell>
          <cell r="BR273">
            <v>0.18</v>
          </cell>
          <cell r="BS273">
            <v>5.6250000000000001E-2</v>
          </cell>
          <cell r="BT273">
            <v>0.37</v>
          </cell>
          <cell r="BU273">
            <v>0.11562500000000001</v>
          </cell>
          <cell r="BV273">
            <v>0.171875</v>
          </cell>
          <cell r="BW273">
            <v>0</v>
          </cell>
          <cell r="BX273">
            <v>38</v>
          </cell>
          <cell r="BY273">
            <v>1.7036842105263157</v>
          </cell>
          <cell r="BZ273">
            <v>0.9393157894736841</v>
          </cell>
        </row>
        <row r="274">
          <cell r="A274" t="str">
            <v>Michael Kayode</v>
          </cell>
          <cell r="B274" t="str">
            <v/>
          </cell>
          <cell r="C274" t="str">
            <v>Kayode</v>
          </cell>
          <cell r="D274" t="str">
            <v/>
          </cell>
          <cell r="F274" t="str">
            <v/>
          </cell>
          <cell r="H274" t="str">
            <v/>
          </cell>
          <cell r="I274">
            <v>2.2000000000000002</v>
          </cell>
          <cell r="J274">
            <v>2.2000000000000002</v>
          </cell>
          <cell r="K274">
            <v>2.2000000000000002</v>
          </cell>
          <cell r="M274">
            <v>3.0356741798230438</v>
          </cell>
          <cell r="N274">
            <v>2.8901166359729902</v>
          </cell>
          <cell r="O274">
            <v>1.9444899938612654</v>
          </cell>
          <cell r="P274">
            <v>3.0356741798230438</v>
          </cell>
          <cell r="Q274">
            <v>2.8901166359729902</v>
          </cell>
          <cell r="R274">
            <v>2.7703703703703701</v>
          </cell>
          <cell r="S274">
            <v>3.0356741798230438</v>
          </cell>
          <cell r="T274" t="str">
            <v>DEF</v>
          </cell>
          <cell r="U274" t="str">
            <v>RB</v>
          </cell>
          <cell r="V274" t="str">
            <v>BRE</v>
          </cell>
          <cell r="W274" t="str">
            <v>Brentford</v>
          </cell>
          <cell r="X274">
            <v>4.5</v>
          </cell>
          <cell r="Y274">
            <v>113.00000000000001</v>
          </cell>
          <cell r="Z274">
            <v>6</v>
          </cell>
          <cell r="AA274">
            <v>107.00000000000001</v>
          </cell>
          <cell r="AB274">
            <v>3258</v>
          </cell>
          <cell r="AC274">
            <v>3258</v>
          </cell>
          <cell r="AD274">
            <v>0.6786786786786787</v>
          </cell>
          <cell r="AE274">
            <v>1</v>
          </cell>
          <cell r="AF274">
            <v>2</v>
          </cell>
          <cell r="AG274">
            <v>-7.734806629834258E-3</v>
          </cell>
          <cell r="AH274">
            <v>-2.4585635359116037E-2</v>
          </cell>
          <cell r="AI274">
            <v>-3.2320441988950302E-2</v>
          </cell>
          <cell r="AJ274">
            <v>5.600000000000005E-2</v>
          </cell>
          <cell r="AK274">
            <v>9</v>
          </cell>
          <cell r="AL274">
            <v>494</v>
          </cell>
          <cell r="AM274">
            <v>8</v>
          </cell>
          <cell r="AN274">
            <v>0</v>
          </cell>
          <cell r="AO274">
            <v>88</v>
          </cell>
          <cell r="AP274" t="str">
            <v>Kayode</v>
          </cell>
          <cell r="AQ274">
            <v>4.078575813382443</v>
          </cell>
          <cell r="AR274">
            <v>0</v>
          </cell>
          <cell r="AS274">
            <v>4.4027010435850213</v>
          </cell>
          <cell r="AT274">
            <v>5.915285451197053</v>
          </cell>
          <cell r="AU274">
            <v>1.8367096378146099</v>
          </cell>
          <cell r="AV274">
            <v>5.915285451197053</v>
          </cell>
          <cell r="AW274">
            <v>5.915285451197053</v>
          </cell>
          <cell r="AX274">
            <v>9.5154696132596667E-2</v>
          </cell>
          <cell r="AY274">
            <v>0</v>
          </cell>
          <cell r="AZ274">
            <v>3.1</v>
          </cell>
          <cell r="BA274">
            <v>113.00000000000001</v>
          </cell>
          <cell r="BB274" t="str">
            <v/>
          </cell>
          <cell r="BC274">
            <v>37</v>
          </cell>
          <cell r="BD274">
            <v>31</v>
          </cell>
          <cell r="BE274">
            <v>0.83783783783783783</v>
          </cell>
          <cell r="BF274">
            <v>88</v>
          </cell>
          <cell r="BG274">
            <v>0.97777777777777775</v>
          </cell>
          <cell r="BH274">
            <v>1</v>
          </cell>
          <cell r="BI274">
            <v>0</v>
          </cell>
          <cell r="BJ274">
            <v>0</v>
          </cell>
          <cell r="BK274">
            <v>0</v>
          </cell>
          <cell r="BL274">
            <v>1</v>
          </cell>
          <cell r="BM274">
            <v>0</v>
          </cell>
          <cell r="BN274">
            <v>1</v>
          </cell>
          <cell r="BO274">
            <v>38</v>
          </cell>
          <cell r="BP274">
            <v>0</v>
          </cell>
          <cell r="BQ274">
            <v>0.95263157894736838</v>
          </cell>
          <cell r="BR274">
            <v>1.28</v>
          </cell>
          <cell r="BS274">
            <v>3.535911602209945E-2</v>
          </cell>
          <cell r="BT274">
            <v>2.89</v>
          </cell>
          <cell r="BU274">
            <v>7.9834254143646421E-2</v>
          </cell>
          <cell r="BV274">
            <v>0.11519337016574588</v>
          </cell>
          <cell r="BW274">
            <v>0</v>
          </cell>
          <cell r="BX274">
            <v>38</v>
          </cell>
          <cell r="BY274">
            <v>1.5555263157894736</v>
          </cell>
          <cell r="BZ274">
            <v>1.0874736842105261</v>
          </cell>
        </row>
        <row r="275">
          <cell r="A275" t="str">
            <v>Ezri Konsa Ngoyo</v>
          </cell>
          <cell r="B275" t="str">
            <v/>
          </cell>
          <cell r="C275" t="str">
            <v>Konsa</v>
          </cell>
          <cell r="D275" t="str">
            <v/>
          </cell>
          <cell r="E275" t="str">
            <v>Ezri Konsa</v>
          </cell>
          <cell r="F275" t="str">
            <v/>
          </cell>
          <cell r="H275" t="str">
            <v/>
          </cell>
          <cell r="I275">
            <v>2.6</v>
          </cell>
          <cell r="J275">
            <v>2.8333333333333335</v>
          </cell>
          <cell r="K275">
            <v>3</v>
          </cell>
          <cell r="M275">
            <v>3.033476609488968</v>
          </cell>
          <cell r="N275">
            <v>2.7565074135090608</v>
          </cell>
          <cell r="O275">
            <v>1.7596782811641951</v>
          </cell>
          <cell r="P275">
            <v>3.033476609488968</v>
          </cell>
          <cell r="Q275">
            <v>2.7565074135090608</v>
          </cell>
          <cell r="R275">
            <v>1.2361111111111112</v>
          </cell>
          <cell r="S275">
            <v>3.033476609488968</v>
          </cell>
          <cell r="T275" t="str">
            <v>DEF</v>
          </cell>
          <cell r="U275" t="str">
            <v>CB</v>
          </cell>
          <cell r="V275" t="str">
            <v>AVL</v>
          </cell>
          <cell r="W275" t="str">
            <v>Aston Villa</v>
          </cell>
          <cell r="X275">
            <v>4.5</v>
          </cell>
          <cell r="Y275">
            <v>100</v>
          </cell>
          <cell r="Z275">
            <v>6</v>
          </cell>
          <cell r="AA275">
            <v>94</v>
          </cell>
          <cell r="AB275">
            <v>3035</v>
          </cell>
          <cell r="AC275">
            <v>3035</v>
          </cell>
          <cell r="AD275">
            <v>0.65359477124183007</v>
          </cell>
          <cell r="AE275">
            <v>0</v>
          </cell>
          <cell r="AF275">
            <v>1</v>
          </cell>
          <cell r="AG275">
            <v>-3.7660626029654039E-2</v>
          </cell>
          <cell r="AH275">
            <v>1.2158154859967053E-2</v>
          </cell>
          <cell r="AI275">
            <v>-2.5502471169686985E-2</v>
          </cell>
          <cell r="AJ275">
            <v>0.17300000000000004</v>
          </cell>
          <cell r="AK275">
            <v>3</v>
          </cell>
          <cell r="AL275">
            <v>497</v>
          </cell>
          <cell r="AM275">
            <v>0</v>
          </cell>
          <cell r="AN275">
            <v>0</v>
          </cell>
          <cell r="AO275">
            <v>31</v>
          </cell>
          <cell r="AP275" t="str">
            <v>Konsa</v>
          </cell>
          <cell r="AQ275">
            <v>5.1024711696869849</v>
          </cell>
          <cell r="AR275">
            <v>0</v>
          </cell>
          <cell r="AS275">
            <v>3.1670510708401975</v>
          </cell>
          <cell r="AT275">
            <v>5.7476112026359143</v>
          </cell>
          <cell r="AU275">
            <v>0.6451400329489293</v>
          </cell>
          <cell r="AV275">
            <v>5.7476112026359143</v>
          </cell>
          <cell r="AW275">
            <v>5.7476112026359143</v>
          </cell>
          <cell r="AX275">
            <v>8.3585172981878092E-2</v>
          </cell>
          <cell r="AY275">
            <v>0</v>
          </cell>
          <cell r="AZ275">
            <v>2.9</v>
          </cell>
          <cell r="BA275">
            <v>100</v>
          </cell>
          <cell r="BB275" t="str">
            <v/>
          </cell>
          <cell r="BC275">
            <v>34</v>
          </cell>
          <cell r="BD275">
            <v>33</v>
          </cell>
          <cell r="BE275">
            <v>0.97058823529411764</v>
          </cell>
          <cell r="BF275">
            <v>89</v>
          </cell>
          <cell r="BG275">
            <v>0.98888888888888893</v>
          </cell>
          <cell r="BH275">
            <v>1</v>
          </cell>
          <cell r="BI275">
            <v>0</v>
          </cell>
          <cell r="BJ275">
            <v>0</v>
          </cell>
          <cell r="BK275">
            <v>2</v>
          </cell>
          <cell r="BL275">
            <v>0.94444444444444442</v>
          </cell>
          <cell r="BM275">
            <v>0</v>
          </cell>
          <cell r="BN275">
            <v>0.94444444444444442</v>
          </cell>
          <cell r="BO275">
            <v>38</v>
          </cell>
          <cell r="BP275">
            <v>0</v>
          </cell>
          <cell r="BQ275">
            <v>0.88742690058479534</v>
          </cell>
          <cell r="BR275">
            <v>1.27</v>
          </cell>
          <cell r="BS275">
            <v>3.7660626029654039E-2</v>
          </cell>
          <cell r="BT275">
            <v>0.59</v>
          </cell>
          <cell r="BU275">
            <v>1.7495881383855022E-2</v>
          </cell>
          <cell r="BV275">
            <v>5.5156507413509061E-2</v>
          </cell>
          <cell r="BW275">
            <v>0</v>
          </cell>
          <cell r="BX275">
            <v>38</v>
          </cell>
          <cell r="BY275">
            <v>1.4915789473684211</v>
          </cell>
          <cell r="BZ275">
            <v>1.1514210526315787</v>
          </cell>
        </row>
        <row r="276">
          <cell r="A276" t="str">
            <v>Tino Livramento</v>
          </cell>
          <cell r="B276" t="str">
            <v/>
          </cell>
          <cell r="C276" t="str">
            <v>Livramento</v>
          </cell>
          <cell r="D276" t="str">
            <v/>
          </cell>
          <cell r="E276" t="str">
            <v>Valentino Livramento</v>
          </cell>
          <cell r="F276" t="str">
            <v/>
          </cell>
          <cell r="H276" t="str">
            <v/>
          </cell>
          <cell r="I276">
            <v>1</v>
          </cell>
          <cell r="J276">
            <v>1.8333333333333333</v>
          </cell>
          <cell r="K276">
            <v>2.8</v>
          </cell>
          <cell r="M276">
            <v>3.0285358854614755</v>
          </cell>
          <cell r="N276">
            <v>3.7828054298642533</v>
          </cell>
          <cell r="O276">
            <v>1.7725427488171239</v>
          </cell>
          <cell r="P276">
            <v>3.0285358854614755</v>
          </cell>
          <cell r="Q276">
            <v>3.7828054298642533</v>
          </cell>
          <cell r="R276">
            <v>2.4109589041095889</v>
          </cell>
          <cell r="S276">
            <v>3.0285358854614755</v>
          </cell>
          <cell r="T276" t="str">
            <v>DEF</v>
          </cell>
          <cell r="U276" t="str">
            <v>RB</v>
          </cell>
          <cell r="V276" t="str">
            <v>NEW</v>
          </cell>
          <cell r="W276" t="str">
            <v>Newcastle</v>
          </cell>
          <cell r="X276">
            <v>5</v>
          </cell>
          <cell r="Y276">
            <v>59</v>
          </cell>
          <cell r="Z276">
            <v>2</v>
          </cell>
          <cell r="AA276">
            <v>57</v>
          </cell>
          <cell r="AB276">
            <v>1326</v>
          </cell>
          <cell r="AC276">
            <v>1326</v>
          </cell>
          <cell r="AD276">
            <v>0.69411764705882351</v>
          </cell>
          <cell r="AE276">
            <v>0</v>
          </cell>
          <cell r="AF276">
            <v>1</v>
          </cell>
          <cell r="AG276">
            <v>-8.8235294117647075E-3</v>
          </cell>
          <cell r="AH276">
            <v>7.4660633484162908E-3</v>
          </cell>
          <cell r="AI276">
            <v>-1.3574660633484115E-3</v>
          </cell>
          <cell r="AJ276">
            <v>9.9999999999988987E-4</v>
          </cell>
          <cell r="AK276">
            <v>3</v>
          </cell>
          <cell r="AL276">
            <v>252</v>
          </cell>
          <cell r="AM276">
            <v>1</v>
          </cell>
          <cell r="AN276">
            <v>0</v>
          </cell>
          <cell r="AO276">
            <v>450</v>
          </cell>
          <cell r="AP276" t="str">
            <v>Livramento</v>
          </cell>
          <cell r="AQ276">
            <v>3.0527903469079938</v>
          </cell>
          <cell r="AR276">
            <v>0</v>
          </cell>
          <cell r="AS276">
            <v>5.3755656108597281</v>
          </cell>
          <cell r="AT276">
            <v>4.5128205128205119</v>
          </cell>
          <cell r="AU276">
            <v>1.4600301659125188</v>
          </cell>
          <cell r="AV276">
            <v>4.5128205128205119</v>
          </cell>
          <cell r="AW276">
            <v>4.5128205128205119</v>
          </cell>
          <cell r="AX276">
            <v>2.8882051282051277E-2</v>
          </cell>
          <cell r="AY276">
            <v>0</v>
          </cell>
          <cell r="AZ276">
            <v>3.5</v>
          </cell>
          <cell r="BA276">
            <v>59</v>
          </cell>
          <cell r="BB276">
            <v>75</v>
          </cell>
          <cell r="BC276">
            <v>14</v>
          </cell>
          <cell r="BD276">
            <v>12</v>
          </cell>
          <cell r="BE276">
            <v>0.8571428571428571</v>
          </cell>
          <cell r="BF276">
            <v>88</v>
          </cell>
          <cell r="BG276">
            <v>0.97777777777777775</v>
          </cell>
          <cell r="BH276">
            <v>1</v>
          </cell>
          <cell r="BI276">
            <v>3</v>
          </cell>
          <cell r="BJ276">
            <v>33</v>
          </cell>
          <cell r="BK276">
            <v>0</v>
          </cell>
          <cell r="BL276">
            <v>0.82352941176470584</v>
          </cell>
          <cell r="BM276">
            <v>0.38235294117647056</v>
          </cell>
          <cell r="BN276">
            <v>0.88970588235294124</v>
          </cell>
          <cell r="BO276">
            <v>38</v>
          </cell>
          <cell r="BP276">
            <v>0</v>
          </cell>
          <cell r="BQ276">
            <v>0.38771929824561402</v>
          </cell>
          <cell r="BR276">
            <v>0.13</v>
          </cell>
          <cell r="BS276">
            <v>8.8235294117647075E-3</v>
          </cell>
          <cell r="BT276">
            <v>0.89</v>
          </cell>
          <cell r="BU276">
            <v>6.0407239819004532E-2</v>
          </cell>
          <cell r="BV276">
            <v>6.9230769230769235E-2</v>
          </cell>
          <cell r="BW276">
            <v>0</v>
          </cell>
          <cell r="BX276">
            <v>38</v>
          </cell>
          <cell r="BY276">
            <v>1.5081578947368421</v>
          </cell>
          <cell r="BZ276">
            <v>1.1348421052631577</v>
          </cell>
        </row>
        <row r="277">
          <cell r="A277" t="str">
            <v>Antonín Kinský</v>
          </cell>
          <cell r="B277" t="str">
            <v/>
          </cell>
          <cell r="C277" t="str">
            <v>Kinsky</v>
          </cell>
          <cell r="D277" t="str">
            <v/>
          </cell>
          <cell r="F277" t="str">
            <v/>
          </cell>
          <cell r="H277" t="str">
            <v/>
          </cell>
          <cell r="I277">
            <v>2.8</v>
          </cell>
          <cell r="J277">
            <v>2.8</v>
          </cell>
          <cell r="K277">
            <v>2.8</v>
          </cell>
          <cell r="M277">
            <v>3.0276830921546871</v>
          </cell>
          <cell r="N277">
            <v>2.8571428571428568</v>
          </cell>
          <cell r="O277">
            <v>2.2135714285714285</v>
          </cell>
          <cell r="P277">
            <v>3.0276830921546871</v>
          </cell>
          <cell r="Q277">
            <v>2.8571428571428568</v>
          </cell>
          <cell r="R277">
            <v>3</v>
          </cell>
          <cell r="S277">
            <v>3.0276830921546871</v>
          </cell>
          <cell r="T277" t="str">
            <v>GK</v>
          </cell>
          <cell r="U277" t="str">
            <v>GK</v>
          </cell>
          <cell r="V277" t="str">
            <v>TOT</v>
          </cell>
          <cell r="W277" t="str">
            <v>Spurs</v>
          </cell>
          <cell r="X277">
            <v>4.5</v>
          </cell>
          <cell r="Y277">
            <v>20</v>
          </cell>
          <cell r="Z277">
            <v>0</v>
          </cell>
          <cell r="AA277">
            <v>20</v>
          </cell>
          <cell r="AB277">
            <v>630</v>
          </cell>
          <cell r="AC277">
            <v>630</v>
          </cell>
          <cell r="AD277">
            <v>0.63492063492063489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0.14000000000000012</v>
          </cell>
          <cell r="AK277">
            <v>0</v>
          </cell>
          <cell r="AL277">
            <v>76</v>
          </cell>
          <cell r="AM277">
            <v>1</v>
          </cell>
          <cell r="AN277">
            <v>10</v>
          </cell>
          <cell r="AO277">
            <v>496</v>
          </cell>
          <cell r="AP277" t="str">
            <v>Kinsky</v>
          </cell>
          <cell r="AQ277">
            <v>1.4285714285714284</v>
          </cell>
          <cell r="AR277">
            <v>0</v>
          </cell>
          <cell r="AS277">
            <v>4.7142857142857144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2.9</v>
          </cell>
          <cell r="BA277">
            <v>20</v>
          </cell>
          <cell r="BB277" t="str">
            <v/>
          </cell>
          <cell r="BC277">
            <v>7</v>
          </cell>
          <cell r="BD277">
            <v>7</v>
          </cell>
          <cell r="BE277">
            <v>1</v>
          </cell>
          <cell r="BF277">
            <v>90</v>
          </cell>
          <cell r="BG277">
            <v>1</v>
          </cell>
          <cell r="BH277">
            <v>1</v>
          </cell>
          <cell r="BI277">
            <v>0</v>
          </cell>
          <cell r="BJ277">
            <v>0</v>
          </cell>
          <cell r="BK277">
            <v>30</v>
          </cell>
          <cell r="BL277">
            <v>0.1891891891891892</v>
          </cell>
          <cell r="BM277">
            <v>0</v>
          </cell>
          <cell r="BN277">
            <v>0.1891891891891892</v>
          </cell>
          <cell r="BO277">
            <v>38</v>
          </cell>
          <cell r="BP277">
            <v>0</v>
          </cell>
          <cell r="BQ277">
            <v>0.18421052631578946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38</v>
          </cell>
          <cell r="BY277">
            <v>1.4628947368421052</v>
          </cell>
          <cell r="BZ277">
            <v>1.1801052631578945</v>
          </cell>
        </row>
        <row r="278">
          <cell r="A278" t="str">
            <v>Conor Gallagher</v>
          </cell>
          <cell r="B278" t="str">
            <v/>
          </cell>
          <cell r="C278" t="str">
            <v>Gallagher</v>
          </cell>
          <cell r="D278" t="str">
            <v/>
          </cell>
          <cell r="F278" t="str">
            <v/>
          </cell>
          <cell r="H278" t="str">
            <v/>
          </cell>
          <cell r="I278" t="e">
            <v>#N/A</v>
          </cell>
          <cell r="J278" t="e">
            <v>#N/A</v>
          </cell>
          <cell r="K278" t="e">
            <v>#N/A</v>
          </cell>
          <cell r="M278">
            <v>3.0268994086068819</v>
          </cell>
          <cell r="N278">
            <v>3.0126796280642436</v>
          </cell>
          <cell r="O278">
            <v>2.7822472724055904</v>
          </cell>
          <cell r="P278">
            <v>3.0268994086068819</v>
          </cell>
          <cell r="Q278">
            <v>3.0126796280642436</v>
          </cell>
          <cell r="R278">
            <v>3.4534883720930236</v>
          </cell>
          <cell r="S278">
            <v>3.0268994086068819</v>
          </cell>
          <cell r="T278" t="str">
            <v>MID</v>
          </cell>
          <cell r="U278" t="str">
            <v>CM</v>
          </cell>
          <cell r="V278" t="str">
            <v>TOT</v>
          </cell>
          <cell r="W278" t="str">
            <v>Spurs</v>
          </cell>
          <cell r="X278">
            <v>5.5</v>
          </cell>
          <cell r="Y278">
            <v>44</v>
          </cell>
          <cell r="Z278">
            <v>0</v>
          </cell>
          <cell r="AA278">
            <v>44</v>
          </cell>
          <cell r="AB278">
            <v>1183</v>
          </cell>
          <cell r="AC278">
            <v>1183</v>
          </cell>
          <cell r="AD278">
            <v>0.5</v>
          </cell>
          <cell r="AE278">
            <v>1</v>
          </cell>
          <cell r="AF278">
            <v>1</v>
          </cell>
          <cell r="AG278">
            <v>-1.7497886728655959E-2</v>
          </cell>
          <cell r="AH278">
            <v>2.2823330515638209E-2</v>
          </cell>
          <cell r="AI278">
            <v>5.3254437869822424E-3</v>
          </cell>
          <cell r="AJ278">
            <v>2.0000000000000018E-3</v>
          </cell>
          <cell r="AK278">
            <v>3</v>
          </cell>
          <cell r="AL278">
            <v>211</v>
          </cell>
          <cell r="AM278">
            <v>2</v>
          </cell>
          <cell r="AN278">
            <v>0</v>
          </cell>
          <cell r="AO278">
            <v>519</v>
          </cell>
          <cell r="AP278" t="str">
            <v>Gallagher</v>
          </cell>
          <cell r="AQ278">
            <v>1.985629754860524</v>
          </cell>
          <cell r="AR278">
            <v>0</v>
          </cell>
          <cell r="AS278">
            <v>4.9983093829247673</v>
          </cell>
          <cell r="AT278">
            <v>8.4902789518174142</v>
          </cell>
          <cell r="AU278">
            <v>1.5063398140321218</v>
          </cell>
          <cell r="AV278">
            <v>8.4902789518174142</v>
          </cell>
          <cell r="AW278">
            <v>8.4902789518174142</v>
          </cell>
          <cell r="AX278">
            <v>0.16030008453085384</v>
          </cell>
          <cell r="AY278">
            <v>0</v>
          </cell>
          <cell r="AZ278">
            <v>2.8</v>
          </cell>
          <cell r="BA278">
            <v>44</v>
          </cell>
          <cell r="BB278" t="str">
            <v/>
          </cell>
          <cell r="BC278">
            <v>14</v>
          </cell>
          <cell r="BD278">
            <v>5</v>
          </cell>
          <cell r="BE278">
            <v>0.35714285714285715</v>
          </cell>
          <cell r="BF278">
            <v>81</v>
          </cell>
          <cell r="BG278">
            <v>0.9</v>
          </cell>
          <cell r="BH278">
            <v>1</v>
          </cell>
          <cell r="BI278">
            <v>2</v>
          </cell>
          <cell r="BJ278">
            <v>28</v>
          </cell>
          <cell r="BK278">
            <v>0</v>
          </cell>
          <cell r="BL278">
            <v>0.875</v>
          </cell>
          <cell r="BM278">
            <v>0.125</v>
          </cell>
          <cell r="BN278">
            <v>0.91820987654320985</v>
          </cell>
          <cell r="BO278">
            <v>38</v>
          </cell>
          <cell r="BP278">
            <v>0</v>
          </cell>
          <cell r="BQ278">
            <v>0.345906432748538</v>
          </cell>
          <cell r="BR278">
            <v>1.23</v>
          </cell>
          <cell r="BS278">
            <v>9.3575655114116654E-2</v>
          </cell>
          <cell r="BT278">
            <v>0.7</v>
          </cell>
          <cell r="BU278">
            <v>5.3254437869822487E-2</v>
          </cell>
          <cell r="BV278">
            <v>0.14683009298393915</v>
          </cell>
          <cell r="BW278">
            <v>0</v>
          </cell>
          <cell r="BX278">
            <v>38</v>
          </cell>
          <cell r="BY278">
            <v>1.4628947368421052</v>
          </cell>
          <cell r="BZ278">
            <v>1.1801052631578945</v>
          </cell>
        </row>
        <row r="279">
          <cell r="A279" t="str">
            <v>Jack Harrison</v>
          </cell>
          <cell r="B279" t="str">
            <v/>
          </cell>
          <cell r="C279" t="str">
            <v>Harrison</v>
          </cell>
          <cell r="D279" t="str">
            <v/>
          </cell>
          <cell r="F279" t="str">
            <v/>
          </cell>
          <cell r="H279" t="str">
            <v/>
          </cell>
          <cell r="I279">
            <v>0</v>
          </cell>
          <cell r="J279">
            <v>2.0333333333333332</v>
          </cell>
          <cell r="K279">
            <v>3.7</v>
          </cell>
          <cell r="M279">
            <v>3.0245792509051825</v>
          </cell>
          <cell r="N279">
            <v>0</v>
          </cell>
          <cell r="O279">
            <v>2.1751908396946567</v>
          </cell>
          <cell r="P279">
            <v>3.0245792509051825</v>
          </cell>
          <cell r="Q279">
            <v>2.9770992366412217</v>
          </cell>
          <cell r="R279">
            <v>0</v>
          </cell>
          <cell r="S279">
            <v>3.0245792509051825</v>
          </cell>
          <cell r="T279" t="str">
            <v>MID</v>
          </cell>
          <cell r="U279" t="str">
            <v/>
          </cell>
          <cell r="V279" t="str">
            <v>LEE</v>
          </cell>
          <cell r="W279" t="str">
            <v>Leeds</v>
          </cell>
          <cell r="X279">
            <v>5</v>
          </cell>
          <cell r="Y279">
            <v>12</v>
          </cell>
          <cell r="Z279">
            <v>0</v>
          </cell>
          <cell r="AA279">
            <v>12</v>
          </cell>
          <cell r="AB279">
            <v>262</v>
          </cell>
          <cell r="AC279">
            <v>262</v>
          </cell>
          <cell r="AD279">
            <v>0.21818181818181817</v>
          </cell>
          <cell r="AE279">
            <v>0</v>
          </cell>
          <cell r="AF279">
            <v>0</v>
          </cell>
          <cell r="AG279">
            <v>-9.6183206106870228E-2</v>
          </cell>
          <cell r="AH279">
            <v>-7.9007633587786272E-2</v>
          </cell>
          <cell r="AI279">
            <v>-0.17519083969465649</v>
          </cell>
          <cell r="AJ279">
            <v>9.9999999999988987E-4</v>
          </cell>
          <cell r="AK279">
            <v>0</v>
          </cell>
          <cell r="AL279">
            <v>51</v>
          </cell>
          <cell r="AM279">
            <v>0</v>
          </cell>
          <cell r="AN279">
            <v>0</v>
          </cell>
          <cell r="AO279">
            <v>342</v>
          </cell>
          <cell r="AP279" t="str">
            <v>Harrison</v>
          </cell>
          <cell r="AQ279">
            <v>1.4885496183206108</v>
          </cell>
          <cell r="AR279">
            <v>0</v>
          </cell>
          <cell r="AS279">
            <v>3.2251908396946565</v>
          </cell>
          <cell r="AT279">
            <v>5.9541984732824433</v>
          </cell>
          <cell r="AU279">
            <v>1.2404580152671756</v>
          </cell>
          <cell r="AV279">
            <v>5.9541984732824433</v>
          </cell>
          <cell r="AW279">
            <v>5.9541984732824433</v>
          </cell>
          <cell r="AX279">
            <v>4.5081788440567067E-2</v>
          </cell>
          <cell r="AY279">
            <v>0</v>
          </cell>
          <cell r="AZ279">
            <v>1.1000000000000001</v>
          </cell>
          <cell r="BA279">
            <v>12</v>
          </cell>
          <cell r="BB279" t="str">
            <v/>
          </cell>
          <cell r="BC279">
            <v>1</v>
          </cell>
          <cell r="BD279">
            <v>0</v>
          </cell>
          <cell r="BE279">
            <v>0</v>
          </cell>
          <cell r="BF279">
            <v>65</v>
          </cell>
          <cell r="BG279">
            <v>0.72222222222222221</v>
          </cell>
          <cell r="BH279">
            <v>1</v>
          </cell>
          <cell r="BI279">
            <v>10</v>
          </cell>
          <cell r="BJ279">
            <v>20</v>
          </cell>
          <cell r="BK279">
            <v>9</v>
          </cell>
          <cell r="BL279">
            <v>0.05</v>
          </cell>
          <cell r="BM279">
            <v>0.5</v>
          </cell>
          <cell r="BN279">
            <v>0.34230769230769231</v>
          </cell>
          <cell r="BO279">
            <v>38</v>
          </cell>
          <cell r="BP279">
            <v>0</v>
          </cell>
          <cell r="BQ279">
            <v>7.6608187134502931E-2</v>
          </cell>
          <cell r="BR279">
            <v>0.28000000000000003</v>
          </cell>
          <cell r="BS279">
            <v>9.6183206106870228E-2</v>
          </cell>
          <cell r="BT279">
            <v>0.23</v>
          </cell>
          <cell r="BU279">
            <v>7.9007633587786272E-2</v>
          </cell>
          <cell r="BV279">
            <v>0.17519083969465649</v>
          </cell>
          <cell r="BW279">
            <v>0</v>
          </cell>
          <cell r="BX279">
            <v>38</v>
          </cell>
          <cell r="BY279">
            <v>1.4823684210526316</v>
          </cell>
          <cell r="BZ279">
            <v>1.1606315789473682</v>
          </cell>
        </row>
        <row r="280">
          <cell r="A280" t="str">
            <v>Nicolò Savona</v>
          </cell>
          <cell r="B280" t="str">
            <v/>
          </cell>
          <cell r="C280" t="str">
            <v>Savona</v>
          </cell>
          <cell r="D280" t="str">
            <v/>
          </cell>
          <cell r="F280" t="str">
            <v/>
          </cell>
          <cell r="H280" t="str">
            <v/>
          </cell>
          <cell r="I280" t="e">
            <v>#N/A</v>
          </cell>
          <cell r="J280" t="e">
            <v>#N/A</v>
          </cell>
          <cell r="K280" t="e">
            <v>#N/A</v>
          </cell>
          <cell r="M280">
            <v>3.0202602885219298</v>
          </cell>
          <cell r="N280">
            <v>3.2341463414634144</v>
          </cell>
          <cell r="O280">
            <v>1.3108373983739843</v>
          </cell>
          <cell r="P280">
            <v>3.0202602885219298</v>
          </cell>
          <cell r="Q280">
            <v>3.2341463414634144</v>
          </cell>
          <cell r="R280">
            <v>0</v>
          </cell>
          <cell r="S280">
            <v>3.0202602885219298</v>
          </cell>
          <cell r="T280" t="str">
            <v>DEF</v>
          </cell>
          <cell r="U280" t="str">
            <v>RB</v>
          </cell>
          <cell r="V280" t="str">
            <v>NFO</v>
          </cell>
          <cell r="W280" t="str">
            <v>Nott'm Forest</v>
          </cell>
          <cell r="X280">
            <v>4.5</v>
          </cell>
          <cell r="Y280">
            <v>39</v>
          </cell>
          <cell r="Z280">
            <v>0</v>
          </cell>
          <cell r="AA280">
            <v>39</v>
          </cell>
          <cell r="AB280">
            <v>1025</v>
          </cell>
          <cell r="AC280">
            <v>1025</v>
          </cell>
          <cell r="AD280">
            <v>0.61904761904761907</v>
          </cell>
          <cell r="AE280">
            <v>2</v>
          </cell>
          <cell r="AF280">
            <v>0</v>
          </cell>
          <cell r="AG280">
            <v>5.7951219512195104E-2</v>
          </cell>
          <cell r="AH280">
            <v>-3.951219512195122E-2</v>
          </cell>
          <cell r="AI280">
            <v>1.8439024390243891E-2</v>
          </cell>
          <cell r="AJ280">
            <v>0</v>
          </cell>
          <cell r="AK280">
            <v>0</v>
          </cell>
          <cell r="AL280">
            <v>131</v>
          </cell>
          <cell r="AM280">
            <v>2</v>
          </cell>
          <cell r="AN280">
            <v>0</v>
          </cell>
          <cell r="AO280">
            <v>475</v>
          </cell>
          <cell r="AP280" t="str">
            <v>Savona</v>
          </cell>
          <cell r="AQ280">
            <v>3.0682926829268289</v>
          </cell>
          <cell r="AR280">
            <v>0</v>
          </cell>
          <cell r="AS280">
            <v>2.2390243902439022</v>
          </cell>
          <cell r="AT280">
            <v>4.7268292682926827</v>
          </cell>
          <cell r="AU280">
            <v>1.6585365853658536</v>
          </cell>
          <cell r="AV280">
            <v>4.7268292682926827</v>
          </cell>
          <cell r="AW280">
            <v>4.7268292682926827</v>
          </cell>
          <cell r="AX280">
            <v>3.0251707317073169E-2</v>
          </cell>
          <cell r="AY280">
            <v>0</v>
          </cell>
          <cell r="AZ280">
            <v>2.8</v>
          </cell>
          <cell r="BA280">
            <v>39</v>
          </cell>
          <cell r="BB280">
            <v>0</v>
          </cell>
          <cell r="BC280">
            <v>11</v>
          </cell>
          <cell r="BD280">
            <v>9</v>
          </cell>
          <cell r="BE280">
            <v>0.81818181818181823</v>
          </cell>
          <cell r="BF280">
            <v>85</v>
          </cell>
          <cell r="BG280">
            <v>0.94444444444444442</v>
          </cell>
          <cell r="BH280">
            <v>1</v>
          </cell>
          <cell r="BI280">
            <v>3</v>
          </cell>
          <cell r="BJ280">
            <v>31</v>
          </cell>
          <cell r="BK280">
            <v>4</v>
          </cell>
          <cell r="BL280">
            <v>0.61111111111111116</v>
          </cell>
          <cell r="BM280">
            <v>0.42854523809523815</v>
          </cell>
          <cell r="BN280">
            <v>0.75294117647058822</v>
          </cell>
          <cell r="BO280">
            <v>38</v>
          </cell>
          <cell r="BP280">
            <v>0</v>
          </cell>
          <cell r="BQ280">
            <v>0.29970760233918131</v>
          </cell>
          <cell r="BR280">
            <v>1.34</v>
          </cell>
          <cell r="BS280">
            <v>0.11765853658536586</v>
          </cell>
          <cell r="BT280">
            <v>0.45</v>
          </cell>
          <cell r="BU280">
            <v>3.951219512195122E-2</v>
          </cell>
          <cell r="BV280">
            <v>0.15717073170731707</v>
          </cell>
          <cell r="BW280">
            <v>0</v>
          </cell>
          <cell r="BX280">
            <v>38</v>
          </cell>
          <cell r="BY280">
            <v>1.7036842105263157</v>
          </cell>
          <cell r="BZ280">
            <v>0.9393157894736841</v>
          </cell>
        </row>
        <row r="281">
          <cell r="A281" t="str">
            <v>Jacob Ramsey</v>
          </cell>
          <cell r="B281" t="str">
            <v/>
          </cell>
          <cell r="C281" t="str">
            <v>J.Ramsey</v>
          </cell>
          <cell r="D281" t="str">
            <v/>
          </cell>
          <cell r="F281" t="str">
            <v/>
          </cell>
          <cell r="H281" t="str">
            <v/>
          </cell>
          <cell r="I281">
            <v>2.9</v>
          </cell>
          <cell r="J281">
            <v>2.9</v>
          </cell>
          <cell r="K281">
            <v>2.9</v>
          </cell>
          <cell r="M281">
            <v>3.0189186077294461</v>
          </cell>
          <cell r="N281">
            <v>3.0589868147120058</v>
          </cell>
          <cell r="O281">
            <v>2.7600734869790715</v>
          </cell>
          <cell r="P281">
            <v>3.0189186077294461</v>
          </cell>
          <cell r="Q281">
            <v>3.0589868147120058</v>
          </cell>
          <cell r="R281">
            <v>4.6315789473684212</v>
          </cell>
          <cell r="S281">
            <v>3.0189186077294461</v>
          </cell>
          <cell r="T281" t="str">
            <v>MID</v>
          </cell>
          <cell r="U281" t="str">
            <v>CM</v>
          </cell>
          <cell r="V281" t="str">
            <v>NEW</v>
          </cell>
          <cell r="W281" t="str">
            <v>Newcastle</v>
          </cell>
          <cell r="X281">
            <v>5</v>
          </cell>
          <cell r="Y281">
            <v>62</v>
          </cell>
          <cell r="Z281">
            <v>4</v>
          </cell>
          <cell r="AA281">
            <v>58</v>
          </cell>
          <cell r="AB281">
            <v>1441</v>
          </cell>
          <cell r="AC281">
            <v>1441</v>
          </cell>
          <cell r="AD281">
            <v>0.44285714285714289</v>
          </cell>
          <cell r="AE281">
            <v>2</v>
          </cell>
          <cell r="AF281">
            <v>3</v>
          </cell>
          <cell r="AG281">
            <v>4.9965301873698811E-2</v>
          </cell>
          <cell r="AH281">
            <v>9.6807772380291451E-2</v>
          </cell>
          <cell r="AI281">
            <v>0.14677307425399028</v>
          </cell>
          <cell r="AJ281">
            <v>4.0000000000000036E-3</v>
          </cell>
          <cell r="AK281">
            <v>3</v>
          </cell>
          <cell r="AL281">
            <v>303</v>
          </cell>
          <cell r="AM281">
            <v>3</v>
          </cell>
          <cell r="AN281">
            <v>0</v>
          </cell>
          <cell r="AO281">
            <v>456</v>
          </cell>
          <cell r="AP281" t="str">
            <v>J.Ramsey</v>
          </cell>
          <cell r="AQ281">
            <v>1.2130464954892435</v>
          </cell>
          <cell r="AR281">
            <v>0</v>
          </cell>
          <cell r="AS281">
            <v>4.4829979181124218</v>
          </cell>
          <cell r="AT281">
            <v>7.8584316446911862</v>
          </cell>
          <cell r="AU281">
            <v>2.1623872310895211</v>
          </cell>
          <cell r="AV281">
            <v>7.8584316446911862</v>
          </cell>
          <cell r="AW281">
            <v>7.8584316446911862</v>
          </cell>
          <cell r="AX281">
            <v>0.11480707841776541</v>
          </cell>
          <cell r="AY281">
            <v>0</v>
          </cell>
          <cell r="AZ281">
            <v>2.2000000000000002</v>
          </cell>
          <cell r="BA281">
            <v>62</v>
          </cell>
          <cell r="BB281" t="str">
            <v/>
          </cell>
          <cell r="BC281">
            <v>15</v>
          </cell>
          <cell r="BD281">
            <v>7</v>
          </cell>
          <cell r="BE281">
            <v>0.46666666666666667</v>
          </cell>
          <cell r="BF281">
            <v>76</v>
          </cell>
          <cell r="BG281">
            <v>0.84444444444444444</v>
          </cell>
          <cell r="BH281">
            <v>1</v>
          </cell>
          <cell r="BI281">
            <v>13</v>
          </cell>
          <cell r="BJ281">
            <v>24</v>
          </cell>
          <cell r="BK281">
            <v>5</v>
          </cell>
          <cell r="BL281">
            <v>0.45454545454545453</v>
          </cell>
          <cell r="BM281">
            <v>0.39393939393939392</v>
          </cell>
          <cell r="BN281">
            <v>0.62679425837320579</v>
          </cell>
          <cell r="BO281">
            <v>38</v>
          </cell>
          <cell r="BP281">
            <v>0</v>
          </cell>
          <cell r="BQ281">
            <v>0.42134502923976608</v>
          </cell>
          <cell r="BR281">
            <v>1.2</v>
          </cell>
          <cell r="BS281">
            <v>7.4947952810548238E-2</v>
          </cell>
          <cell r="BT281">
            <v>1.45</v>
          </cell>
          <cell r="BU281">
            <v>9.0562109646079109E-2</v>
          </cell>
          <cell r="BV281">
            <v>0.16551006245662736</v>
          </cell>
          <cell r="BW281">
            <v>0</v>
          </cell>
          <cell r="BX281">
            <v>38</v>
          </cell>
          <cell r="BY281">
            <v>1.5081578947368421</v>
          </cell>
          <cell r="BZ281">
            <v>1.1348421052631577</v>
          </cell>
        </row>
        <row r="282">
          <cell r="A282" t="str">
            <v>Archie Gray</v>
          </cell>
          <cell r="B282" t="str">
            <v/>
          </cell>
          <cell r="C282" t="str">
            <v>Gray</v>
          </cell>
          <cell r="D282" t="str">
            <v/>
          </cell>
          <cell r="F282" t="str">
            <v/>
          </cell>
          <cell r="H282" t="str">
            <v/>
          </cell>
          <cell r="I282">
            <v>0</v>
          </cell>
          <cell r="J282">
            <v>1.4666666666666668</v>
          </cell>
          <cell r="K282">
            <v>2.8</v>
          </cell>
          <cell r="M282">
            <v>3.0152115912211102</v>
          </cell>
          <cell r="N282">
            <v>3.2345343303874916</v>
          </cell>
          <cell r="O282">
            <v>2.4439140455306667</v>
          </cell>
          <cell r="P282">
            <v>3.0152115912211102</v>
          </cell>
          <cell r="Q282">
            <v>3.2345343303874916</v>
          </cell>
          <cell r="R282">
            <v>3.8048780487804881</v>
          </cell>
          <cell r="S282">
            <v>3.0152115912211102</v>
          </cell>
          <cell r="T282" t="str">
            <v>MID</v>
          </cell>
          <cell r="U282" t="str">
            <v>DM</v>
          </cell>
          <cell r="V282" t="str">
            <v>TOT</v>
          </cell>
          <cell r="W282" t="str">
            <v>Spurs</v>
          </cell>
          <cell r="X282">
            <v>5</v>
          </cell>
          <cell r="Y282">
            <v>61</v>
          </cell>
          <cell r="Z282">
            <v>0</v>
          </cell>
          <cell r="AA282">
            <v>61</v>
          </cell>
          <cell r="AB282">
            <v>1471</v>
          </cell>
          <cell r="AC282">
            <v>1471</v>
          </cell>
          <cell r="AD282">
            <v>0.5083333333333333</v>
          </cell>
          <cell r="AE282">
            <v>2</v>
          </cell>
          <cell r="AF282">
            <v>2</v>
          </cell>
          <cell r="AG282">
            <v>3.0591434398368436E-2</v>
          </cell>
          <cell r="AH282">
            <v>4.34398368456832E-2</v>
          </cell>
          <cell r="AI282">
            <v>7.403127124405165E-2</v>
          </cell>
          <cell r="AJ282">
            <v>2.0000000000000018E-3</v>
          </cell>
          <cell r="AK282">
            <v>6</v>
          </cell>
          <cell r="AL282">
            <v>237</v>
          </cell>
          <cell r="AM282">
            <v>5</v>
          </cell>
          <cell r="AN282">
            <v>0</v>
          </cell>
          <cell r="AO282">
            <v>522</v>
          </cell>
          <cell r="AP282" t="str">
            <v>Gray</v>
          </cell>
          <cell r="AQ282">
            <v>3.4466349422161797</v>
          </cell>
          <cell r="AR282">
            <v>0</v>
          </cell>
          <cell r="AS282">
            <v>2.9694085656016318</v>
          </cell>
          <cell r="AT282">
            <v>6.9993201903467028</v>
          </cell>
          <cell r="AU282">
            <v>0.58327668252889198</v>
          </cell>
          <cell r="AV282">
            <v>6.9993201903467028</v>
          </cell>
          <cell r="AW282">
            <v>6.9993201903467028</v>
          </cell>
          <cell r="AX282">
            <v>5.2994852869767892E-2</v>
          </cell>
          <cell r="AY282">
            <v>0</v>
          </cell>
          <cell r="AZ282">
            <v>2.5</v>
          </cell>
          <cell r="BA282">
            <v>61</v>
          </cell>
          <cell r="BB282" t="str">
            <v/>
          </cell>
          <cell r="BC282">
            <v>18</v>
          </cell>
          <cell r="BD282">
            <v>9</v>
          </cell>
          <cell r="BE282">
            <v>0.5</v>
          </cell>
          <cell r="BF282">
            <v>78</v>
          </cell>
          <cell r="BG282">
            <v>0.8666666666666667</v>
          </cell>
          <cell r="BH282">
            <v>1</v>
          </cell>
          <cell r="BI282">
            <v>6</v>
          </cell>
          <cell r="BJ282">
            <v>11</v>
          </cell>
          <cell r="BK282">
            <v>11</v>
          </cell>
          <cell r="BL282">
            <v>0.51428571428571423</v>
          </cell>
          <cell r="BM282">
            <v>0.17142857142857143</v>
          </cell>
          <cell r="BN282">
            <v>0.58278388278388271</v>
          </cell>
          <cell r="BO282">
            <v>38</v>
          </cell>
          <cell r="BP282">
            <v>0</v>
          </cell>
          <cell r="BQ282">
            <v>0.43011695906432751</v>
          </cell>
          <cell r="BR282">
            <v>1.5</v>
          </cell>
          <cell r="BS282">
            <v>9.1774303195105378E-2</v>
          </cell>
          <cell r="BT282">
            <v>1.29</v>
          </cell>
          <cell r="BU282">
            <v>7.8925900747790614E-2</v>
          </cell>
          <cell r="BV282">
            <v>0.17070020394289598</v>
          </cell>
          <cell r="BW282">
            <v>0</v>
          </cell>
          <cell r="BX282">
            <v>38</v>
          </cell>
          <cell r="BY282">
            <v>1.4628947368421052</v>
          </cell>
          <cell r="BZ282">
            <v>1.1801052631578945</v>
          </cell>
        </row>
        <row r="283">
          <cell r="A283" t="str">
            <v>James Hill</v>
          </cell>
          <cell r="B283" t="str">
            <v/>
          </cell>
          <cell r="C283" t="str">
            <v>Hill</v>
          </cell>
          <cell r="D283" t="str">
            <v/>
          </cell>
          <cell r="F283" t="str">
            <v/>
          </cell>
          <cell r="H283" t="str">
            <v/>
          </cell>
          <cell r="I283">
            <v>0</v>
          </cell>
          <cell r="J283">
            <v>0.9</v>
          </cell>
          <cell r="K283">
            <v>1.7</v>
          </cell>
          <cell r="M283">
            <v>3.0112733435237802</v>
          </cell>
          <cell r="N283">
            <v>3.5166508087535679</v>
          </cell>
          <cell r="O283">
            <v>1.9018016703668459</v>
          </cell>
          <cell r="P283">
            <v>3.0112733435237802</v>
          </cell>
          <cell r="Q283">
            <v>3.5166508087535679</v>
          </cell>
          <cell r="R283">
            <v>4.0740740740740735</v>
          </cell>
          <cell r="S283">
            <v>3.0112733435237802</v>
          </cell>
          <cell r="T283" t="str">
            <v>DEF</v>
          </cell>
          <cell r="U283" t="str">
            <v>CB</v>
          </cell>
          <cell r="V283" t="str">
            <v>BOU</v>
          </cell>
          <cell r="W283" t="str">
            <v>Bournemouth</v>
          </cell>
          <cell r="X283">
            <v>5.5</v>
          </cell>
          <cell r="Y283">
            <v>110</v>
          </cell>
          <cell r="Z283">
            <v>26</v>
          </cell>
          <cell r="AA283">
            <v>84</v>
          </cell>
          <cell r="AB283">
            <v>2102</v>
          </cell>
          <cell r="AC283">
            <v>2102</v>
          </cell>
          <cell r="AD283">
            <v>0.68965517241379315</v>
          </cell>
          <cell r="AE283">
            <v>0</v>
          </cell>
          <cell r="AF283">
            <v>3</v>
          </cell>
          <cell r="AG283">
            <v>-3.8106565176022837E-2</v>
          </cell>
          <cell r="AH283">
            <v>7.8782112274024749E-2</v>
          </cell>
          <cell r="AI283">
            <v>4.0675547098001918E-2</v>
          </cell>
          <cell r="AJ283">
            <v>1.6999999999999904E-2</v>
          </cell>
          <cell r="AK283">
            <v>4</v>
          </cell>
          <cell r="AL283">
            <v>386</v>
          </cell>
          <cell r="AM283">
            <v>5</v>
          </cell>
          <cell r="AN283">
            <v>0</v>
          </cell>
          <cell r="AO283">
            <v>60</v>
          </cell>
          <cell r="AP283" t="str">
            <v>Hill</v>
          </cell>
          <cell r="AQ283">
            <v>9.252140818268316</v>
          </cell>
          <cell r="AR283">
            <v>0</v>
          </cell>
          <cell r="AS283">
            <v>3.0980019029495716</v>
          </cell>
          <cell r="AT283">
            <v>10.884871550903901</v>
          </cell>
          <cell r="AU283">
            <v>1.6327307326355851</v>
          </cell>
          <cell r="AV283">
            <v>10.884871550903901</v>
          </cell>
          <cell r="AW283">
            <v>10.884871550903901</v>
          </cell>
          <cell r="AX283">
            <v>0.64478163653663179</v>
          </cell>
          <cell r="AY283">
            <v>0</v>
          </cell>
          <cell r="AZ283">
            <v>3.8</v>
          </cell>
          <cell r="BA283">
            <v>110</v>
          </cell>
          <cell r="BB283" t="str">
            <v/>
          </cell>
          <cell r="BC283">
            <v>22</v>
          </cell>
          <cell r="BD283">
            <v>20</v>
          </cell>
          <cell r="BE283">
            <v>0.90909090909090906</v>
          </cell>
          <cell r="BF283">
            <v>88</v>
          </cell>
          <cell r="BG283">
            <v>0.97777777777777775</v>
          </cell>
          <cell r="BH283">
            <v>1</v>
          </cell>
          <cell r="BI283">
            <v>7</v>
          </cell>
          <cell r="BJ283">
            <v>23</v>
          </cell>
          <cell r="BK283">
            <v>5</v>
          </cell>
          <cell r="BL283">
            <v>0.6470588235294118</v>
          </cell>
          <cell r="BM283">
            <v>0.20588235294117643</v>
          </cell>
          <cell r="BN283">
            <v>0.73930481283422467</v>
          </cell>
          <cell r="BO283">
            <v>38</v>
          </cell>
          <cell r="BP283">
            <v>0</v>
          </cell>
          <cell r="BQ283">
            <v>0.61461988304093562</v>
          </cell>
          <cell r="BR283">
            <v>0.89</v>
          </cell>
          <cell r="BS283">
            <v>3.8106565176022837E-2</v>
          </cell>
          <cell r="BT283">
            <v>1.1599999999999999</v>
          </cell>
          <cell r="BU283">
            <v>4.9666983824928637E-2</v>
          </cell>
          <cell r="BV283">
            <v>8.7773549000951467E-2</v>
          </cell>
          <cell r="BW283">
            <v>0</v>
          </cell>
          <cell r="BX283">
            <v>38</v>
          </cell>
          <cell r="BY283">
            <v>1.4939473684210527</v>
          </cell>
          <cell r="BZ283">
            <v>1.1490526315789471</v>
          </cell>
        </row>
        <row r="284">
          <cell r="A284" t="str">
            <v>Issa Diop</v>
          </cell>
          <cell r="B284" t="str">
            <v/>
          </cell>
          <cell r="C284" t="str">
            <v>Diop</v>
          </cell>
          <cell r="D284" t="str">
            <v/>
          </cell>
          <cell r="F284" t="str">
            <v/>
          </cell>
          <cell r="H284" t="str">
            <v/>
          </cell>
          <cell r="I284">
            <v>1.5</v>
          </cell>
          <cell r="J284">
            <v>2.3666666666666667</v>
          </cell>
          <cell r="K284">
            <v>3.2</v>
          </cell>
          <cell r="M284">
            <v>3.0020890953122277</v>
          </cell>
          <cell r="N284">
            <v>3.1785714285714284</v>
          </cell>
          <cell r="O284">
            <v>3.9714705329153608</v>
          </cell>
          <cell r="P284">
            <v>2.1986542790685073</v>
          </cell>
          <cell r="Q284">
            <v>3.1785714285714284</v>
          </cell>
          <cell r="R284">
            <v>7.2818181818181822</v>
          </cell>
          <cell r="S284">
            <v>3.0020890953122277</v>
          </cell>
          <cell r="T284" t="str">
            <v>DEF</v>
          </cell>
          <cell r="U284" t="str">
            <v>CB</v>
          </cell>
          <cell r="V284" t="str">
            <v>IPS</v>
          </cell>
          <cell r="W284" t="str">
            <v>Ipswich Town</v>
          </cell>
          <cell r="X284">
            <v>4</v>
          </cell>
          <cell r="Y284">
            <v>31</v>
          </cell>
          <cell r="Z284">
            <v>2</v>
          </cell>
          <cell r="AA284">
            <v>29</v>
          </cell>
          <cell r="AB284">
            <v>812</v>
          </cell>
          <cell r="AC284">
            <v>812</v>
          </cell>
          <cell r="AD284">
            <v>0.59615384615384615</v>
          </cell>
          <cell r="AE284">
            <v>1</v>
          </cell>
          <cell r="AF284">
            <v>0</v>
          </cell>
          <cell r="AG284">
            <v>2.2167487684729051E-2</v>
          </cell>
          <cell r="AH284">
            <v>-5.541871921182267E-3</v>
          </cell>
          <cell r="AI284">
            <v>1.6625615763546778E-2</v>
          </cell>
          <cell r="AJ284">
            <v>0.21500000000000008</v>
          </cell>
          <cell r="AK284">
            <v>3</v>
          </cell>
          <cell r="AL284">
            <v>103</v>
          </cell>
          <cell r="AM284">
            <v>2</v>
          </cell>
          <cell r="AN284">
            <v>0</v>
          </cell>
          <cell r="AO284">
            <v>259</v>
          </cell>
          <cell r="AP284" t="str">
            <v>Diop</v>
          </cell>
          <cell r="AQ284">
            <v>6.02832512315271</v>
          </cell>
          <cell r="AR284">
            <v>0</v>
          </cell>
          <cell r="AS284">
            <v>2.0825123152709359</v>
          </cell>
          <cell r="AT284">
            <v>6.6859605911330053</v>
          </cell>
          <cell r="AU284">
            <v>0.6576354679802956</v>
          </cell>
          <cell r="AV284">
            <v>6.6859605911330053</v>
          </cell>
          <cell r="AW284">
            <v>6.6859605911330053</v>
          </cell>
          <cell r="AX284">
            <v>0.14833128078817737</v>
          </cell>
          <cell r="AY284">
            <v>0</v>
          </cell>
          <cell r="AZ284">
            <v>2.4</v>
          </cell>
          <cell r="BA284">
            <v>31</v>
          </cell>
          <cell r="BB284" t="str">
            <v/>
          </cell>
          <cell r="BC284">
            <v>8</v>
          </cell>
          <cell r="BD284">
            <v>6</v>
          </cell>
          <cell r="BE284">
            <v>0.75</v>
          </cell>
          <cell r="BF284">
            <v>89</v>
          </cell>
          <cell r="BG284">
            <v>0.98888888888888893</v>
          </cell>
          <cell r="BH284">
            <v>1</v>
          </cell>
          <cell r="BI284">
            <v>5</v>
          </cell>
          <cell r="BJ284">
            <v>21</v>
          </cell>
          <cell r="BK284">
            <v>12</v>
          </cell>
          <cell r="BL284">
            <v>0.32</v>
          </cell>
          <cell r="BM284">
            <v>0.19999999999999996</v>
          </cell>
          <cell r="BN284">
            <v>0.48044943820224717</v>
          </cell>
          <cell r="BO284">
            <v>38</v>
          </cell>
          <cell r="BP284">
            <v>0</v>
          </cell>
          <cell r="BQ284">
            <v>0.23742690058479532</v>
          </cell>
          <cell r="BR284">
            <v>0.8</v>
          </cell>
          <cell r="BS284">
            <v>8.8669950738916273E-2</v>
          </cell>
          <cell r="BT284">
            <v>0.05</v>
          </cell>
          <cell r="BU284">
            <v>5.541871921182267E-3</v>
          </cell>
          <cell r="BV284">
            <v>9.4211822660098546E-2</v>
          </cell>
          <cell r="BW284">
            <v>0</v>
          </cell>
          <cell r="BX284">
            <v>38</v>
          </cell>
          <cell r="BY284">
            <v>2.1731578947368422</v>
          </cell>
          <cell r="BZ284">
            <v>0.46984210526315762</v>
          </cell>
        </row>
        <row r="285">
          <cell r="A285" t="str">
            <v>Mats Wieffer</v>
          </cell>
          <cell r="B285" t="str">
            <v/>
          </cell>
          <cell r="C285" t="str">
            <v>Wieffer</v>
          </cell>
          <cell r="D285" t="str">
            <v/>
          </cell>
          <cell r="F285" t="str">
            <v/>
          </cell>
          <cell r="H285" t="str">
            <v/>
          </cell>
          <cell r="I285">
            <v>2.1</v>
          </cell>
          <cell r="J285">
            <v>2.1</v>
          </cell>
          <cell r="K285">
            <v>2.1</v>
          </cell>
          <cell r="M285">
            <v>2.9993466396710797</v>
          </cell>
          <cell r="N285">
            <v>2.9921094160967909</v>
          </cell>
          <cell r="O285">
            <v>1.6289762586894243</v>
          </cell>
          <cell r="P285">
            <v>3.4551607633965218</v>
          </cell>
          <cell r="Q285">
            <v>2.7427669647553921</v>
          </cell>
          <cell r="R285">
            <v>1.6322314049586777</v>
          </cell>
          <cell r="S285">
            <v>2.9993466396710797</v>
          </cell>
          <cell r="T285" t="str">
            <v>DEF</v>
          </cell>
          <cell r="U285" t="str">
            <v>RB</v>
          </cell>
          <cell r="V285" t="str">
            <v>BHA</v>
          </cell>
          <cell r="W285" t="str">
            <v>Brighton</v>
          </cell>
          <cell r="X285">
            <v>5</v>
          </cell>
          <cell r="Y285">
            <v>94</v>
          </cell>
          <cell r="Z285">
            <v>28</v>
          </cell>
          <cell r="AA285">
            <v>66</v>
          </cell>
          <cell r="AB285">
            <v>1901</v>
          </cell>
          <cell r="AC285">
            <v>1901</v>
          </cell>
          <cell r="AD285">
            <v>0.72307692307692306</v>
          </cell>
          <cell r="AE285">
            <v>2</v>
          </cell>
          <cell r="AF285">
            <v>4</v>
          </cell>
          <cell r="AG285">
            <v>3.7874802735402419E-3</v>
          </cell>
          <cell r="AH285">
            <v>0.10131509731720147</v>
          </cell>
          <cell r="AI285">
            <v>0.10510257759074171</v>
          </cell>
          <cell r="AJ285">
            <v>4.9999999999998934E-3</v>
          </cell>
          <cell r="AK285">
            <v>6</v>
          </cell>
          <cell r="AL285">
            <v>398</v>
          </cell>
          <cell r="AM285">
            <v>8</v>
          </cell>
          <cell r="AN285">
            <v>0</v>
          </cell>
          <cell r="AO285">
            <v>130</v>
          </cell>
          <cell r="AP285" t="str">
            <v>Wieffer</v>
          </cell>
          <cell r="AQ285">
            <v>4.1972645975802214</v>
          </cell>
          <cell r="AR285">
            <v>0</v>
          </cell>
          <cell r="AS285">
            <v>4.2388216728037875</v>
          </cell>
          <cell r="AT285">
            <v>11.1788532351394</v>
          </cell>
          <cell r="AU285">
            <v>2.7427669647553921</v>
          </cell>
          <cell r="AV285">
            <v>11.1788532351394</v>
          </cell>
          <cell r="AW285">
            <v>11.1788532351394</v>
          </cell>
          <cell r="AX285">
            <v>0.67111730668069436</v>
          </cell>
          <cell r="AY285">
            <v>0</v>
          </cell>
          <cell r="AZ285">
            <v>3.6</v>
          </cell>
          <cell r="BA285">
            <v>94</v>
          </cell>
          <cell r="BB285" t="str">
            <v/>
          </cell>
          <cell r="BC285">
            <v>23</v>
          </cell>
          <cell r="BD285">
            <v>14</v>
          </cell>
          <cell r="BE285">
            <v>0.60869565217391308</v>
          </cell>
          <cell r="BF285">
            <v>79</v>
          </cell>
          <cell r="BG285">
            <v>0.87777777777777777</v>
          </cell>
          <cell r="BH285">
            <v>1</v>
          </cell>
          <cell r="BI285">
            <v>3</v>
          </cell>
          <cell r="BJ285">
            <v>29</v>
          </cell>
          <cell r="BK285">
            <v>0</v>
          </cell>
          <cell r="BL285">
            <v>0.88461538461538458</v>
          </cell>
          <cell r="BM285">
            <v>0.11538461538461542</v>
          </cell>
          <cell r="BN285">
            <v>0.9269717624148005</v>
          </cell>
          <cell r="BO285">
            <v>38</v>
          </cell>
          <cell r="BP285">
            <v>0</v>
          </cell>
          <cell r="BQ285">
            <v>0.55584795321637426</v>
          </cell>
          <cell r="BR285">
            <v>1.92</v>
          </cell>
          <cell r="BS285">
            <v>9.0899526564965805E-2</v>
          </cell>
          <cell r="BT285">
            <v>1.86</v>
          </cell>
          <cell r="BU285">
            <v>8.8058916359810627E-2</v>
          </cell>
          <cell r="BV285">
            <v>0.17895844292477642</v>
          </cell>
          <cell r="BW285">
            <v>0</v>
          </cell>
          <cell r="BX285">
            <v>38</v>
          </cell>
          <cell r="BY285">
            <v>1.4144736842105263</v>
          </cell>
          <cell r="BZ285">
            <v>1.2285263157894735</v>
          </cell>
        </row>
        <row r="286">
          <cell r="A286" t="str">
            <v>Trai Hume</v>
          </cell>
          <cell r="B286" t="str">
            <v/>
          </cell>
          <cell r="C286" t="str">
            <v>Hume</v>
          </cell>
          <cell r="D286" t="str">
            <v/>
          </cell>
          <cell r="F286" t="str">
            <v/>
          </cell>
          <cell r="H286" t="str">
            <v/>
          </cell>
          <cell r="I286" t="e">
            <v>#N/A</v>
          </cell>
          <cell r="J286" t="e">
            <v>#N/A</v>
          </cell>
          <cell r="K286" t="e">
            <v>#N/A</v>
          </cell>
          <cell r="M286">
            <v>2.9925930240596217</v>
          </cell>
          <cell r="N286">
            <v>3.0415567282321891</v>
          </cell>
          <cell r="O286">
            <v>2.1042782267548148</v>
          </cell>
          <cell r="P286">
            <v>2.9925930240596217</v>
          </cell>
          <cell r="Q286">
            <v>3.0415567282321891</v>
          </cell>
          <cell r="R286">
            <v>4.3011235955056186</v>
          </cell>
          <cell r="S286">
            <v>2.9925930240596217</v>
          </cell>
          <cell r="T286" t="str">
            <v>DEF</v>
          </cell>
          <cell r="U286" t="str">
            <v>RB</v>
          </cell>
          <cell r="V286" t="str">
            <v>SUN</v>
          </cell>
          <cell r="W286" t="str">
            <v>Sunderland</v>
          </cell>
          <cell r="X286">
            <v>4.5</v>
          </cell>
          <cell r="Y286">
            <v>109.99999999999999</v>
          </cell>
          <cell r="Z286">
            <v>4</v>
          </cell>
          <cell r="AA286">
            <v>105.99999999999999</v>
          </cell>
          <cell r="AB286">
            <v>3032</v>
          </cell>
          <cell r="AC286">
            <v>3032</v>
          </cell>
          <cell r="AD286">
            <v>0.64327485380116955</v>
          </cell>
          <cell r="AE286">
            <v>2</v>
          </cell>
          <cell r="AF286">
            <v>1</v>
          </cell>
          <cell r="AG286">
            <v>-8.0145118733509282E-3</v>
          </cell>
          <cell r="AH286">
            <v>-3.1167546174142479E-2</v>
          </cell>
          <cell r="AI286">
            <v>-3.918205804749339E-2</v>
          </cell>
          <cell r="AJ286">
            <v>1.0000000000000009E-2</v>
          </cell>
          <cell r="AK286">
            <v>6</v>
          </cell>
          <cell r="AL286">
            <v>383</v>
          </cell>
          <cell r="AM286">
            <v>9</v>
          </cell>
          <cell r="AN286">
            <v>0</v>
          </cell>
          <cell r="AO286">
            <v>534</v>
          </cell>
          <cell r="AP286" t="str">
            <v>Hume</v>
          </cell>
          <cell r="AQ286">
            <v>3.8736807387862804</v>
          </cell>
          <cell r="AR286">
            <v>0</v>
          </cell>
          <cell r="AS286">
            <v>2.9267810026385228</v>
          </cell>
          <cell r="AT286">
            <v>5.824868073878628</v>
          </cell>
          <cell r="AU286">
            <v>1.9511873350923483</v>
          </cell>
          <cell r="AV286">
            <v>5.824868073878628</v>
          </cell>
          <cell r="AW286">
            <v>5.824868073878628</v>
          </cell>
          <cell r="AX286">
            <v>8.8915897097625346E-2</v>
          </cell>
          <cell r="AY286">
            <v>0</v>
          </cell>
          <cell r="AZ286">
            <v>2.9</v>
          </cell>
          <cell r="BA286">
            <v>109.99999999999999</v>
          </cell>
          <cell r="BB286" t="str">
            <v/>
          </cell>
          <cell r="BC286">
            <v>34</v>
          </cell>
          <cell r="BD286">
            <v>26</v>
          </cell>
          <cell r="BE286">
            <v>0.76470588235294112</v>
          </cell>
          <cell r="BF286">
            <v>87</v>
          </cell>
          <cell r="BG286">
            <v>0.96666666666666667</v>
          </cell>
          <cell r="BH286">
            <v>1</v>
          </cell>
          <cell r="BI286">
            <v>4</v>
          </cell>
          <cell r="BJ286">
            <v>22</v>
          </cell>
          <cell r="BK286">
            <v>0</v>
          </cell>
          <cell r="BL286">
            <v>0.89473684210526316</v>
          </cell>
          <cell r="BM286">
            <v>0.10526315789473684</v>
          </cell>
          <cell r="BN286">
            <v>0.92135511191772523</v>
          </cell>
          <cell r="BO286">
            <v>38</v>
          </cell>
          <cell r="BP286">
            <v>0</v>
          </cell>
          <cell r="BQ286">
            <v>0.8865497076023392</v>
          </cell>
          <cell r="BR286">
            <v>2.27</v>
          </cell>
          <cell r="BS286">
            <v>6.7381266490765174E-2</v>
          </cell>
          <cell r="BT286">
            <v>2.0499999999999998</v>
          </cell>
          <cell r="BU286">
            <v>6.0850923482849602E-2</v>
          </cell>
          <cell r="BV286">
            <v>0.12823218997361477</v>
          </cell>
          <cell r="BW286">
            <v>0</v>
          </cell>
          <cell r="BX286">
            <v>38</v>
          </cell>
          <cell r="BY286">
            <v>1.5878947368421052</v>
          </cell>
          <cell r="BZ286">
            <v>1.0551052631578945</v>
          </cell>
        </row>
        <row r="287">
          <cell r="A287" t="str">
            <v>Sandro Tonali</v>
          </cell>
          <cell r="B287" t="str">
            <v/>
          </cell>
          <cell r="C287" t="str">
            <v>Tonali</v>
          </cell>
          <cell r="D287" t="str">
            <v/>
          </cell>
          <cell r="F287" t="str">
            <v/>
          </cell>
          <cell r="H287" t="str">
            <v/>
          </cell>
          <cell r="I287">
            <v>2</v>
          </cell>
          <cell r="J287">
            <v>2.4500000000000002</v>
          </cell>
          <cell r="K287">
            <v>2.9</v>
          </cell>
          <cell r="M287">
            <v>2.9920189496716758</v>
          </cell>
          <cell r="N287">
            <v>2.304656669297553</v>
          </cell>
          <cell r="O287">
            <v>2.6533923699117072</v>
          </cell>
          <cell r="P287">
            <v>3.002252359947934</v>
          </cell>
          <cell r="Q287">
            <v>2.304656669297553</v>
          </cell>
          <cell r="R287">
            <v>1.5724815724815724</v>
          </cell>
          <cell r="S287">
            <v>2.9920189496716758</v>
          </cell>
          <cell r="T287" t="str">
            <v>MID</v>
          </cell>
          <cell r="U287" t="str">
            <v>DM</v>
          </cell>
          <cell r="V287" t="str">
            <v>TOT</v>
          </cell>
          <cell r="W287" t="str">
            <v>Spurs</v>
          </cell>
          <cell r="X287">
            <v>5.5</v>
          </cell>
          <cell r="Y287">
            <v>81</v>
          </cell>
          <cell r="Z287">
            <v>8</v>
          </cell>
          <cell r="AA287">
            <v>73</v>
          </cell>
          <cell r="AB287">
            <v>2534</v>
          </cell>
          <cell r="AC287">
            <v>2534</v>
          </cell>
          <cell r="AD287">
            <v>0.42077922077922081</v>
          </cell>
          <cell r="AE287">
            <v>0</v>
          </cell>
          <cell r="AF287">
            <v>2</v>
          </cell>
          <cell r="AG287">
            <v>-6.2154696132596679E-2</v>
          </cell>
          <cell r="AH287">
            <v>-3.0899763220205226E-2</v>
          </cell>
          <cell r="AI287">
            <v>-9.3054459352801891E-2</v>
          </cell>
          <cell r="AJ287">
            <v>3.0000000000000027E-2</v>
          </cell>
          <cell r="AK287">
            <v>2</v>
          </cell>
          <cell r="AL287">
            <v>477</v>
          </cell>
          <cell r="AM287">
            <v>4</v>
          </cell>
          <cell r="AN287">
            <v>0</v>
          </cell>
          <cell r="AO287">
            <v>455</v>
          </cell>
          <cell r="AP287" t="str">
            <v>Tonali</v>
          </cell>
          <cell r="AQ287">
            <v>2.367797947908445</v>
          </cell>
          <cell r="AR287">
            <v>0</v>
          </cell>
          <cell r="AS287">
            <v>4.6408839779005513</v>
          </cell>
          <cell r="AT287">
            <v>8.1136543014996043</v>
          </cell>
          <cell r="AU287">
            <v>1.1049723756906078</v>
          </cell>
          <cell r="AV287">
            <v>8.1136543014996043</v>
          </cell>
          <cell r="AW287">
            <v>8.1136543014996043</v>
          </cell>
          <cell r="AX287">
            <v>0.13318310970797151</v>
          </cell>
          <cell r="AY287">
            <v>0</v>
          </cell>
          <cell r="AZ287">
            <v>2.2999999999999998</v>
          </cell>
          <cell r="BA287">
            <v>81</v>
          </cell>
          <cell r="BB287" t="str">
            <v/>
          </cell>
          <cell r="BC287">
            <v>31</v>
          </cell>
          <cell r="BD287">
            <v>16</v>
          </cell>
          <cell r="BE287">
            <v>0.5161290322580645</v>
          </cell>
          <cell r="BF287">
            <v>80</v>
          </cell>
          <cell r="BG287">
            <v>0.88888888888888884</v>
          </cell>
          <cell r="BH287">
            <v>1</v>
          </cell>
          <cell r="BI287">
            <v>4</v>
          </cell>
          <cell r="BJ287">
            <v>12</v>
          </cell>
          <cell r="BK287">
            <v>0</v>
          </cell>
          <cell r="BL287">
            <v>0.88571428571428568</v>
          </cell>
          <cell r="BM287">
            <v>0.11428571428571432</v>
          </cell>
          <cell r="BN287">
            <v>0.9028571428571428</v>
          </cell>
          <cell r="BO287">
            <v>38</v>
          </cell>
          <cell r="BP287">
            <v>0</v>
          </cell>
          <cell r="BQ287">
            <v>0.74093567251461989</v>
          </cell>
          <cell r="BR287">
            <v>1.75</v>
          </cell>
          <cell r="BS287">
            <v>6.2154696132596679E-2</v>
          </cell>
          <cell r="BT287">
            <v>2.87</v>
          </cell>
          <cell r="BU287">
            <v>0.10193370165745858</v>
          </cell>
          <cell r="BV287">
            <v>0.16408839779005524</v>
          </cell>
          <cell r="BW287">
            <v>0</v>
          </cell>
          <cell r="BX287">
            <v>38</v>
          </cell>
          <cell r="BY287">
            <v>1.4628947368421052</v>
          </cell>
          <cell r="BZ287">
            <v>1.1801052631578945</v>
          </cell>
        </row>
        <row r="288">
          <cell r="A288" t="str">
            <v>Joe Gomez</v>
          </cell>
          <cell r="B288" t="str">
            <v/>
          </cell>
          <cell r="C288" t="str">
            <v>Gomez</v>
          </cell>
          <cell r="D288" t="str">
            <v/>
          </cell>
          <cell r="F288" t="str">
            <v/>
          </cell>
          <cell r="H288" t="str">
            <v/>
          </cell>
          <cell r="I288">
            <v>1.6</v>
          </cell>
          <cell r="J288">
            <v>2.4</v>
          </cell>
          <cell r="K288">
            <v>3.2</v>
          </cell>
          <cell r="M288">
            <v>2.9823132472720233</v>
          </cell>
          <cell r="N288">
            <v>3.5</v>
          </cell>
          <cell r="O288">
            <v>1.5130546932742055</v>
          </cell>
          <cell r="P288">
            <v>2.9823132472720233</v>
          </cell>
          <cell r="Q288">
            <v>3.5</v>
          </cell>
          <cell r="R288">
            <v>1.5365853658536586</v>
          </cell>
          <cell r="S288">
            <v>2.9823132472720233</v>
          </cell>
          <cell r="T288" t="str">
            <v>DEF</v>
          </cell>
          <cell r="U288" t="str">
            <v>CB</v>
          </cell>
          <cell r="V288" t="str">
            <v>LIV</v>
          </cell>
          <cell r="W288" t="str">
            <v>Liverpool</v>
          </cell>
          <cell r="X288">
            <v>5</v>
          </cell>
          <cell r="Y288">
            <v>33</v>
          </cell>
          <cell r="Z288">
            <v>0</v>
          </cell>
          <cell r="AA288">
            <v>33</v>
          </cell>
          <cell r="AB288">
            <v>594</v>
          </cell>
          <cell r="AC288">
            <v>594</v>
          </cell>
          <cell r="AD288">
            <v>0.31428571428571428</v>
          </cell>
          <cell r="AE288">
            <v>0</v>
          </cell>
          <cell r="AF288">
            <v>2</v>
          </cell>
          <cell r="AG288">
            <v>-4.2424242424242427E-2</v>
          </cell>
          <cell r="AH288">
            <v>0.20606060606060606</v>
          </cell>
          <cell r="AI288">
            <v>0.16363636363636364</v>
          </cell>
          <cell r="AJ288">
            <v>2.0000000000000018E-3</v>
          </cell>
          <cell r="AK288">
            <v>2</v>
          </cell>
          <cell r="AL288">
            <v>94</v>
          </cell>
          <cell r="AM288">
            <v>4</v>
          </cell>
          <cell r="AN288">
            <v>0</v>
          </cell>
          <cell r="AO288">
            <v>359</v>
          </cell>
          <cell r="AP288" t="str">
            <v>Gomez</v>
          </cell>
          <cell r="AQ288">
            <v>3.8181818181818183</v>
          </cell>
          <cell r="AR288">
            <v>0</v>
          </cell>
          <cell r="AS288">
            <v>2.1212121212121211</v>
          </cell>
          <cell r="AT288">
            <v>4.878787878787878</v>
          </cell>
          <cell r="AU288">
            <v>1.0606060606060606</v>
          </cell>
          <cell r="AV288">
            <v>4.878787878787878</v>
          </cell>
          <cell r="AW288">
            <v>4.878787878787878</v>
          </cell>
          <cell r="AX288">
            <v>3.1224242424242418E-2</v>
          </cell>
          <cell r="AY288">
            <v>0</v>
          </cell>
          <cell r="AZ288">
            <v>1.6</v>
          </cell>
          <cell r="BA288">
            <v>33</v>
          </cell>
          <cell r="BB288" t="str">
            <v/>
          </cell>
          <cell r="BC288">
            <v>7</v>
          </cell>
          <cell r="BD288">
            <v>2</v>
          </cell>
          <cell r="BE288">
            <v>0.2857142857142857</v>
          </cell>
          <cell r="BF288">
            <v>63</v>
          </cell>
          <cell r="BG288">
            <v>0.7</v>
          </cell>
          <cell r="BH288">
            <v>1</v>
          </cell>
          <cell r="BI288">
            <v>14</v>
          </cell>
          <cell r="BJ288">
            <v>12</v>
          </cell>
          <cell r="BK288">
            <v>11</v>
          </cell>
          <cell r="BL288">
            <v>0.21875</v>
          </cell>
          <cell r="BM288">
            <v>0.4375</v>
          </cell>
          <cell r="BN288">
            <v>0.36755952380952384</v>
          </cell>
          <cell r="BO288">
            <v>38</v>
          </cell>
          <cell r="BP288">
            <v>0</v>
          </cell>
          <cell r="BQ288">
            <v>0.1736842105263158</v>
          </cell>
          <cell r="BR288">
            <v>0.28000000000000003</v>
          </cell>
          <cell r="BS288">
            <v>4.2424242424242427E-2</v>
          </cell>
          <cell r="BT288">
            <v>0.64</v>
          </cell>
          <cell r="BU288">
            <v>9.696969696969697E-2</v>
          </cell>
          <cell r="BV288">
            <v>0.1393939393939394</v>
          </cell>
          <cell r="BW288">
            <v>0</v>
          </cell>
          <cell r="BX288">
            <v>38</v>
          </cell>
          <cell r="BY288">
            <v>1.4176315789473684</v>
          </cell>
          <cell r="BZ288">
            <v>1.2253684210526314</v>
          </cell>
        </row>
        <row r="289">
          <cell r="A289" t="str">
            <v>Joe Rodon</v>
          </cell>
          <cell r="B289" t="str">
            <v/>
          </cell>
          <cell r="C289" t="str">
            <v>Rodon</v>
          </cell>
          <cell r="D289" t="str">
            <v/>
          </cell>
          <cell r="F289" t="str">
            <v/>
          </cell>
          <cell r="H289" t="str">
            <v/>
          </cell>
          <cell r="I289" t="e">
            <v>#N/A</v>
          </cell>
          <cell r="J289" t="e">
            <v>#N/A</v>
          </cell>
          <cell r="K289" t="e">
            <v>#N/A</v>
          </cell>
          <cell r="M289">
            <v>2.9794589583026312</v>
          </cell>
          <cell r="N289">
            <v>2.653116531165312</v>
          </cell>
          <cell r="O289">
            <v>1.9754284913292484</v>
          </cell>
          <cell r="P289">
            <v>2.9794589583026312</v>
          </cell>
          <cell r="Q289">
            <v>2.653116531165312</v>
          </cell>
          <cell r="R289">
            <v>2.1674876847290641</v>
          </cell>
          <cell r="S289">
            <v>2.9794589583026312</v>
          </cell>
          <cell r="T289" t="str">
            <v>DEF</v>
          </cell>
          <cell r="U289" t="str">
            <v>CB</v>
          </cell>
          <cell r="V289" t="str">
            <v>LEE</v>
          </cell>
          <cell r="W289" t="str">
            <v>Leeds</v>
          </cell>
          <cell r="X289">
            <v>4.5</v>
          </cell>
          <cell r="Y289">
            <v>109.00000000000001</v>
          </cell>
          <cell r="Z289">
            <v>20</v>
          </cell>
          <cell r="AA289">
            <v>89.000000000000014</v>
          </cell>
          <cell r="AB289">
            <v>2952</v>
          </cell>
          <cell r="AC289">
            <v>2952</v>
          </cell>
          <cell r="AD289">
            <v>0.69206349206349216</v>
          </cell>
          <cell r="AE289">
            <v>2</v>
          </cell>
          <cell r="AF289">
            <v>0</v>
          </cell>
          <cell r="AG289">
            <v>1.8292682926829271E-2</v>
          </cell>
          <cell r="AH289">
            <v>-1.7073170731707318E-2</v>
          </cell>
          <cell r="AI289">
            <v>1.2195121951219523E-3</v>
          </cell>
          <cell r="AJ289">
            <v>2.6999999999999913E-2</v>
          </cell>
          <cell r="AK289">
            <v>5</v>
          </cell>
          <cell r="AL289">
            <v>373</v>
          </cell>
          <cell r="AM289">
            <v>3</v>
          </cell>
          <cell r="AN289">
            <v>0</v>
          </cell>
          <cell r="AO289">
            <v>329</v>
          </cell>
          <cell r="AP289" t="str">
            <v>Rodon</v>
          </cell>
          <cell r="AQ289">
            <v>7.0650406504065044</v>
          </cell>
          <cell r="AR289">
            <v>0</v>
          </cell>
          <cell r="AS289">
            <v>2.5338753387533872</v>
          </cell>
          <cell r="AT289">
            <v>8.1680216802168015</v>
          </cell>
          <cell r="AU289">
            <v>1.1029810298102982</v>
          </cell>
          <cell r="AV289">
            <v>8.1680216802168015</v>
          </cell>
          <cell r="AW289">
            <v>8.1680216802168015</v>
          </cell>
          <cell r="AX289">
            <v>0.31133062330623296</v>
          </cell>
          <cell r="AY289">
            <v>0</v>
          </cell>
          <cell r="AZ289">
            <v>3.1</v>
          </cell>
          <cell r="BA289">
            <v>109.00000000000001</v>
          </cell>
          <cell r="BB289" t="str">
            <v/>
          </cell>
          <cell r="BC289">
            <v>33</v>
          </cell>
          <cell r="BD289">
            <v>30</v>
          </cell>
          <cell r="BE289">
            <v>0.90909090909090906</v>
          </cell>
          <cell r="BF289">
            <v>88</v>
          </cell>
          <cell r="BG289">
            <v>0.97777777777777775</v>
          </cell>
          <cell r="BH289">
            <v>1</v>
          </cell>
          <cell r="BI289">
            <v>2</v>
          </cell>
          <cell r="BJ289">
            <v>23</v>
          </cell>
          <cell r="BK289">
            <v>0</v>
          </cell>
          <cell r="BL289">
            <v>0.94285714285714284</v>
          </cell>
          <cell r="BM289">
            <v>5.7142857142857162E-2</v>
          </cell>
          <cell r="BN289">
            <v>0.95779220779220786</v>
          </cell>
          <cell r="BO289">
            <v>38</v>
          </cell>
          <cell r="BP289">
            <v>0</v>
          </cell>
          <cell r="BQ289">
            <v>0.86315789473684212</v>
          </cell>
          <cell r="BR289">
            <v>1.4</v>
          </cell>
          <cell r="BS289">
            <v>4.2682926829268289E-2</v>
          </cell>
          <cell r="BT289">
            <v>0.56000000000000005</v>
          </cell>
          <cell r="BU289">
            <v>1.7073170731707318E-2</v>
          </cell>
          <cell r="BV289">
            <v>5.9756097560975607E-2</v>
          </cell>
          <cell r="BW289">
            <v>0</v>
          </cell>
          <cell r="BX289">
            <v>38</v>
          </cell>
          <cell r="BY289">
            <v>1.4823684210526316</v>
          </cell>
          <cell r="BZ289">
            <v>1.1606315789473682</v>
          </cell>
        </row>
        <row r="290">
          <cell r="A290" t="str">
            <v>Lewis Dunk</v>
          </cell>
          <cell r="B290" t="str">
            <v/>
          </cell>
          <cell r="C290" t="str">
            <v>Dunk</v>
          </cell>
          <cell r="D290" t="str">
            <v/>
          </cell>
          <cell r="F290" t="str">
            <v/>
          </cell>
          <cell r="H290" t="str">
            <v/>
          </cell>
          <cell r="I290">
            <v>1.8</v>
          </cell>
          <cell r="J290">
            <v>2.5333333333333337</v>
          </cell>
          <cell r="K290">
            <v>3.1</v>
          </cell>
          <cell r="M290">
            <v>2.9793264473018262</v>
          </cell>
          <cell r="N290">
            <v>2.6647867465632711</v>
          </cell>
          <cell r="O290">
            <v>2.55929956561405</v>
          </cell>
          <cell r="P290">
            <v>2.9793264473018262</v>
          </cell>
          <cell r="Q290">
            <v>2.6647867465632711</v>
          </cell>
          <cell r="R290">
            <v>5.9558823529411766</v>
          </cell>
          <cell r="S290">
            <v>2.9793264473018262</v>
          </cell>
          <cell r="T290" t="str">
            <v>DEF</v>
          </cell>
          <cell r="U290" t="str">
            <v>CB</v>
          </cell>
          <cell r="V290" t="str">
            <v>BHA</v>
          </cell>
          <cell r="W290" t="str">
            <v>Brighton</v>
          </cell>
          <cell r="X290">
            <v>4.5</v>
          </cell>
          <cell r="Y290">
            <v>100</v>
          </cell>
          <cell r="Z290">
            <v>16</v>
          </cell>
          <cell r="AA290">
            <v>84</v>
          </cell>
          <cell r="AB290">
            <v>2837</v>
          </cell>
          <cell r="AC290">
            <v>2837</v>
          </cell>
          <cell r="AD290">
            <v>0.67340067340067344</v>
          </cell>
          <cell r="AE290">
            <v>1</v>
          </cell>
          <cell r="AF290">
            <v>1</v>
          </cell>
          <cell r="AG290">
            <v>-2.6330630948184712E-2</v>
          </cell>
          <cell r="AH290">
            <v>1.3958406767712369E-2</v>
          </cell>
          <cell r="AI290">
            <v>-1.2372224180472347E-2</v>
          </cell>
          <cell r="AJ290">
            <v>6.9999999999998952E-3</v>
          </cell>
          <cell r="AK290">
            <v>5</v>
          </cell>
          <cell r="AL290">
            <v>443</v>
          </cell>
          <cell r="AM290">
            <v>10</v>
          </cell>
          <cell r="AN290">
            <v>0</v>
          </cell>
          <cell r="AO290">
            <v>116</v>
          </cell>
          <cell r="AP290" t="str">
            <v>Dunk</v>
          </cell>
          <cell r="AQ290">
            <v>6.2178357419809656</v>
          </cell>
          <cell r="AR290">
            <v>0</v>
          </cell>
          <cell r="AS290">
            <v>4.2826929855481142</v>
          </cell>
          <cell r="AT290">
            <v>7.3281635530489959</v>
          </cell>
          <cell r="AU290">
            <v>1.1103278110680295</v>
          </cell>
          <cell r="AV290">
            <v>7.3281635530489959</v>
          </cell>
          <cell r="AW290">
            <v>7.3281635530489959</v>
          </cell>
          <cell r="AX290">
            <v>0.20970778991892852</v>
          </cell>
          <cell r="AY290">
            <v>0</v>
          </cell>
          <cell r="AZ290">
            <v>3</v>
          </cell>
          <cell r="BA290">
            <v>100</v>
          </cell>
          <cell r="BB290" t="str">
            <v/>
          </cell>
          <cell r="BC290">
            <v>31</v>
          </cell>
          <cell r="BD290">
            <v>31</v>
          </cell>
          <cell r="BE290">
            <v>1</v>
          </cell>
          <cell r="BF290">
            <v>90</v>
          </cell>
          <cell r="BG290">
            <v>1</v>
          </cell>
          <cell r="BH290">
            <v>1</v>
          </cell>
          <cell r="BI290">
            <v>2</v>
          </cell>
          <cell r="BJ290">
            <v>24</v>
          </cell>
          <cell r="BK290">
            <v>1</v>
          </cell>
          <cell r="BL290">
            <v>0.91176470588235292</v>
          </cell>
          <cell r="BM290">
            <v>5.8823529411764719E-2</v>
          </cell>
          <cell r="BN290">
            <v>0.93529411764705894</v>
          </cell>
          <cell r="BO290">
            <v>38</v>
          </cell>
          <cell r="BP290">
            <v>0</v>
          </cell>
          <cell r="BQ290">
            <v>0.82953216374269001</v>
          </cell>
          <cell r="BR290">
            <v>1.83</v>
          </cell>
          <cell r="BS290">
            <v>5.8054282692985557E-2</v>
          </cell>
          <cell r="BT290">
            <v>0.56000000000000005</v>
          </cell>
          <cell r="BU290">
            <v>1.7765244977088476E-2</v>
          </cell>
          <cell r="BV290">
            <v>7.5819527670074036E-2</v>
          </cell>
          <cell r="BW290">
            <v>0</v>
          </cell>
          <cell r="BX290">
            <v>38</v>
          </cell>
          <cell r="BY290">
            <v>1.4144736842105263</v>
          </cell>
          <cell r="BZ290">
            <v>1.2285263157894735</v>
          </cell>
        </row>
        <row r="291">
          <cell r="A291" t="str">
            <v>Saša Lukić</v>
          </cell>
          <cell r="B291" t="str">
            <v/>
          </cell>
          <cell r="C291" t="str">
            <v>Lukić</v>
          </cell>
          <cell r="D291" t="str">
            <v/>
          </cell>
          <cell r="F291" t="str">
            <v/>
          </cell>
          <cell r="H291" t="str">
            <v/>
          </cell>
          <cell r="I291">
            <v>1.8</v>
          </cell>
          <cell r="J291">
            <v>1.85</v>
          </cell>
          <cell r="K291">
            <v>1.9</v>
          </cell>
          <cell r="M291">
            <v>2.9733510715174174</v>
          </cell>
          <cell r="N291">
            <v>2.8208092485549132</v>
          </cell>
          <cell r="O291">
            <v>2.5665916506101474</v>
          </cell>
          <cell r="P291">
            <v>2.9545501549633619</v>
          </cell>
          <cell r="Q291">
            <v>2.8208092485549132</v>
          </cell>
          <cell r="R291">
            <v>2.6666666666666665</v>
          </cell>
          <cell r="S291">
            <v>2.9733510715174174</v>
          </cell>
          <cell r="T291" t="str">
            <v>MID</v>
          </cell>
          <cell r="U291" t="str">
            <v>CM</v>
          </cell>
          <cell r="V291" t="str">
            <v>FUL</v>
          </cell>
          <cell r="W291" t="str">
            <v>Fulham</v>
          </cell>
          <cell r="X291">
            <v>5</v>
          </cell>
          <cell r="Y291">
            <v>67</v>
          </cell>
          <cell r="Z291">
            <v>6</v>
          </cell>
          <cell r="AA291">
            <v>61</v>
          </cell>
          <cell r="AB291">
            <v>1730</v>
          </cell>
          <cell r="AC291">
            <v>1730</v>
          </cell>
          <cell r="AD291">
            <v>0.51538461538461544</v>
          </cell>
          <cell r="AE291">
            <v>1</v>
          </cell>
          <cell r="AF291">
            <v>4</v>
          </cell>
          <cell r="AG291">
            <v>-6.3988439306358391E-2</v>
          </cell>
          <cell r="AH291">
            <v>0.10872832369942197</v>
          </cell>
          <cell r="AI291">
            <v>4.4739884393063534E-2</v>
          </cell>
          <cell r="AJ291">
            <v>9.9999999999988987E-4</v>
          </cell>
          <cell r="AK291">
            <v>4</v>
          </cell>
          <cell r="AL291">
            <v>314</v>
          </cell>
          <cell r="AM291">
            <v>9</v>
          </cell>
          <cell r="AN291">
            <v>0</v>
          </cell>
          <cell r="AO291">
            <v>267</v>
          </cell>
          <cell r="AP291" t="str">
            <v>Lukić</v>
          </cell>
          <cell r="AQ291">
            <v>2.9132947976878616</v>
          </cell>
          <cell r="AR291">
            <v>0</v>
          </cell>
          <cell r="AS291">
            <v>3.2832369942196529</v>
          </cell>
          <cell r="AT291">
            <v>8.4624277456647405</v>
          </cell>
          <cell r="AU291">
            <v>2.2658959537572252</v>
          </cell>
          <cell r="AV291">
            <v>8.4624277456647405</v>
          </cell>
          <cell r="AW291">
            <v>8.4624277456647405</v>
          </cell>
          <cell r="AX291">
            <v>0.15829479768786134</v>
          </cell>
          <cell r="AY291">
            <v>0</v>
          </cell>
          <cell r="AZ291">
            <v>2.6</v>
          </cell>
          <cell r="BA291">
            <v>67</v>
          </cell>
          <cell r="BB291" t="str">
            <v/>
          </cell>
          <cell r="BC291">
            <v>20</v>
          </cell>
          <cell r="BD291">
            <v>12</v>
          </cell>
          <cell r="BE291">
            <v>0.6</v>
          </cell>
          <cell r="BF291">
            <v>80</v>
          </cell>
          <cell r="BG291">
            <v>0.88888888888888884</v>
          </cell>
          <cell r="BH291">
            <v>1</v>
          </cell>
          <cell r="BI291">
            <v>6</v>
          </cell>
          <cell r="BJ291">
            <v>24</v>
          </cell>
          <cell r="BK291">
            <v>3</v>
          </cell>
          <cell r="BL291">
            <v>0.68965517241379315</v>
          </cell>
          <cell r="BM291">
            <v>0.2068965517241379</v>
          </cell>
          <cell r="BN291">
            <v>0.78275862068965518</v>
          </cell>
          <cell r="BO291">
            <v>38</v>
          </cell>
          <cell r="BP291">
            <v>0</v>
          </cell>
          <cell r="BQ291">
            <v>0.50584795321637432</v>
          </cell>
          <cell r="BR291">
            <v>2.23</v>
          </cell>
          <cell r="BS291">
            <v>0.11601156069364163</v>
          </cell>
          <cell r="BT291">
            <v>1.91</v>
          </cell>
          <cell r="BU291">
            <v>9.9364161849710989E-2</v>
          </cell>
          <cell r="BV291">
            <v>0.21537572254335263</v>
          </cell>
          <cell r="BW291">
            <v>0</v>
          </cell>
          <cell r="BX291">
            <v>38</v>
          </cell>
          <cell r="BY291">
            <v>1.6842105263157894</v>
          </cell>
          <cell r="BZ291">
            <v>0.95878947368421041</v>
          </cell>
        </row>
        <row r="292">
          <cell r="A292" t="str">
            <v>Joe Willock</v>
          </cell>
          <cell r="B292" t="str">
            <v/>
          </cell>
          <cell r="C292" t="str">
            <v>Willock</v>
          </cell>
          <cell r="D292" t="str">
            <v/>
          </cell>
          <cell r="F292" t="str">
            <v/>
          </cell>
          <cell r="H292" t="str">
            <v/>
          </cell>
          <cell r="I292">
            <v>1.4</v>
          </cell>
          <cell r="J292">
            <v>2.3000000000000003</v>
          </cell>
          <cell r="K292">
            <v>3.5</v>
          </cell>
          <cell r="M292">
            <v>2.9715730143914865</v>
          </cell>
          <cell r="N292">
            <v>2.7366255144032925</v>
          </cell>
          <cell r="O292">
            <v>2.9552887295898049</v>
          </cell>
          <cell r="P292">
            <v>2.9715730143914865</v>
          </cell>
          <cell r="Q292">
            <v>2.7366255144032925</v>
          </cell>
          <cell r="R292">
            <v>2.5089605734767022</v>
          </cell>
          <cell r="S292">
            <v>2.9715730143914865</v>
          </cell>
          <cell r="T292" t="str">
            <v>MID</v>
          </cell>
          <cell r="U292" t="str">
            <v>CM</v>
          </cell>
          <cell r="V292" t="str">
            <v>NEW</v>
          </cell>
          <cell r="W292" t="str">
            <v>Newcastle</v>
          </cell>
          <cell r="X292">
            <v>5</v>
          </cell>
          <cell r="Y292">
            <v>38</v>
          </cell>
          <cell r="Z292">
            <v>0</v>
          </cell>
          <cell r="AA292">
            <v>38</v>
          </cell>
          <cell r="AB292">
            <v>972</v>
          </cell>
          <cell r="AC292">
            <v>972</v>
          </cell>
          <cell r="AD292">
            <v>0.31666666666666665</v>
          </cell>
          <cell r="AE292">
            <v>0</v>
          </cell>
          <cell r="AF292">
            <v>2</v>
          </cell>
          <cell r="AG292">
            <v>-0.11666666666666667</v>
          </cell>
          <cell r="AH292">
            <v>8.6111111111111124E-2</v>
          </cell>
          <cell r="AI292">
            <v>-3.055555555555553E-2</v>
          </cell>
          <cell r="AJ292">
            <v>9.9999999999988987E-4</v>
          </cell>
          <cell r="AK292">
            <v>0</v>
          </cell>
          <cell r="AL292">
            <v>166</v>
          </cell>
          <cell r="AM292">
            <v>3</v>
          </cell>
          <cell r="AN292">
            <v>0</v>
          </cell>
          <cell r="AO292">
            <v>460</v>
          </cell>
          <cell r="AP292" t="str">
            <v>Willock</v>
          </cell>
          <cell r="AQ292">
            <v>1.2242798353909465</v>
          </cell>
          <cell r="AR292">
            <v>0</v>
          </cell>
          <cell r="AS292">
            <v>3.7448559670781894</v>
          </cell>
          <cell r="AT292">
            <v>6.4094650205761319</v>
          </cell>
          <cell r="AU292">
            <v>1.440329218106996</v>
          </cell>
          <cell r="AV292">
            <v>6.4094650205761319</v>
          </cell>
          <cell r="AW292">
            <v>6.4094650205761319</v>
          </cell>
          <cell r="AX292">
            <v>4.8528806584362136E-2</v>
          </cell>
          <cell r="AY292">
            <v>0</v>
          </cell>
          <cell r="AZ292">
            <v>1.6</v>
          </cell>
          <cell r="BA292">
            <v>38</v>
          </cell>
          <cell r="BB292" t="str">
            <v/>
          </cell>
          <cell r="BC292">
            <v>10</v>
          </cell>
          <cell r="BD292">
            <v>1</v>
          </cell>
          <cell r="BE292">
            <v>0.1</v>
          </cell>
          <cell r="BF292">
            <v>70</v>
          </cell>
          <cell r="BG292">
            <v>0.77777777777777779</v>
          </cell>
          <cell r="BH292">
            <v>1</v>
          </cell>
          <cell r="BI292">
            <v>14</v>
          </cell>
          <cell r="BJ292">
            <v>20</v>
          </cell>
          <cell r="BK292">
            <v>13</v>
          </cell>
          <cell r="BL292">
            <v>0.27027027027027029</v>
          </cell>
          <cell r="BM292">
            <v>5.1851851851851902E-3</v>
          </cell>
          <cell r="BN292">
            <v>0.47876447876447881</v>
          </cell>
          <cell r="BO292">
            <v>38</v>
          </cell>
          <cell r="BP292">
            <v>0</v>
          </cell>
          <cell r="BQ292">
            <v>0.28421052631578947</v>
          </cell>
          <cell r="BR292">
            <v>1.26</v>
          </cell>
          <cell r="BS292">
            <v>0.11666666666666667</v>
          </cell>
          <cell r="BT292">
            <v>1.07</v>
          </cell>
          <cell r="BU292">
            <v>9.9074074074074078E-2</v>
          </cell>
          <cell r="BV292">
            <v>0.21574074074074073</v>
          </cell>
          <cell r="BW292">
            <v>0</v>
          </cell>
          <cell r="BX292">
            <v>38</v>
          </cell>
          <cell r="BY292">
            <v>1.5081578947368421</v>
          </cell>
          <cell r="BZ292">
            <v>1.1348421052631577</v>
          </cell>
        </row>
        <row r="293">
          <cell r="A293" t="str">
            <v>Roméo Lavia</v>
          </cell>
          <cell r="B293" t="str">
            <v/>
          </cell>
          <cell r="C293" t="str">
            <v>Lavia</v>
          </cell>
          <cell r="D293" t="str">
            <v/>
          </cell>
          <cell r="F293" t="str">
            <v/>
          </cell>
          <cell r="H293" t="str">
            <v/>
          </cell>
          <cell r="I293">
            <v>1</v>
          </cell>
          <cell r="J293">
            <v>1.5333333333333332</v>
          </cell>
          <cell r="K293">
            <v>2</v>
          </cell>
          <cell r="M293">
            <v>2.9677430969230594</v>
          </cell>
          <cell r="N293">
            <v>2.0160427807486632</v>
          </cell>
          <cell r="O293">
            <v>2.5358358166306076</v>
          </cell>
          <cell r="P293">
            <v>2.9863060271916204</v>
          </cell>
          <cell r="Q293">
            <v>2.0160427807486632</v>
          </cell>
          <cell r="R293">
            <v>1.7709923664122136</v>
          </cell>
          <cell r="S293">
            <v>2.9677430969230594</v>
          </cell>
          <cell r="T293" t="str">
            <v>MID</v>
          </cell>
          <cell r="U293" t="str">
            <v>DM</v>
          </cell>
          <cell r="V293" t="str">
            <v>CHE</v>
          </cell>
          <cell r="W293" t="str">
            <v>Chelsea</v>
          </cell>
          <cell r="X293">
            <v>5</v>
          </cell>
          <cell r="Y293">
            <v>13</v>
          </cell>
          <cell r="Z293">
            <v>0</v>
          </cell>
          <cell r="AA293">
            <v>13</v>
          </cell>
          <cell r="AB293">
            <v>374</v>
          </cell>
          <cell r="AC293">
            <v>374</v>
          </cell>
          <cell r="AD293">
            <v>0.21666666666666665</v>
          </cell>
          <cell r="AE293">
            <v>0</v>
          </cell>
          <cell r="AF293">
            <v>0</v>
          </cell>
          <cell r="AG293">
            <v>-5.0534759358288765E-2</v>
          </cell>
          <cell r="AH293">
            <v>-0.13235294117647062</v>
          </cell>
          <cell r="AI293">
            <v>-0.18288770053475939</v>
          </cell>
          <cell r="AJ293">
            <v>9.9999999999988987E-4</v>
          </cell>
          <cell r="AK293">
            <v>0</v>
          </cell>
          <cell r="AL293">
            <v>81</v>
          </cell>
          <cell r="AM293">
            <v>0</v>
          </cell>
          <cell r="AN293">
            <v>0</v>
          </cell>
          <cell r="AO293">
            <v>161</v>
          </cell>
          <cell r="AP293" t="str">
            <v>Lavia</v>
          </cell>
          <cell r="AQ293">
            <v>1.3957219251336899</v>
          </cell>
          <cell r="AR293">
            <v>0</v>
          </cell>
          <cell r="AS293">
            <v>3.1016042780748663</v>
          </cell>
          <cell r="AT293">
            <v>5.737967914438503</v>
          </cell>
          <cell r="AU293">
            <v>1.2406417112299466</v>
          </cell>
          <cell r="AV293">
            <v>5.737967914438503</v>
          </cell>
          <cell r="AW293">
            <v>5.737967914438503</v>
          </cell>
          <cell r="AX293">
            <v>4.3444614209320088E-2</v>
          </cell>
          <cell r="AY293">
            <v>0</v>
          </cell>
          <cell r="AZ293">
            <v>1.1000000000000001</v>
          </cell>
          <cell r="BA293">
            <v>13</v>
          </cell>
          <cell r="BB293" t="str">
            <v/>
          </cell>
          <cell r="BC293">
            <v>4</v>
          </cell>
          <cell r="BD293">
            <v>0</v>
          </cell>
          <cell r="BE293">
            <v>0</v>
          </cell>
          <cell r="BF293">
            <v>58</v>
          </cell>
          <cell r="BG293">
            <v>0.64444444444444449</v>
          </cell>
          <cell r="BH293">
            <v>1</v>
          </cell>
          <cell r="BI293">
            <v>8</v>
          </cell>
          <cell r="BJ293">
            <v>19</v>
          </cell>
          <cell r="BK293">
            <v>3</v>
          </cell>
          <cell r="BL293">
            <v>0.26666666666666666</v>
          </cell>
          <cell r="BM293">
            <v>0.53333333333333344</v>
          </cell>
          <cell r="BN293">
            <v>0.50689655172413794</v>
          </cell>
          <cell r="BO293">
            <v>38</v>
          </cell>
          <cell r="BP293">
            <v>0</v>
          </cell>
          <cell r="BQ293">
            <v>0.10935672514619883</v>
          </cell>
          <cell r="BR293">
            <v>0.21</v>
          </cell>
          <cell r="BS293">
            <v>5.0534759358288765E-2</v>
          </cell>
          <cell r="BT293">
            <v>0.55000000000000004</v>
          </cell>
          <cell r="BU293">
            <v>0.13235294117647062</v>
          </cell>
          <cell r="BV293">
            <v>0.18288770053475939</v>
          </cell>
          <cell r="BW293">
            <v>0</v>
          </cell>
          <cell r="BX293">
            <v>38</v>
          </cell>
          <cell r="BY293">
            <v>1.4473684210526316</v>
          </cell>
          <cell r="BZ293">
            <v>1.1956315789473682</v>
          </cell>
        </row>
        <row r="294">
          <cell r="A294" t="str">
            <v>Vitaly Janelt</v>
          </cell>
          <cell r="B294" t="str">
            <v/>
          </cell>
          <cell r="C294" t="str">
            <v>Janelt</v>
          </cell>
          <cell r="D294" t="str">
            <v/>
          </cell>
          <cell r="F294" t="str">
            <v/>
          </cell>
          <cell r="H294" t="str">
            <v/>
          </cell>
          <cell r="I294">
            <v>2.2999999999999998</v>
          </cell>
          <cell r="J294">
            <v>2.3666666666666667</v>
          </cell>
          <cell r="K294">
            <v>2.4</v>
          </cell>
          <cell r="M294">
            <v>2.9659389453517706</v>
          </cell>
          <cell r="N294">
            <v>3.4309623430962342</v>
          </cell>
          <cell r="O294">
            <v>2.682523652110929</v>
          </cell>
          <cell r="P294">
            <v>2.9659389453517706</v>
          </cell>
          <cell r="Q294">
            <v>3.4309623430962342</v>
          </cell>
          <cell r="R294">
            <v>1.8121546961325965</v>
          </cell>
          <cell r="S294">
            <v>2.9659389453517706</v>
          </cell>
          <cell r="T294" t="str">
            <v>MID</v>
          </cell>
          <cell r="U294" t="str">
            <v>DM</v>
          </cell>
          <cell r="V294" t="str">
            <v>BRE</v>
          </cell>
          <cell r="W294" t="str">
            <v>Brentford</v>
          </cell>
          <cell r="X294">
            <v>5</v>
          </cell>
          <cell r="Y294">
            <v>74</v>
          </cell>
          <cell r="Z294">
            <v>14</v>
          </cell>
          <cell r="AA294">
            <v>60</v>
          </cell>
          <cell r="AB294">
            <v>1434</v>
          </cell>
          <cell r="AC294">
            <v>1434</v>
          </cell>
          <cell r="AD294">
            <v>0.59199999999999997</v>
          </cell>
          <cell r="AE294">
            <v>1</v>
          </cell>
          <cell r="AF294">
            <v>4</v>
          </cell>
          <cell r="AG294">
            <v>1.1297071129707119E-2</v>
          </cell>
          <cell r="AH294">
            <v>0.10857740585774059</v>
          </cell>
          <cell r="AI294">
            <v>0.11987447698744771</v>
          </cell>
          <cell r="AJ294">
            <v>9.9999999999988987E-4</v>
          </cell>
          <cell r="AK294">
            <v>6</v>
          </cell>
          <cell r="AL294">
            <v>334</v>
          </cell>
          <cell r="AM294">
            <v>8</v>
          </cell>
          <cell r="AN294">
            <v>0</v>
          </cell>
          <cell r="AO294">
            <v>98</v>
          </cell>
          <cell r="AP294" t="str">
            <v>Janelt</v>
          </cell>
          <cell r="AQ294">
            <v>4.0599721059972103</v>
          </cell>
          <cell r="AR294">
            <v>0</v>
          </cell>
          <cell r="AS294">
            <v>4.8605299860529989</v>
          </cell>
          <cell r="AT294">
            <v>10.464435146443515</v>
          </cell>
          <cell r="AU294">
            <v>1.5439330543933056</v>
          </cell>
          <cell r="AV294">
            <v>10.464435146443515</v>
          </cell>
          <cell r="AW294">
            <v>10.464435146443515</v>
          </cell>
          <cell r="AX294">
            <v>0.36101673648368204</v>
          </cell>
          <cell r="AY294">
            <v>0</v>
          </cell>
          <cell r="AZ294">
            <v>3</v>
          </cell>
          <cell r="BA294">
            <v>74</v>
          </cell>
          <cell r="BB294" t="str">
            <v/>
          </cell>
          <cell r="BC294">
            <v>15</v>
          </cell>
          <cell r="BD294">
            <v>11</v>
          </cell>
          <cell r="BE294">
            <v>0.73333333333333328</v>
          </cell>
          <cell r="BF294">
            <v>82</v>
          </cell>
          <cell r="BG294">
            <v>0.91111111111111109</v>
          </cell>
          <cell r="BH294">
            <v>1</v>
          </cell>
          <cell r="BI294">
            <v>10</v>
          </cell>
          <cell r="BJ294">
            <v>21</v>
          </cell>
          <cell r="BK294">
            <v>3</v>
          </cell>
          <cell r="BL294">
            <v>0.5357142857142857</v>
          </cell>
          <cell r="BM294">
            <v>0.35714285714285715</v>
          </cell>
          <cell r="BN294">
            <v>0.65461672473867594</v>
          </cell>
          <cell r="BO294">
            <v>38</v>
          </cell>
          <cell r="BP294">
            <v>0</v>
          </cell>
          <cell r="BQ294">
            <v>0.41929824561403511</v>
          </cell>
          <cell r="BR294">
            <v>0.82</v>
          </cell>
          <cell r="BS294">
            <v>5.1464435146443506E-2</v>
          </cell>
          <cell r="BT294">
            <v>2.27</v>
          </cell>
          <cell r="BU294">
            <v>0.14246861924686191</v>
          </cell>
          <cell r="BV294">
            <v>0.19393305439330541</v>
          </cell>
          <cell r="BW294">
            <v>0</v>
          </cell>
          <cell r="BX294">
            <v>38</v>
          </cell>
          <cell r="BY294">
            <v>1.5555263157894736</v>
          </cell>
          <cell r="BZ294">
            <v>1.0874736842105261</v>
          </cell>
        </row>
        <row r="295">
          <cell r="A295" t="str">
            <v>Nilson Angulo</v>
          </cell>
          <cell r="B295" t="str">
            <v/>
          </cell>
          <cell r="C295" t="str">
            <v>Angulo</v>
          </cell>
          <cell r="D295" t="str">
            <v/>
          </cell>
          <cell r="F295" t="str">
            <v/>
          </cell>
          <cell r="H295" t="str">
            <v/>
          </cell>
          <cell r="I295" t="e">
            <v>#N/A</v>
          </cell>
          <cell r="J295" t="e">
            <v>#N/A</v>
          </cell>
          <cell r="K295" t="e">
            <v>#N/A</v>
          </cell>
          <cell r="M295">
            <v>2.9539969248363596</v>
          </cell>
          <cell r="N295">
            <v>2.3990024937655861</v>
          </cell>
          <cell r="O295">
            <v>2.7154513715710724</v>
          </cell>
          <cell r="P295">
            <v>2.9539969248363596</v>
          </cell>
          <cell r="Q295">
            <v>2.3990024937655861</v>
          </cell>
          <cell r="R295">
            <v>2.3990024937655861</v>
          </cell>
          <cell r="S295">
            <v>2.9539969248363596</v>
          </cell>
          <cell r="T295" t="str">
            <v>MID</v>
          </cell>
          <cell r="U295" t="str">
            <v>LW</v>
          </cell>
          <cell r="V295" t="str">
            <v>SUN</v>
          </cell>
          <cell r="W295" t="str">
            <v>Sunderland</v>
          </cell>
          <cell r="X295">
            <v>5</v>
          </cell>
          <cell r="Y295">
            <v>13</v>
          </cell>
          <cell r="Z295">
            <v>0</v>
          </cell>
          <cell r="AA295">
            <v>13</v>
          </cell>
          <cell r="AB295">
            <v>401</v>
          </cell>
          <cell r="AC295">
            <v>401</v>
          </cell>
          <cell r="AD295">
            <v>0.32500000000000001</v>
          </cell>
          <cell r="AE295">
            <v>0</v>
          </cell>
          <cell r="AF295">
            <v>0</v>
          </cell>
          <cell r="AG295">
            <v>-0.17281795511221945</v>
          </cell>
          <cell r="AH295">
            <v>-2.6932668329177057E-2</v>
          </cell>
          <cell r="AI295">
            <v>-0.19975062344139652</v>
          </cell>
          <cell r="AJ295">
            <v>9.9999999999988987E-4</v>
          </cell>
          <cell r="AK295">
            <v>0</v>
          </cell>
          <cell r="AL295">
            <v>43</v>
          </cell>
          <cell r="AM295">
            <v>1</v>
          </cell>
          <cell r="AN295">
            <v>0</v>
          </cell>
          <cell r="AO295">
            <v>551</v>
          </cell>
          <cell r="AP295" t="str">
            <v>Angulo</v>
          </cell>
          <cell r="AQ295">
            <v>2.9526184538653362</v>
          </cell>
          <cell r="AR295">
            <v>0</v>
          </cell>
          <cell r="AS295">
            <v>1.6608478802992519</v>
          </cell>
          <cell r="AT295">
            <v>6.4588528678304247</v>
          </cell>
          <cell r="AU295">
            <v>1.8453865336658355</v>
          </cell>
          <cell r="AV295">
            <v>6.4588528678304247</v>
          </cell>
          <cell r="AW295">
            <v>6.4588528678304247</v>
          </cell>
          <cell r="AX295">
            <v>4.8902743142144642E-2</v>
          </cell>
          <cell r="AY295">
            <v>0</v>
          </cell>
          <cell r="AZ295">
            <v>1.6</v>
          </cell>
          <cell r="BA295">
            <v>13</v>
          </cell>
          <cell r="BB295" t="str">
            <v/>
          </cell>
          <cell r="BC295">
            <v>5</v>
          </cell>
          <cell r="BD295">
            <v>0</v>
          </cell>
          <cell r="BE295">
            <v>0</v>
          </cell>
          <cell r="BF295">
            <v>74</v>
          </cell>
          <cell r="BG295">
            <v>0.82222222222222219</v>
          </cell>
          <cell r="BH295">
            <v>1</v>
          </cell>
          <cell r="BI295">
            <v>3</v>
          </cell>
          <cell r="BJ295">
            <v>11</v>
          </cell>
          <cell r="BK295">
            <v>0</v>
          </cell>
          <cell r="BL295">
            <v>0.625</v>
          </cell>
          <cell r="BM295">
            <v>0.375</v>
          </cell>
          <cell r="BN295">
            <v>0.6807432432432432</v>
          </cell>
          <cell r="BO295">
            <v>38</v>
          </cell>
          <cell r="BP295">
            <v>0</v>
          </cell>
          <cell r="BQ295">
            <v>0.11725146198830409</v>
          </cell>
          <cell r="BR295">
            <v>0.77</v>
          </cell>
          <cell r="BS295">
            <v>0.17281795511221945</v>
          </cell>
          <cell r="BT295">
            <v>0.12</v>
          </cell>
          <cell r="BU295">
            <v>2.6932668329177057E-2</v>
          </cell>
          <cell r="BV295">
            <v>0.19975062344139652</v>
          </cell>
          <cell r="BW295">
            <v>0</v>
          </cell>
          <cell r="BX295">
            <v>38</v>
          </cell>
          <cell r="BY295">
            <v>1.5878947368421052</v>
          </cell>
          <cell r="BZ295">
            <v>1.0551052631578945</v>
          </cell>
        </row>
        <row r="296">
          <cell r="A296" t="str">
            <v>Granit Xhaka</v>
          </cell>
          <cell r="B296" t="str">
            <v/>
          </cell>
          <cell r="C296" t="str">
            <v>Xhaka</v>
          </cell>
          <cell r="D296" t="str">
            <v/>
          </cell>
          <cell r="F296" t="str">
            <v/>
          </cell>
          <cell r="H296" t="str">
            <v/>
          </cell>
          <cell r="I296" t="e">
            <v>#N/A</v>
          </cell>
          <cell r="J296" t="e">
            <v>#N/A</v>
          </cell>
          <cell r="K296" t="e">
            <v>#N/A</v>
          </cell>
          <cell r="M296">
            <v>2.9398292485427779</v>
          </cell>
          <cell r="N296">
            <v>3.0065494657014824</v>
          </cell>
          <cell r="O296">
            <v>3.0862692864529473</v>
          </cell>
          <cell r="P296">
            <v>2.9398292485427779</v>
          </cell>
          <cell r="Q296">
            <v>3.0065494657014824</v>
          </cell>
          <cell r="R296">
            <v>3.2962962962962963</v>
          </cell>
          <cell r="S296">
            <v>2.9398292485427779</v>
          </cell>
          <cell r="T296" t="str">
            <v>MID</v>
          </cell>
          <cell r="U296" t="str">
            <v>DM</v>
          </cell>
          <cell r="V296" t="str">
            <v>SUN</v>
          </cell>
          <cell r="W296" t="str">
            <v>Sunderland</v>
          </cell>
          <cell r="X296">
            <v>5.5</v>
          </cell>
          <cell r="Y296">
            <v>124</v>
          </cell>
          <cell r="Z296">
            <v>26</v>
          </cell>
          <cell r="AA296">
            <v>98</v>
          </cell>
          <cell r="AB296">
            <v>2901</v>
          </cell>
          <cell r="AC296">
            <v>2901</v>
          </cell>
          <cell r="AD296">
            <v>0.66310160427807485</v>
          </cell>
          <cell r="AE296">
            <v>1</v>
          </cell>
          <cell r="AF296">
            <v>6</v>
          </cell>
          <cell r="AG296">
            <v>-3.1023784901758333E-4</v>
          </cell>
          <cell r="AH296">
            <v>7.0423991726990723E-2</v>
          </cell>
          <cell r="AI296">
            <v>7.0113753877973112E-2</v>
          </cell>
          <cell r="AJ296">
            <v>5.699999999999994E-2</v>
          </cell>
          <cell r="AK296">
            <v>8</v>
          </cell>
          <cell r="AL296">
            <v>603</v>
          </cell>
          <cell r="AM296">
            <v>8</v>
          </cell>
          <cell r="AN296">
            <v>0</v>
          </cell>
          <cell r="AO296">
            <v>544</v>
          </cell>
          <cell r="AP296" t="str">
            <v>Xhaka</v>
          </cell>
          <cell r="AQ296">
            <v>4.1109962082040674</v>
          </cell>
          <cell r="AR296">
            <v>0</v>
          </cell>
          <cell r="AS296">
            <v>5.4608755601516723</v>
          </cell>
          <cell r="AT296">
            <v>11.10582557738711</v>
          </cell>
          <cell r="AU296">
            <v>1.5339538090313687</v>
          </cell>
          <cell r="AV296">
            <v>11.10582557738711</v>
          </cell>
          <cell r="AW296">
            <v>11.10582557738711</v>
          </cell>
          <cell r="AX296">
            <v>0.43295829024474342</v>
          </cell>
          <cell r="AY296">
            <v>0</v>
          </cell>
          <cell r="AZ296">
            <v>3.6</v>
          </cell>
          <cell r="BA296">
            <v>124</v>
          </cell>
          <cell r="BB296" t="str">
            <v/>
          </cell>
          <cell r="BC296">
            <v>32</v>
          </cell>
          <cell r="BD296">
            <v>30</v>
          </cell>
          <cell r="BE296">
            <v>0.9375</v>
          </cell>
          <cell r="BF296">
            <v>89</v>
          </cell>
          <cell r="BG296">
            <v>0.98888888888888893</v>
          </cell>
          <cell r="BH296">
            <v>1</v>
          </cell>
          <cell r="BI296">
            <v>2</v>
          </cell>
          <cell r="BJ296">
            <v>29</v>
          </cell>
          <cell r="BK296">
            <v>0</v>
          </cell>
          <cell r="BL296">
            <v>0.94117647058823528</v>
          </cell>
          <cell r="BM296">
            <v>5.8823529411764719E-2</v>
          </cell>
          <cell r="BN296">
            <v>0.96034368803701253</v>
          </cell>
          <cell r="BO296">
            <v>38</v>
          </cell>
          <cell r="BP296">
            <v>0</v>
          </cell>
          <cell r="BQ296">
            <v>0.84824561403508769</v>
          </cell>
          <cell r="BR296">
            <v>1.01</v>
          </cell>
          <cell r="BS296">
            <v>3.1334022750775598E-2</v>
          </cell>
          <cell r="BT296">
            <v>3.73</v>
          </cell>
          <cell r="BU296">
            <v>0.11571871768355739</v>
          </cell>
          <cell r="BV296">
            <v>0.14705274043433297</v>
          </cell>
          <cell r="BW296">
            <v>0</v>
          </cell>
          <cell r="BX296">
            <v>38</v>
          </cell>
          <cell r="BY296">
            <v>1.5878947368421052</v>
          </cell>
          <cell r="BZ296">
            <v>1.0551052631578945</v>
          </cell>
        </row>
        <row r="297">
          <cell r="A297" t="str">
            <v>Jørgen Strand Larsen</v>
          </cell>
          <cell r="B297" t="str">
            <v/>
          </cell>
          <cell r="C297" t="str">
            <v>Strand Larsen</v>
          </cell>
          <cell r="D297" t="str">
            <v/>
          </cell>
          <cell r="F297" t="str">
            <v/>
          </cell>
          <cell r="H297" t="str">
            <v/>
          </cell>
          <cell r="I297">
            <v>4.0999999999999996</v>
          </cell>
          <cell r="J297">
            <v>4.0999999999999996</v>
          </cell>
          <cell r="K297">
            <v>4.0999999999999996</v>
          </cell>
          <cell r="M297">
            <v>2.9328691873098656</v>
          </cell>
          <cell r="N297">
            <v>2.7053455019556716</v>
          </cell>
          <cell r="O297">
            <v>3.3822584921002092</v>
          </cell>
          <cell r="P297">
            <v>2.9328691873098656</v>
          </cell>
          <cell r="Q297">
            <v>2.7053455019556716</v>
          </cell>
          <cell r="R297">
            <v>2.4543010752688175</v>
          </cell>
          <cell r="S297">
            <v>2.9328691873098656</v>
          </cell>
          <cell r="T297" t="str">
            <v>FWD</v>
          </cell>
          <cell r="U297" t="str">
            <v>CF</v>
          </cell>
          <cell r="V297" t="str">
            <v>CRY</v>
          </cell>
          <cell r="W297" t="str">
            <v>Crystal Palace</v>
          </cell>
          <cell r="X297">
            <v>6</v>
          </cell>
          <cell r="Y297">
            <v>75</v>
          </cell>
          <cell r="Z297">
            <v>0</v>
          </cell>
          <cell r="AA297">
            <v>75</v>
          </cell>
          <cell r="AB297">
            <v>2301</v>
          </cell>
          <cell r="AC297">
            <v>2301</v>
          </cell>
          <cell r="AD297">
            <v>0.56818181818181823</v>
          </cell>
          <cell r="AE297">
            <v>4</v>
          </cell>
          <cell r="AF297">
            <v>1</v>
          </cell>
          <cell r="AG297">
            <v>-5.0847457627118647E-2</v>
          </cell>
          <cell r="AH297">
            <v>-4.693611473272491E-3</v>
          </cell>
          <cell r="AI297">
            <v>-5.5541069100391166E-2</v>
          </cell>
          <cell r="AJ297">
            <v>6.9999999999998952E-3</v>
          </cell>
          <cell r="AK297">
            <v>3</v>
          </cell>
          <cell r="AL297">
            <v>215</v>
          </cell>
          <cell r="AM297">
            <v>4</v>
          </cell>
          <cell r="AN297">
            <v>0</v>
          </cell>
          <cell r="AO297">
            <v>222</v>
          </cell>
          <cell r="AP297" t="str">
            <v>Strand Larsen</v>
          </cell>
          <cell r="AQ297">
            <v>1.7674923946110388</v>
          </cell>
          <cell r="AR297">
            <v>0</v>
          </cell>
          <cell r="AS297">
            <v>1.3346371142981313</v>
          </cell>
          <cell r="AT297">
            <v>3.4267709691438508</v>
          </cell>
          <cell r="AU297">
            <v>0.3246414602346806</v>
          </cell>
          <cell r="AV297">
            <v>3.4267709691438508</v>
          </cell>
          <cell r="AW297">
            <v>3.4267709691438508</v>
          </cell>
          <cell r="AX297">
            <v>2.5945551623517728E-2</v>
          </cell>
          <cell r="AY297">
            <v>0</v>
          </cell>
          <cell r="AZ297">
            <v>2.1</v>
          </cell>
          <cell r="BA297">
            <v>75</v>
          </cell>
          <cell r="BB297" t="str">
            <v/>
          </cell>
          <cell r="BC297">
            <v>14</v>
          </cell>
          <cell r="BD297">
            <v>7</v>
          </cell>
          <cell r="BE297">
            <v>0.5</v>
          </cell>
          <cell r="BF297">
            <v>83</v>
          </cell>
          <cell r="BG297">
            <v>0.92222222222222228</v>
          </cell>
          <cell r="BH297">
            <v>1</v>
          </cell>
          <cell r="BI297">
            <v>8</v>
          </cell>
          <cell r="BJ297">
            <v>31</v>
          </cell>
          <cell r="BK297">
            <v>0</v>
          </cell>
          <cell r="BL297">
            <v>0.63636363636363635</v>
          </cell>
          <cell r="BM297">
            <v>0.36363636363636365</v>
          </cell>
          <cell r="BN297">
            <v>0.77217962760131442</v>
          </cell>
          <cell r="BO297">
            <v>38</v>
          </cell>
          <cell r="BP297">
            <v>0</v>
          </cell>
          <cell r="BQ297">
            <v>0.67280701754385963</v>
          </cell>
          <cell r="BR297">
            <v>5.3</v>
          </cell>
          <cell r="BS297">
            <v>0.20730117340286833</v>
          </cell>
          <cell r="BT297">
            <v>1.1200000000000001</v>
          </cell>
          <cell r="BU297">
            <v>4.3807040417209911E-2</v>
          </cell>
          <cell r="BV297">
            <v>0.25110821382007825</v>
          </cell>
          <cell r="BW297">
            <v>0</v>
          </cell>
          <cell r="BX297">
            <v>38</v>
          </cell>
          <cell r="BY297">
            <v>1.631578947368421</v>
          </cell>
          <cell r="BZ297">
            <v>1.0114210526315788</v>
          </cell>
        </row>
        <row r="298">
          <cell r="A298" t="str">
            <v>Calvin Bassey</v>
          </cell>
          <cell r="B298" t="str">
            <v/>
          </cell>
          <cell r="C298" t="str">
            <v>Bassey</v>
          </cell>
          <cell r="D298" t="str">
            <v/>
          </cell>
          <cell r="F298" t="str">
            <v/>
          </cell>
          <cell r="H298" t="str">
            <v/>
          </cell>
          <cell r="I298">
            <v>2.1</v>
          </cell>
          <cell r="J298">
            <v>2.2000000000000002</v>
          </cell>
          <cell r="K298">
            <v>2.2999999999999998</v>
          </cell>
          <cell r="M298">
            <v>2.9302636920016965</v>
          </cell>
          <cell r="N298">
            <v>3.0924170616113744</v>
          </cell>
          <cell r="O298">
            <v>1.6583973143759878</v>
          </cell>
          <cell r="P298">
            <v>2.8134810784170527</v>
          </cell>
          <cell r="Q298">
            <v>3.0924170616113744</v>
          </cell>
          <cell r="R298">
            <v>3.833333333333333</v>
          </cell>
          <cell r="S298">
            <v>2.9302636920016965</v>
          </cell>
          <cell r="T298" t="str">
            <v>DEF</v>
          </cell>
          <cell r="U298" t="str">
            <v>CB</v>
          </cell>
          <cell r="V298" t="str">
            <v>FUL</v>
          </cell>
          <cell r="W298" t="str">
            <v>Fulham</v>
          </cell>
          <cell r="X298">
            <v>4.5</v>
          </cell>
          <cell r="Y298">
            <v>103</v>
          </cell>
          <cell r="Z298">
            <v>16</v>
          </cell>
          <cell r="AA298">
            <v>87</v>
          </cell>
          <cell r="AB298">
            <v>2532</v>
          </cell>
          <cell r="AC298">
            <v>2532</v>
          </cell>
          <cell r="AD298">
            <v>0.76296296296296295</v>
          </cell>
          <cell r="AE298">
            <v>1</v>
          </cell>
          <cell r="AF298">
            <v>1</v>
          </cell>
          <cell r="AG298">
            <v>-2.5236966824644554E-2</v>
          </cell>
          <cell r="AH298">
            <v>2.3104265402843605E-2</v>
          </cell>
          <cell r="AI298">
            <v>-2.132701421800956E-3</v>
          </cell>
          <cell r="AJ298">
            <v>4.9999999999998934E-3</v>
          </cell>
          <cell r="AK298">
            <v>9</v>
          </cell>
          <cell r="AL298">
            <v>392</v>
          </cell>
          <cell r="AM298">
            <v>5</v>
          </cell>
          <cell r="AN298">
            <v>0</v>
          </cell>
          <cell r="AO298">
            <v>257</v>
          </cell>
          <cell r="AP298" t="str">
            <v>Bassey</v>
          </cell>
          <cell r="AQ298">
            <v>5.0829383886255926</v>
          </cell>
          <cell r="AR298">
            <v>0</v>
          </cell>
          <cell r="AS298">
            <v>4.229857819905213</v>
          </cell>
          <cell r="AT298">
            <v>7.2867298578199051</v>
          </cell>
          <cell r="AU298">
            <v>2.203791469194313</v>
          </cell>
          <cell r="AV298">
            <v>7.2867298578199051</v>
          </cell>
          <cell r="AW298">
            <v>7.2867298578199051</v>
          </cell>
          <cell r="AX298">
            <v>0.20469431279620853</v>
          </cell>
          <cell r="AY298">
            <v>0</v>
          </cell>
          <cell r="AZ298">
            <v>3.4</v>
          </cell>
          <cell r="BA298">
            <v>103</v>
          </cell>
          <cell r="BB298" t="str">
            <v/>
          </cell>
          <cell r="BC298">
            <v>28</v>
          </cell>
          <cell r="BD298">
            <v>28</v>
          </cell>
          <cell r="BE298">
            <v>1</v>
          </cell>
          <cell r="BF298">
            <v>90</v>
          </cell>
          <cell r="BG298">
            <v>1</v>
          </cell>
          <cell r="BH298">
            <v>1</v>
          </cell>
          <cell r="BI298">
            <v>2</v>
          </cell>
          <cell r="BJ298">
            <v>7</v>
          </cell>
          <cell r="BK298">
            <v>2</v>
          </cell>
          <cell r="BL298">
            <v>0.875</v>
          </cell>
          <cell r="BM298">
            <v>6.25E-2</v>
          </cell>
          <cell r="BN298">
            <v>0.88472222222222219</v>
          </cell>
          <cell r="BO298">
            <v>38</v>
          </cell>
          <cell r="BP298">
            <v>0</v>
          </cell>
          <cell r="BQ298">
            <v>0.74035087719298243</v>
          </cell>
          <cell r="BR298">
            <v>1.71</v>
          </cell>
          <cell r="BS298">
            <v>6.0781990521327017E-2</v>
          </cell>
          <cell r="BT298">
            <v>0.35</v>
          </cell>
          <cell r="BU298">
            <v>1.2440758293838861E-2</v>
          </cell>
          <cell r="BV298">
            <v>7.3222748815165883E-2</v>
          </cell>
          <cell r="BW298">
            <v>0</v>
          </cell>
          <cell r="BX298">
            <v>38</v>
          </cell>
          <cell r="BY298">
            <v>1.6842105263157894</v>
          </cell>
          <cell r="BZ298">
            <v>0.95878947368421041</v>
          </cell>
        </row>
        <row r="299">
          <cell r="A299" t="str">
            <v>Brennan Johnson</v>
          </cell>
          <cell r="B299" t="str">
            <v/>
          </cell>
          <cell r="C299" t="str">
            <v>Johnson</v>
          </cell>
          <cell r="D299" t="str">
            <v/>
          </cell>
          <cell r="F299" t="str">
            <v/>
          </cell>
          <cell r="H299" t="str">
            <v/>
          </cell>
          <cell r="I299">
            <v>1.3</v>
          </cell>
          <cell r="J299">
            <v>2.25</v>
          </cell>
          <cell r="K299">
            <v>3.2</v>
          </cell>
          <cell r="M299">
            <v>2.9294241702093915</v>
          </cell>
          <cell r="N299">
            <v>2.8888888888888888</v>
          </cell>
          <cell r="O299">
            <v>2.7424638546721418</v>
          </cell>
          <cell r="P299">
            <v>2.9178223387915407</v>
          </cell>
          <cell r="Q299">
            <v>2.8888888888888888</v>
          </cell>
          <cell r="R299">
            <v>1.7966903073286051</v>
          </cell>
          <cell r="S299">
            <v>2.9294241702093915</v>
          </cell>
          <cell r="T299" t="str">
            <v>MID</v>
          </cell>
          <cell r="U299" t="str">
            <v>RW</v>
          </cell>
          <cell r="V299" t="str">
            <v>CRY</v>
          </cell>
          <cell r="W299" t="str">
            <v>Crystal Palace</v>
          </cell>
          <cell r="X299">
            <v>6</v>
          </cell>
          <cell r="Y299">
            <v>65</v>
          </cell>
          <cell r="Z299">
            <v>0</v>
          </cell>
          <cell r="AA299">
            <v>65</v>
          </cell>
          <cell r="AB299">
            <v>1710</v>
          </cell>
          <cell r="AC299">
            <v>1710</v>
          </cell>
          <cell r="AD299">
            <v>0.60185185185185186</v>
          </cell>
          <cell r="AE299">
            <v>2</v>
          </cell>
          <cell r="AF299">
            <v>1</v>
          </cell>
          <cell r="AG299">
            <v>-2.3684210526315794E-2</v>
          </cell>
          <cell r="AH299">
            <v>-1.6315789473684207E-2</v>
          </cell>
          <cell r="AI299">
            <v>-4.0000000000000036E-2</v>
          </cell>
          <cell r="AJ299">
            <v>2.0000000000000018E-3</v>
          </cell>
          <cell r="AK299">
            <v>2</v>
          </cell>
          <cell r="AL299">
            <v>217</v>
          </cell>
          <cell r="AM299">
            <v>6</v>
          </cell>
          <cell r="AN299">
            <v>0</v>
          </cell>
          <cell r="AO299">
            <v>209</v>
          </cell>
          <cell r="AP299" t="str">
            <v>Johnson</v>
          </cell>
          <cell r="AQ299">
            <v>1.6444444444444446</v>
          </cell>
          <cell r="AR299">
            <v>0</v>
          </cell>
          <cell r="AS299">
            <v>2.4444444444444442</v>
          </cell>
          <cell r="AT299">
            <v>5.3777777777777773</v>
          </cell>
          <cell r="AU299">
            <v>1.2888888888888888</v>
          </cell>
          <cell r="AV299">
            <v>5.3777777777777773</v>
          </cell>
          <cell r="AW299">
            <v>5.3777777777777773</v>
          </cell>
          <cell r="AX299">
            <v>4.0717460317460312E-2</v>
          </cell>
          <cell r="AY299">
            <v>0</v>
          </cell>
          <cell r="AZ299">
            <v>1.9</v>
          </cell>
          <cell r="BA299">
            <v>65</v>
          </cell>
          <cell r="BB299" t="str">
            <v/>
          </cell>
          <cell r="BC299">
            <v>13</v>
          </cell>
          <cell r="BD299">
            <v>4</v>
          </cell>
          <cell r="BE299">
            <v>0.30769230769230771</v>
          </cell>
          <cell r="BF299">
            <v>76</v>
          </cell>
          <cell r="BG299">
            <v>0.84444444444444444</v>
          </cell>
          <cell r="BH299">
            <v>1</v>
          </cell>
          <cell r="BI299">
            <v>5</v>
          </cell>
          <cell r="BJ299">
            <v>24</v>
          </cell>
          <cell r="BK299">
            <v>1</v>
          </cell>
          <cell r="BL299">
            <v>0.68421052631578949</v>
          </cell>
          <cell r="BM299">
            <v>0.26315789473684209</v>
          </cell>
          <cell r="BN299">
            <v>0.78393351800554023</v>
          </cell>
          <cell r="BO299">
            <v>38</v>
          </cell>
          <cell r="BP299">
            <v>0</v>
          </cell>
          <cell r="BQ299">
            <v>0.5</v>
          </cell>
          <cell r="BR299">
            <v>2.4500000000000002</v>
          </cell>
          <cell r="BS299">
            <v>0.12894736842105264</v>
          </cell>
          <cell r="BT299">
            <v>1.31</v>
          </cell>
          <cell r="BU299">
            <v>6.8947368421052632E-2</v>
          </cell>
          <cell r="BV299">
            <v>0.19789473684210529</v>
          </cell>
          <cell r="BW299">
            <v>0</v>
          </cell>
          <cell r="BX299">
            <v>38</v>
          </cell>
          <cell r="BY299">
            <v>1.631578947368421</v>
          </cell>
          <cell r="BZ299">
            <v>1.0114210526315788</v>
          </cell>
        </row>
        <row r="300">
          <cell r="A300" t="str">
            <v>Joachim Andersen</v>
          </cell>
          <cell r="B300" t="str">
            <v/>
          </cell>
          <cell r="C300" t="str">
            <v>Andersen</v>
          </cell>
          <cell r="D300" t="str">
            <v/>
          </cell>
          <cell r="F300" t="str">
            <v/>
          </cell>
          <cell r="H300" t="str">
            <v/>
          </cell>
          <cell r="I300">
            <v>1.7</v>
          </cell>
          <cell r="J300">
            <v>2.4666666666666668</v>
          </cell>
          <cell r="K300">
            <v>3.2</v>
          </cell>
          <cell r="M300">
            <v>2.9287940569733615</v>
          </cell>
          <cell r="N300">
            <v>2.5055517002081888</v>
          </cell>
          <cell r="O300">
            <v>1.6812542637619683</v>
          </cell>
          <cell r="P300">
            <v>2.8120114433887187</v>
          </cell>
          <cell r="Q300">
            <v>2.5055517002081888</v>
          </cell>
          <cell r="R300">
            <v>4.8785046728971961</v>
          </cell>
          <cell r="S300">
            <v>2.9287940569733615</v>
          </cell>
          <cell r="T300" t="str">
            <v>DEF</v>
          </cell>
          <cell r="U300" t="str">
            <v>CB</v>
          </cell>
          <cell r="V300" t="str">
            <v>FUL</v>
          </cell>
          <cell r="W300" t="str">
            <v>Fulham</v>
          </cell>
          <cell r="X300">
            <v>5</v>
          </cell>
          <cell r="Y300">
            <v>123</v>
          </cell>
          <cell r="Z300">
            <v>40</v>
          </cell>
          <cell r="AA300">
            <v>83</v>
          </cell>
          <cell r="AB300">
            <v>2882</v>
          </cell>
          <cell r="AC300">
            <v>2882</v>
          </cell>
          <cell r="AD300">
            <v>0.74545454545454537</v>
          </cell>
          <cell r="AE300">
            <v>0</v>
          </cell>
          <cell r="AF300">
            <v>1</v>
          </cell>
          <cell r="AG300">
            <v>-4.4656488549618317E-2</v>
          </cell>
          <cell r="AH300">
            <v>-2.5919500346981268E-2</v>
          </cell>
          <cell r="AI300">
            <v>-7.0575988896599579E-2</v>
          </cell>
          <cell r="AJ300">
            <v>9.9999999999988987E-4</v>
          </cell>
          <cell r="AK300">
            <v>8</v>
          </cell>
          <cell r="AL300">
            <v>424</v>
          </cell>
          <cell r="AM300">
            <v>7</v>
          </cell>
          <cell r="AN300">
            <v>0</v>
          </cell>
          <cell r="AO300">
            <v>253</v>
          </cell>
          <cell r="AP300" t="str">
            <v>Andersen</v>
          </cell>
          <cell r="AQ300">
            <v>8.5732130464954892</v>
          </cell>
          <cell r="AR300">
            <v>0</v>
          </cell>
          <cell r="AS300">
            <v>3.4413601665510067</v>
          </cell>
          <cell r="AT300">
            <v>9.9316446911866763</v>
          </cell>
          <cell r="AU300">
            <v>1.3584316446911866</v>
          </cell>
          <cell r="AV300">
            <v>9.9316446911866763</v>
          </cell>
          <cell r="AW300">
            <v>9.9316446911866763</v>
          </cell>
          <cell r="AX300">
            <v>0.52705811936155456</v>
          </cell>
          <cell r="AY300">
            <v>0</v>
          </cell>
          <cell r="AZ300">
            <v>3.7</v>
          </cell>
          <cell r="BA300">
            <v>123</v>
          </cell>
          <cell r="BB300">
            <v>0</v>
          </cell>
          <cell r="BC300">
            <v>33</v>
          </cell>
          <cell r="BD300">
            <v>31</v>
          </cell>
          <cell r="BE300">
            <v>0.93939393939393945</v>
          </cell>
          <cell r="BF300">
            <v>87</v>
          </cell>
          <cell r="BG300">
            <v>0.96666666666666667</v>
          </cell>
          <cell r="BH300">
            <v>1</v>
          </cell>
          <cell r="BI300">
            <v>0</v>
          </cell>
          <cell r="BJ300">
            <v>0</v>
          </cell>
          <cell r="BK300">
            <v>1</v>
          </cell>
          <cell r="BL300">
            <v>0.97058823529411764</v>
          </cell>
          <cell r="BM300">
            <v>0</v>
          </cell>
          <cell r="BN300">
            <v>0.97058823529411764</v>
          </cell>
          <cell r="BO300">
            <v>38</v>
          </cell>
          <cell r="BP300">
            <v>0</v>
          </cell>
          <cell r="BQ300">
            <v>0.84269005847953216</v>
          </cell>
          <cell r="BR300">
            <v>1.43</v>
          </cell>
          <cell r="BS300">
            <v>4.4656488549618317E-2</v>
          </cell>
          <cell r="BT300">
            <v>1.83</v>
          </cell>
          <cell r="BU300">
            <v>5.7147814018043031E-2</v>
          </cell>
          <cell r="BV300">
            <v>0.10180430256766135</v>
          </cell>
          <cell r="BW300">
            <v>0</v>
          </cell>
          <cell r="BX300">
            <v>38</v>
          </cell>
          <cell r="BY300">
            <v>1.6842105263157894</v>
          </cell>
          <cell r="BZ300">
            <v>0.95878947368421041</v>
          </cell>
        </row>
        <row r="301">
          <cell r="A301" t="str">
            <v>Amadou Onana</v>
          </cell>
          <cell r="B301" t="str">
            <v/>
          </cell>
          <cell r="C301" t="str">
            <v>Onana</v>
          </cell>
          <cell r="D301" t="str">
            <v/>
          </cell>
          <cell r="F301" t="str">
            <v/>
          </cell>
          <cell r="H301" t="str">
            <v/>
          </cell>
          <cell r="I301">
            <v>2.2000000000000002</v>
          </cell>
          <cell r="J301">
            <v>2.3333333333333335</v>
          </cell>
          <cell r="K301">
            <v>2.5</v>
          </cell>
          <cell r="M301">
            <v>2.9268956573623814</v>
          </cell>
          <cell r="N301">
            <v>2.8615384615384616</v>
          </cell>
          <cell r="O301">
            <v>3.2367356817637192</v>
          </cell>
          <cell r="P301">
            <v>2.9268956573623814</v>
          </cell>
          <cell r="Q301">
            <v>2.8615384615384616</v>
          </cell>
          <cell r="R301">
            <v>1.514018691588785</v>
          </cell>
          <cell r="S301">
            <v>2.9268956573623814</v>
          </cell>
          <cell r="T301" t="str">
            <v>MID</v>
          </cell>
          <cell r="U301" t="str">
            <v>DM</v>
          </cell>
          <cell r="V301" t="str">
            <v>AVL</v>
          </cell>
          <cell r="W301" t="str">
            <v>Aston Villa</v>
          </cell>
          <cell r="X301">
            <v>5</v>
          </cell>
          <cell r="Y301">
            <v>76</v>
          </cell>
          <cell r="Z301">
            <v>14</v>
          </cell>
          <cell r="AA301">
            <v>62</v>
          </cell>
          <cell r="AB301">
            <v>1755</v>
          </cell>
          <cell r="AC301">
            <v>1755</v>
          </cell>
          <cell r="AD301">
            <v>0.60799999999999998</v>
          </cell>
          <cell r="AE301">
            <v>2</v>
          </cell>
          <cell r="AF301">
            <v>0</v>
          </cell>
          <cell r="AG301">
            <v>1.641025641025641E-2</v>
          </cell>
          <cell r="AH301">
            <v>-3.5384615384615382E-2</v>
          </cell>
          <cell r="AI301">
            <v>-1.8974358974358979E-2</v>
          </cell>
          <cell r="AJ301">
            <v>0</v>
          </cell>
          <cell r="AK301">
            <v>4</v>
          </cell>
          <cell r="AL301">
            <v>353</v>
          </cell>
          <cell r="AM301">
            <v>3</v>
          </cell>
          <cell r="AN301">
            <v>0</v>
          </cell>
          <cell r="AO301">
            <v>48</v>
          </cell>
          <cell r="AP301" t="str">
            <v>Onana</v>
          </cell>
          <cell r="AQ301">
            <v>4.569230769230769</v>
          </cell>
          <cell r="AR301">
            <v>0</v>
          </cell>
          <cell r="AS301">
            <v>3.3230769230769233</v>
          </cell>
          <cell r="AT301">
            <v>10.107692307692307</v>
          </cell>
          <cell r="AU301">
            <v>2.2153846153846155</v>
          </cell>
          <cell r="AV301">
            <v>10.107692307692307</v>
          </cell>
          <cell r="AW301">
            <v>10.107692307692307</v>
          </cell>
          <cell r="AX301">
            <v>0.32106153852356922</v>
          </cell>
          <cell r="AY301">
            <v>0</v>
          </cell>
          <cell r="AZ301">
            <v>3</v>
          </cell>
          <cell r="BA301">
            <v>76</v>
          </cell>
          <cell r="BB301">
            <v>0</v>
          </cell>
          <cell r="BC301">
            <v>21</v>
          </cell>
          <cell r="BD301">
            <v>11</v>
          </cell>
          <cell r="BE301">
            <v>0.52380952380952384</v>
          </cell>
          <cell r="BF301">
            <v>81</v>
          </cell>
          <cell r="BG301">
            <v>0.9</v>
          </cell>
          <cell r="BH301">
            <v>1</v>
          </cell>
          <cell r="BI301">
            <v>4</v>
          </cell>
          <cell r="BJ301">
            <v>17</v>
          </cell>
          <cell r="BK301">
            <v>1</v>
          </cell>
          <cell r="BL301">
            <v>0.80769230769230771</v>
          </cell>
          <cell r="BM301">
            <v>0.7999353846153846</v>
          </cell>
          <cell r="BN301">
            <v>0.84805318138651475</v>
          </cell>
          <cell r="BO301">
            <v>38</v>
          </cell>
          <cell r="BP301">
            <v>0</v>
          </cell>
          <cell r="BQ301">
            <v>0.51315789473684215</v>
          </cell>
          <cell r="BR301">
            <v>1.68</v>
          </cell>
          <cell r="BS301">
            <v>8.615384615384615E-2</v>
          </cell>
          <cell r="BT301">
            <v>0.69</v>
          </cell>
          <cell r="BU301">
            <v>3.5384615384615382E-2</v>
          </cell>
          <cell r="BV301">
            <v>0.12153846153846154</v>
          </cell>
          <cell r="BW301">
            <v>0</v>
          </cell>
          <cell r="BX301">
            <v>38</v>
          </cell>
          <cell r="BY301">
            <v>1.4915789473684211</v>
          </cell>
          <cell r="BZ301">
            <v>1.1514210526315787</v>
          </cell>
        </row>
        <row r="302">
          <cell r="A302" t="str">
            <v>Vitor de Oliveira Nunes dos Reis</v>
          </cell>
          <cell r="B302" t="str">
            <v/>
          </cell>
          <cell r="C302" t="str">
            <v>Vitor Reis</v>
          </cell>
          <cell r="D302" t="str">
            <v/>
          </cell>
          <cell r="F302" t="str">
            <v/>
          </cell>
          <cell r="H302" t="str">
            <v/>
          </cell>
          <cell r="I302">
            <v>1</v>
          </cell>
          <cell r="J302">
            <v>1</v>
          </cell>
          <cell r="K302">
            <v>1</v>
          </cell>
          <cell r="M302">
            <v>2.9220826921550698</v>
          </cell>
          <cell r="N302">
            <v>0</v>
          </cell>
          <cell r="O302">
            <v>1.5214285714285714</v>
          </cell>
          <cell r="P302">
            <v>2.9220826921550698</v>
          </cell>
          <cell r="Q302">
            <v>0</v>
          </cell>
          <cell r="R302">
            <v>0</v>
          </cell>
          <cell r="S302">
            <v>2.9220826921550698</v>
          </cell>
          <cell r="T302" t="str">
            <v>DEF</v>
          </cell>
          <cell r="U302" t="str">
            <v>CB</v>
          </cell>
          <cell r="V302" t="str">
            <v>MCI</v>
          </cell>
          <cell r="W302" t="str">
            <v>Man City</v>
          </cell>
          <cell r="X302">
            <v>4.5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 t="e">
            <v>#DIV/0!</v>
          </cell>
          <cell r="AH302" t="e">
            <v>#DIV/0!</v>
          </cell>
          <cell r="AI302" t="e">
            <v>#DIV/0!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396</v>
          </cell>
          <cell r="AP302" t="str">
            <v>Vitor Reis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 t="str">
            <v/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0.9</v>
          </cell>
          <cell r="BH302">
            <v>1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 t="e">
            <v>#DIV/0!</v>
          </cell>
          <cell r="BO302">
            <v>38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38</v>
          </cell>
          <cell r="BY302">
            <v>1.223421052631579</v>
          </cell>
          <cell r="BZ302">
            <v>1.4195789473684208</v>
          </cell>
        </row>
        <row r="303">
          <cell r="A303" t="str">
            <v>Marcus Bettinelli</v>
          </cell>
          <cell r="B303" t="str">
            <v/>
          </cell>
          <cell r="C303" t="str">
            <v>Bettinelli</v>
          </cell>
          <cell r="D303" t="str">
            <v/>
          </cell>
          <cell r="F303" t="str">
            <v/>
          </cell>
          <cell r="H303" t="str">
            <v/>
          </cell>
          <cell r="I303">
            <v>0</v>
          </cell>
          <cell r="J303">
            <v>0</v>
          </cell>
          <cell r="K303">
            <v>0</v>
          </cell>
          <cell r="M303">
            <v>2.9220826921550698</v>
          </cell>
          <cell r="N303">
            <v>0</v>
          </cell>
          <cell r="O303">
            <v>1.5214285714285714</v>
          </cell>
          <cell r="P303">
            <v>2.9220826921550698</v>
          </cell>
          <cell r="Q303">
            <v>0</v>
          </cell>
          <cell r="R303">
            <v>0</v>
          </cell>
          <cell r="S303">
            <v>2.9220826921550698</v>
          </cell>
          <cell r="T303" t="str">
            <v>GK</v>
          </cell>
          <cell r="U303" t="str">
            <v>GK</v>
          </cell>
          <cell r="V303" t="str">
            <v>MCI</v>
          </cell>
          <cell r="W303" t="str">
            <v>Man City</v>
          </cell>
          <cell r="X303">
            <v>4.5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 t="e">
            <v>#DIV/0!</v>
          </cell>
          <cell r="AH303" t="e">
            <v>#DIV/0!</v>
          </cell>
          <cell r="AI303" t="e">
            <v>#DIV/0!</v>
          </cell>
          <cell r="AJ303">
            <v>9.9999999999988987E-4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386</v>
          </cell>
          <cell r="AP303" t="str">
            <v>Bettinelli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 t="str">
            <v/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0.9</v>
          </cell>
          <cell r="BH303">
            <v>1</v>
          </cell>
          <cell r="BI303">
            <v>0</v>
          </cell>
          <cell r="BJ303">
            <v>0</v>
          </cell>
          <cell r="BK303">
            <v>2</v>
          </cell>
          <cell r="BL303">
            <v>0</v>
          </cell>
          <cell r="BM303">
            <v>0</v>
          </cell>
          <cell r="BN303" t="e">
            <v>#DIV/0!</v>
          </cell>
          <cell r="BO303">
            <v>38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38</v>
          </cell>
          <cell r="BY303">
            <v>1.223421052631579</v>
          </cell>
          <cell r="BZ303">
            <v>1.4195789473684208</v>
          </cell>
        </row>
        <row r="304">
          <cell r="A304" t="str">
            <v>Ethan Ampadu</v>
          </cell>
          <cell r="B304" t="str">
            <v/>
          </cell>
          <cell r="C304" t="str">
            <v>Ampadu</v>
          </cell>
          <cell r="D304" t="str">
            <v/>
          </cell>
          <cell r="F304" t="str">
            <v/>
          </cell>
          <cell r="H304" t="str">
            <v/>
          </cell>
          <cell r="I304" t="e">
            <v>#N/A</v>
          </cell>
          <cell r="J304" t="e">
            <v>#N/A</v>
          </cell>
          <cell r="K304" t="e">
            <v>#N/A</v>
          </cell>
          <cell r="M304">
            <v>2.9209192282418215</v>
          </cell>
          <cell r="N304">
            <v>2.7393395319012508</v>
          </cell>
          <cell r="O304">
            <v>2.6268828363791816</v>
          </cell>
          <cell r="P304">
            <v>2.9209192282418215</v>
          </cell>
          <cell r="Q304">
            <v>2.7393395319012508</v>
          </cell>
          <cell r="R304">
            <v>4.7796296296296292</v>
          </cell>
          <cell r="S304">
            <v>2.9209192282418215</v>
          </cell>
          <cell r="T304" t="str">
            <v>MID</v>
          </cell>
          <cell r="U304" t="str">
            <v>DM</v>
          </cell>
          <cell r="V304" t="str">
            <v>LEE</v>
          </cell>
          <cell r="W304" t="str">
            <v>Leeds</v>
          </cell>
          <cell r="X304">
            <v>5.5</v>
          </cell>
          <cell r="Y304">
            <v>134</v>
          </cell>
          <cell r="Z304">
            <v>38</v>
          </cell>
          <cell r="AA304">
            <v>96</v>
          </cell>
          <cell r="AB304">
            <v>3119</v>
          </cell>
          <cell r="AC304">
            <v>3119</v>
          </cell>
          <cell r="AD304">
            <v>0.69610389610389611</v>
          </cell>
          <cell r="AE304">
            <v>1</v>
          </cell>
          <cell r="AF304">
            <v>4</v>
          </cell>
          <cell r="AG304">
            <v>-4.2417441487656304E-2</v>
          </cell>
          <cell r="AH304">
            <v>5.1939724270599549E-2</v>
          </cell>
          <cell r="AI304">
            <v>9.522282782943231E-3</v>
          </cell>
          <cell r="AJ304">
            <v>1.2999999999999901E-2</v>
          </cell>
          <cell r="AK304">
            <v>11</v>
          </cell>
          <cell r="AL304">
            <v>586</v>
          </cell>
          <cell r="AM304">
            <v>10</v>
          </cell>
          <cell r="AN304">
            <v>0</v>
          </cell>
          <cell r="AO304">
            <v>338</v>
          </cell>
          <cell r="AP304" t="str">
            <v>Ampadu</v>
          </cell>
          <cell r="AQ304">
            <v>4.3087528053863418</v>
          </cell>
          <cell r="AR304">
            <v>0</v>
          </cell>
          <cell r="AS304">
            <v>5.2504007694773964</v>
          </cell>
          <cell r="AT304">
            <v>11.870471304905418</v>
          </cell>
          <cell r="AU304">
            <v>2.3113177300416803</v>
          </cell>
          <cell r="AV304">
            <v>11.870471304905418</v>
          </cell>
          <cell r="AW304">
            <v>11.870471304905418</v>
          </cell>
          <cell r="AX304">
            <v>0.51936325745431233</v>
          </cell>
          <cell r="AY304">
            <v>0</v>
          </cell>
          <cell r="AZ304">
            <v>3.8</v>
          </cell>
          <cell r="BA304">
            <v>134</v>
          </cell>
          <cell r="BB304" t="str">
            <v/>
          </cell>
          <cell r="BC304">
            <v>35</v>
          </cell>
          <cell r="BD304">
            <v>31</v>
          </cell>
          <cell r="BE304">
            <v>0.88571428571428568</v>
          </cell>
          <cell r="BF304">
            <v>89</v>
          </cell>
          <cell r="BG304">
            <v>0.98888888888888893</v>
          </cell>
          <cell r="BH304">
            <v>1</v>
          </cell>
          <cell r="BI304">
            <v>0</v>
          </cell>
          <cell r="BJ304">
            <v>0</v>
          </cell>
          <cell r="BK304">
            <v>0</v>
          </cell>
          <cell r="BL304">
            <v>1</v>
          </cell>
          <cell r="BM304">
            <v>0</v>
          </cell>
          <cell r="BN304">
            <v>1</v>
          </cell>
          <cell r="BO304">
            <v>38</v>
          </cell>
          <cell r="BP304">
            <v>0</v>
          </cell>
          <cell r="BQ304">
            <v>0.91198830409356724</v>
          </cell>
          <cell r="BR304">
            <v>2.4700000000000002</v>
          </cell>
          <cell r="BS304">
            <v>7.1272843860211613E-2</v>
          </cell>
          <cell r="BT304">
            <v>2.2000000000000002</v>
          </cell>
          <cell r="BU304">
            <v>6.3481885219621684E-2</v>
          </cell>
          <cell r="BV304">
            <v>0.1347547290798333</v>
          </cell>
          <cell r="BW304">
            <v>0</v>
          </cell>
          <cell r="BX304">
            <v>38</v>
          </cell>
          <cell r="BY304">
            <v>1.4823684210526316</v>
          </cell>
          <cell r="BZ304">
            <v>1.1606315789473682</v>
          </cell>
        </row>
        <row r="305">
          <cell r="A305" t="str">
            <v>Alex Murphy</v>
          </cell>
          <cell r="B305" t="str">
            <v/>
          </cell>
          <cell r="C305" t="str">
            <v>A.Murphy</v>
          </cell>
          <cell r="D305" t="str">
            <v/>
          </cell>
          <cell r="F305" t="str">
            <v/>
          </cell>
          <cell r="H305" t="str">
            <v/>
          </cell>
          <cell r="I305">
            <v>0</v>
          </cell>
          <cell r="J305">
            <v>0.5</v>
          </cell>
          <cell r="K305">
            <v>1</v>
          </cell>
          <cell r="M305">
            <v>2.9079273959118099</v>
          </cell>
          <cell r="N305">
            <v>0</v>
          </cell>
          <cell r="O305">
            <v>1.7998809523809522</v>
          </cell>
          <cell r="P305">
            <v>2.9079273959118099</v>
          </cell>
          <cell r="Q305">
            <v>23.142857142857142</v>
          </cell>
          <cell r="R305">
            <v>81</v>
          </cell>
          <cell r="S305">
            <v>2.9079273959118099</v>
          </cell>
          <cell r="T305" t="str">
            <v>DEF</v>
          </cell>
          <cell r="U305" t="str">
            <v>LB</v>
          </cell>
          <cell r="V305" t="str">
            <v>NEW</v>
          </cell>
          <cell r="W305" t="str">
            <v>Newcastle</v>
          </cell>
          <cell r="X305">
            <v>4</v>
          </cell>
          <cell r="Y305">
            <v>2</v>
          </cell>
          <cell r="Z305">
            <v>0</v>
          </cell>
          <cell r="AA305">
            <v>2</v>
          </cell>
          <cell r="AB305">
            <v>7</v>
          </cell>
          <cell r="AC305">
            <v>7</v>
          </cell>
          <cell r="AD305">
            <v>0.25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8.0000000000000071E-3</v>
          </cell>
          <cell r="AK305">
            <v>0</v>
          </cell>
          <cell r="AL305">
            <v>3</v>
          </cell>
          <cell r="AM305">
            <v>0</v>
          </cell>
          <cell r="AN305">
            <v>0</v>
          </cell>
          <cell r="AO305">
            <v>451</v>
          </cell>
          <cell r="AP305" t="str">
            <v>A.Murphy</v>
          </cell>
          <cell r="AQ305">
            <v>46.285714285714285</v>
          </cell>
          <cell r="AR305">
            <v>0</v>
          </cell>
          <cell r="AS305">
            <v>0</v>
          </cell>
          <cell r="AT305">
            <v>46.285714285714285</v>
          </cell>
          <cell r="AU305">
            <v>0</v>
          </cell>
          <cell r="AV305">
            <v>46.285714285714285</v>
          </cell>
          <cell r="AW305">
            <v>46.285714285714285</v>
          </cell>
          <cell r="AX305">
            <v>3.049607142857143</v>
          </cell>
          <cell r="AY305">
            <v>0</v>
          </cell>
          <cell r="AZ305">
            <v>1</v>
          </cell>
          <cell r="BA305">
            <v>2</v>
          </cell>
          <cell r="BB305" t="str">
            <v/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0.9</v>
          </cell>
          <cell r="BH305">
            <v>1</v>
          </cell>
          <cell r="BI305">
            <v>2</v>
          </cell>
          <cell r="BJ305">
            <v>5</v>
          </cell>
          <cell r="BK305">
            <v>23</v>
          </cell>
          <cell r="BL305">
            <v>0</v>
          </cell>
          <cell r="BM305">
            <v>7.999999999999996E-2</v>
          </cell>
          <cell r="BN305" t="e">
            <v>#DIV/0!</v>
          </cell>
          <cell r="BO305">
            <v>38</v>
          </cell>
          <cell r="BP305">
            <v>0</v>
          </cell>
          <cell r="BQ305">
            <v>2.0467836257309943E-3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38</v>
          </cell>
          <cell r="BY305">
            <v>1.5081578947368421</v>
          </cell>
          <cell r="BZ305">
            <v>1.1348421052631577</v>
          </cell>
        </row>
        <row r="306">
          <cell r="A306" t="str">
            <v>Christian Nørgaard</v>
          </cell>
          <cell r="B306" t="str">
            <v/>
          </cell>
          <cell r="C306" t="str">
            <v>Nørgaard</v>
          </cell>
          <cell r="D306" t="str">
            <v/>
          </cell>
          <cell r="E306" t="str">
            <v>Norgaard</v>
          </cell>
          <cell r="F306" t="str">
            <v/>
          </cell>
          <cell r="H306" t="str">
            <v/>
          </cell>
          <cell r="I306">
            <v>2.4</v>
          </cell>
          <cell r="J306">
            <v>2.9</v>
          </cell>
          <cell r="K306">
            <v>3.2</v>
          </cell>
          <cell r="M306">
            <v>2.9030099813985792</v>
          </cell>
          <cell r="N306">
            <v>0</v>
          </cell>
          <cell r="O306">
            <v>2.5675049504950498</v>
          </cell>
          <cell r="P306">
            <v>2.9030099813985792</v>
          </cell>
          <cell r="Q306">
            <v>3.1188118811881189</v>
          </cell>
          <cell r="R306">
            <v>1</v>
          </cell>
          <cell r="S306">
            <v>2.9030099813985792</v>
          </cell>
          <cell r="T306" t="str">
            <v>MID</v>
          </cell>
          <cell r="U306" t="str">
            <v>DM</v>
          </cell>
          <cell r="V306" t="str">
            <v>ARS</v>
          </cell>
          <cell r="W306" t="str">
            <v>Arsenal</v>
          </cell>
          <cell r="X306">
            <v>5</v>
          </cell>
          <cell r="Y306">
            <v>7</v>
          </cell>
          <cell r="Z306">
            <v>0</v>
          </cell>
          <cell r="AA306">
            <v>7</v>
          </cell>
          <cell r="AB306">
            <v>101</v>
          </cell>
          <cell r="AC306">
            <v>101</v>
          </cell>
          <cell r="AD306">
            <v>0.2</v>
          </cell>
          <cell r="AE306">
            <v>0</v>
          </cell>
          <cell r="AF306">
            <v>0</v>
          </cell>
          <cell r="AG306">
            <v>-7.1287128712871295E-2</v>
          </cell>
          <cell r="AH306">
            <v>-3.5643564356435647E-2</v>
          </cell>
          <cell r="AI306">
            <v>-0.10693069306930694</v>
          </cell>
          <cell r="AJ306">
            <v>9.9999999999988987E-4</v>
          </cell>
          <cell r="AK306">
            <v>0</v>
          </cell>
          <cell r="AL306">
            <v>28</v>
          </cell>
          <cell r="AM306">
            <v>0</v>
          </cell>
          <cell r="AN306">
            <v>0</v>
          </cell>
          <cell r="AO306">
            <v>21</v>
          </cell>
          <cell r="AP306" t="str">
            <v>Nørgaard</v>
          </cell>
          <cell r="AQ306">
            <v>4.0099009900990099</v>
          </cell>
          <cell r="AR306">
            <v>0</v>
          </cell>
          <cell r="AS306">
            <v>1.7821782178217822</v>
          </cell>
          <cell r="AT306">
            <v>7.1287128712871288</v>
          </cell>
          <cell r="AU306">
            <v>1.3366336633663365</v>
          </cell>
          <cell r="AV306">
            <v>7.1287128712871288</v>
          </cell>
          <cell r="AW306">
            <v>7.1287128712871288</v>
          </cell>
          <cell r="AX306">
            <v>6.2267326732673274E-2</v>
          </cell>
          <cell r="AY306">
            <v>0</v>
          </cell>
          <cell r="AZ306">
            <v>1</v>
          </cell>
          <cell r="BA306">
            <v>7</v>
          </cell>
          <cell r="BB306" t="str">
            <v/>
          </cell>
          <cell r="BC306">
            <v>1</v>
          </cell>
          <cell r="BD306">
            <v>0</v>
          </cell>
          <cell r="BE306">
            <v>0</v>
          </cell>
          <cell r="BF306">
            <v>45</v>
          </cell>
          <cell r="BG306">
            <v>0.5</v>
          </cell>
          <cell r="BH306">
            <v>1</v>
          </cell>
          <cell r="BI306">
            <v>6</v>
          </cell>
          <cell r="BJ306">
            <v>10</v>
          </cell>
          <cell r="BK306">
            <v>21</v>
          </cell>
          <cell r="BL306">
            <v>3.5714285714285712E-2</v>
          </cell>
          <cell r="BM306">
            <v>0.2142857142857143</v>
          </cell>
          <cell r="BN306">
            <v>0.25</v>
          </cell>
          <cell r="BO306">
            <v>38</v>
          </cell>
          <cell r="BP306">
            <v>0</v>
          </cell>
          <cell r="BQ306">
            <v>2.9532163742690059E-2</v>
          </cell>
          <cell r="BR306">
            <v>0.08</v>
          </cell>
          <cell r="BS306">
            <v>7.1287128712871295E-2</v>
          </cell>
          <cell r="BT306">
            <v>0.04</v>
          </cell>
          <cell r="BU306">
            <v>3.5643564356435647E-2</v>
          </cell>
          <cell r="BV306">
            <v>0.10693069306930694</v>
          </cell>
          <cell r="BW306">
            <v>0</v>
          </cell>
          <cell r="BX306">
            <v>38</v>
          </cell>
          <cell r="BY306">
            <v>0.87184210526315797</v>
          </cell>
          <cell r="BZ306">
            <v>1.7711578947368418</v>
          </cell>
        </row>
        <row r="307">
          <cell r="A307" t="str">
            <v>Nicolás Domínguez</v>
          </cell>
          <cell r="B307" t="str">
            <v/>
          </cell>
          <cell r="C307" t="str">
            <v>Dominguez</v>
          </cell>
          <cell r="D307" t="str">
            <v/>
          </cell>
          <cell r="F307" t="str">
            <v/>
          </cell>
          <cell r="H307" t="str">
            <v/>
          </cell>
          <cell r="I307">
            <v>1.6</v>
          </cell>
          <cell r="J307">
            <v>2.1</v>
          </cell>
          <cell r="K307">
            <v>2.6</v>
          </cell>
          <cell r="M307">
            <v>2.8939937741896733</v>
          </cell>
          <cell r="N307">
            <v>2.3630136986301364</v>
          </cell>
          <cell r="O307">
            <v>2.9168846039309111</v>
          </cell>
          <cell r="P307">
            <v>2.8939937741896733</v>
          </cell>
          <cell r="Q307">
            <v>2.3630136986301364</v>
          </cell>
          <cell r="R307">
            <v>2.3478260869565215</v>
          </cell>
          <cell r="S307">
            <v>2.8939937741896733</v>
          </cell>
          <cell r="T307" t="str">
            <v>MID</v>
          </cell>
          <cell r="U307" t="str">
            <v>CM</v>
          </cell>
          <cell r="V307" t="str">
            <v>NFO</v>
          </cell>
          <cell r="W307" t="str">
            <v>Nott'm Forest</v>
          </cell>
          <cell r="X307">
            <v>5</v>
          </cell>
          <cell r="Y307">
            <v>48</v>
          </cell>
          <cell r="Z307">
            <v>2</v>
          </cell>
          <cell r="AA307">
            <v>46</v>
          </cell>
          <cell r="AB307">
            <v>1168</v>
          </cell>
          <cell r="AC307">
            <v>1168</v>
          </cell>
          <cell r="AD307">
            <v>0.35555555555555551</v>
          </cell>
          <cell r="AE307">
            <v>1</v>
          </cell>
          <cell r="AF307">
            <v>1</v>
          </cell>
          <cell r="AG307">
            <v>-3.6215753424657521E-2</v>
          </cell>
          <cell r="AH307">
            <v>1.7722602739726027E-2</v>
          </cell>
          <cell r="AI307">
            <v>-1.8493150684931486E-2</v>
          </cell>
          <cell r="AJ307">
            <v>9.9999999999988987E-4</v>
          </cell>
          <cell r="AK307">
            <v>3</v>
          </cell>
          <cell r="AL307">
            <v>229</v>
          </cell>
          <cell r="AM307">
            <v>3</v>
          </cell>
          <cell r="AN307">
            <v>0</v>
          </cell>
          <cell r="AO307">
            <v>487</v>
          </cell>
          <cell r="AP307" t="str">
            <v>Dominguez</v>
          </cell>
          <cell r="AQ307">
            <v>1.4897260273972601</v>
          </cell>
          <cell r="AR307">
            <v>0</v>
          </cell>
          <cell r="AS307">
            <v>2.9794520547945202</v>
          </cell>
          <cell r="AT307">
            <v>7.3458904109589032</v>
          </cell>
          <cell r="AU307">
            <v>2.8767123287671232</v>
          </cell>
          <cell r="AV307">
            <v>7.3458904109589032</v>
          </cell>
          <cell r="AW307">
            <v>7.3458904109589032</v>
          </cell>
          <cell r="AX307">
            <v>7.7904109589041037E-2</v>
          </cell>
          <cell r="AY307">
            <v>0</v>
          </cell>
          <cell r="AZ307">
            <v>1.8</v>
          </cell>
          <cell r="BA307">
            <v>48</v>
          </cell>
          <cell r="BB307" t="str">
            <v/>
          </cell>
          <cell r="BC307">
            <v>17</v>
          </cell>
          <cell r="BD307">
            <v>1</v>
          </cell>
          <cell r="BE307">
            <v>5.8823529411764705E-2</v>
          </cell>
          <cell r="BF307">
            <v>60</v>
          </cell>
          <cell r="BG307">
            <v>0.66666666666666663</v>
          </cell>
          <cell r="BH307">
            <v>1</v>
          </cell>
          <cell r="BI307">
            <v>10</v>
          </cell>
          <cell r="BJ307">
            <v>15</v>
          </cell>
          <cell r="BK307">
            <v>4</v>
          </cell>
          <cell r="BL307">
            <v>0.54838709677419351</v>
          </cell>
          <cell r="BM307">
            <v>0.32258064516129037</v>
          </cell>
          <cell r="BN307">
            <v>0.66129032258064513</v>
          </cell>
          <cell r="BO307">
            <v>38</v>
          </cell>
          <cell r="BP307">
            <v>0</v>
          </cell>
          <cell r="BQ307">
            <v>0.34152046783625734</v>
          </cell>
          <cell r="BR307">
            <v>1.47</v>
          </cell>
          <cell r="BS307">
            <v>0.11327054794520547</v>
          </cell>
          <cell r="BT307">
            <v>0.77</v>
          </cell>
          <cell r="BU307">
            <v>5.933219178082192E-2</v>
          </cell>
          <cell r="BV307">
            <v>0.17260273972602738</v>
          </cell>
          <cell r="BW307">
            <v>0</v>
          </cell>
          <cell r="BX307">
            <v>38</v>
          </cell>
          <cell r="BY307">
            <v>1.7036842105263157</v>
          </cell>
          <cell r="BZ307">
            <v>0.9393157894736841</v>
          </cell>
        </row>
        <row r="308">
          <cell r="A308" t="str">
            <v>Jefferson Lerma Solís</v>
          </cell>
          <cell r="B308" t="str">
            <v/>
          </cell>
          <cell r="C308" t="str">
            <v>Lerma</v>
          </cell>
          <cell r="D308" t="str">
            <v/>
          </cell>
          <cell r="E308" t="str">
            <v>Jefferson Lerma</v>
          </cell>
          <cell r="F308" t="str">
            <v/>
          </cell>
          <cell r="H308" t="str">
            <v/>
          </cell>
          <cell r="I308">
            <v>1.8</v>
          </cell>
          <cell r="J308">
            <v>2.2666666666666666</v>
          </cell>
          <cell r="K308">
            <v>2.7</v>
          </cell>
          <cell r="M308">
            <v>2.8790212441951679</v>
          </cell>
          <cell r="N308">
            <v>2.8437862950058075</v>
          </cell>
          <cell r="O308">
            <v>2.5192778008461061</v>
          </cell>
          <cell r="P308">
            <v>2.8674194127773167</v>
          </cell>
          <cell r="Q308">
            <v>2.8437862950058075</v>
          </cell>
          <cell r="R308">
            <v>2.150259067357513</v>
          </cell>
          <cell r="S308">
            <v>2.8790212441951679</v>
          </cell>
          <cell r="T308" t="str">
            <v>MID</v>
          </cell>
          <cell r="U308" t="str">
            <v>DM</v>
          </cell>
          <cell r="V308" t="str">
            <v>CRY</v>
          </cell>
          <cell r="W308" t="str">
            <v>Crystal Palace</v>
          </cell>
          <cell r="X308">
            <v>5</v>
          </cell>
          <cell r="Y308">
            <v>69</v>
          </cell>
          <cell r="Z308">
            <v>10</v>
          </cell>
          <cell r="AA308">
            <v>59</v>
          </cell>
          <cell r="AB308">
            <v>1722</v>
          </cell>
          <cell r="AC308">
            <v>1722</v>
          </cell>
          <cell r="AD308">
            <v>0.44516129032258062</v>
          </cell>
          <cell r="AE308">
            <v>0</v>
          </cell>
          <cell r="AF308">
            <v>5</v>
          </cell>
          <cell r="AG308">
            <v>-9.616724738675958E-2</v>
          </cell>
          <cell r="AH308">
            <v>0.18397212543554009</v>
          </cell>
          <cell r="AI308">
            <v>8.780487804878051E-2</v>
          </cell>
          <cell r="AJ308">
            <v>9.9999999999988987E-4</v>
          </cell>
          <cell r="AK308">
            <v>3</v>
          </cell>
          <cell r="AL308">
            <v>296</v>
          </cell>
          <cell r="AM308">
            <v>7</v>
          </cell>
          <cell r="AN308">
            <v>0</v>
          </cell>
          <cell r="AO308">
            <v>213</v>
          </cell>
          <cell r="AP308" t="str">
            <v>Lerma</v>
          </cell>
          <cell r="AQ308">
            <v>4.3379790940766556</v>
          </cell>
          <cell r="AR308">
            <v>0</v>
          </cell>
          <cell r="AS308">
            <v>4.9163763066202097</v>
          </cell>
          <cell r="AT308">
            <v>10.603948896631824</v>
          </cell>
          <cell r="AU308">
            <v>1.3495934959349596</v>
          </cell>
          <cell r="AV308">
            <v>10.603948896631824</v>
          </cell>
          <cell r="AW308">
            <v>10.603948896631824</v>
          </cell>
          <cell r="AX308">
            <v>0.37664227651258542</v>
          </cell>
          <cell r="AY308">
            <v>0</v>
          </cell>
          <cell r="AZ308">
            <v>2.2000000000000002</v>
          </cell>
          <cell r="BA308">
            <v>69</v>
          </cell>
          <cell r="BB308" t="str">
            <v/>
          </cell>
          <cell r="BC308">
            <v>18</v>
          </cell>
          <cell r="BD308">
            <v>15</v>
          </cell>
          <cell r="BE308">
            <v>0.83333333333333337</v>
          </cell>
          <cell r="BF308">
            <v>83</v>
          </cell>
          <cell r="BG308">
            <v>0.92222222222222228</v>
          </cell>
          <cell r="BH308">
            <v>1</v>
          </cell>
          <cell r="BI308">
            <v>13</v>
          </cell>
          <cell r="BJ308">
            <v>18</v>
          </cell>
          <cell r="BK308">
            <v>4</v>
          </cell>
          <cell r="BL308">
            <v>0.51428571428571423</v>
          </cell>
          <cell r="BM308">
            <v>0.37142857142857144</v>
          </cell>
          <cell r="BN308">
            <v>0.61962134251290879</v>
          </cell>
          <cell r="BO308">
            <v>38</v>
          </cell>
          <cell r="BP308">
            <v>0</v>
          </cell>
          <cell r="BQ308">
            <v>0.50350877192982457</v>
          </cell>
          <cell r="BR308">
            <v>1.84</v>
          </cell>
          <cell r="BS308">
            <v>9.616724738675958E-2</v>
          </cell>
          <cell r="BT308">
            <v>1.48</v>
          </cell>
          <cell r="BU308">
            <v>7.7351916376306618E-2</v>
          </cell>
          <cell r="BV308">
            <v>0.1735191637630662</v>
          </cell>
          <cell r="BW308">
            <v>0</v>
          </cell>
          <cell r="BX308">
            <v>38</v>
          </cell>
          <cell r="BY308">
            <v>1.631578947368421</v>
          </cell>
          <cell r="BZ308">
            <v>1.0114210526315788</v>
          </cell>
        </row>
        <row r="309">
          <cell r="A309" t="str">
            <v>Conor Bradley</v>
          </cell>
          <cell r="B309" t="str">
            <v/>
          </cell>
          <cell r="C309" t="str">
            <v>Bradley</v>
          </cell>
          <cell r="D309" t="str">
            <v/>
          </cell>
          <cell r="F309" t="str">
            <v/>
          </cell>
          <cell r="H309" t="str">
            <v/>
          </cell>
          <cell r="I309">
            <v>2.2000000000000002</v>
          </cell>
          <cell r="J309">
            <v>3.35</v>
          </cell>
          <cell r="K309">
            <v>4.5</v>
          </cell>
          <cell r="M309">
            <v>2.8690202744402571</v>
          </cell>
          <cell r="N309">
            <v>3.0172413793103448</v>
          </cell>
          <cell r="O309">
            <v>1.2204238505747123</v>
          </cell>
          <cell r="P309">
            <v>2.8690202744402571</v>
          </cell>
          <cell r="Q309">
            <v>3.0172413793103448</v>
          </cell>
          <cell r="R309">
            <v>0</v>
          </cell>
          <cell r="S309">
            <v>2.8690202744402571</v>
          </cell>
          <cell r="T309" t="str">
            <v>DEF</v>
          </cell>
          <cell r="U309" t="str">
            <v>RB</v>
          </cell>
          <cell r="V309" t="str">
            <v>LIV</v>
          </cell>
          <cell r="W309" t="str">
            <v>Liverpool</v>
          </cell>
          <cell r="X309">
            <v>5</v>
          </cell>
          <cell r="Y309">
            <v>42</v>
          </cell>
          <cell r="Z309">
            <v>2</v>
          </cell>
          <cell r="AA309">
            <v>40</v>
          </cell>
          <cell r="AB309">
            <v>928</v>
          </cell>
          <cell r="AC309">
            <v>928</v>
          </cell>
          <cell r="AD309">
            <v>0.55999999999999994</v>
          </cell>
          <cell r="AE309">
            <v>0</v>
          </cell>
          <cell r="AF309">
            <v>2</v>
          </cell>
          <cell r="AG309">
            <v>-1.7456896551724138E-2</v>
          </cell>
          <cell r="AH309">
            <v>0.1125</v>
          </cell>
          <cell r="AI309">
            <v>9.5043103448275865E-2</v>
          </cell>
          <cell r="AJ309">
            <v>0</v>
          </cell>
          <cell r="AK309">
            <v>2</v>
          </cell>
          <cell r="AL309">
            <v>157</v>
          </cell>
          <cell r="AM309">
            <v>5</v>
          </cell>
          <cell r="AN309">
            <v>0</v>
          </cell>
          <cell r="AO309">
            <v>360</v>
          </cell>
          <cell r="AP309" t="str">
            <v>Bradley</v>
          </cell>
          <cell r="AQ309">
            <v>3.4698275862068968</v>
          </cell>
          <cell r="AR309">
            <v>0</v>
          </cell>
          <cell r="AS309">
            <v>3.243534482758621</v>
          </cell>
          <cell r="AT309">
            <v>4.9030172413793105</v>
          </cell>
          <cell r="AU309">
            <v>1.4331896551724137</v>
          </cell>
          <cell r="AV309">
            <v>4.9030172413793105</v>
          </cell>
          <cell r="AW309">
            <v>4.9030172413793105</v>
          </cell>
          <cell r="AX309">
            <v>3.1379310344827591E-2</v>
          </cell>
          <cell r="AY309">
            <v>0</v>
          </cell>
          <cell r="AZ309">
            <v>2.8</v>
          </cell>
          <cell r="BA309">
            <v>42</v>
          </cell>
          <cell r="BB309">
            <v>0</v>
          </cell>
          <cell r="BC309">
            <v>12</v>
          </cell>
          <cell r="BD309">
            <v>3</v>
          </cell>
          <cell r="BE309">
            <v>0.25</v>
          </cell>
          <cell r="BF309">
            <v>70</v>
          </cell>
          <cell r="BG309">
            <v>0.77777777777777779</v>
          </cell>
          <cell r="BH309">
            <v>1</v>
          </cell>
          <cell r="BI309">
            <v>3</v>
          </cell>
          <cell r="BJ309">
            <v>29</v>
          </cell>
          <cell r="BK309">
            <v>1</v>
          </cell>
          <cell r="BL309">
            <v>0.75</v>
          </cell>
          <cell r="BM309">
            <v>0.74994374999999991</v>
          </cell>
          <cell r="BN309">
            <v>0.85357142857142854</v>
          </cell>
          <cell r="BO309">
            <v>38</v>
          </cell>
          <cell r="BP309">
            <v>0</v>
          </cell>
          <cell r="BQ309">
            <v>0.27134502923976606</v>
          </cell>
          <cell r="BR309">
            <v>0.18</v>
          </cell>
          <cell r="BS309">
            <v>1.7456896551724138E-2</v>
          </cell>
          <cell r="BT309">
            <v>0.84</v>
          </cell>
          <cell r="BU309">
            <v>8.1465517241379307E-2</v>
          </cell>
          <cell r="BV309">
            <v>9.8922413793103445E-2</v>
          </cell>
          <cell r="BW309">
            <v>0</v>
          </cell>
          <cell r="BX309">
            <v>38</v>
          </cell>
          <cell r="BY309">
            <v>1.4176315789473684</v>
          </cell>
          <cell r="BZ309">
            <v>1.2253684210526314</v>
          </cell>
        </row>
        <row r="310">
          <cell r="A310" t="str">
            <v>Alex Tóth</v>
          </cell>
          <cell r="B310" t="str">
            <v/>
          </cell>
          <cell r="C310" t="str">
            <v>Tóth.A</v>
          </cell>
          <cell r="D310" t="str">
            <v/>
          </cell>
          <cell r="F310" t="str">
            <v/>
          </cell>
          <cell r="H310" t="str">
            <v/>
          </cell>
          <cell r="I310" t="e">
            <v>#N/A</v>
          </cell>
          <cell r="J310" t="e">
            <v>#N/A</v>
          </cell>
          <cell r="K310" t="e">
            <v>#N/A</v>
          </cell>
          <cell r="M310">
            <v>2.8683191625789934</v>
          </cell>
          <cell r="N310">
            <v>3.3777777777777782</v>
          </cell>
          <cell r="O310">
            <v>2.6085333333333329</v>
          </cell>
          <cell r="P310">
            <v>2.8683191625789934</v>
          </cell>
          <cell r="Q310">
            <v>3.3777777777777782</v>
          </cell>
          <cell r="R310">
            <v>3.3777777777777782</v>
          </cell>
          <cell r="S310">
            <v>2.8683191625789934</v>
          </cell>
          <cell r="T310" t="str">
            <v>MID</v>
          </cell>
          <cell r="U310" t="str">
            <v>CM</v>
          </cell>
          <cell r="V310" t="str">
            <v>BOU</v>
          </cell>
          <cell r="W310" t="str">
            <v>Bournemouth</v>
          </cell>
          <cell r="X310">
            <v>5</v>
          </cell>
          <cell r="Y310">
            <v>8</v>
          </cell>
          <cell r="Z310">
            <v>0</v>
          </cell>
          <cell r="AA310">
            <v>8</v>
          </cell>
          <cell r="AB310">
            <v>135</v>
          </cell>
          <cell r="AC310">
            <v>135</v>
          </cell>
          <cell r="AD310">
            <v>0.17777777777777776</v>
          </cell>
          <cell r="AE310">
            <v>0</v>
          </cell>
          <cell r="AF310">
            <v>0</v>
          </cell>
          <cell r="AG310">
            <v>-7.3333333333333334E-2</v>
          </cell>
          <cell r="AH310">
            <v>-0.22</v>
          </cell>
          <cell r="AI310">
            <v>-0.29333333333333333</v>
          </cell>
          <cell r="AJ310">
            <v>0</v>
          </cell>
          <cell r="AK310">
            <v>0</v>
          </cell>
          <cell r="AL310">
            <v>32</v>
          </cell>
          <cell r="AM310">
            <v>1</v>
          </cell>
          <cell r="AN310">
            <v>0</v>
          </cell>
          <cell r="AO310">
            <v>76</v>
          </cell>
          <cell r="AP310" t="str">
            <v>Tóth.A</v>
          </cell>
          <cell r="AQ310">
            <v>3.3777777777777782</v>
          </cell>
          <cell r="AR310">
            <v>0</v>
          </cell>
          <cell r="AS310">
            <v>3.3777777777777782</v>
          </cell>
          <cell r="AT310">
            <v>7.1777777777777763</v>
          </cell>
          <cell r="AU310">
            <v>0.42222222222222228</v>
          </cell>
          <cell r="AV310">
            <v>7.1777777777777763</v>
          </cell>
          <cell r="AW310">
            <v>7.1777777777777763</v>
          </cell>
          <cell r="AX310">
            <v>6.5799999999999886E-2</v>
          </cell>
          <cell r="AY310">
            <v>0</v>
          </cell>
          <cell r="AZ310">
            <v>0.9</v>
          </cell>
          <cell r="BA310">
            <v>8</v>
          </cell>
          <cell r="BB310" t="str">
            <v/>
          </cell>
          <cell r="BC310">
            <v>2</v>
          </cell>
          <cell r="BD310">
            <v>0</v>
          </cell>
          <cell r="BE310">
            <v>0</v>
          </cell>
          <cell r="BF310">
            <v>57</v>
          </cell>
          <cell r="BG310">
            <v>0.6333333333333333</v>
          </cell>
          <cell r="BH310">
            <v>1</v>
          </cell>
          <cell r="BI310">
            <v>7</v>
          </cell>
          <cell r="BJ310">
            <v>4</v>
          </cell>
          <cell r="BK310">
            <v>7</v>
          </cell>
          <cell r="BL310">
            <v>0.125</v>
          </cell>
          <cell r="BM310">
            <v>0.4375</v>
          </cell>
          <cell r="BN310">
            <v>0.18640350877192982</v>
          </cell>
          <cell r="BO310">
            <v>38</v>
          </cell>
          <cell r="BP310">
            <v>0</v>
          </cell>
          <cell r="BQ310">
            <v>3.9473684210526314E-2</v>
          </cell>
          <cell r="BR310">
            <v>0.11</v>
          </cell>
          <cell r="BS310">
            <v>7.3333333333333334E-2</v>
          </cell>
          <cell r="BT310">
            <v>0.33</v>
          </cell>
          <cell r="BU310">
            <v>0.22</v>
          </cell>
          <cell r="BV310">
            <v>0.29333333333333333</v>
          </cell>
          <cell r="BW310">
            <v>0</v>
          </cell>
          <cell r="BX310">
            <v>38</v>
          </cell>
          <cell r="BY310">
            <v>1.4939473684210527</v>
          </cell>
          <cell r="BZ310">
            <v>1.1490526315789471</v>
          </cell>
        </row>
        <row r="311">
          <cell r="A311" t="str">
            <v>Carlos Alcaraz Durán</v>
          </cell>
          <cell r="B311" t="str">
            <v/>
          </cell>
          <cell r="C311" t="str">
            <v>Alcaraz</v>
          </cell>
          <cell r="D311" t="str">
            <v/>
          </cell>
          <cell r="E311" t="str">
            <v>Carlos Alcaraz</v>
          </cell>
          <cell r="F311" t="str">
            <v/>
          </cell>
          <cell r="H311" t="str">
            <v/>
          </cell>
          <cell r="I311">
            <v>2.8</v>
          </cell>
          <cell r="J311">
            <v>2.95</v>
          </cell>
          <cell r="K311">
            <v>3.1</v>
          </cell>
          <cell r="M311">
            <v>2.8558709376816247</v>
          </cell>
          <cell r="N311">
            <v>3.2032400589101622</v>
          </cell>
          <cell r="O311">
            <v>8.4060567010309253</v>
          </cell>
          <cell r="P311">
            <v>2.8558709376816247</v>
          </cell>
          <cell r="Q311">
            <v>3.2032400589101622</v>
          </cell>
          <cell r="R311">
            <v>18.75</v>
          </cell>
          <cell r="S311">
            <v>2.8558709376816247</v>
          </cell>
          <cell r="T311" t="str">
            <v>MID</v>
          </cell>
          <cell r="U311" t="str">
            <v>CM</v>
          </cell>
          <cell r="V311" t="str">
            <v>EVE</v>
          </cell>
          <cell r="W311" t="str">
            <v>Everton</v>
          </cell>
          <cell r="X311">
            <v>5</v>
          </cell>
          <cell r="Y311">
            <v>29</v>
          </cell>
          <cell r="Z311">
            <v>0</v>
          </cell>
          <cell r="AA311">
            <v>29</v>
          </cell>
          <cell r="AB311">
            <v>679</v>
          </cell>
          <cell r="AC311">
            <v>679</v>
          </cell>
          <cell r="AD311">
            <v>0.28999999999999998</v>
          </cell>
          <cell r="AE311">
            <v>0</v>
          </cell>
          <cell r="AF311">
            <v>1</v>
          </cell>
          <cell r="AG311">
            <v>-0.15508100147275403</v>
          </cell>
          <cell r="AH311">
            <v>6.0972017673048592E-2</v>
          </cell>
          <cell r="AI311">
            <v>-9.410898379970542E-2</v>
          </cell>
          <cell r="AJ311">
            <v>9.9999999999988987E-4</v>
          </cell>
          <cell r="AK311">
            <v>0</v>
          </cell>
          <cell r="AL311">
            <v>121</v>
          </cell>
          <cell r="AM311">
            <v>4</v>
          </cell>
          <cell r="AN311">
            <v>0</v>
          </cell>
          <cell r="AO311">
            <v>243</v>
          </cell>
          <cell r="AP311" t="str">
            <v>Alcaraz</v>
          </cell>
          <cell r="AQ311">
            <v>1.435935198821797</v>
          </cell>
          <cell r="AR311">
            <v>0</v>
          </cell>
          <cell r="AS311">
            <v>4.7496318114874816</v>
          </cell>
          <cell r="AT311">
            <v>7.7319587628865971</v>
          </cell>
          <cell r="AU311">
            <v>1.5463917525773196</v>
          </cell>
          <cell r="AV311">
            <v>7.7319587628865971</v>
          </cell>
          <cell r="AW311">
            <v>7.7319587628865971</v>
          </cell>
          <cell r="AX311">
            <v>0.105701030927835</v>
          </cell>
          <cell r="AY311">
            <v>0</v>
          </cell>
          <cell r="AZ311">
            <v>1.4</v>
          </cell>
          <cell r="BA311">
            <v>29</v>
          </cell>
          <cell r="BB311" t="str">
            <v/>
          </cell>
          <cell r="BC311">
            <v>6</v>
          </cell>
          <cell r="BD311">
            <v>0</v>
          </cell>
          <cell r="BE311">
            <v>0</v>
          </cell>
          <cell r="BF311">
            <v>75</v>
          </cell>
          <cell r="BG311">
            <v>0.83333333333333337</v>
          </cell>
          <cell r="BH311">
            <v>1</v>
          </cell>
          <cell r="BI311">
            <v>14</v>
          </cell>
          <cell r="BJ311">
            <v>17</v>
          </cell>
          <cell r="BK311">
            <v>8</v>
          </cell>
          <cell r="BL311">
            <v>0.21428571428571427</v>
          </cell>
          <cell r="BM311">
            <v>0.5</v>
          </cell>
          <cell r="BN311">
            <v>0.39238095238095239</v>
          </cell>
          <cell r="BO311">
            <v>38</v>
          </cell>
          <cell r="BP311">
            <v>0</v>
          </cell>
          <cell r="BQ311">
            <v>0.19853801169590643</v>
          </cell>
          <cell r="BR311">
            <v>1.17</v>
          </cell>
          <cell r="BS311">
            <v>0.15508100147275403</v>
          </cell>
          <cell r="BT311">
            <v>0.54</v>
          </cell>
          <cell r="BU311">
            <v>7.1575846833578802E-2</v>
          </cell>
          <cell r="BV311">
            <v>0.22665684830633281</v>
          </cell>
          <cell r="BW311">
            <v>0</v>
          </cell>
          <cell r="BX311">
            <v>38</v>
          </cell>
          <cell r="BY311">
            <v>1.5786842105263159</v>
          </cell>
          <cell r="BZ311">
            <v>1.0643157894736839</v>
          </cell>
        </row>
        <row r="312">
          <cell r="A312" t="str">
            <v>Omar Alderete</v>
          </cell>
          <cell r="B312" t="str">
            <v/>
          </cell>
          <cell r="C312" t="str">
            <v>Alderete</v>
          </cell>
          <cell r="D312" t="str">
            <v/>
          </cell>
          <cell r="F312" t="str">
            <v/>
          </cell>
          <cell r="H312" t="str">
            <v/>
          </cell>
          <cell r="I312" t="e">
            <v>#N/A</v>
          </cell>
          <cell r="J312" t="e">
            <v>#N/A</v>
          </cell>
          <cell r="K312" t="e">
            <v>#N/A</v>
          </cell>
          <cell r="M312">
            <v>2.8512831106393821</v>
          </cell>
          <cell r="N312">
            <v>3.105470146585628</v>
          </cell>
          <cell r="O312">
            <v>1.8307229608398021</v>
          </cell>
          <cell r="P312">
            <v>2.8512831106393821</v>
          </cell>
          <cell r="Q312">
            <v>3.105470146585628</v>
          </cell>
          <cell r="R312">
            <v>3.4011299435028253</v>
          </cell>
          <cell r="S312">
            <v>2.8512831106393821</v>
          </cell>
          <cell r="T312" t="str">
            <v>DEF</v>
          </cell>
          <cell r="U312" t="str">
            <v>CB</v>
          </cell>
          <cell r="V312" t="str">
            <v>SUN</v>
          </cell>
          <cell r="W312" t="str">
            <v>Sunderland</v>
          </cell>
          <cell r="X312">
            <v>5</v>
          </cell>
          <cell r="Y312">
            <v>125.00000000000001</v>
          </cell>
          <cell r="Z312">
            <v>24</v>
          </cell>
          <cell r="AA312">
            <v>101.00000000000001</v>
          </cell>
          <cell r="AB312">
            <v>2797</v>
          </cell>
          <cell r="AC312">
            <v>2797</v>
          </cell>
          <cell r="AD312">
            <v>0.75757575757575768</v>
          </cell>
          <cell r="AE312">
            <v>1</v>
          </cell>
          <cell r="AF312">
            <v>1</v>
          </cell>
          <cell r="AG312">
            <v>-1.9949946371111915E-2</v>
          </cell>
          <cell r="AH312">
            <v>2.8959599570968879E-3</v>
          </cell>
          <cell r="AI312">
            <v>-1.7053986414015024E-2</v>
          </cell>
          <cell r="AJ312">
            <v>1.4999999999999902E-2</v>
          </cell>
          <cell r="AK312">
            <v>5</v>
          </cell>
          <cell r="AL312">
            <v>400</v>
          </cell>
          <cell r="AM312">
            <v>6</v>
          </cell>
          <cell r="AN312">
            <v>0</v>
          </cell>
          <cell r="AO312">
            <v>535</v>
          </cell>
          <cell r="AP312" t="str">
            <v>Alderete</v>
          </cell>
          <cell r="AQ312">
            <v>8.6092241687522346</v>
          </cell>
          <cell r="AR312">
            <v>0</v>
          </cell>
          <cell r="AS312">
            <v>3.1669646049338582</v>
          </cell>
          <cell r="AT312">
            <v>9.5931355023239195</v>
          </cell>
          <cell r="AU312">
            <v>0.98391133357168381</v>
          </cell>
          <cell r="AV312">
            <v>9.5931355023239195</v>
          </cell>
          <cell r="AW312">
            <v>9.5931355023239195</v>
          </cell>
          <cell r="AX312">
            <v>0.48525223453700406</v>
          </cell>
          <cell r="AY312">
            <v>0</v>
          </cell>
          <cell r="AZ312">
            <v>3.8</v>
          </cell>
          <cell r="BA312">
            <v>125.00000000000001</v>
          </cell>
          <cell r="BB312" t="str">
            <v/>
          </cell>
          <cell r="BC312">
            <v>32</v>
          </cell>
          <cell r="BD312">
            <v>27</v>
          </cell>
          <cell r="BE312">
            <v>0.84375</v>
          </cell>
          <cell r="BF312">
            <v>86</v>
          </cell>
          <cell r="BG312">
            <v>0.9555555555555556</v>
          </cell>
          <cell r="BH312">
            <v>1</v>
          </cell>
          <cell r="BI312">
            <v>1</v>
          </cell>
          <cell r="BJ312">
            <v>38</v>
          </cell>
          <cell r="BK312">
            <v>2</v>
          </cell>
          <cell r="BL312">
            <v>0.91428571428571426</v>
          </cell>
          <cell r="BM312">
            <v>2.8571428571428581E-2</v>
          </cell>
          <cell r="BN312">
            <v>0.95215946843853805</v>
          </cell>
          <cell r="BO312">
            <v>38</v>
          </cell>
          <cell r="BP312">
            <v>0</v>
          </cell>
          <cell r="BQ312">
            <v>0.81783625730994147</v>
          </cell>
          <cell r="BR312">
            <v>1.62</v>
          </cell>
          <cell r="BS312">
            <v>5.2127279227744017E-2</v>
          </cell>
          <cell r="BT312">
            <v>0.91</v>
          </cell>
          <cell r="BU312">
            <v>2.9281372899535214E-2</v>
          </cell>
          <cell r="BV312">
            <v>8.1408652127279227E-2</v>
          </cell>
          <cell r="BW312">
            <v>0</v>
          </cell>
          <cell r="BX312">
            <v>38</v>
          </cell>
          <cell r="BY312">
            <v>1.5878947368421052</v>
          </cell>
          <cell r="BZ312">
            <v>1.0551052631578945</v>
          </cell>
        </row>
        <row r="313">
          <cell r="A313" t="str">
            <v>Romain Esse</v>
          </cell>
          <cell r="B313" t="str">
            <v/>
          </cell>
          <cell r="C313" t="str">
            <v>Esse</v>
          </cell>
          <cell r="D313" t="str">
            <v/>
          </cell>
          <cell r="F313" t="str">
            <v/>
          </cell>
          <cell r="H313" t="str">
            <v/>
          </cell>
          <cell r="I313">
            <v>3.1</v>
          </cell>
          <cell r="J313">
            <v>3.1</v>
          </cell>
          <cell r="K313">
            <v>3.1</v>
          </cell>
          <cell r="M313">
            <v>2.8504709538351216</v>
          </cell>
          <cell r="N313">
            <v>0</v>
          </cell>
          <cell r="O313">
            <v>2.27</v>
          </cell>
          <cell r="P313">
            <v>2.8388691224172704</v>
          </cell>
          <cell r="Q313">
            <v>8.1</v>
          </cell>
          <cell r="R313">
            <v>0</v>
          </cell>
          <cell r="S313">
            <v>2.8504709538351216</v>
          </cell>
          <cell r="T313" t="str">
            <v>MID</v>
          </cell>
          <cell r="U313" t="str">
            <v>RW</v>
          </cell>
          <cell r="V313" t="str">
            <v>CRY</v>
          </cell>
          <cell r="W313" t="str">
            <v>Crystal Palace</v>
          </cell>
          <cell r="X313">
            <v>5</v>
          </cell>
          <cell r="Y313">
            <v>4</v>
          </cell>
          <cell r="Z313">
            <v>0</v>
          </cell>
          <cell r="AA313">
            <v>4</v>
          </cell>
          <cell r="AB313">
            <v>40</v>
          </cell>
          <cell r="AC313">
            <v>40</v>
          </cell>
          <cell r="AD313">
            <v>0.2</v>
          </cell>
          <cell r="AE313">
            <v>0</v>
          </cell>
          <cell r="AF313">
            <v>0</v>
          </cell>
          <cell r="AG313">
            <v>0</v>
          </cell>
          <cell r="AH313">
            <v>-0.09</v>
          </cell>
          <cell r="AI313">
            <v>-0.09</v>
          </cell>
          <cell r="AJ313">
            <v>9.9999999999988987E-4</v>
          </cell>
          <cell r="AK313">
            <v>0</v>
          </cell>
          <cell r="AL313">
            <v>12</v>
          </cell>
          <cell r="AM313">
            <v>0</v>
          </cell>
          <cell r="AN313">
            <v>0</v>
          </cell>
          <cell r="AO313">
            <v>216</v>
          </cell>
          <cell r="AP313" t="str">
            <v>Esse</v>
          </cell>
          <cell r="AQ313">
            <v>0</v>
          </cell>
          <cell r="AR313">
            <v>0</v>
          </cell>
          <cell r="AS313">
            <v>4.05</v>
          </cell>
          <cell r="AT313">
            <v>10.125</v>
          </cell>
          <cell r="AU313">
            <v>6.0750000000000002</v>
          </cell>
          <cell r="AV313">
            <v>10.125</v>
          </cell>
          <cell r="AW313">
            <v>10.125</v>
          </cell>
          <cell r="AX313">
            <v>0.323000000063</v>
          </cell>
          <cell r="AY313">
            <v>0</v>
          </cell>
          <cell r="AZ313">
            <v>1</v>
          </cell>
          <cell r="BA313">
            <v>4</v>
          </cell>
          <cell r="BB313" t="str">
            <v/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0.9</v>
          </cell>
          <cell r="BH313">
            <v>1</v>
          </cell>
          <cell r="BI313">
            <v>4</v>
          </cell>
          <cell r="BJ313">
            <v>11</v>
          </cell>
          <cell r="BK313">
            <v>11</v>
          </cell>
          <cell r="BL313">
            <v>0</v>
          </cell>
          <cell r="BM313">
            <v>0.26666666666666672</v>
          </cell>
          <cell r="BN313" t="e">
            <v>#DIV/0!</v>
          </cell>
          <cell r="BO313">
            <v>38</v>
          </cell>
          <cell r="BP313">
            <v>0</v>
          </cell>
          <cell r="BQ313">
            <v>1.1695906432748537E-2</v>
          </cell>
          <cell r="BR313">
            <v>0</v>
          </cell>
          <cell r="BS313">
            <v>0</v>
          </cell>
          <cell r="BT313">
            <v>0.04</v>
          </cell>
          <cell r="BU313">
            <v>0.09</v>
          </cell>
          <cell r="BV313">
            <v>0.09</v>
          </cell>
          <cell r="BW313">
            <v>0</v>
          </cell>
          <cell r="BX313">
            <v>38</v>
          </cell>
          <cell r="BY313">
            <v>1.631578947368421</v>
          </cell>
          <cell r="BZ313">
            <v>1.0114210526315788</v>
          </cell>
        </row>
        <row r="314">
          <cell r="A314" t="str">
            <v>Victor Lindelöf</v>
          </cell>
          <cell r="B314" t="str">
            <v/>
          </cell>
          <cell r="C314" t="str">
            <v>Lindelöf</v>
          </cell>
          <cell r="D314" t="str">
            <v/>
          </cell>
          <cell r="F314" t="str">
            <v/>
          </cell>
          <cell r="H314" t="str">
            <v/>
          </cell>
          <cell r="I314" t="e">
            <v>#N/A</v>
          </cell>
          <cell r="J314" t="e">
            <v>#N/A</v>
          </cell>
          <cell r="K314" t="e">
            <v>#N/A</v>
          </cell>
          <cell r="M314">
            <v>2.8489989045812569</v>
          </cell>
          <cell r="N314">
            <v>2.5552016985138004</v>
          </cell>
          <cell r="O314">
            <v>1.6924880042462846</v>
          </cell>
          <cell r="P314">
            <v>2.8489989045812569</v>
          </cell>
          <cell r="Q314">
            <v>2.5552016985138004</v>
          </cell>
          <cell r="R314">
            <v>1.482142857142857</v>
          </cell>
          <cell r="S314">
            <v>2.8489989045812569</v>
          </cell>
          <cell r="T314" t="str">
            <v>DEF</v>
          </cell>
          <cell r="U314" t="str">
            <v>CB</v>
          </cell>
          <cell r="V314" t="str">
            <v>AVL</v>
          </cell>
          <cell r="W314" t="str">
            <v>Aston Villa</v>
          </cell>
          <cell r="X314">
            <v>4.5</v>
          </cell>
          <cell r="Y314">
            <v>29</v>
          </cell>
          <cell r="Z314">
            <v>0</v>
          </cell>
          <cell r="AA314">
            <v>29</v>
          </cell>
          <cell r="AB314">
            <v>942</v>
          </cell>
          <cell r="AC314">
            <v>942</v>
          </cell>
          <cell r="AD314">
            <v>0.37908496732026142</v>
          </cell>
          <cell r="AE314">
            <v>0</v>
          </cell>
          <cell r="AF314">
            <v>1</v>
          </cell>
          <cell r="AG314">
            <v>-2.6751592356687903E-2</v>
          </cell>
          <cell r="AH314">
            <v>8.598726114649681E-2</v>
          </cell>
          <cell r="AI314">
            <v>5.9235668789808904E-2</v>
          </cell>
          <cell r="AJ314">
            <v>2.0000000000000018E-3</v>
          </cell>
          <cell r="AK314">
            <v>0</v>
          </cell>
          <cell r="AL314">
            <v>124</v>
          </cell>
          <cell r="AM314">
            <v>0</v>
          </cell>
          <cell r="AN314">
            <v>0</v>
          </cell>
          <cell r="AO314">
            <v>37</v>
          </cell>
          <cell r="AP314" t="str">
            <v>Lindelöf</v>
          </cell>
          <cell r="AQ314">
            <v>4.1411889596602975</v>
          </cell>
          <cell r="AR314">
            <v>0</v>
          </cell>
          <cell r="AS314">
            <v>1.6740976645435244</v>
          </cell>
          <cell r="AT314">
            <v>4.7579617834394909</v>
          </cell>
          <cell r="AU314">
            <v>0.61677282377919318</v>
          </cell>
          <cell r="AV314">
            <v>4.7579617834394909</v>
          </cell>
          <cell r="AW314">
            <v>4.7579617834394909</v>
          </cell>
          <cell r="AX314">
            <v>3.0450955414012743E-2</v>
          </cell>
          <cell r="AY314">
            <v>0</v>
          </cell>
          <cell r="AZ314">
            <v>1.7</v>
          </cell>
          <cell r="BA314">
            <v>29</v>
          </cell>
          <cell r="BB314" t="str">
            <v/>
          </cell>
          <cell r="BC314">
            <v>11</v>
          </cell>
          <cell r="BD314">
            <v>8</v>
          </cell>
          <cell r="BE314">
            <v>0.72727272727272729</v>
          </cell>
          <cell r="BF314">
            <v>83</v>
          </cell>
          <cell r="BG314">
            <v>0.92222222222222228</v>
          </cell>
          <cell r="BH314">
            <v>1</v>
          </cell>
          <cell r="BI314">
            <v>6</v>
          </cell>
          <cell r="BJ314">
            <v>6</v>
          </cell>
          <cell r="BK314">
            <v>17</v>
          </cell>
          <cell r="BL314">
            <v>0.3235294117647059</v>
          </cell>
          <cell r="BM314">
            <v>0.17647058823529416</v>
          </cell>
          <cell r="BN314">
            <v>0.37243090007087176</v>
          </cell>
          <cell r="BO314">
            <v>38</v>
          </cell>
          <cell r="BP314">
            <v>0</v>
          </cell>
          <cell r="BQ314">
            <v>0.27543859649122809</v>
          </cell>
          <cell r="BR314">
            <v>0.28000000000000003</v>
          </cell>
          <cell r="BS314">
            <v>2.6751592356687903E-2</v>
          </cell>
          <cell r="BT314">
            <v>0.1</v>
          </cell>
          <cell r="BU314">
            <v>9.5541401273885346E-3</v>
          </cell>
          <cell r="BV314">
            <v>3.6305732484076439E-2</v>
          </cell>
          <cell r="BW314">
            <v>0</v>
          </cell>
          <cell r="BX314">
            <v>38</v>
          </cell>
          <cell r="BY314">
            <v>1.4915789473684211</v>
          </cell>
          <cell r="BZ314">
            <v>1.1514210526315787</v>
          </cell>
        </row>
        <row r="315">
          <cell r="A315" t="str">
            <v>Kobbie Mainoo</v>
          </cell>
          <cell r="B315" t="str">
            <v/>
          </cell>
          <cell r="C315" t="str">
            <v>Mainoo</v>
          </cell>
          <cell r="D315" t="str">
            <v/>
          </cell>
          <cell r="F315" t="str">
            <v/>
          </cell>
          <cell r="H315" t="str">
            <v/>
          </cell>
          <cell r="I315">
            <v>1</v>
          </cell>
          <cell r="J315">
            <v>1.9666666666666668</v>
          </cell>
          <cell r="K315">
            <v>3.2</v>
          </cell>
          <cell r="M315">
            <v>2.846690695113705</v>
          </cell>
          <cell r="N315">
            <v>3.2843315184513009</v>
          </cell>
          <cell r="O315">
            <v>2.6342369832627544</v>
          </cell>
          <cell r="P315">
            <v>2.846690695113705</v>
          </cell>
          <cell r="Q315">
            <v>3.2843315184513009</v>
          </cell>
          <cell r="R315">
            <v>4.6148148148148156</v>
          </cell>
          <cell r="S315">
            <v>2.846690695113705</v>
          </cell>
          <cell r="T315" t="str">
            <v>MID</v>
          </cell>
          <cell r="U315" t="str">
            <v>CM</v>
          </cell>
          <cell r="V315" t="str">
            <v>MUN</v>
          </cell>
          <cell r="W315" t="str">
            <v>Man Utd</v>
          </cell>
          <cell r="X315">
            <v>5.5</v>
          </cell>
          <cell r="Y315">
            <v>73</v>
          </cell>
          <cell r="Z315">
            <v>12</v>
          </cell>
          <cell r="AA315">
            <v>61</v>
          </cell>
          <cell r="AB315">
            <v>1653</v>
          </cell>
          <cell r="AC315">
            <v>1653</v>
          </cell>
          <cell r="AD315">
            <v>0.47402597402597402</v>
          </cell>
          <cell r="AE315">
            <v>1</v>
          </cell>
          <cell r="AF315">
            <v>2</v>
          </cell>
          <cell r="AG315">
            <v>2.8312159709618884E-2</v>
          </cell>
          <cell r="AH315">
            <v>3.9745916515426513E-2</v>
          </cell>
          <cell r="AI315">
            <v>6.8058076225045366E-2</v>
          </cell>
          <cell r="AJ315">
            <v>1.2999999999999901E-2</v>
          </cell>
          <cell r="AK315">
            <v>2</v>
          </cell>
          <cell r="AL315">
            <v>340</v>
          </cell>
          <cell r="AM315">
            <v>2</v>
          </cell>
          <cell r="AN315">
            <v>0</v>
          </cell>
          <cell r="AO315">
            <v>432</v>
          </cell>
          <cell r="AP315" t="str">
            <v>Mainoo</v>
          </cell>
          <cell r="AQ315">
            <v>3.0151240169388989</v>
          </cell>
          <cell r="AR315">
            <v>0</v>
          </cell>
          <cell r="AS315">
            <v>5.1149425287356323</v>
          </cell>
          <cell r="AT315">
            <v>10.068360556563825</v>
          </cell>
          <cell r="AU315">
            <v>1.9382940108892923</v>
          </cell>
          <cell r="AV315">
            <v>10.068360556563825</v>
          </cell>
          <cell r="AW315">
            <v>10.068360556563825</v>
          </cell>
          <cell r="AX315">
            <v>0.31665638239497651</v>
          </cell>
          <cell r="AY315">
            <v>0</v>
          </cell>
          <cell r="AZ315">
            <v>2.6</v>
          </cell>
          <cell r="BA315">
            <v>73</v>
          </cell>
          <cell r="BB315" t="str">
            <v/>
          </cell>
          <cell r="BC315">
            <v>16</v>
          </cell>
          <cell r="BD315">
            <v>14</v>
          </cell>
          <cell r="BE315">
            <v>0.875</v>
          </cell>
          <cell r="BF315">
            <v>89</v>
          </cell>
          <cell r="BG315">
            <v>0.98888888888888893</v>
          </cell>
          <cell r="BH315">
            <v>1</v>
          </cell>
          <cell r="BI315">
            <v>12</v>
          </cell>
          <cell r="BJ315">
            <v>20</v>
          </cell>
          <cell r="BK315">
            <v>4</v>
          </cell>
          <cell r="BL315">
            <v>0.5</v>
          </cell>
          <cell r="BM315">
            <v>0.375</v>
          </cell>
          <cell r="BN315">
            <v>0.61235955056179781</v>
          </cell>
          <cell r="BO315">
            <v>38</v>
          </cell>
          <cell r="BP315">
            <v>0</v>
          </cell>
          <cell r="BQ315">
            <v>0.48333333333333334</v>
          </cell>
          <cell r="BR315">
            <v>0.48</v>
          </cell>
          <cell r="BS315">
            <v>2.613430127041742E-2</v>
          </cell>
          <cell r="BT315">
            <v>1.27</v>
          </cell>
          <cell r="BU315">
            <v>6.9147005444646095E-2</v>
          </cell>
          <cell r="BV315">
            <v>9.5281306715063518E-2</v>
          </cell>
          <cell r="BW315">
            <v>0</v>
          </cell>
          <cell r="BX315">
            <v>38</v>
          </cell>
          <cell r="BY315">
            <v>1.3231578947368421</v>
          </cell>
          <cell r="BZ315">
            <v>1.3198421052631577</v>
          </cell>
        </row>
        <row r="316">
          <cell r="A316" t="str">
            <v>Jonah Kusi-Asare</v>
          </cell>
          <cell r="B316" t="str">
            <v/>
          </cell>
          <cell r="C316" t="str">
            <v>Kusi-Asare</v>
          </cell>
          <cell r="D316" t="str">
            <v/>
          </cell>
          <cell r="F316" t="str">
            <v/>
          </cell>
          <cell r="H316" t="str">
            <v/>
          </cell>
          <cell r="I316" t="e">
            <v>#N/A</v>
          </cell>
          <cell r="J316" t="e">
            <v>#N/A</v>
          </cell>
          <cell r="K316" t="e">
            <v>#N/A</v>
          </cell>
          <cell r="M316">
            <v>2.8349795918367349</v>
          </cell>
          <cell r="N316">
            <v>0</v>
          </cell>
          <cell r="O316">
            <v>0.6959183673469389</v>
          </cell>
          <cell r="P316">
            <v>1.1819183673469391</v>
          </cell>
          <cell r="Q316">
            <v>9.9183673469387745</v>
          </cell>
          <cell r="R316">
            <v>8.5263157894736832</v>
          </cell>
          <cell r="S316">
            <v>2.8349795918367349</v>
          </cell>
          <cell r="T316" t="str">
            <v>FWD</v>
          </cell>
          <cell r="U316" t="str">
            <v>CF</v>
          </cell>
          <cell r="V316" t="str">
            <v>FUL</v>
          </cell>
          <cell r="W316" t="str">
            <v>Fulham</v>
          </cell>
          <cell r="X316">
            <v>4.5</v>
          </cell>
          <cell r="Y316">
            <v>6</v>
          </cell>
          <cell r="Z316">
            <v>0</v>
          </cell>
          <cell r="AA316">
            <v>6</v>
          </cell>
          <cell r="AB316">
            <v>49</v>
          </cell>
          <cell r="AC316">
            <v>49</v>
          </cell>
          <cell r="AD316">
            <v>0.19047619047619047</v>
          </cell>
          <cell r="AE316">
            <v>0</v>
          </cell>
          <cell r="AF316">
            <v>0</v>
          </cell>
          <cell r="AG316">
            <v>0</v>
          </cell>
          <cell r="AH316">
            <v>-0.12857142857142859</v>
          </cell>
          <cell r="AI316">
            <v>-0.12857142857142859</v>
          </cell>
          <cell r="AJ316">
            <v>7.8999999999999959E-2</v>
          </cell>
          <cell r="AK316">
            <v>0</v>
          </cell>
          <cell r="AL316">
            <v>19</v>
          </cell>
          <cell r="AM316">
            <v>1</v>
          </cell>
          <cell r="AN316">
            <v>0</v>
          </cell>
          <cell r="AO316">
            <v>272</v>
          </cell>
          <cell r="AP316" t="str">
            <v>Kusi-Asare</v>
          </cell>
          <cell r="AQ316">
            <v>0</v>
          </cell>
          <cell r="AR316">
            <v>0</v>
          </cell>
          <cell r="AS316">
            <v>6.612244897959183</v>
          </cell>
          <cell r="AT316">
            <v>8.2653061224489814</v>
          </cell>
          <cell r="AU316">
            <v>1.6530612244897958</v>
          </cell>
          <cell r="AV316">
            <v>8.2653061224489814</v>
          </cell>
          <cell r="AW316">
            <v>8.2653061224489814</v>
          </cell>
          <cell r="AX316">
            <v>0.14410204081632666</v>
          </cell>
          <cell r="AY316">
            <v>0</v>
          </cell>
          <cell r="AZ316">
            <v>0.9</v>
          </cell>
          <cell r="BA316">
            <v>6</v>
          </cell>
          <cell r="BB316" t="str">
            <v/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0.9</v>
          </cell>
          <cell r="BH316">
            <v>1</v>
          </cell>
          <cell r="BI316">
            <v>7</v>
          </cell>
          <cell r="BJ316">
            <v>8</v>
          </cell>
          <cell r="BK316">
            <v>11</v>
          </cell>
          <cell r="BL316">
            <v>0</v>
          </cell>
          <cell r="BM316">
            <v>0.38888888888888884</v>
          </cell>
          <cell r="BN316" t="e">
            <v>#DIV/0!</v>
          </cell>
          <cell r="BO316">
            <v>38</v>
          </cell>
          <cell r="BP316">
            <v>0</v>
          </cell>
          <cell r="BQ316">
            <v>1.432748538011696E-2</v>
          </cell>
          <cell r="BR316">
            <v>0</v>
          </cell>
          <cell r="BS316">
            <v>0</v>
          </cell>
          <cell r="BT316">
            <v>7.0000000000000007E-2</v>
          </cell>
          <cell r="BU316">
            <v>0.12857142857142859</v>
          </cell>
          <cell r="BV316">
            <v>0.12857142857142859</v>
          </cell>
          <cell r="BW316">
            <v>0</v>
          </cell>
          <cell r="BX316">
            <v>38</v>
          </cell>
          <cell r="BY316">
            <v>1.6842105263157894</v>
          </cell>
          <cell r="BZ316">
            <v>0.95878947368421041</v>
          </cell>
        </row>
        <row r="317">
          <cell r="A317" t="str">
            <v>Lucas Bergvall</v>
          </cell>
          <cell r="B317" t="str">
            <v/>
          </cell>
          <cell r="C317" t="str">
            <v>Bergvall</v>
          </cell>
          <cell r="D317" t="str">
            <v/>
          </cell>
          <cell r="F317" t="str">
            <v/>
          </cell>
          <cell r="H317" t="str">
            <v/>
          </cell>
          <cell r="I317">
            <v>1.6</v>
          </cell>
          <cell r="J317">
            <v>1.6</v>
          </cell>
          <cell r="K317">
            <v>1.6</v>
          </cell>
          <cell r="M317">
            <v>2.8320378382803097</v>
          </cell>
          <cell r="N317">
            <v>3.2481675392670155</v>
          </cell>
          <cell r="O317">
            <v>2.338922081921774</v>
          </cell>
          <cell r="P317">
            <v>2.8320378382803097</v>
          </cell>
          <cell r="Q317">
            <v>3.2481675392670155</v>
          </cell>
          <cell r="R317">
            <v>9.0588235294117645</v>
          </cell>
          <cell r="S317">
            <v>2.8320378382803097</v>
          </cell>
          <cell r="T317" t="str">
            <v>MID</v>
          </cell>
          <cell r="U317" t="str">
            <v>CM</v>
          </cell>
          <cell r="V317" t="str">
            <v>TOT</v>
          </cell>
          <cell r="W317" t="str">
            <v>Spurs</v>
          </cell>
          <cell r="X317">
            <v>5.5</v>
          </cell>
          <cell r="Y317">
            <v>49</v>
          </cell>
          <cell r="Z317">
            <v>2</v>
          </cell>
          <cell r="AA317">
            <v>47</v>
          </cell>
          <cell r="AB317">
            <v>955</v>
          </cell>
          <cell r="AC317">
            <v>955</v>
          </cell>
          <cell r="AD317">
            <v>0.38735177865612652</v>
          </cell>
          <cell r="AE317">
            <v>1</v>
          </cell>
          <cell r="AF317">
            <v>3</v>
          </cell>
          <cell r="AG317">
            <v>-2.1675392670157043E-2</v>
          </cell>
          <cell r="AH317">
            <v>0.24219895287958118</v>
          </cell>
          <cell r="AI317">
            <v>0.22052356020942415</v>
          </cell>
          <cell r="AJ317">
            <v>2.0000000000000018E-3</v>
          </cell>
          <cell r="AK317">
            <v>0</v>
          </cell>
          <cell r="AL317">
            <v>163</v>
          </cell>
          <cell r="AM317">
            <v>2</v>
          </cell>
          <cell r="AN317">
            <v>0</v>
          </cell>
          <cell r="AO317">
            <v>520</v>
          </cell>
          <cell r="AP317" t="str">
            <v>Bergvall</v>
          </cell>
          <cell r="AQ317">
            <v>1.243979057591623</v>
          </cell>
          <cell r="AR317">
            <v>0</v>
          </cell>
          <cell r="AS317">
            <v>2.6952879581151832</v>
          </cell>
          <cell r="AT317">
            <v>5.4596858638743448</v>
          </cell>
          <cell r="AU317">
            <v>1.5204188481675389</v>
          </cell>
          <cell r="AV317">
            <v>5.4596858638743448</v>
          </cell>
          <cell r="AW317">
            <v>5.4596858638743448</v>
          </cell>
          <cell r="AX317">
            <v>4.1337621540762898E-2</v>
          </cell>
          <cell r="AY317">
            <v>0</v>
          </cell>
          <cell r="AZ317">
            <v>2.1</v>
          </cell>
          <cell r="BA317">
            <v>49</v>
          </cell>
          <cell r="BB317" t="str">
            <v/>
          </cell>
          <cell r="BC317">
            <v>11</v>
          </cell>
          <cell r="BD317">
            <v>0</v>
          </cell>
          <cell r="BE317">
            <v>0</v>
          </cell>
          <cell r="BF317">
            <v>66</v>
          </cell>
          <cell r="BG317">
            <v>0.73333333333333328</v>
          </cell>
          <cell r="BH317">
            <v>1</v>
          </cell>
          <cell r="BI317">
            <v>12</v>
          </cell>
          <cell r="BJ317">
            <v>20</v>
          </cell>
          <cell r="BK317">
            <v>5</v>
          </cell>
          <cell r="BL317">
            <v>0.39285714285714285</v>
          </cell>
          <cell r="BM317">
            <v>0.4285714285714286</v>
          </cell>
          <cell r="BN317">
            <v>0.57683982683982682</v>
          </cell>
          <cell r="BO317">
            <v>38</v>
          </cell>
          <cell r="BP317">
            <v>0</v>
          </cell>
          <cell r="BQ317">
            <v>0.27923976608187134</v>
          </cell>
          <cell r="BR317">
            <v>1.23</v>
          </cell>
          <cell r="BS317">
            <v>0.11591623036649214</v>
          </cell>
          <cell r="BT317">
            <v>0.43</v>
          </cell>
          <cell r="BU317">
            <v>4.0523560209424082E-2</v>
          </cell>
          <cell r="BV317">
            <v>0.15643979057591623</v>
          </cell>
          <cell r="BW317">
            <v>0</v>
          </cell>
          <cell r="BX317">
            <v>38</v>
          </cell>
          <cell r="BY317">
            <v>1.4628947368421052</v>
          </cell>
          <cell r="BZ317">
            <v>1.1801052631578945</v>
          </cell>
        </row>
        <row r="318">
          <cell r="A318" t="str">
            <v>Aaron Hickey</v>
          </cell>
          <cell r="B318" t="str">
            <v/>
          </cell>
          <cell r="C318" t="str">
            <v>Hickey</v>
          </cell>
          <cell r="D318" t="str">
            <v/>
          </cell>
          <cell r="F318" t="str">
            <v/>
          </cell>
          <cell r="H318" t="str">
            <v/>
          </cell>
          <cell r="I318">
            <v>0</v>
          </cell>
          <cell r="J318">
            <v>1.4333333333333333</v>
          </cell>
          <cell r="K318">
            <v>2.4</v>
          </cell>
          <cell r="M318">
            <v>2.830613312317567</v>
          </cell>
          <cell r="N318">
            <v>3.5051546391752573</v>
          </cell>
          <cell r="O318">
            <v>1.4200353083342774</v>
          </cell>
          <cell r="P318">
            <v>2.830613312317567</v>
          </cell>
          <cell r="Q318">
            <v>3.5051546391752573</v>
          </cell>
          <cell r="R318">
            <v>2.9890109890109891</v>
          </cell>
          <cell r="S318">
            <v>2.830613312317567</v>
          </cell>
          <cell r="T318" t="str">
            <v>DEF</v>
          </cell>
          <cell r="U318" t="str">
            <v>RB</v>
          </cell>
          <cell r="V318" t="str">
            <v>BRE</v>
          </cell>
          <cell r="W318" t="str">
            <v>Brentford</v>
          </cell>
          <cell r="X318">
            <v>4.5</v>
          </cell>
          <cell r="Y318">
            <v>37</v>
          </cell>
          <cell r="Z318">
            <v>2</v>
          </cell>
          <cell r="AA318">
            <v>35</v>
          </cell>
          <cell r="AB318">
            <v>679</v>
          </cell>
          <cell r="AC318">
            <v>679</v>
          </cell>
          <cell r="AD318">
            <v>0.39153439153439151</v>
          </cell>
          <cell r="AE318">
            <v>0</v>
          </cell>
          <cell r="AF318">
            <v>0</v>
          </cell>
          <cell r="AG318">
            <v>-5.8321060382916054E-2</v>
          </cell>
          <cell r="AH318">
            <v>-2.2533136966126657E-2</v>
          </cell>
          <cell r="AI318">
            <v>-8.0854197349042714E-2</v>
          </cell>
          <cell r="AJ318">
            <v>9.9999999999988987E-4</v>
          </cell>
          <cell r="AK318">
            <v>0</v>
          </cell>
          <cell r="AL318">
            <v>105</v>
          </cell>
          <cell r="AM318">
            <v>1</v>
          </cell>
          <cell r="AN318">
            <v>0</v>
          </cell>
          <cell r="AO318">
            <v>90</v>
          </cell>
          <cell r="AP318" t="str">
            <v>Hickey</v>
          </cell>
          <cell r="AQ318">
            <v>3.6053019145802647</v>
          </cell>
          <cell r="AR318">
            <v>0</v>
          </cell>
          <cell r="AS318">
            <v>3.5051546391752573</v>
          </cell>
          <cell r="AT318">
            <v>5.1075110456553752</v>
          </cell>
          <cell r="AU318">
            <v>1.5022091310751104</v>
          </cell>
          <cell r="AV318">
            <v>5.1075110456553752</v>
          </cell>
          <cell r="AW318">
            <v>5.1075110456553752</v>
          </cell>
          <cell r="AX318">
            <v>3.9418262150220887E-2</v>
          </cell>
          <cell r="AY318">
            <v>0</v>
          </cell>
          <cell r="AZ318">
            <v>1.8</v>
          </cell>
          <cell r="BA318">
            <v>37</v>
          </cell>
          <cell r="BB318" t="str">
            <v/>
          </cell>
          <cell r="BC318">
            <v>8</v>
          </cell>
          <cell r="BD318">
            <v>1</v>
          </cell>
          <cell r="BE318">
            <v>0.125</v>
          </cell>
          <cell r="BF318">
            <v>68</v>
          </cell>
          <cell r="BG318">
            <v>0.75555555555555554</v>
          </cell>
          <cell r="BH318">
            <v>1</v>
          </cell>
          <cell r="BI318">
            <v>13</v>
          </cell>
          <cell r="BJ318">
            <v>11</v>
          </cell>
          <cell r="BK318">
            <v>8</v>
          </cell>
          <cell r="BL318">
            <v>0.27586206896551724</v>
          </cell>
          <cell r="BM318">
            <v>0.44827586206896552</v>
          </cell>
          <cell r="BN318">
            <v>0.39300202839756587</v>
          </cell>
          <cell r="BO318">
            <v>38</v>
          </cell>
          <cell r="BP318">
            <v>0</v>
          </cell>
          <cell r="BQ318">
            <v>0.19853801169590643</v>
          </cell>
          <cell r="BR318">
            <v>0.44</v>
          </cell>
          <cell r="BS318">
            <v>5.8321060382916054E-2</v>
          </cell>
          <cell r="BT318">
            <v>0.17</v>
          </cell>
          <cell r="BU318">
            <v>2.2533136966126657E-2</v>
          </cell>
          <cell r="BV318">
            <v>8.0854197349042714E-2</v>
          </cell>
          <cell r="BW318">
            <v>0</v>
          </cell>
          <cell r="BX318">
            <v>38</v>
          </cell>
          <cell r="BY318">
            <v>1.5555263157894736</v>
          </cell>
          <cell r="BZ318">
            <v>1.0874736842105261</v>
          </cell>
        </row>
        <row r="319">
          <cell r="A319" t="str">
            <v>Levi Samuels Colwill</v>
          </cell>
          <cell r="B319" t="str">
            <v/>
          </cell>
          <cell r="C319" t="str">
            <v>Colwill</v>
          </cell>
          <cell r="D319" t="str">
            <v/>
          </cell>
          <cell r="E319" t="str">
            <v>Levi Colwill</v>
          </cell>
          <cell r="F319" t="str">
            <v/>
          </cell>
          <cell r="H319" t="str">
            <v/>
          </cell>
          <cell r="I319">
            <v>2.7</v>
          </cell>
          <cell r="J319">
            <v>2.8666666666666667</v>
          </cell>
          <cell r="K319">
            <v>3.1</v>
          </cell>
          <cell r="M319">
            <v>2.8138783263356375</v>
          </cell>
          <cell r="N319">
            <v>0</v>
          </cell>
          <cell r="O319">
            <v>1.7074333333333338</v>
          </cell>
          <cell r="P319">
            <v>2.9291826789888304</v>
          </cell>
          <cell r="Q319">
            <v>1.6</v>
          </cell>
          <cell r="R319">
            <v>3.2</v>
          </cell>
          <cell r="S319">
            <v>2.8138783263356375</v>
          </cell>
          <cell r="T319" t="str">
            <v>DEF</v>
          </cell>
          <cell r="U319" t="str">
            <v>CB</v>
          </cell>
          <cell r="V319" t="str">
            <v>CHE</v>
          </cell>
          <cell r="W319" t="str">
            <v>Chelsea</v>
          </cell>
          <cell r="X319">
            <v>5</v>
          </cell>
          <cell r="Y319">
            <v>8</v>
          </cell>
          <cell r="Z319">
            <v>4</v>
          </cell>
          <cell r="AA319">
            <v>4</v>
          </cell>
          <cell r="AB319">
            <v>225</v>
          </cell>
          <cell r="AC319">
            <v>225</v>
          </cell>
          <cell r="AD319">
            <v>0.53333333333333333</v>
          </cell>
          <cell r="AE319">
            <v>0</v>
          </cell>
          <cell r="AF319">
            <v>0</v>
          </cell>
          <cell r="AG319">
            <v>0</v>
          </cell>
          <cell r="AH319">
            <v>-4.8000000000000001E-2</v>
          </cell>
          <cell r="AI319">
            <v>-4.8000000000000001E-2</v>
          </cell>
          <cell r="AJ319">
            <v>2.200000000000002E-2</v>
          </cell>
          <cell r="AK319">
            <v>0</v>
          </cell>
          <cell r="AL319">
            <v>30</v>
          </cell>
          <cell r="AM319">
            <v>0</v>
          </cell>
          <cell r="AN319">
            <v>0</v>
          </cell>
          <cell r="AO319">
            <v>149</v>
          </cell>
          <cell r="AP319" t="str">
            <v>Colwill</v>
          </cell>
          <cell r="AQ319">
            <v>8.8000000000000007</v>
          </cell>
          <cell r="AR319">
            <v>0</v>
          </cell>
          <cell r="AS319">
            <v>3.6</v>
          </cell>
          <cell r="AT319">
            <v>10</v>
          </cell>
          <cell r="AU319">
            <v>1.2000000000000002</v>
          </cell>
          <cell r="AV319">
            <v>10</v>
          </cell>
          <cell r="AW319">
            <v>10</v>
          </cell>
          <cell r="AX319">
            <v>0.53549999999999998</v>
          </cell>
          <cell r="AY319">
            <v>0</v>
          </cell>
          <cell r="AZ319">
            <v>2.7</v>
          </cell>
          <cell r="BA319">
            <v>8</v>
          </cell>
          <cell r="BB319" t="str">
            <v/>
          </cell>
          <cell r="BC319">
            <v>2</v>
          </cell>
          <cell r="BD319">
            <v>2</v>
          </cell>
          <cell r="BE319">
            <v>1</v>
          </cell>
          <cell r="BF319">
            <v>90</v>
          </cell>
          <cell r="BG319">
            <v>1</v>
          </cell>
          <cell r="BH319">
            <v>1</v>
          </cell>
          <cell r="BI319">
            <v>1</v>
          </cell>
          <cell r="BJ319">
            <v>45</v>
          </cell>
          <cell r="BK319">
            <v>0</v>
          </cell>
          <cell r="BL319">
            <v>0.66666666666666663</v>
          </cell>
          <cell r="BM319">
            <v>0.33333333333333337</v>
          </cell>
          <cell r="BN319">
            <v>0.83333333333333337</v>
          </cell>
          <cell r="BO319">
            <v>38</v>
          </cell>
          <cell r="BP319">
            <v>0</v>
          </cell>
          <cell r="BQ319">
            <v>6.5789473684210523E-2</v>
          </cell>
          <cell r="BR319">
            <v>0</v>
          </cell>
          <cell r="BS319">
            <v>0</v>
          </cell>
          <cell r="BT319">
            <v>0.12</v>
          </cell>
          <cell r="BU319">
            <v>4.8000000000000001E-2</v>
          </cell>
          <cell r="BV319">
            <v>4.8000000000000001E-2</v>
          </cell>
          <cell r="BW319">
            <v>0</v>
          </cell>
          <cell r="BX319">
            <v>38</v>
          </cell>
          <cell r="BY319">
            <v>1.4473684210526316</v>
          </cell>
          <cell r="BZ319">
            <v>1.1956315789473682</v>
          </cell>
        </row>
        <row r="320">
          <cell r="A320" t="str">
            <v>Wesley Fofana</v>
          </cell>
          <cell r="B320" t="str">
            <v/>
          </cell>
          <cell r="C320" t="str">
            <v>Fofana</v>
          </cell>
          <cell r="D320" t="str">
            <v/>
          </cell>
          <cell r="F320" t="str">
            <v/>
          </cell>
          <cell r="H320" t="str">
            <v/>
          </cell>
          <cell r="I320">
            <v>1.8</v>
          </cell>
          <cell r="J320">
            <v>2.5</v>
          </cell>
          <cell r="K320">
            <v>3.2</v>
          </cell>
          <cell r="M320">
            <v>2.8074122029363364</v>
          </cell>
          <cell r="N320">
            <v>2.2817229336437719</v>
          </cell>
          <cell r="O320">
            <v>1.563131472010395</v>
          </cell>
          <cell r="P320">
            <v>2.9227165555895285</v>
          </cell>
          <cell r="Q320">
            <v>2.2817229336437719</v>
          </cell>
          <cell r="R320">
            <v>1.5730337078651684</v>
          </cell>
          <cell r="S320">
            <v>2.8074122029363364</v>
          </cell>
          <cell r="T320" t="str">
            <v>DEF</v>
          </cell>
          <cell r="U320" t="str">
            <v>CB</v>
          </cell>
          <cell r="V320" t="str">
            <v>CHE</v>
          </cell>
          <cell r="W320" t="str">
            <v>Chelsea</v>
          </cell>
          <cell r="X320">
            <v>5</v>
          </cell>
          <cell r="Y320">
            <v>65</v>
          </cell>
          <cell r="Z320">
            <v>16</v>
          </cell>
          <cell r="AA320">
            <v>49</v>
          </cell>
          <cell r="AB320">
            <v>1718</v>
          </cell>
          <cell r="AC320">
            <v>1718</v>
          </cell>
          <cell r="AD320">
            <v>0.52</v>
          </cell>
          <cell r="AE320">
            <v>0</v>
          </cell>
          <cell r="AF320">
            <v>2</v>
          </cell>
          <cell r="AG320">
            <v>-3.7718277066356228E-2</v>
          </cell>
          <cell r="AH320">
            <v>7.334109429569266E-2</v>
          </cell>
          <cell r="AI320">
            <v>3.562281722933644E-2</v>
          </cell>
          <cell r="AJ320">
            <v>0</v>
          </cell>
          <cell r="AK320">
            <v>3</v>
          </cell>
          <cell r="AL320">
            <v>288</v>
          </cell>
          <cell r="AM320">
            <v>5</v>
          </cell>
          <cell r="AN320">
            <v>0</v>
          </cell>
          <cell r="AO320">
            <v>145</v>
          </cell>
          <cell r="AP320" t="str">
            <v>Fofana</v>
          </cell>
          <cell r="AQ320">
            <v>8.707799767171128</v>
          </cell>
          <cell r="AR320">
            <v>0</v>
          </cell>
          <cell r="AS320">
            <v>3.7718277066356225</v>
          </cell>
          <cell r="AT320">
            <v>9.5925494761350389</v>
          </cell>
          <cell r="AU320">
            <v>0.88474970896391147</v>
          </cell>
          <cell r="AV320">
            <v>9.5925494761350389</v>
          </cell>
          <cell r="AW320">
            <v>9.5925494761350389</v>
          </cell>
          <cell r="AX320">
            <v>0.48517986030267729</v>
          </cell>
          <cell r="AY320">
            <v>0</v>
          </cell>
          <cell r="AZ320">
            <v>2.6</v>
          </cell>
          <cell r="BA320">
            <v>65</v>
          </cell>
          <cell r="BB320">
            <v>0</v>
          </cell>
          <cell r="BC320">
            <v>20</v>
          </cell>
          <cell r="BD320">
            <v>10</v>
          </cell>
          <cell r="BE320">
            <v>0.5</v>
          </cell>
          <cell r="BF320">
            <v>80</v>
          </cell>
          <cell r="BG320">
            <v>0.88888888888888884</v>
          </cell>
          <cell r="BH320">
            <v>1</v>
          </cell>
          <cell r="BI320">
            <v>5</v>
          </cell>
          <cell r="BJ320">
            <v>26</v>
          </cell>
          <cell r="BK320">
            <v>6</v>
          </cell>
          <cell r="BL320">
            <v>0.64516129032258063</v>
          </cell>
          <cell r="BM320">
            <v>0.45451612903225813</v>
          </cell>
          <cell r="BN320">
            <v>0.76048387096774195</v>
          </cell>
          <cell r="BO320">
            <v>38</v>
          </cell>
          <cell r="BP320">
            <v>0</v>
          </cell>
          <cell r="BQ320">
            <v>0.50233918128654975</v>
          </cell>
          <cell r="BR320">
            <v>0.72</v>
          </cell>
          <cell r="BS320">
            <v>3.7718277066356228E-2</v>
          </cell>
          <cell r="BT320">
            <v>0.6</v>
          </cell>
          <cell r="BU320">
            <v>3.1431897555296857E-2</v>
          </cell>
          <cell r="BV320">
            <v>6.9150174621653085E-2</v>
          </cell>
          <cell r="BW320">
            <v>0</v>
          </cell>
          <cell r="BX320">
            <v>38</v>
          </cell>
          <cell r="BY320">
            <v>1.4473684210526316</v>
          </cell>
          <cell r="BZ320">
            <v>1.1956315789473682</v>
          </cell>
        </row>
        <row r="321">
          <cell r="A321" t="str">
            <v>Hákon Rafn Valdimarsson</v>
          </cell>
          <cell r="B321" t="str">
            <v/>
          </cell>
          <cell r="C321" t="str">
            <v>Valdimarsson</v>
          </cell>
          <cell r="D321" t="str">
            <v/>
          </cell>
          <cell r="F321" t="str">
            <v/>
          </cell>
          <cell r="H321" t="str">
            <v/>
          </cell>
          <cell r="I321">
            <v>0</v>
          </cell>
          <cell r="J321">
            <v>0.5</v>
          </cell>
          <cell r="K321">
            <v>1</v>
          </cell>
          <cell r="M321">
            <v>2.7990247016155543</v>
          </cell>
          <cell r="N321">
            <v>0</v>
          </cell>
          <cell r="O321">
            <v>1.5450000000000002</v>
          </cell>
          <cell r="P321">
            <v>2.7990247016155543</v>
          </cell>
          <cell r="Q321">
            <v>0.9</v>
          </cell>
          <cell r="R321">
            <v>0</v>
          </cell>
          <cell r="S321">
            <v>2.7990247016155543</v>
          </cell>
          <cell r="T321" t="str">
            <v>GK</v>
          </cell>
          <cell r="U321" t="str">
            <v/>
          </cell>
          <cell r="V321" t="str">
            <v>BRE</v>
          </cell>
          <cell r="W321" t="str">
            <v>Brentford</v>
          </cell>
          <cell r="X321">
            <v>4.5</v>
          </cell>
          <cell r="Y321">
            <v>1</v>
          </cell>
          <cell r="Z321">
            <v>0</v>
          </cell>
          <cell r="AA321">
            <v>1</v>
          </cell>
          <cell r="AB321">
            <v>90</v>
          </cell>
          <cell r="AC321">
            <v>90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9.9999999999988987E-4</v>
          </cell>
          <cell r="AK321">
            <v>0</v>
          </cell>
          <cell r="AL321">
            <v>1</v>
          </cell>
          <cell r="AM321">
            <v>0</v>
          </cell>
          <cell r="AN321">
            <v>1</v>
          </cell>
          <cell r="AO321">
            <v>83</v>
          </cell>
          <cell r="AP321" t="str">
            <v>Valdimarsson</v>
          </cell>
          <cell r="AQ321">
            <v>0</v>
          </cell>
          <cell r="AR321">
            <v>0</v>
          </cell>
          <cell r="AS321">
            <v>6.3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1</v>
          </cell>
          <cell r="BA321">
            <v>1</v>
          </cell>
          <cell r="BB321" t="str">
            <v/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0.9</v>
          </cell>
          <cell r="BH321">
            <v>1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 t="e">
            <v>#DIV/0!</v>
          </cell>
          <cell r="BO321">
            <v>38</v>
          </cell>
          <cell r="BP321">
            <v>0</v>
          </cell>
          <cell r="BQ321">
            <v>2.6315789473684209E-2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38</v>
          </cell>
          <cell r="BY321">
            <v>1.5555263157894736</v>
          </cell>
          <cell r="BZ321">
            <v>1.0874736842105261</v>
          </cell>
        </row>
        <row r="322">
          <cell r="A322" t="str">
            <v>Moisés Caicedo Corozo</v>
          </cell>
          <cell r="B322" t="str">
            <v/>
          </cell>
          <cell r="C322" t="str">
            <v>Caicedo</v>
          </cell>
          <cell r="D322" t="str">
            <v/>
          </cell>
          <cell r="E322" t="str">
            <v>Moises Caicedo</v>
          </cell>
          <cell r="F322" t="str">
            <v/>
          </cell>
          <cell r="G322" t="str">
            <v>Moisés Caicedo</v>
          </cell>
          <cell r="H322" t="str">
            <v/>
          </cell>
          <cell r="I322">
            <v>2.1</v>
          </cell>
          <cell r="J322">
            <v>2.3666666666666667</v>
          </cell>
          <cell r="K322">
            <v>2.6</v>
          </cell>
          <cell r="M322">
            <v>2.7915091569170922</v>
          </cell>
          <cell r="N322">
            <v>2.5221745350500719</v>
          </cell>
          <cell r="O322">
            <v>2.3291416951985981</v>
          </cell>
          <cell r="P322">
            <v>2.8100720871856533</v>
          </cell>
          <cell r="Q322">
            <v>2.5221745350500719</v>
          </cell>
          <cell r="R322">
            <v>1.9325842696629214</v>
          </cell>
          <cell r="S322">
            <v>2.7915091569170922</v>
          </cell>
          <cell r="T322" t="str">
            <v>MID</v>
          </cell>
          <cell r="U322" t="str">
            <v>DM</v>
          </cell>
          <cell r="V322" t="str">
            <v>CHE</v>
          </cell>
          <cell r="W322" t="str">
            <v>Chelsea</v>
          </cell>
          <cell r="X322">
            <v>5.5</v>
          </cell>
          <cell r="Y322">
            <v>110</v>
          </cell>
          <cell r="Z322">
            <v>28</v>
          </cell>
          <cell r="AA322">
            <v>82</v>
          </cell>
          <cell r="AB322">
            <v>2796</v>
          </cell>
          <cell r="AC322">
            <v>2796</v>
          </cell>
          <cell r="AD322">
            <v>0.60606060606060608</v>
          </cell>
          <cell r="AE322">
            <v>3</v>
          </cell>
          <cell r="AF322">
            <v>1</v>
          </cell>
          <cell r="AG322">
            <v>4.9892703862660939E-2</v>
          </cell>
          <cell r="AH322">
            <v>-4.4420600858369103E-2</v>
          </cell>
          <cell r="AI322">
            <v>5.4721030042918367E-3</v>
          </cell>
          <cell r="AJ322">
            <v>3.6000000000000032E-2</v>
          </cell>
          <cell r="AK322">
            <v>10</v>
          </cell>
          <cell r="AL322">
            <v>580</v>
          </cell>
          <cell r="AM322">
            <v>11</v>
          </cell>
          <cell r="AN322">
            <v>0</v>
          </cell>
          <cell r="AO322">
            <v>159</v>
          </cell>
          <cell r="AP322" t="str">
            <v>Caicedo</v>
          </cell>
          <cell r="AQ322">
            <v>3.1373390557939915</v>
          </cell>
          <cell r="AR322">
            <v>0</v>
          </cell>
          <cell r="AS322">
            <v>5.4442060085836914</v>
          </cell>
          <cell r="AT322">
            <v>11.257510729613735</v>
          </cell>
          <cell r="AU322">
            <v>2.6759656652360513</v>
          </cell>
          <cell r="AV322">
            <v>11.257510729613735</v>
          </cell>
          <cell r="AW322">
            <v>11.257510729613735</v>
          </cell>
          <cell r="AX322">
            <v>0.45009871244635202</v>
          </cell>
          <cell r="AY322">
            <v>0</v>
          </cell>
          <cell r="AZ322">
            <v>3.3</v>
          </cell>
          <cell r="BA322">
            <v>110</v>
          </cell>
          <cell r="BB322" t="str">
            <v/>
          </cell>
          <cell r="BC322">
            <v>32</v>
          </cell>
          <cell r="BD322">
            <v>26</v>
          </cell>
          <cell r="BE322">
            <v>0.8125</v>
          </cell>
          <cell r="BF322">
            <v>86</v>
          </cell>
          <cell r="BG322">
            <v>0.9555555555555556</v>
          </cell>
          <cell r="BH322">
            <v>1</v>
          </cell>
          <cell r="BI322">
            <v>1</v>
          </cell>
          <cell r="BJ322">
            <v>45</v>
          </cell>
          <cell r="BK322">
            <v>1</v>
          </cell>
          <cell r="BL322">
            <v>0.94117647058823528</v>
          </cell>
          <cell r="BM322">
            <v>2.9411764705882359E-2</v>
          </cell>
          <cell r="BN322">
            <v>0.97195622435020512</v>
          </cell>
          <cell r="BO322">
            <v>38</v>
          </cell>
          <cell r="BP322">
            <v>0</v>
          </cell>
          <cell r="BQ322">
            <v>0.81754385964912279</v>
          </cell>
          <cell r="BR322">
            <v>1.45</v>
          </cell>
          <cell r="BS322">
            <v>4.667381974248927E-2</v>
          </cell>
          <cell r="BT322">
            <v>2.38</v>
          </cell>
          <cell r="BU322">
            <v>7.6609442060085839E-2</v>
          </cell>
          <cell r="BV322">
            <v>0.12328326180257511</v>
          </cell>
          <cell r="BW322">
            <v>0</v>
          </cell>
          <cell r="BX322">
            <v>38</v>
          </cell>
          <cell r="BY322">
            <v>1.4473684210526316</v>
          </cell>
          <cell r="BZ322">
            <v>1.1956315789473682</v>
          </cell>
        </row>
        <row r="323">
          <cell r="A323" t="str">
            <v>Simon Adingra</v>
          </cell>
          <cell r="B323" t="str">
            <v/>
          </cell>
          <cell r="C323" t="str">
            <v>Adingra</v>
          </cell>
          <cell r="D323" t="str">
            <v/>
          </cell>
          <cell r="F323" t="str">
            <v/>
          </cell>
          <cell r="H323" t="str">
            <v/>
          </cell>
          <cell r="I323">
            <v>2.1</v>
          </cell>
          <cell r="J323">
            <v>2.6</v>
          </cell>
          <cell r="K323">
            <v>3.1</v>
          </cell>
          <cell r="M323">
            <v>2.7910201295364736</v>
          </cell>
          <cell r="N323">
            <v>3.3528505392912176</v>
          </cell>
          <cell r="O323">
            <v>2.1231124807395991</v>
          </cell>
          <cell r="P323">
            <v>2.7910201295364736</v>
          </cell>
          <cell r="Q323">
            <v>3.3528505392912176</v>
          </cell>
          <cell r="R323">
            <v>0</v>
          </cell>
          <cell r="S323">
            <v>2.7910201295364736</v>
          </cell>
          <cell r="T323" t="str">
            <v>MID</v>
          </cell>
          <cell r="U323" t="str">
            <v>LW</v>
          </cell>
          <cell r="V323" t="str">
            <v>SUN</v>
          </cell>
          <cell r="W323" t="str">
            <v>Sunderland</v>
          </cell>
          <cell r="X323">
            <v>5</v>
          </cell>
          <cell r="Y323">
            <v>34</v>
          </cell>
          <cell r="Z323">
            <v>0</v>
          </cell>
          <cell r="AA323">
            <v>34</v>
          </cell>
          <cell r="AB323">
            <v>649</v>
          </cell>
          <cell r="AC323">
            <v>649</v>
          </cell>
          <cell r="AD323">
            <v>0.48571428571428565</v>
          </cell>
          <cell r="AE323">
            <v>1</v>
          </cell>
          <cell r="AF323">
            <v>1</v>
          </cell>
          <cell r="AG323">
            <v>9.0138674884437608E-2</v>
          </cell>
          <cell r="AH323">
            <v>5.2696456086286605E-2</v>
          </cell>
          <cell r="AI323">
            <v>0.14283513097072423</v>
          </cell>
          <cell r="AJ323">
            <v>4.0000000000000036E-3</v>
          </cell>
          <cell r="AK323">
            <v>3</v>
          </cell>
          <cell r="AL323">
            <v>81</v>
          </cell>
          <cell r="AM323">
            <v>2</v>
          </cell>
          <cell r="AN323">
            <v>0</v>
          </cell>
          <cell r="AO323">
            <v>546</v>
          </cell>
          <cell r="AP323" t="str">
            <v>Adingra</v>
          </cell>
          <cell r="AQ323">
            <v>1.2819722650231125</v>
          </cell>
          <cell r="AR323">
            <v>0</v>
          </cell>
          <cell r="AS323">
            <v>2.0708782742681047</v>
          </cell>
          <cell r="AT323">
            <v>4.4375963020030813</v>
          </cell>
          <cell r="AU323">
            <v>1.0847457627118644</v>
          </cell>
          <cell r="AV323">
            <v>4.4375963020030813</v>
          </cell>
          <cell r="AW323">
            <v>4.4375963020030813</v>
          </cell>
          <cell r="AX323">
            <v>3.3598943429451904E-2</v>
          </cell>
          <cell r="AY323">
            <v>0</v>
          </cell>
          <cell r="AZ323">
            <v>2.4</v>
          </cell>
          <cell r="BA323">
            <v>34</v>
          </cell>
          <cell r="BB323" t="str">
            <v/>
          </cell>
          <cell r="BC323">
            <v>9</v>
          </cell>
          <cell r="BD323">
            <v>0</v>
          </cell>
          <cell r="BE323">
            <v>0</v>
          </cell>
          <cell r="BF323">
            <v>64</v>
          </cell>
          <cell r="BG323">
            <v>0.71111111111111114</v>
          </cell>
          <cell r="BH323">
            <v>1</v>
          </cell>
          <cell r="BI323">
            <v>5</v>
          </cell>
          <cell r="BJ323">
            <v>16</v>
          </cell>
          <cell r="BK323">
            <v>8</v>
          </cell>
          <cell r="BL323">
            <v>0.40909090909090912</v>
          </cell>
          <cell r="BM323">
            <v>0.22727272727272724</v>
          </cell>
          <cell r="BN323">
            <v>0.55681818181818188</v>
          </cell>
          <cell r="BO323">
            <v>38</v>
          </cell>
          <cell r="BP323">
            <v>0</v>
          </cell>
          <cell r="BQ323">
            <v>0.18976608187134503</v>
          </cell>
          <cell r="BR323">
            <v>0.35</v>
          </cell>
          <cell r="BS323">
            <v>4.8536209553158703E-2</v>
          </cell>
          <cell r="BT323">
            <v>0.62</v>
          </cell>
          <cell r="BU323">
            <v>8.5978428351309713E-2</v>
          </cell>
          <cell r="BV323">
            <v>0.13451463790446841</v>
          </cell>
          <cell r="BW323">
            <v>0</v>
          </cell>
          <cell r="BX323">
            <v>38</v>
          </cell>
          <cell r="BY323">
            <v>1.5878947368421052</v>
          </cell>
          <cell r="BZ323">
            <v>1.0551052631578945</v>
          </cell>
        </row>
        <row r="324">
          <cell r="A324" t="str">
            <v>Tosin Adarabioyo</v>
          </cell>
          <cell r="B324" t="str">
            <v/>
          </cell>
          <cell r="C324" t="str">
            <v>Tosin</v>
          </cell>
          <cell r="D324" t="str">
            <v/>
          </cell>
          <cell r="E324" t="str">
            <v>Adarabioyo</v>
          </cell>
          <cell r="F324" t="str">
            <v/>
          </cell>
          <cell r="H324" t="str">
            <v/>
          </cell>
          <cell r="I324">
            <v>2</v>
          </cell>
          <cell r="J324">
            <v>2.8333333333333335</v>
          </cell>
          <cell r="K324">
            <v>3.3</v>
          </cell>
          <cell r="M324">
            <v>2.789486448163049</v>
          </cell>
          <cell r="N324">
            <v>2.6395939086294415</v>
          </cell>
          <cell r="O324">
            <v>1.4454780033840948</v>
          </cell>
          <cell r="P324">
            <v>2.9047908008162411</v>
          </cell>
          <cell r="Q324">
            <v>2.6395939086294415</v>
          </cell>
          <cell r="R324">
            <v>0</v>
          </cell>
          <cell r="S324">
            <v>2.789486448163049</v>
          </cell>
          <cell r="T324" t="str">
            <v>DEF</v>
          </cell>
          <cell r="U324" t="str">
            <v>CB</v>
          </cell>
          <cell r="V324" t="str">
            <v>CHE</v>
          </cell>
          <cell r="W324" t="str">
            <v>Chelsea</v>
          </cell>
          <cell r="X324">
            <v>4.5</v>
          </cell>
          <cell r="Y324">
            <v>34</v>
          </cell>
          <cell r="Z324">
            <v>8</v>
          </cell>
          <cell r="AA324">
            <v>26</v>
          </cell>
          <cell r="AB324">
            <v>788</v>
          </cell>
          <cell r="AC324">
            <v>788</v>
          </cell>
          <cell r="AD324">
            <v>0.47222222222222221</v>
          </cell>
          <cell r="AE324">
            <v>0</v>
          </cell>
          <cell r="AF324">
            <v>0</v>
          </cell>
          <cell r="AG324">
            <v>-1.2563451776649746E-2</v>
          </cell>
          <cell r="AH324">
            <v>-4.5685279187817264E-2</v>
          </cell>
          <cell r="AI324">
            <v>-5.8248730964467012E-2</v>
          </cell>
          <cell r="AJ324">
            <v>2.0000000000000018E-3</v>
          </cell>
          <cell r="AK324">
            <v>2</v>
          </cell>
          <cell r="AL324">
            <v>130</v>
          </cell>
          <cell r="AM324">
            <v>2</v>
          </cell>
          <cell r="AN324">
            <v>0</v>
          </cell>
          <cell r="AO324">
            <v>147</v>
          </cell>
          <cell r="AP324" t="str">
            <v>Tosin</v>
          </cell>
          <cell r="AQ324">
            <v>8.1218274111675122</v>
          </cell>
          <cell r="AR324">
            <v>0</v>
          </cell>
          <cell r="AS324">
            <v>2.2335025380710656</v>
          </cell>
          <cell r="AT324">
            <v>9.8477157360406089</v>
          </cell>
          <cell r="AU324">
            <v>1.7258883248730963</v>
          </cell>
          <cell r="AV324">
            <v>9.8477157360406089</v>
          </cell>
          <cell r="AW324">
            <v>9.8477157360406089</v>
          </cell>
          <cell r="AX324">
            <v>0.51669289340101521</v>
          </cell>
          <cell r="AY324">
            <v>0</v>
          </cell>
          <cell r="AZ324">
            <v>2.1</v>
          </cell>
          <cell r="BA324">
            <v>34</v>
          </cell>
          <cell r="BB324" t="str">
            <v/>
          </cell>
          <cell r="BC324">
            <v>8</v>
          </cell>
          <cell r="BD324">
            <v>6</v>
          </cell>
          <cell r="BE324">
            <v>0.75</v>
          </cell>
          <cell r="BF324">
            <v>80</v>
          </cell>
          <cell r="BG324">
            <v>0.88888888888888884</v>
          </cell>
          <cell r="BH324">
            <v>1</v>
          </cell>
          <cell r="BI324">
            <v>8</v>
          </cell>
          <cell r="BJ324">
            <v>19</v>
          </cell>
          <cell r="BK324">
            <v>12</v>
          </cell>
          <cell r="BL324">
            <v>0.2857142857142857</v>
          </cell>
          <cell r="BM324">
            <v>0.28571428571428575</v>
          </cell>
          <cell r="BN324">
            <v>0.45535714285714279</v>
          </cell>
          <cell r="BO324">
            <v>38</v>
          </cell>
          <cell r="BP324">
            <v>0</v>
          </cell>
          <cell r="BQ324">
            <v>0.2304093567251462</v>
          </cell>
          <cell r="BR324">
            <v>0.11</v>
          </cell>
          <cell r="BS324">
            <v>1.2563451776649746E-2</v>
          </cell>
          <cell r="BT324">
            <v>0.4</v>
          </cell>
          <cell r="BU324">
            <v>4.5685279187817264E-2</v>
          </cell>
          <cell r="BV324">
            <v>5.8248730964467012E-2</v>
          </cell>
          <cell r="BW324">
            <v>0</v>
          </cell>
          <cell r="BX324">
            <v>38</v>
          </cell>
          <cell r="BY324">
            <v>1.4473684210526316</v>
          </cell>
          <cell r="BZ324">
            <v>1.1956315789473682</v>
          </cell>
        </row>
        <row r="325">
          <cell r="A325" t="str">
            <v>Nathan Patterson</v>
          </cell>
          <cell r="B325" t="str">
            <v/>
          </cell>
          <cell r="C325" t="str">
            <v>Patterson</v>
          </cell>
          <cell r="D325" t="str">
            <v/>
          </cell>
          <cell r="F325" t="str">
            <v/>
          </cell>
          <cell r="H325" t="str">
            <v/>
          </cell>
          <cell r="I325">
            <v>0</v>
          </cell>
          <cell r="J325">
            <v>1.0333333333333332</v>
          </cell>
          <cell r="K325">
            <v>1.7</v>
          </cell>
          <cell r="M325">
            <v>2.7891192076222273</v>
          </cell>
          <cell r="N325">
            <v>0</v>
          </cell>
          <cell r="O325">
            <v>1.6191946778711483</v>
          </cell>
          <cell r="P325">
            <v>2.7891192076222273</v>
          </cell>
          <cell r="Q325">
            <v>5.8235294117647056</v>
          </cell>
          <cell r="R325">
            <v>77</v>
          </cell>
          <cell r="S325">
            <v>2.7891192076222273</v>
          </cell>
          <cell r="T325" t="str">
            <v>DEF</v>
          </cell>
          <cell r="U325" t="str">
            <v>RB</v>
          </cell>
          <cell r="V325" t="str">
            <v>EVE</v>
          </cell>
          <cell r="W325" t="str">
            <v>Everton</v>
          </cell>
          <cell r="X325">
            <v>4.5</v>
          </cell>
          <cell r="Y325">
            <v>22</v>
          </cell>
          <cell r="Z325">
            <v>4</v>
          </cell>
          <cell r="AA325">
            <v>18</v>
          </cell>
          <cell r="AB325">
            <v>238</v>
          </cell>
          <cell r="AC325">
            <v>238</v>
          </cell>
          <cell r="AD325">
            <v>0.69841269841269837</v>
          </cell>
          <cell r="AE325">
            <v>0</v>
          </cell>
          <cell r="AF325">
            <v>0</v>
          </cell>
          <cell r="AG325">
            <v>-1.134453781512605E-2</v>
          </cell>
          <cell r="AH325">
            <v>-1.5126050420168067E-2</v>
          </cell>
          <cell r="AI325">
            <v>-2.6470588235294117E-2</v>
          </cell>
          <cell r="AJ325">
            <v>9.9999999999988987E-4</v>
          </cell>
          <cell r="AK325">
            <v>0</v>
          </cell>
          <cell r="AL325">
            <v>67</v>
          </cell>
          <cell r="AM325">
            <v>0</v>
          </cell>
          <cell r="AN325">
            <v>0</v>
          </cell>
          <cell r="AO325">
            <v>234</v>
          </cell>
          <cell r="AP325" t="str">
            <v>Patterson</v>
          </cell>
          <cell r="AQ325">
            <v>6.7941176470588234</v>
          </cell>
          <cell r="AR325">
            <v>0</v>
          </cell>
          <cell r="AS325">
            <v>4.5294117647058822</v>
          </cell>
          <cell r="AT325">
            <v>10.029411764705882</v>
          </cell>
          <cell r="AU325">
            <v>3.2352941176470589</v>
          </cell>
          <cell r="AV325">
            <v>10.029411764705882</v>
          </cell>
          <cell r="AW325">
            <v>10.029411764705882</v>
          </cell>
          <cell r="AX325">
            <v>0.53913235294117645</v>
          </cell>
          <cell r="AY325">
            <v>0</v>
          </cell>
          <cell r="AZ325">
            <v>3.1</v>
          </cell>
          <cell r="BA325">
            <v>22</v>
          </cell>
          <cell r="BB325" t="str">
            <v/>
          </cell>
          <cell r="BC325">
            <v>3</v>
          </cell>
          <cell r="BD325">
            <v>1</v>
          </cell>
          <cell r="BE325">
            <v>0.33333333333333331</v>
          </cell>
          <cell r="BF325">
            <v>77</v>
          </cell>
          <cell r="BG325">
            <v>0.85555555555555551</v>
          </cell>
          <cell r="BH325">
            <v>1</v>
          </cell>
          <cell r="BI325">
            <v>4</v>
          </cell>
          <cell r="BJ325">
            <v>3</v>
          </cell>
          <cell r="BK325">
            <v>21</v>
          </cell>
          <cell r="BL325">
            <v>0.10714285714285714</v>
          </cell>
          <cell r="BM325">
            <v>0.1428571428571429</v>
          </cell>
          <cell r="BN325">
            <v>0.14192949907235622</v>
          </cell>
          <cell r="BO325">
            <v>38</v>
          </cell>
          <cell r="BP325">
            <v>0</v>
          </cell>
          <cell r="BQ325">
            <v>6.95906432748538E-2</v>
          </cell>
          <cell r="BR325">
            <v>0.03</v>
          </cell>
          <cell r="BS325">
            <v>1.134453781512605E-2</v>
          </cell>
          <cell r="BT325">
            <v>0.04</v>
          </cell>
          <cell r="BU325">
            <v>1.5126050420168067E-2</v>
          </cell>
          <cell r="BV325">
            <v>2.6470588235294117E-2</v>
          </cell>
          <cell r="BW325">
            <v>0</v>
          </cell>
          <cell r="BX325">
            <v>38</v>
          </cell>
          <cell r="BY325">
            <v>1.5786842105263159</v>
          </cell>
          <cell r="BZ325">
            <v>1.0643157894736839</v>
          </cell>
        </row>
        <row r="326">
          <cell r="A326" t="str">
            <v>Jake O'Brien</v>
          </cell>
          <cell r="B326" t="str">
            <v/>
          </cell>
          <cell r="C326" t="str">
            <v>O'Brien</v>
          </cell>
          <cell r="D326" t="str">
            <v/>
          </cell>
          <cell r="F326" t="str">
            <v/>
          </cell>
          <cell r="H326" t="str">
            <v/>
          </cell>
          <cell r="I326">
            <v>1.7</v>
          </cell>
          <cell r="J326">
            <v>2.4500000000000002</v>
          </cell>
          <cell r="K326">
            <v>3.2</v>
          </cell>
          <cell r="M326">
            <v>2.7876147849423152</v>
          </cell>
          <cell r="N326">
            <v>2.9018601667735728</v>
          </cell>
          <cell r="O326">
            <v>2.2377995234914034</v>
          </cell>
          <cell r="P326">
            <v>2.7876147849423152</v>
          </cell>
          <cell r="Q326">
            <v>2.9018601667735728</v>
          </cell>
          <cell r="R326">
            <v>1.8049792531120332</v>
          </cell>
          <cell r="S326">
            <v>2.7876147849423152</v>
          </cell>
          <cell r="T326" t="str">
            <v>DEF</v>
          </cell>
          <cell r="U326" t="str">
            <v>RB</v>
          </cell>
          <cell r="V326" t="str">
            <v>EVE</v>
          </cell>
          <cell r="W326" t="str">
            <v>Everton</v>
          </cell>
          <cell r="X326">
            <v>5</v>
          </cell>
          <cell r="Y326">
            <v>116.00000000000001</v>
          </cell>
          <cell r="Z326">
            <v>12</v>
          </cell>
          <cell r="AA326">
            <v>104.00000000000001</v>
          </cell>
          <cell r="AB326">
            <v>3118</v>
          </cell>
          <cell r="AC326">
            <v>3118</v>
          </cell>
          <cell r="AD326">
            <v>0.62702702702702706</v>
          </cell>
          <cell r="AE326">
            <v>1</v>
          </cell>
          <cell r="AF326">
            <v>3</v>
          </cell>
          <cell r="AG326">
            <v>-1.9339320076972418E-2</v>
          </cell>
          <cell r="AH326">
            <v>5.772931366260424E-2</v>
          </cell>
          <cell r="AI326">
            <v>3.8389993585631818E-2</v>
          </cell>
          <cell r="AJ326">
            <v>6.0000000000000053E-3</v>
          </cell>
          <cell r="AK326">
            <v>2</v>
          </cell>
          <cell r="AL326">
            <v>368</v>
          </cell>
          <cell r="AM326">
            <v>6</v>
          </cell>
          <cell r="AN326">
            <v>0</v>
          </cell>
          <cell r="AO326">
            <v>232</v>
          </cell>
          <cell r="AP326" t="str">
            <v>O'Brien</v>
          </cell>
          <cell r="AQ326">
            <v>4.8550352790250164</v>
          </cell>
          <cell r="AR326">
            <v>0</v>
          </cell>
          <cell r="AS326">
            <v>3.1808851828094937</v>
          </cell>
          <cell r="AT326">
            <v>6.4454778704297624</v>
          </cell>
          <cell r="AU326">
            <v>1.5904425914047469</v>
          </cell>
          <cell r="AV326">
            <v>6.4454778704297624</v>
          </cell>
          <cell r="AW326">
            <v>6.4454778704297624</v>
          </cell>
          <cell r="AX326">
            <v>0.13173797305965362</v>
          </cell>
          <cell r="AY326">
            <v>0</v>
          </cell>
          <cell r="AZ326">
            <v>3.1</v>
          </cell>
          <cell r="BA326">
            <v>116.00000000000001</v>
          </cell>
          <cell r="BB326" t="str">
            <v/>
          </cell>
          <cell r="BC326">
            <v>35</v>
          </cell>
          <cell r="BD326">
            <v>29</v>
          </cell>
          <cell r="BE326">
            <v>0.82857142857142863</v>
          </cell>
          <cell r="BF326">
            <v>87</v>
          </cell>
          <cell r="BG326">
            <v>0.96666666666666667</v>
          </cell>
          <cell r="BH326">
            <v>1</v>
          </cell>
          <cell r="BI326">
            <v>2</v>
          </cell>
          <cell r="BJ326">
            <v>42</v>
          </cell>
          <cell r="BK326">
            <v>0</v>
          </cell>
          <cell r="BL326">
            <v>0.94594594594594594</v>
          </cell>
          <cell r="BM326">
            <v>5.4054054054054057E-2</v>
          </cell>
          <cell r="BN326">
            <v>0.97204100652376513</v>
          </cell>
          <cell r="BO326">
            <v>38</v>
          </cell>
          <cell r="BP326">
            <v>0</v>
          </cell>
          <cell r="BQ326">
            <v>0.91169590643274856</v>
          </cell>
          <cell r="BR326">
            <v>1.67</v>
          </cell>
          <cell r="BS326">
            <v>4.8203976908274535E-2</v>
          </cell>
          <cell r="BT326">
            <v>1</v>
          </cell>
          <cell r="BU326">
            <v>2.8864656831302116E-2</v>
          </cell>
          <cell r="BV326">
            <v>7.7068633739576647E-2</v>
          </cell>
          <cell r="BW326">
            <v>0</v>
          </cell>
          <cell r="BX326">
            <v>38</v>
          </cell>
          <cell r="BY326">
            <v>1.5786842105263159</v>
          </cell>
          <cell r="BZ326">
            <v>1.0643157894736839</v>
          </cell>
        </row>
        <row r="327">
          <cell r="A327" t="str">
            <v>Manuel Ugarte Ribeiro</v>
          </cell>
          <cell r="B327" t="str">
            <v/>
          </cell>
          <cell r="C327" t="str">
            <v>Ugarte</v>
          </cell>
          <cell r="D327" t="str">
            <v/>
          </cell>
          <cell r="E327" t="str">
            <v>Manuel Ugarte Ribeiro</v>
          </cell>
          <cell r="F327" t="str">
            <v/>
          </cell>
          <cell r="G327" t="str">
            <v>Manuel Ugarte</v>
          </cell>
          <cell r="H327" t="str">
            <v/>
          </cell>
          <cell r="I327">
            <v>1.7</v>
          </cell>
          <cell r="J327">
            <v>1.7</v>
          </cell>
          <cell r="K327">
            <v>1.7</v>
          </cell>
          <cell r="M327">
            <v>2.785225588085388</v>
          </cell>
          <cell r="N327">
            <v>2.7397260273972601</v>
          </cell>
          <cell r="O327">
            <v>2.0966894977168948</v>
          </cell>
          <cell r="P327">
            <v>2.785225588085388</v>
          </cell>
          <cell r="Q327">
            <v>2.7397260273972601</v>
          </cell>
          <cell r="R327">
            <v>0</v>
          </cell>
          <cell r="S327">
            <v>2.785225588085388</v>
          </cell>
          <cell r="T327" t="str">
            <v>MID</v>
          </cell>
          <cell r="U327" t="str">
            <v>DM</v>
          </cell>
          <cell r="V327" t="str">
            <v>MUN</v>
          </cell>
          <cell r="W327" t="str">
            <v>Man Utd</v>
          </cell>
          <cell r="X327">
            <v>5</v>
          </cell>
          <cell r="Y327">
            <v>38</v>
          </cell>
          <cell r="Z327">
            <v>8</v>
          </cell>
          <cell r="AA327">
            <v>30</v>
          </cell>
          <cell r="AB327">
            <v>876</v>
          </cell>
          <cell r="AC327">
            <v>876</v>
          </cell>
          <cell r="AD327">
            <v>0.34545454545454546</v>
          </cell>
          <cell r="AE327">
            <v>0</v>
          </cell>
          <cell r="AF327">
            <v>0</v>
          </cell>
          <cell r="AG327">
            <v>-7.3972602739726029E-2</v>
          </cell>
          <cell r="AH327">
            <v>-1.6438356164383564E-2</v>
          </cell>
          <cell r="AI327">
            <v>-9.0410958904109592E-2</v>
          </cell>
          <cell r="AJ327">
            <v>0</v>
          </cell>
          <cell r="AK327">
            <v>0</v>
          </cell>
          <cell r="AL327">
            <v>183</v>
          </cell>
          <cell r="AM327">
            <v>1</v>
          </cell>
          <cell r="AN327">
            <v>0</v>
          </cell>
          <cell r="AO327">
            <v>433</v>
          </cell>
          <cell r="AP327" t="str">
            <v>Ugarte</v>
          </cell>
          <cell r="AQ327">
            <v>4.10958904109589</v>
          </cell>
          <cell r="AR327">
            <v>0</v>
          </cell>
          <cell r="AS327">
            <v>4.6575342465753415</v>
          </cell>
          <cell r="AT327">
            <v>12.968036529680363</v>
          </cell>
          <cell r="AU327">
            <v>4.2009132420091317</v>
          </cell>
          <cell r="AV327">
            <v>12.968036529680363</v>
          </cell>
          <cell r="AW327">
            <v>12.968036529680363</v>
          </cell>
          <cell r="AX327">
            <v>0.64338812785388111</v>
          </cell>
          <cell r="AY327">
            <v>0</v>
          </cell>
          <cell r="AZ327">
            <v>1.7</v>
          </cell>
          <cell r="BA327">
            <v>38</v>
          </cell>
          <cell r="BB327">
            <v>0</v>
          </cell>
          <cell r="BC327">
            <v>8</v>
          </cell>
          <cell r="BD327">
            <v>3</v>
          </cell>
          <cell r="BE327">
            <v>0.375</v>
          </cell>
          <cell r="BF327">
            <v>80</v>
          </cell>
          <cell r="BG327">
            <v>0.88888888888888884</v>
          </cell>
          <cell r="BH327">
            <v>1</v>
          </cell>
          <cell r="BI327">
            <v>14</v>
          </cell>
          <cell r="BJ327">
            <v>17</v>
          </cell>
          <cell r="BK327">
            <v>15</v>
          </cell>
          <cell r="BL327">
            <v>0.21621621621621623</v>
          </cell>
          <cell r="BM327">
            <v>0.48274818266542396</v>
          </cell>
          <cell r="BN327">
            <v>0.38277027027027027</v>
          </cell>
          <cell r="BO327">
            <v>38</v>
          </cell>
          <cell r="BP327">
            <v>0</v>
          </cell>
          <cell r="BQ327">
            <v>0.256140350877193</v>
          </cell>
          <cell r="BR327">
            <v>0.72</v>
          </cell>
          <cell r="BS327">
            <v>7.3972602739726029E-2</v>
          </cell>
          <cell r="BT327">
            <v>0.16</v>
          </cell>
          <cell r="BU327">
            <v>1.6438356164383564E-2</v>
          </cell>
          <cell r="BV327">
            <v>9.0410958904109592E-2</v>
          </cell>
          <cell r="BW327">
            <v>0</v>
          </cell>
          <cell r="BX327">
            <v>38</v>
          </cell>
          <cell r="BY327">
            <v>1.3231578947368421</v>
          </cell>
          <cell r="BZ327">
            <v>1.3198421052631577</v>
          </cell>
        </row>
        <row r="328">
          <cell r="A328" t="str">
            <v>Harry Amass</v>
          </cell>
          <cell r="B328" t="str">
            <v/>
          </cell>
          <cell r="C328" t="str">
            <v>Amass</v>
          </cell>
          <cell r="D328" t="str">
            <v/>
          </cell>
          <cell r="F328" t="str">
            <v/>
          </cell>
          <cell r="H328" t="str">
            <v/>
          </cell>
          <cell r="I328">
            <v>0</v>
          </cell>
          <cell r="J328">
            <v>0.4</v>
          </cell>
          <cell r="K328">
            <v>0.8</v>
          </cell>
          <cell r="M328">
            <v>2.7820174689000701</v>
          </cell>
          <cell r="N328">
            <v>0</v>
          </cell>
          <cell r="O328">
            <v>1.6333333333333333</v>
          </cell>
          <cell r="P328">
            <v>2.7820174689000701</v>
          </cell>
          <cell r="Q328">
            <v>0</v>
          </cell>
          <cell r="R328">
            <v>0</v>
          </cell>
          <cell r="S328">
            <v>2.7820174689000701</v>
          </cell>
          <cell r="T328" t="str">
            <v>DEF</v>
          </cell>
          <cell r="U328" t="str">
            <v>LB</v>
          </cell>
          <cell r="V328" t="str">
            <v>MUN</v>
          </cell>
          <cell r="W328" t="str">
            <v>Man Utd</v>
          </cell>
          <cell r="X328">
            <v>4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 t="e">
            <v>#DIV/0!</v>
          </cell>
          <cell r="AH328" t="e">
            <v>#DIV/0!</v>
          </cell>
          <cell r="AI328" t="e">
            <v>#DIV/0!</v>
          </cell>
          <cell r="AJ328">
            <v>2.0000000000000018E-3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424</v>
          </cell>
          <cell r="AP328" t="str">
            <v>Amass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 t="str">
            <v/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0.9</v>
          </cell>
          <cell r="BH328">
            <v>1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 t="e">
            <v>#DIV/0!</v>
          </cell>
          <cell r="BO328">
            <v>38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38</v>
          </cell>
          <cell r="BY328">
            <v>1.3231578947368421</v>
          </cell>
          <cell r="BZ328">
            <v>1.3198421052631577</v>
          </cell>
        </row>
        <row r="329">
          <cell r="A329" t="str">
            <v>Tom Heaton</v>
          </cell>
          <cell r="B329" t="str">
            <v/>
          </cell>
          <cell r="C329" t="str">
            <v>Heaton</v>
          </cell>
          <cell r="D329" t="str">
            <v/>
          </cell>
          <cell r="F329" t="str">
            <v/>
          </cell>
          <cell r="H329" t="str">
            <v/>
          </cell>
          <cell r="I329">
            <v>0</v>
          </cell>
          <cell r="J329">
            <v>0</v>
          </cell>
          <cell r="K329">
            <v>0</v>
          </cell>
          <cell r="M329">
            <v>2.7820174689000701</v>
          </cell>
          <cell r="N329">
            <v>0</v>
          </cell>
          <cell r="O329">
            <v>1.6333333333333333</v>
          </cell>
          <cell r="P329">
            <v>2.7820174689000701</v>
          </cell>
          <cell r="Q329">
            <v>0</v>
          </cell>
          <cell r="R329">
            <v>0</v>
          </cell>
          <cell r="S329">
            <v>2.7820174689000701</v>
          </cell>
          <cell r="T329" t="str">
            <v>GK</v>
          </cell>
          <cell r="U329" t="str">
            <v>GK</v>
          </cell>
          <cell r="V329" t="str">
            <v>MUN</v>
          </cell>
          <cell r="W329" t="str">
            <v>Man Utd</v>
          </cell>
          <cell r="X329">
            <v>4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 t="e">
            <v>#DIV/0!</v>
          </cell>
          <cell r="AH329" t="e">
            <v>#DIV/0!</v>
          </cell>
          <cell r="AI329" t="e">
            <v>#DIV/0!</v>
          </cell>
          <cell r="AJ329">
            <v>2.9999999999998916E-3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414</v>
          </cell>
          <cell r="AP329" t="str">
            <v>Heaton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 t="str">
            <v/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0.9</v>
          </cell>
          <cell r="BH329">
            <v>1</v>
          </cell>
          <cell r="BI329">
            <v>0</v>
          </cell>
          <cell r="BJ329">
            <v>0</v>
          </cell>
          <cell r="BK329">
            <v>4</v>
          </cell>
          <cell r="BL329">
            <v>0</v>
          </cell>
          <cell r="BM329">
            <v>0</v>
          </cell>
          <cell r="BN329" t="e">
            <v>#DIV/0!</v>
          </cell>
          <cell r="BO329">
            <v>38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38</v>
          </cell>
          <cell r="BY329">
            <v>1.3231578947368421</v>
          </cell>
          <cell r="BZ329">
            <v>1.3198421052631577</v>
          </cell>
        </row>
        <row r="330">
          <cell r="A330" t="str">
            <v>Stefanos Tzimas</v>
          </cell>
          <cell r="B330" t="str">
            <v/>
          </cell>
          <cell r="C330" t="str">
            <v>Tzimas</v>
          </cell>
          <cell r="D330" t="str">
            <v/>
          </cell>
          <cell r="F330" t="str">
            <v/>
          </cell>
          <cell r="H330" t="str">
            <v/>
          </cell>
          <cell r="I330" t="e">
            <v>#N/A</v>
          </cell>
          <cell r="J330" t="e">
            <v>#N/A</v>
          </cell>
          <cell r="K330" t="e">
            <v>#N/A</v>
          </cell>
          <cell r="M330">
            <v>2.7621666666666664</v>
          </cell>
          <cell r="N330">
            <v>2.7878787878787881</v>
          </cell>
          <cell r="O330">
            <v>2.375</v>
          </cell>
          <cell r="P330">
            <v>2.7621666666666664</v>
          </cell>
          <cell r="Q330">
            <v>2.7878787878787881</v>
          </cell>
          <cell r="R330">
            <v>0</v>
          </cell>
          <cell r="S330">
            <v>2.7621666666666664</v>
          </cell>
          <cell r="T330" t="str">
            <v>FWD</v>
          </cell>
          <cell r="U330" t="str">
            <v>CF</v>
          </cell>
          <cell r="V330" t="str">
            <v>BHA</v>
          </cell>
          <cell r="W330" t="str">
            <v>Brighton</v>
          </cell>
          <cell r="X330">
            <v>5.5</v>
          </cell>
          <cell r="Y330">
            <v>16</v>
          </cell>
          <cell r="Z330">
            <v>0</v>
          </cell>
          <cell r="AA330">
            <v>16</v>
          </cell>
          <cell r="AB330">
            <v>132</v>
          </cell>
          <cell r="AC330">
            <v>132</v>
          </cell>
          <cell r="AD330">
            <v>0.3232323232323232</v>
          </cell>
          <cell r="AE330">
            <v>1</v>
          </cell>
          <cell r="AF330">
            <v>1</v>
          </cell>
          <cell r="AG330">
            <v>0.38181818181818183</v>
          </cell>
          <cell r="AH330">
            <v>0.60681818181818192</v>
          </cell>
          <cell r="AI330">
            <v>0.98863636363636376</v>
          </cell>
          <cell r="AJ330">
            <v>9.9999999999988987E-4</v>
          </cell>
          <cell r="AK330">
            <v>0</v>
          </cell>
          <cell r="AL330">
            <v>55</v>
          </cell>
          <cell r="AM330">
            <v>0</v>
          </cell>
          <cell r="AN330">
            <v>0</v>
          </cell>
          <cell r="AO330">
            <v>137</v>
          </cell>
          <cell r="AP330" t="str">
            <v>Tzimas</v>
          </cell>
          <cell r="AQ330">
            <v>0.34848484848484851</v>
          </cell>
          <cell r="AR330">
            <v>0</v>
          </cell>
          <cell r="AS330">
            <v>1.7424242424242424</v>
          </cell>
          <cell r="AT330">
            <v>2.6136363636363633</v>
          </cell>
          <cell r="AU330">
            <v>0.52272727272727271</v>
          </cell>
          <cell r="AV330">
            <v>2.6136363636363633</v>
          </cell>
          <cell r="AW330">
            <v>2.6136363636363633</v>
          </cell>
          <cell r="AX330">
            <v>1.9788961038961033E-2</v>
          </cell>
          <cell r="AY330">
            <v>0</v>
          </cell>
          <cell r="AZ330">
            <v>1.8</v>
          </cell>
          <cell r="BA330">
            <v>16</v>
          </cell>
          <cell r="BB330">
            <v>75</v>
          </cell>
          <cell r="BC330">
            <v>1</v>
          </cell>
          <cell r="BD330">
            <v>0</v>
          </cell>
          <cell r="BE330">
            <v>0</v>
          </cell>
          <cell r="BF330">
            <v>23</v>
          </cell>
          <cell r="BG330">
            <v>0.25555555555555554</v>
          </cell>
          <cell r="BH330">
            <v>1</v>
          </cell>
          <cell r="BI330">
            <v>8</v>
          </cell>
          <cell r="BJ330">
            <v>15</v>
          </cell>
          <cell r="BK330">
            <v>2</v>
          </cell>
          <cell r="BL330">
            <v>9.0909090909090912E-2</v>
          </cell>
          <cell r="BM330">
            <v>0.74545454545454548</v>
          </cell>
          <cell r="BN330">
            <v>0.68379446640316199</v>
          </cell>
          <cell r="BO330">
            <v>38</v>
          </cell>
          <cell r="BP330">
            <v>0</v>
          </cell>
          <cell r="BQ330">
            <v>3.8596491228070177E-2</v>
          </cell>
          <cell r="BR330">
            <v>0.44</v>
          </cell>
          <cell r="BS330">
            <v>0.30000000000000004</v>
          </cell>
          <cell r="BT330">
            <v>0.11</v>
          </cell>
          <cell r="BU330">
            <v>7.5000000000000011E-2</v>
          </cell>
          <cell r="BV330">
            <v>0.37500000000000006</v>
          </cell>
          <cell r="BW330">
            <v>0</v>
          </cell>
          <cell r="BX330">
            <v>38</v>
          </cell>
          <cell r="BY330">
            <v>1.4144736842105263</v>
          </cell>
          <cell r="BZ330">
            <v>1.2285263157894735</v>
          </cell>
        </row>
        <row r="331">
          <cell r="A331" t="str">
            <v>Jarrad Branthwaite</v>
          </cell>
          <cell r="B331" t="str">
            <v/>
          </cell>
          <cell r="C331" t="str">
            <v>Branthwaite</v>
          </cell>
          <cell r="D331" t="str">
            <v/>
          </cell>
          <cell r="F331" t="str">
            <v/>
          </cell>
          <cell r="H331" t="str">
            <v/>
          </cell>
          <cell r="I331">
            <v>0</v>
          </cell>
          <cell r="J331">
            <v>2.1333333333333333</v>
          </cell>
          <cell r="K331">
            <v>3.5</v>
          </cell>
          <cell r="M331">
            <v>2.761482312156077</v>
          </cell>
          <cell r="N331">
            <v>3.3746312684365782</v>
          </cell>
          <cell r="O331">
            <v>1.4653561432393496</v>
          </cell>
          <cell r="P331">
            <v>2.761482312156077</v>
          </cell>
          <cell r="Q331">
            <v>3.3746312684365782</v>
          </cell>
          <cell r="R331">
            <v>4.0930232558139537</v>
          </cell>
          <cell r="S331">
            <v>2.761482312156077</v>
          </cell>
          <cell r="T331" t="str">
            <v>DEF</v>
          </cell>
          <cell r="U331" t="str">
            <v>CB</v>
          </cell>
          <cell r="V331" t="str">
            <v>EVE</v>
          </cell>
          <cell r="W331" t="str">
            <v>Everton</v>
          </cell>
          <cell r="X331">
            <v>5.5</v>
          </cell>
          <cell r="Y331">
            <v>32</v>
          </cell>
          <cell r="Z331">
            <v>6</v>
          </cell>
          <cell r="AA331">
            <v>26</v>
          </cell>
          <cell r="AB331">
            <v>678</v>
          </cell>
          <cell r="AC331">
            <v>678</v>
          </cell>
          <cell r="AD331">
            <v>0.5818181818181819</v>
          </cell>
          <cell r="AE331">
            <v>1</v>
          </cell>
          <cell r="AF331">
            <v>1</v>
          </cell>
          <cell r="AG331">
            <v>8.7610619469026527E-2</v>
          </cell>
          <cell r="AH331">
            <v>0.11814159292035396</v>
          </cell>
          <cell r="AI331">
            <v>0.20575221238938049</v>
          </cell>
          <cell r="AJ331">
            <v>2.2999999999999909E-2</v>
          </cell>
          <cell r="AK331">
            <v>0</v>
          </cell>
          <cell r="AL331">
            <v>108</v>
          </cell>
          <cell r="AM331">
            <v>1</v>
          </cell>
          <cell r="AN331">
            <v>0</v>
          </cell>
          <cell r="AO331">
            <v>230</v>
          </cell>
          <cell r="AP331" t="str">
            <v>Branthwaite</v>
          </cell>
          <cell r="AQ331">
            <v>6.8790560471976407</v>
          </cell>
          <cell r="AR331">
            <v>0</v>
          </cell>
          <cell r="AS331">
            <v>3.8938053097345131</v>
          </cell>
          <cell r="AT331">
            <v>8.6961651917404126</v>
          </cell>
          <cell r="AU331">
            <v>1.8171091445427727</v>
          </cell>
          <cell r="AV331">
            <v>8.6961651917404126</v>
          </cell>
          <cell r="AW331">
            <v>8.6961651917404126</v>
          </cell>
          <cell r="AX331">
            <v>0.3752359882005899</v>
          </cell>
          <cell r="AY331">
            <v>0</v>
          </cell>
          <cell r="AZ331">
            <v>3.2</v>
          </cell>
          <cell r="BA331">
            <v>32</v>
          </cell>
          <cell r="BB331" t="str">
            <v/>
          </cell>
          <cell r="BC331">
            <v>7</v>
          </cell>
          <cell r="BD331">
            <v>4</v>
          </cell>
          <cell r="BE331">
            <v>0.5714285714285714</v>
          </cell>
          <cell r="BF331">
            <v>88</v>
          </cell>
          <cell r="BG331">
            <v>0.97777777777777775</v>
          </cell>
          <cell r="BH331">
            <v>1</v>
          </cell>
          <cell r="BI331">
            <v>3</v>
          </cell>
          <cell r="BJ331">
            <v>21</v>
          </cell>
          <cell r="BK331">
            <v>0</v>
          </cell>
          <cell r="BL331">
            <v>0.7</v>
          </cell>
          <cell r="BM331">
            <v>0.30000000000000004</v>
          </cell>
          <cell r="BN331">
            <v>0.77159090909090899</v>
          </cell>
          <cell r="BO331">
            <v>38</v>
          </cell>
          <cell r="BP331">
            <v>0</v>
          </cell>
          <cell r="BQ331">
            <v>0.19824561403508772</v>
          </cell>
          <cell r="BR331">
            <v>0.34</v>
          </cell>
          <cell r="BS331">
            <v>4.5132743362831865E-2</v>
          </cell>
          <cell r="BT331">
            <v>0.11</v>
          </cell>
          <cell r="BU331">
            <v>1.4601769911504426E-2</v>
          </cell>
          <cell r="BV331">
            <v>5.9734513274336293E-2</v>
          </cell>
          <cell r="BW331">
            <v>0</v>
          </cell>
          <cell r="BX331">
            <v>38</v>
          </cell>
          <cell r="BY331">
            <v>1.5786842105263159</v>
          </cell>
          <cell r="BZ331">
            <v>1.0643157894736839</v>
          </cell>
        </row>
        <row r="332">
          <cell r="A332" t="str">
            <v>Sebastiaan Bornauw</v>
          </cell>
          <cell r="B332" t="str">
            <v/>
          </cell>
          <cell r="C332" t="str">
            <v>Bornauw</v>
          </cell>
          <cell r="D332" t="str">
            <v/>
          </cell>
          <cell r="F332" t="str">
            <v/>
          </cell>
          <cell r="H332" t="str">
            <v/>
          </cell>
          <cell r="I332" t="e">
            <v>#N/A</v>
          </cell>
          <cell r="J332" t="e">
            <v>#N/A</v>
          </cell>
          <cell r="K332" t="e">
            <v>#N/A</v>
          </cell>
          <cell r="M332">
            <v>2.755577356164931</v>
          </cell>
          <cell r="N332">
            <v>4.1818181818181817</v>
          </cell>
          <cell r="O332">
            <v>2.1892953379953384</v>
          </cell>
          <cell r="P332">
            <v>2.755577356164931</v>
          </cell>
          <cell r="Q332">
            <v>4.1818181818181817</v>
          </cell>
          <cell r="R332">
            <v>4.992</v>
          </cell>
          <cell r="S332">
            <v>2.755577356164931</v>
          </cell>
          <cell r="T332" t="str">
            <v>DEF</v>
          </cell>
          <cell r="U332" t="str">
            <v>CB</v>
          </cell>
          <cell r="V332" t="str">
            <v>LEE</v>
          </cell>
          <cell r="W332" t="str">
            <v>Leeds</v>
          </cell>
          <cell r="X332">
            <v>4.5</v>
          </cell>
          <cell r="Y332">
            <v>25</v>
          </cell>
          <cell r="Z332">
            <v>2</v>
          </cell>
          <cell r="AA332">
            <v>23</v>
          </cell>
          <cell r="AB332">
            <v>429</v>
          </cell>
          <cell r="AC332">
            <v>429</v>
          </cell>
          <cell r="AD332">
            <v>0.46296296296296302</v>
          </cell>
          <cell r="AE332">
            <v>0</v>
          </cell>
          <cell r="AF332">
            <v>0</v>
          </cell>
          <cell r="AG332">
            <v>-4.195804195804196E-2</v>
          </cell>
          <cell r="AH332">
            <v>-2.0979020979020979E-3</v>
          </cell>
          <cell r="AI332">
            <v>-4.4055944055944055E-2</v>
          </cell>
          <cell r="AJ332">
            <v>0</v>
          </cell>
          <cell r="AK332">
            <v>0</v>
          </cell>
          <cell r="AL332">
            <v>73</v>
          </cell>
          <cell r="AM332">
            <v>1</v>
          </cell>
          <cell r="AN332">
            <v>0</v>
          </cell>
          <cell r="AO332">
            <v>333</v>
          </cell>
          <cell r="AP332" t="str">
            <v>Bornauw</v>
          </cell>
          <cell r="AQ332">
            <v>7.454545454545455</v>
          </cell>
          <cell r="AR332">
            <v>0</v>
          </cell>
          <cell r="AS332">
            <v>2.3636363636363638</v>
          </cell>
          <cell r="AT332">
            <v>8.9090909090909101</v>
          </cell>
          <cell r="AU332">
            <v>1.4545454545454546</v>
          </cell>
          <cell r="AV332">
            <v>8.9090909090909101</v>
          </cell>
          <cell r="AW332">
            <v>8.9090909090909101</v>
          </cell>
          <cell r="AX332">
            <v>0.40100000000000013</v>
          </cell>
          <cell r="AY332">
            <v>0</v>
          </cell>
          <cell r="AZ332">
            <v>2.1</v>
          </cell>
          <cell r="BA332">
            <v>25</v>
          </cell>
          <cell r="BB332" t="str">
            <v/>
          </cell>
          <cell r="BC332">
            <v>5</v>
          </cell>
          <cell r="BD332">
            <v>0</v>
          </cell>
          <cell r="BE332">
            <v>0</v>
          </cell>
          <cell r="BF332">
            <v>78</v>
          </cell>
          <cell r="BG332">
            <v>0.8666666666666667</v>
          </cell>
          <cell r="BH332">
            <v>1</v>
          </cell>
          <cell r="BI332">
            <v>7</v>
          </cell>
          <cell r="BJ332">
            <v>6</v>
          </cell>
          <cell r="BK332">
            <v>18</v>
          </cell>
          <cell r="BL332">
            <v>0.16666666666666666</v>
          </cell>
          <cell r="BM332">
            <v>0.23333333333333339</v>
          </cell>
          <cell r="BN332">
            <v>0.23076923076923078</v>
          </cell>
          <cell r="BO332">
            <v>38</v>
          </cell>
          <cell r="BP332">
            <v>0</v>
          </cell>
          <cell r="BQ332">
            <v>0.12543859649122807</v>
          </cell>
          <cell r="BR332">
            <v>0.2</v>
          </cell>
          <cell r="BS332">
            <v>4.195804195804196E-2</v>
          </cell>
          <cell r="BT332">
            <v>0.01</v>
          </cell>
          <cell r="BU332">
            <v>2.0979020979020979E-3</v>
          </cell>
          <cell r="BV332">
            <v>4.4055944055944055E-2</v>
          </cell>
          <cell r="BW332">
            <v>0</v>
          </cell>
          <cell r="BX332">
            <v>38</v>
          </cell>
          <cell r="BY332">
            <v>1.4823684210526316</v>
          </cell>
          <cell r="BZ332">
            <v>1.1606315789473682</v>
          </cell>
        </row>
        <row r="333">
          <cell r="A333" t="str">
            <v>Joelinton Cássio Apolinário de Lira</v>
          </cell>
          <cell r="B333" t="str">
            <v/>
          </cell>
          <cell r="C333" t="str">
            <v>Joelinton</v>
          </cell>
          <cell r="D333" t="str">
            <v/>
          </cell>
          <cell r="F333" t="str">
            <v/>
          </cell>
          <cell r="H333" t="str">
            <v/>
          </cell>
          <cell r="I333">
            <v>2.2000000000000002</v>
          </cell>
          <cell r="J333">
            <v>3.0666666666666669</v>
          </cell>
          <cell r="K333">
            <v>3.6</v>
          </cell>
          <cell r="M333">
            <v>2.7533268605453327</v>
          </cell>
          <cell r="N333">
            <v>2.3676923076923075</v>
          </cell>
          <cell r="O333">
            <v>2.7565769230769237</v>
          </cell>
          <cell r="P333">
            <v>2.7533268605453327</v>
          </cell>
          <cell r="Q333">
            <v>2.3676923076923075</v>
          </cell>
          <cell r="R333">
            <v>2.7</v>
          </cell>
          <cell r="S333">
            <v>2.7533268605453327</v>
          </cell>
          <cell r="T333" t="str">
            <v>MID</v>
          </cell>
          <cell r="U333" t="str">
            <v>CM</v>
          </cell>
          <cell r="V333" t="str">
            <v>NEW</v>
          </cell>
          <cell r="W333" t="str">
            <v>Newcastle</v>
          </cell>
          <cell r="X333">
            <v>5.5</v>
          </cell>
          <cell r="Y333">
            <v>73</v>
          </cell>
          <cell r="Z333">
            <v>16</v>
          </cell>
          <cell r="AA333">
            <v>57</v>
          </cell>
          <cell r="AB333">
            <v>1950</v>
          </cell>
          <cell r="AC333">
            <v>1950</v>
          </cell>
          <cell r="AD333">
            <v>0.49158249158249157</v>
          </cell>
          <cell r="AE333">
            <v>2</v>
          </cell>
          <cell r="AF333">
            <v>1</v>
          </cell>
          <cell r="AG333">
            <v>-1.6615384615384615E-2</v>
          </cell>
          <cell r="AH333">
            <v>-1.6153846153846158E-2</v>
          </cell>
          <cell r="AI333">
            <v>-3.2769230769230773E-2</v>
          </cell>
          <cell r="AJ333">
            <v>0</v>
          </cell>
          <cell r="AK333">
            <v>2</v>
          </cell>
          <cell r="AL333">
            <v>304</v>
          </cell>
          <cell r="AM333">
            <v>10</v>
          </cell>
          <cell r="AN333">
            <v>0</v>
          </cell>
          <cell r="AO333">
            <v>458</v>
          </cell>
          <cell r="AP333" t="str">
            <v>Joelinton</v>
          </cell>
          <cell r="AQ333">
            <v>3.0323076923076928</v>
          </cell>
          <cell r="AR333">
            <v>0</v>
          </cell>
          <cell r="AS333">
            <v>5.0676923076923082</v>
          </cell>
          <cell r="AT333">
            <v>9.8861538461538458</v>
          </cell>
          <cell r="AU333">
            <v>1.786153846153846</v>
          </cell>
          <cell r="AV333">
            <v>9.8861538461538458</v>
          </cell>
          <cell r="AW333">
            <v>9.8861538461538458</v>
          </cell>
          <cell r="AX333">
            <v>0.29624923081885535</v>
          </cell>
          <cell r="AY333">
            <v>0</v>
          </cell>
          <cell r="AZ333">
            <v>2.7</v>
          </cell>
          <cell r="BA333">
            <v>73</v>
          </cell>
          <cell r="BB333">
            <v>75</v>
          </cell>
          <cell r="BC333">
            <v>23</v>
          </cell>
          <cell r="BD333">
            <v>13</v>
          </cell>
          <cell r="BE333">
            <v>0.56521739130434778</v>
          </cell>
          <cell r="BF333">
            <v>81</v>
          </cell>
          <cell r="BG333">
            <v>0.9</v>
          </cell>
          <cell r="BH333">
            <v>1</v>
          </cell>
          <cell r="BI333">
            <v>4</v>
          </cell>
          <cell r="BJ333">
            <v>24</v>
          </cell>
          <cell r="BK333">
            <v>3</v>
          </cell>
          <cell r="BL333">
            <v>0.76666666666666672</v>
          </cell>
          <cell r="BM333">
            <v>0.24285714285714283</v>
          </cell>
          <cell r="BN333">
            <v>0.83580246913580247</v>
          </cell>
          <cell r="BO333">
            <v>38</v>
          </cell>
          <cell r="BP333">
            <v>0</v>
          </cell>
          <cell r="BQ333">
            <v>0.57017543859649122</v>
          </cell>
          <cell r="BR333">
            <v>2.36</v>
          </cell>
          <cell r="BS333">
            <v>0.10892307692307693</v>
          </cell>
          <cell r="BT333">
            <v>1.35</v>
          </cell>
          <cell r="BU333">
            <v>6.2307692307692314E-2</v>
          </cell>
          <cell r="BV333">
            <v>0.17123076923076924</v>
          </cell>
          <cell r="BW333">
            <v>0</v>
          </cell>
          <cell r="BX333">
            <v>38</v>
          </cell>
          <cell r="BY333">
            <v>1.5081578947368421</v>
          </cell>
          <cell r="BZ333">
            <v>1.1348421052631577</v>
          </cell>
        </row>
        <row r="334">
          <cell r="A334" t="str">
            <v>Wilfried Gnonto</v>
          </cell>
          <cell r="B334" t="str">
            <v/>
          </cell>
          <cell r="C334" t="str">
            <v>Gnonto</v>
          </cell>
          <cell r="D334" t="str">
            <v/>
          </cell>
          <cell r="F334" t="str">
            <v/>
          </cell>
          <cell r="H334" t="str">
            <v/>
          </cell>
          <cell r="I334" t="e">
            <v>#N/A</v>
          </cell>
          <cell r="J334" t="e">
            <v>#N/A</v>
          </cell>
          <cell r="K334" t="e">
            <v>#N/A</v>
          </cell>
          <cell r="M334">
            <v>2.7468681697488626</v>
          </cell>
          <cell r="N334">
            <v>3.6238003838771591</v>
          </cell>
          <cell r="O334">
            <v>2.5130903910748565</v>
          </cell>
          <cell r="P334">
            <v>2.7468681697488626</v>
          </cell>
          <cell r="Q334">
            <v>3.6238003838771591</v>
          </cell>
          <cell r="R334">
            <v>4.1484375</v>
          </cell>
          <cell r="S334">
            <v>2.7468681697488626</v>
          </cell>
          <cell r="T334" t="str">
            <v>MID</v>
          </cell>
          <cell r="U334" t="str">
            <v>RW</v>
          </cell>
          <cell r="V334" t="str">
            <v>LEE</v>
          </cell>
          <cell r="W334" t="str">
            <v>Leeds</v>
          </cell>
          <cell r="X334">
            <v>5</v>
          </cell>
          <cell r="Y334">
            <v>32</v>
          </cell>
          <cell r="Z334">
            <v>0</v>
          </cell>
          <cell r="AA334">
            <v>32</v>
          </cell>
          <cell r="AB334">
            <v>521</v>
          </cell>
          <cell r="AC334">
            <v>521</v>
          </cell>
          <cell r="AD334">
            <v>0.27826086956521739</v>
          </cell>
          <cell r="AE334">
            <v>0</v>
          </cell>
          <cell r="AF334">
            <v>3</v>
          </cell>
          <cell r="AG334">
            <v>-6.9097888675623803E-2</v>
          </cell>
          <cell r="AH334">
            <v>0.38522072936660279</v>
          </cell>
          <cell r="AI334">
            <v>0.31612284069097896</v>
          </cell>
          <cell r="AJ334">
            <v>9.9999999999988987E-4</v>
          </cell>
          <cell r="AK334">
            <v>0</v>
          </cell>
          <cell r="AL334">
            <v>134</v>
          </cell>
          <cell r="AM334">
            <v>3</v>
          </cell>
          <cell r="AN334">
            <v>0</v>
          </cell>
          <cell r="AO334">
            <v>341</v>
          </cell>
          <cell r="AP334" t="str">
            <v>Gnonto</v>
          </cell>
          <cell r="AQ334">
            <v>1.6986564299424185</v>
          </cell>
          <cell r="AR334">
            <v>0</v>
          </cell>
          <cell r="AS334">
            <v>2.9443378119001915</v>
          </cell>
          <cell r="AT334">
            <v>6.681381957773513</v>
          </cell>
          <cell r="AU334">
            <v>2.0383877159309023</v>
          </cell>
          <cell r="AV334">
            <v>6.681381957773513</v>
          </cell>
          <cell r="AW334">
            <v>6.681381957773513</v>
          </cell>
          <cell r="AX334">
            <v>5.058760625171374E-2</v>
          </cell>
          <cell r="AY334">
            <v>0</v>
          </cell>
          <cell r="AZ334">
            <v>1.4</v>
          </cell>
          <cell r="BA334">
            <v>32</v>
          </cell>
          <cell r="BB334" t="str">
            <v/>
          </cell>
          <cell r="BC334">
            <v>4</v>
          </cell>
          <cell r="BD334">
            <v>0</v>
          </cell>
          <cell r="BE334">
            <v>0</v>
          </cell>
          <cell r="BF334">
            <v>59</v>
          </cell>
          <cell r="BG334">
            <v>0.65555555555555556</v>
          </cell>
          <cell r="BH334">
            <v>1</v>
          </cell>
          <cell r="BI334">
            <v>19</v>
          </cell>
          <cell r="BJ334">
            <v>16</v>
          </cell>
          <cell r="BK334">
            <v>8</v>
          </cell>
          <cell r="BL334">
            <v>0.12903225806451613</v>
          </cell>
          <cell r="BM334">
            <v>0.61290322580645162</v>
          </cell>
          <cell r="BN334">
            <v>0.36522689994532531</v>
          </cell>
          <cell r="BO334">
            <v>38</v>
          </cell>
          <cell r="BP334">
            <v>0</v>
          </cell>
          <cell r="BQ334">
            <v>0.15233918128654972</v>
          </cell>
          <cell r="BR334">
            <v>0.4</v>
          </cell>
          <cell r="BS334">
            <v>6.9097888675623803E-2</v>
          </cell>
          <cell r="BT334">
            <v>0.77</v>
          </cell>
          <cell r="BU334">
            <v>0.13301343570057581</v>
          </cell>
          <cell r="BV334">
            <v>0.20211132437619961</v>
          </cell>
          <cell r="BW334">
            <v>0</v>
          </cell>
          <cell r="BX334">
            <v>38</v>
          </cell>
          <cell r="BY334">
            <v>1.4823684210526316</v>
          </cell>
          <cell r="BZ334">
            <v>1.1606315789473682</v>
          </cell>
        </row>
        <row r="335">
          <cell r="A335" t="str">
            <v>Luca Netz</v>
          </cell>
          <cell r="B335" t="str">
            <v/>
          </cell>
          <cell r="C335" t="str">
            <v>Netz</v>
          </cell>
          <cell r="D335" t="str">
            <v/>
          </cell>
          <cell r="F335" t="str">
            <v/>
          </cell>
          <cell r="H335" t="str">
            <v/>
          </cell>
          <cell r="I335" t="e">
            <v>#N/A</v>
          </cell>
          <cell r="J335" t="e">
            <v>#N/A</v>
          </cell>
          <cell r="K335" t="e">
            <v>#N/A</v>
          </cell>
          <cell r="M335">
            <v>2.7464080118688519</v>
          </cell>
          <cell r="N335">
            <v>2.6487252124645893</v>
          </cell>
          <cell r="O335">
            <v>1.8604485363550523</v>
          </cell>
          <cell r="P335">
            <v>2.7464080118688519</v>
          </cell>
          <cell r="Q335">
            <v>2.6487252124645893</v>
          </cell>
          <cell r="R335">
            <v>2.6487252124645893</v>
          </cell>
          <cell r="S335">
            <v>2.7464080118688519</v>
          </cell>
          <cell r="T335" t="str">
            <v>DEF</v>
          </cell>
          <cell r="U335" t="str">
            <v>LB</v>
          </cell>
          <cell r="V335" t="str">
            <v>NFO</v>
          </cell>
          <cell r="W335" t="str">
            <v>Nott'm Forest</v>
          </cell>
          <cell r="X335">
            <v>4.5</v>
          </cell>
          <cell r="Y335">
            <v>11</v>
          </cell>
          <cell r="Z335">
            <v>0</v>
          </cell>
          <cell r="AA335">
            <v>11</v>
          </cell>
          <cell r="AB335">
            <v>353</v>
          </cell>
          <cell r="AC335">
            <v>353</v>
          </cell>
          <cell r="AD335">
            <v>0.34920634920634919</v>
          </cell>
          <cell r="AE335">
            <v>0</v>
          </cell>
          <cell r="AF335">
            <v>0</v>
          </cell>
          <cell r="AG335">
            <v>0</v>
          </cell>
          <cell r="AH335">
            <v>-0.10453257790368271</v>
          </cell>
          <cell r="AI335">
            <v>-0.10453257790368271</v>
          </cell>
          <cell r="AJ335">
            <v>9.9999999999988987E-4</v>
          </cell>
          <cell r="AK335">
            <v>0</v>
          </cell>
          <cell r="AL335">
            <v>33</v>
          </cell>
          <cell r="AM335">
            <v>0</v>
          </cell>
          <cell r="AN335">
            <v>0</v>
          </cell>
          <cell r="AO335">
            <v>478</v>
          </cell>
          <cell r="AP335" t="str">
            <v>Netz</v>
          </cell>
          <cell r="AQ335">
            <v>3.6118980169971673</v>
          </cell>
          <cell r="AR335">
            <v>0</v>
          </cell>
          <cell r="AS335">
            <v>3.6118980169971673</v>
          </cell>
          <cell r="AT335">
            <v>6.5014164305949009</v>
          </cell>
          <cell r="AU335">
            <v>2.8895184135977341</v>
          </cell>
          <cell r="AV335">
            <v>6.5014164305949009</v>
          </cell>
          <cell r="AW335">
            <v>6.5014164305949009</v>
          </cell>
          <cell r="AX335">
            <v>0.13559773371104816</v>
          </cell>
          <cell r="AY335">
            <v>0</v>
          </cell>
          <cell r="AZ335">
            <v>1.6</v>
          </cell>
          <cell r="BA335">
            <v>11</v>
          </cell>
          <cell r="BB335" t="str">
            <v/>
          </cell>
          <cell r="BC335">
            <v>3</v>
          </cell>
          <cell r="BD335">
            <v>1</v>
          </cell>
          <cell r="BE335">
            <v>0.33333333333333331</v>
          </cell>
          <cell r="BF335">
            <v>85</v>
          </cell>
          <cell r="BG335">
            <v>0.94444444444444442</v>
          </cell>
          <cell r="BH335">
            <v>1</v>
          </cell>
          <cell r="BI335">
            <v>4</v>
          </cell>
          <cell r="BJ335">
            <v>26</v>
          </cell>
          <cell r="BK335">
            <v>6</v>
          </cell>
          <cell r="BL335">
            <v>0.23076923076923078</v>
          </cell>
          <cell r="BM335">
            <v>0.30769230769230771</v>
          </cell>
          <cell r="BN335">
            <v>0.46606334841628955</v>
          </cell>
          <cell r="BO335">
            <v>38</v>
          </cell>
          <cell r="BP335">
            <v>0</v>
          </cell>
          <cell r="BQ335">
            <v>0.10321637426900584</v>
          </cell>
          <cell r="BR335">
            <v>0</v>
          </cell>
          <cell r="BS335">
            <v>0</v>
          </cell>
          <cell r="BT335">
            <v>0.41</v>
          </cell>
          <cell r="BU335">
            <v>0.10453257790368271</v>
          </cell>
          <cell r="BV335">
            <v>0.10453257790368271</v>
          </cell>
          <cell r="BW335">
            <v>0</v>
          </cell>
          <cell r="BX335">
            <v>38</v>
          </cell>
          <cell r="BY335">
            <v>1.7036842105263157</v>
          </cell>
          <cell r="BZ335">
            <v>0.9393157894736841</v>
          </cell>
        </row>
        <row r="336">
          <cell r="A336" t="str">
            <v>Jordan Henderson</v>
          </cell>
          <cell r="B336" t="str">
            <v/>
          </cell>
          <cell r="C336" t="str">
            <v>Henderson</v>
          </cell>
          <cell r="D336" t="str">
            <v/>
          </cell>
          <cell r="F336" t="str">
            <v/>
          </cell>
          <cell r="H336" t="str">
            <v/>
          </cell>
          <cell r="I336">
            <v>2</v>
          </cell>
          <cell r="J336">
            <v>2.7666666666666671</v>
          </cell>
          <cell r="K336">
            <v>3.6</v>
          </cell>
          <cell r="M336">
            <v>2.7463911040717122</v>
          </cell>
          <cell r="N336">
            <v>2.8937728937728942</v>
          </cell>
          <cell r="O336">
            <v>2.2364773017851074</v>
          </cell>
          <cell r="P336">
            <v>2.7463911040717122</v>
          </cell>
          <cell r="Q336">
            <v>2.8937728937728942</v>
          </cell>
          <cell r="R336">
            <v>0.81443298969072164</v>
          </cell>
          <cell r="S336">
            <v>2.7463911040717122</v>
          </cell>
          <cell r="T336" t="str">
            <v>MID</v>
          </cell>
          <cell r="U336" t="str">
            <v>DM</v>
          </cell>
          <cell r="V336" t="str">
            <v>BRE</v>
          </cell>
          <cell r="W336" t="str">
            <v>Brentford</v>
          </cell>
          <cell r="X336">
            <v>5</v>
          </cell>
          <cell r="Y336">
            <v>76</v>
          </cell>
          <cell r="Z336">
            <v>6</v>
          </cell>
          <cell r="AA336">
            <v>70</v>
          </cell>
          <cell r="AB336">
            <v>1911</v>
          </cell>
          <cell r="AC336">
            <v>1911</v>
          </cell>
          <cell r="AD336">
            <v>0.47499999999999998</v>
          </cell>
          <cell r="AE336">
            <v>1</v>
          </cell>
          <cell r="AF336">
            <v>3</v>
          </cell>
          <cell r="AG336">
            <v>3.1554160125588704E-2</v>
          </cell>
          <cell r="AH336">
            <v>3.2496075353218218E-2</v>
          </cell>
          <cell r="AI336">
            <v>6.4050235478806922E-2</v>
          </cell>
          <cell r="AJ336">
            <v>0</v>
          </cell>
          <cell r="AK336">
            <v>5</v>
          </cell>
          <cell r="AL336">
            <v>343</v>
          </cell>
          <cell r="AM336">
            <v>6</v>
          </cell>
          <cell r="AN336">
            <v>0</v>
          </cell>
          <cell r="AO336">
            <v>101</v>
          </cell>
          <cell r="AP336" t="str">
            <v>Henderson</v>
          </cell>
          <cell r="AQ336">
            <v>2.3976975405546832</v>
          </cell>
          <cell r="AR336">
            <v>0</v>
          </cell>
          <cell r="AS336">
            <v>4.0512820512820511</v>
          </cell>
          <cell r="AT336">
            <v>7.5651491365777082</v>
          </cell>
          <cell r="AU336">
            <v>1.1161695447409734</v>
          </cell>
          <cell r="AV336">
            <v>7.5651491365777082</v>
          </cell>
          <cell r="AW336">
            <v>7.5651491365777082</v>
          </cell>
          <cell r="AX336">
            <v>9.3690737833594995E-2</v>
          </cell>
          <cell r="AY336">
            <v>0</v>
          </cell>
          <cell r="AZ336">
            <v>2.4</v>
          </cell>
          <cell r="BA336">
            <v>76</v>
          </cell>
          <cell r="BB336">
            <v>75</v>
          </cell>
          <cell r="BC336">
            <v>22</v>
          </cell>
          <cell r="BD336">
            <v>10</v>
          </cell>
          <cell r="BE336">
            <v>0.45454545454545453</v>
          </cell>
          <cell r="BF336">
            <v>79</v>
          </cell>
          <cell r="BG336">
            <v>0.87777777777777777</v>
          </cell>
          <cell r="BH336">
            <v>1</v>
          </cell>
          <cell r="BI336">
            <v>10</v>
          </cell>
          <cell r="BJ336">
            <v>18</v>
          </cell>
          <cell r="BK336">
            <v>1</v>
          </cell>
          <cell r="BL336">
            <v>0.66666666666666663</v>
          </cell>
          <cell r="BM336">
            <v>0.45454545454545453</v>
          </cell>
          <cell r="BN336">
            <v>0.74261603375527419</v>
          </cell>
          <cell r="BO336">
            <v>38</v>
          </cell>
          <cell r="BP336">
            <v>0</v>
          </cell>
          <cell r="BQ336">
            <v>0.55877192982456136</v>
          </cell>
          <cell r="BR336">
            <v>0.33</v>
          </cell>
          <cell r="BS336">
            <v>1.554160125588697E-2</v>
          </cell>
          <cell r="BT336">
            <v>2.31</v>
          </cell>
          <cell r="BU336">
            <v>0.10879120879120879</v>
          </cell>
          <cell r="BV336">
            <v>0.12433281004709576</v>
          </cell>
          <cell r="BW336">
            <v>0</v>
          </cell>
          <cell r="BX336">
            <v>38</v>
          </cell>
          <cell r="BY336">
            <v>1.5555263157894736</v>
          </cell>
          <cell r="BZ336">
            <v>1.0874736842105261</v>
          </cell>
        </row>
        <row r="337">
          <cell r="A337" t="str">
            <v>Ibrahim Sangaré</v>
          </cell>
          <cell r="B337" t="str">
            <v/>
          </cell>
          <cell r="C337" t="str">
            <v>Sangaré</v>
          </cell>
          <cell r="D337" t="str">
            <v/>
          </cell>
          <cell r="F337" t="str">
            <v/>
          </cell>
          <cell r="H337" t="str">
            <v/>
          </cell>
          <cell r="I337">
            <v>1.5</v>
          </cell>
          <cell r="J337">
            <v>1.5</v>
          </cell>
          <cell r="K337">
            <v>1.5</v>
          </cell>
          <cell r="M337">
            <v>2.74537236818025</v>
          </cell>
          <cell r="N337">
            <v>2.8084901109503133</v>
          </cell>
          <cell r="O337">
            <v>2.1775207924455988</v>
          </cell>
          <cell r="P337">
            <v>2.74537236818025</v>
          </cell>
          <cell r="Q337">
            <v>2.8084901109503133</v>
          </cell>
          <cell r="R337">
            <v>3.7442922374429219</v>
          </cell>
          <cell r="S337">
            <v>2.74537236818025</v>
          </cell>
          <cell r="T337" t="str">
            <v>MID</v>
          </cell>
          <cell r="U337" t="str">
            <v>DM</v>
          </cell>
          <cell r="V337" t="str">
            <v>NFO</v>
          </cell>
          <cell r="W337" t="str">
            <v>Nott'm Forest</v>
          </cell>
          <cell r="X337">
            <v>5</v>
          </cell>
          <cell r="Y337">
            <v>89</v>
          </cell>
          <cell r="Z337">
            <v>18</v>
          </cell>
          <cell r="AA337">
            <v>71</v>
          </cell>
          <cell r="AB337">
            <v>2073</v>
          </cell>
          <cell r="AC337">
            <v>2073</v>
          </cell>
          <cell r="AD337">
            <v>0.63571428571428568</v>
          </cell>
          <cell r="AE337">
            <v>2</v>
          </cell>
          <cell r="AF337">
            <v>2</v>
          </cell>
          <cell r="AG337">
            <v>3.6468885672937788E-2</v>
          </cell>
          <cell r="AH337">
            <v>8.6830680173661384E-3</v>
          </cell>
          <cell r="AI337">
            <v>4.515195369030392E-2</v>
          </cell>
          <cell r="AJ337">
            <v>4.0000000000000036E-3</v>
          </cell>
          <cell r="AK337">
            <v>2</v>
          </cell>
          <cell r="AL337">
            <v>366</v>
          </cell>
          <cell r="AM337">
            <v>5</v>
          </cell>
          <cell r="AN337">
            <v>0</v>
          </cell>
          <cell r="AO337">
            <v>488</v>
          </cell>
          <cell r="AP337" t="str">
            <v>Sangaré</v>
          </cell>
          <cell r="AQ337">
            <v>3.7578388808490111</v>
          </cell>
          <cell r="AR337">
            <v>0</v>
          </cell>
          <cell r="AS337">
            <v>4.5094066570188129</v>
          </cell>
          <cell r="AT337">
            <v>10.561505065123011</v>
          </cell>
          <cell r="AU337">
            <v>2.2942595272551856</v>
          </cell>
          <cell r="AV337">
            <v>10.561505065123011</v>
          </cell>
          <cell r="AW337">
            <v>10.561505065123011</v>
          </cell>
          <cell r="AX337">
            <v>0.37188856738122156</v>
          </cell>
          <cell r="AY337">
            <v>0</v>
          </cell>
          <cell r="AZ337">
            <v>3.2</v>
          </cell>
          <cell r="BA337">
            <v>89</v>
          </cell>
          <cell r="BB337" t="str">
            <v/>
          </cell>
          <cell r="BC337">
            <v>25</v>
          </cell>
          <cell r="BD337">
            <v>16</v>
          </cell>
          <cell r="BE337">
            <v>0.64</v>
          </cell>
          <cell r="BF337">
            <v>82</v>
          </cell>
          <cell r="BG337">
            <v>0.91111111111111109</v>
          </cell>
          <cell r="BH337">
            <v>1</v>
          </cell>
          <cell r="BI337">
            <v>3</v>
          </cell>
          <cell r="BJ337">
            <v>12</v>
          </cell>
          <cell r="BK337">
            <v>3</v>
          </cell>
          <cell r="BL337">
            <v>0.80645161290322576</v>
          </cell>
          <cell r="BM337">
            <v>9.6774193548387122E-2</v>
          </cell>
          <cell r="BN337">
            <v>0.83477576711250989</v>
          </cell>
          <cell r="BO337">
            <v>38</v>
          </cell>
          <cell r="BP337">
            <v>0</v>
          </cell>
          <cell r="BQ337">
            <v>0.60614035087719298</v>
          </cell>
          <cell r="BR337">
            <v>1.1599999999999999</v>
          </cell>
          <cell r="BS337">
            <v>5.0361794500723582E-2</v>
          </cell>
          <cell r="BT337">
            <v>1.8</v>
          </cell>
          <cell r="BU337">
            <v>7.8147612156295232E-2</v>
          </cell>
          <cell r="BV337">
            <v>0.12850940665701882</v>
          </cell>
          <cell r="BW337">
            <v>0</v>
          </cell>
          <cell r="BX337">
            <v>38</v>
          </cell>
          <cell r="BY337">
            <v>1.7036842105263157</v>
          </cell>
          <cell r="BZ337">
            <v>0.9393157894736841</v>
          </cell>
        </row>
        <row r="338">
          <cell r="A338" t="str">
            <v>Vitalii Mykolenko</v>
          </cell>
          <cell r="B338" t="str">
            <v/>
          </cell>
          <cell r="C338" t="str">
            <v>Mykolenko</v>
          </cell>
          <cell r="D338" t="str">
            <v/>
          </cell>
          <cell r="E338" t="str">
            <v>Vitaliy Mykolenko</v>
          </cell>
          <cell r="F338" t="str">
            <v/>
          </cell>
          <cell r="H338" t="str">
            <v/>
          </cell>
          <cell r="I338">
            <v>2.2000000000000002</v>
          </cell>
          <cell r="J338">
            <v>3.1</v>
          </cell>
          <cell r="K338">
            <v>3.6</v>
          </cell>
          <cell r="M338">
            <v>2.7428992661816434</v>
          </cell>
          <cell r="N338">
            <v>2.4636701588374454</v>
          </cell>
          <cell r="O338">
            <v>1.4252098118733803</v>
          </cell>
          <cell r="P338">
            <v>2.7428992661816434</v>
          </cell>
          <cell r="Q338">
            <v>2.4636701588374454</v>
          </cell>
          <cell r="R338">
            <v>1.3333333333333335</v>
          </cell>
          <cell r="S338">
            <v>2.7428992661816434</v>
          </cell>
          <cell r="T338" t="str">
            <v>DEF</v>
          </cell>
          <cell r="U338" t="str">
            <v>LB</v>
          </cell>
          <cell r="V338" t="str">
            <v>EVE</v>
          </cell>
          <cell r="W338" t="str">
            <v>Everton</v>
          </cell>
          <cell r="X338">
            <v>4.5</v>
          </cell>
          <cell r="Y338">
            <v>95</v>
          </cell>
          <cell r="Z338">
            <v>14</v>
          </cell>
          <cell r="AA338">
            <v>81</v>
          </cell>
          <cell r="AB338">
            <v>2959</v>
          </cell>
          <cell r="AC338">
            <v>2959</v>
          </cell>
          <cell r="AD338">
            <v>0.63973063973063971</v>
          </cell>
          <cell r="AE338">
            <v>0</v>
          </cell>
          <cell r="AF338">
            <v>1</v>
          </cell>
          <cell r="AG338">
            <v>-8.5163906725245035E-3</v>
          </cell>
          <cell r="AH338">
            <v>-4.4406894221020621E-2</v>
          </cell>
          <cell r="AI338">
            <v>-5.2923284893545128E-2</v>
          </cell>
          <cell r="AJ338">
            <v>1.8999999999999906E-2</v>
          </cell>
          <cell r="AK338">
            <v>2</v>
          </cell>
          <cell r="AL338">
            <v>350</v>
          </cell>
          <cell r="AM338">
            <v>6</v>
          </cell>
          <cell r="AN338">
            <v>0</v>
          </cell>
          <cell r="AO338">
            <v>233</v>
          </cell>
          <cell r="AP338" t="str">
            <v>Mykolenko</v>
          </cell>
          <cell r="AQ338">
            <v>5.566069618114228</v>
          </cell>
          <cell r="AR338">
            <v>0</v>
          </cell>
          <cell r="AS338">
            <v>3.2544778641432917</v>
          </cell>
          <cell r="AT338">
            <v>7.0260223048327139</v>
          </cell>
          <cell r="AU338">
            <v>1.459952686718486</v>
          </cell>
          <cell r="AV338">
            <v>7.0260223048327139</v>
          </cell>
          <cell r="AW338">
            <v>7.0260223048327139</v>
          </cell>
          <cell r="AX338">
            <v>0.1731486988847584</v>
          </cell>
          <cell r="AY338">
            <v>0</v>
          </cell>
          <cell r="AZ338">
            <v>2.9</v>
          </cell>
          <cell r="BA338">
            <v>95</v>
          </cell>
          <cell r="BB338" t="str">
            <v/>
          </cell>
          <cell r="BC338">
            <v>33</v>
          </cell>
          <cell r="BD338">
            <v>30</v>
          </cell>
          <cell r="BE338">
            <v>0.90909090909090906</v>
          </cell>
          <cell r="BF338">
            <v>90</v>
          </cell>
          <cell r="BG338">
            <v>1</v>
          </cell>
          <cell r="BH338">
            <v>1</v>
          </cell>
          <cell r="BI338">
            <v>0</v>
          </cell>
          <cell r="BJ338">
            <v>0</v>
          </cell>
          <cell r="BK338">
            <v>1</v>
          </cell>
          <cell r="BL338">
            <v>0.97058823529411764</v>
          </cell>
          <cell r="BM338">
            <v>0</v>
          </cell>
          <cell r="BN338">
            <v>0.97058823529411775</v>
          </cell>
          <cell r="BO338">
            <v>38</v>
          </cell>
          <cell r="BP338">
            <v>0</v>
          </cell>
          <cell r="BQ338">
            <v>0.86520467836257309</v>
          </cell>
          <cell r="BR338">
            <v>0.28000000000000003</v>
          </cell>
          <cell r="BS338">
            <v>8.5163906725245035E-3</v>
          </cell>
          <cell r="BT338">
            <v>2.46</v>
          </cell>
          <cell r="BU338">
            <v>7.4822575194322408E-2</v>
          </cell>
          <cell r="BV338">
            <v>8.3338965866846915E-2</v>
          </cell>
          <cell r="BW338">
            <v>0</v>
          </cell>
          <cell r="BX338">
            <v>38</v>
          </cell>
          <cell r="BY338">
            <v>1.5786842105263159</v>
          </cell>
          <cell r="BZ338">
            <v>1.0643157894736839</v>
          </cell>
        </row>
        <row r="339">
          <cell r="A339" t="str">
            <v>Igor Julio dos Santos de Paulo</v>
          </cell>
          <cell r="B339" t="str">
            <v/>
          </cell>
          <cell r="C339" t="str">
            <v>Igor</v>
          </cell>
          <cell r="D339" t="str">
            <v/>
          </cell>
          <cell r="E339" t="str">
            <v>Igor Julio</v>
          </cell>
          <cell r="F339" t="str">
            <v/>
          </cell>
          <cell r="H339" t="str">
            <v/>
          </cell>
          <cell r="I339">
            <v>1.4</v>
          </cell>
          <cell r="J339">
            <v>1.45</v>
          </cell>
          <cell r="K339">
            <v>1.5</v>
          </cell>
          <cell r="M339">
            <v>2.7411569738733785</v>
          </cell>
          <cell r="N339">
            <v>0</v>
          </cell>
          <cell r="O339">
            <v>1.6223786407766991</v>
          </cell>
          <cell r="P339">
            <v>2.7411569738733785</v>
          </cell>
          <cell r="Q339">
            <v>3.4951456310679609</v>
          </cell>
          <cell r="R339">
            <v>0</v>
          </cell>
          <cell r="S339">
            <v>2.7411569738733785</v>
          </cell>
          <cell r="T339" t="str">
            <v>DEF</v>
          </cell>
          <cell r="U339" t="str">
            <v>CB</v>
          </cell>
          <cell r="V339" t="str">
            <v>BHA</v>
          </cell>
          <cell r="W339" t="str">
            <v>Brighton</v>
          </cell>
          <cell r="X339">
            <v>4.5</v>
          </cell>
          <cell r="Y339">
            <v>6</v>
          </cell>
          <cell r="Z339">
            <v>2</v>
          </cell>
          <cell r="AA339">
            <v>4</v>
          </cell>
          <cell r="AB339">
            <v>103</v>
          </cell>
          <cell r="AC339">
            <v>103</v>
          </cell>
          <cell r="AD339">
            <v>0.33333333333333331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9.9999999999988987E-4</v>
          </cell>
          <cell r="AK339">
            <v>0</v>
          </cell>
          <cell r="AL339">
            <v>10</v>
          </cell>
          <cell r="AM339">
            <v>0</v>
          </cell>
          <cell r="AN339">
            <v>0</v>
          </cell>
          <cell r="AO339">
            <v>118</v>
          </cell>
          <cell r="AP339" t="str">
            <v>Igor</v>
          </cell>
          <cell r="AQ339">
            <v>11.359223300970873</v>
          </cell>
          <cell r="AR339">
            <v>0</v>
          </cell>
          <cell r="AS339">
            <v>2.621359223300971</v>
          </cell>
          <cell r="AT339">
            <v>11.359223300970873</v>
          </cell>
          <cell r="AU339">
            <v>0</v>
          </cell>
          <cell r="AV339">
            <v>11.359223300970873</v>
          </cell>
          <cell r="AW339">
            <v>11.359223300970873</v>
          </cell>
          <cell r="AX339">
            <v>0.6833373786407767</v>
          </cell>
          <cell r="AY339">
            <v>0</v>
          </cell>
          <cell r="AZ339">
            <v>1.5</v>
          </cell>
          <cell r="BA339">
            <v>6</v>
          </cell>
          <cell r="BB339" t="str">
            <v/>
          </cell>
          <cell r="BC339">
            <v>1</v>
          </cell>
          <cell r="BD339">
            <v>1</v>
          </cell>
          <cell r="BE339">
            <v>1</v>
          </cell>
          <cell r="BF339">
            <v>90</v>
          </cell>
          <cell r="BG339">
            <v>1</v>
          </cell>
          <cell r="BH339">
            <v>1</v>
          </cell>
          <cell r="BI339">
            <v>3</v>
          </cell>
          <cell r="BJ339">
            <v>5</v>
          </cell>
          <cell r="BK339">
            <v>9</v>
          </cell>
          <cell r="BL339">
            <v>7.6923076923076927E-2</v>
          </cell>
          <cell r="BM339">
            <v>0.23076923076923084</v>
          </cell>
          <cell r="BN339">
            <v>0.12820512820512822</v>
          </cell>
          <cell r="BO339">
            <v>38</v>
          </cell>
          <cell r="BP339">
            <v>0</v>
          </cell>
          <cell r="BQ339">
            <v>3.0116959064327486E-2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38</v>
          </cell>
          <cell r="BY339">
            <v>1.4144736842105263</v>
          </cell>
          <cell r="BZ339">
            <v>1.2285263157894735</v>
          </cell>
        </row>
        <row r="340">
          <cell r="A340" t="str">
            <v>Kristoffer Ajer</v>
          </cell>
          <cell r="B340" t="str">
            <v/>
          </cell>
          <cell r="C340" t="str">
            <v>Ajer</v>
          </cell>
          <cell r="D340" t="str">
            <v/>
          </cell>
          <cell r="F340" t="str">
            <v/>
          </cell>
          <cell r="H340" t="str">
            <v/>
          </cell>
          <cell r="I340">
            <v>1.6</v>
          </cell>
          <cell r="J340">
            <v>2.4</v>
          </cell>
          <cell r="K340">
            <v>3.2</v>
          </cell>
          <cell r="M340">
            <v>2.7332525871187858</v>
          </cell>
          <cell r="N340">
            <v>2.6670360110803326</v>
          </cell>
          <cell r="O340">
            <v>1.1671313213245389</v>
          </cell>
          <cell r="P340">
            <v>2.7332525871187858</v>
          </cell>
          <cell r="Q340">
            <v>2.6670360110803326</v>
          </cell>
          <cell r="R340">
            <v>2.7513812154696136</v>
          </cell>
          <cell r="S340">
            <v>2.7332525871187858</v>
          </cell>
          <cell r="T340" t="str">
            <v>DEF</v>
          </cell>
          <cell r="U340" t="str">
            <v>CB</v>
          </cell>
          <cell r="V340" t="str">
            <v>BRE</v>
          </cell>
          <cell r="W340" t="str">
            <v>Brentford</v>
          </cell>
          <cell r="X340">
            <v>4.5</v>
          </cell>
          <cell r="Y340">
            <v>76</v>
          </cell>
          <cell r="Z340">
            <v>18</v>
          </cell>
          <cell r="AA340">
            <v>58</v>
          </cell>
          <cell r="AB340">
            <v>1805</v>
          </cell>
          <cell r="AC340">
            <v>1805</v>
          </cell>
          <cell r="AD340">
            <v>0.62551440329218111</v>
          </cell>
          <cell r="AE340">
            <v>0</v>
          </cell>
          <cell r="AF340">
            <v>2</v>
          </cell>
          <cell r="AG340">
            <v>-3.4404432132963986E-2</v>
          </cell>
          <cell r="AH340">
            <v>6.3324099722991689E-2</v>
          </cell>
          <cell r="AI340">
            <v>2.8919667590027717E-2</v>
          </cell>
          <cell r="AJ340">
            <v>4.9999999999998934E-3</v>
          </cell>
          <cell r="AK340">
            <v>1</v>
          </cell>
          <cell r="AL340">
            <v>211</v>
          </cell>
          <cell r="AM340">
            <v>4</v>
          </cell>
          <cell r="AN340">
            <v>0</v>
          </cell>
          <cell r="AO340">
            <v>87</v>
          </cell>
          <cell r="AP340" t="str">
            <v>Ajer</v>
          </cell>
          <cell r="AQ340">
            <v>7.1274238227146816</v>
          </cell>
          <cell r="AR340">
            <v>0</v>
          </cell>
          <cell r="AS340">
            <v>2.7130193905817177</v>
          </cell>
          <cell r="AT340">
            <v>8.8288088642659286</v>
          </cell>
          <cell r="AU340">
            <v>1.7013850415512466</v>
          </cell>
          <cell r="AV340">
            <v>8.8288088642659286</v>
          </cell>
          <cell r="AW340">
            <v>8.8288088642659286</v>
          </cell>
          <cell r="AX340">
            <v>0.39128587257617731</v>
          </cell>
          <cell r="AY340">
            <v>0</v>
          </cell>
          <cell r="AZ340">
            <v>2.8</v>
          </cell>
          <cell r="BA340">
            <v>76</v>
          </cell>
          <cell r="BB340" t="str">
            <v/>
          </cell>
          <cell r="BC340">
            <v>20</v>
          </cell>
          <cell r="BD340">
            <v>13</v>
          </cell>
          <cell r="BE340">
            <v>0.65</v>
          </cell>
          <cell r="BF340">
            <v>83</v>
          </cell>
          <cell r="BG340">
            <v>0.92222222222222228</v>
          </cell>
          <cell r="BH340">
            <v>1</v>
          </cell>
          <cell r="BI340">
            <v>7</v>
          </cell>
          <cell r="BJ340">
            <v>20</v>
          </cell>
          <cell r="BK340">
            <v>9</v>
          </cell>
          <cell r="BL340">
            <v>0.55555555555555558</v>
          </cell>
          <cell r="BM340">
            <v>0.19444444444444442</v>
          </cell>
          <cell r="BN340">
            <v>0.66265060240963858</v>
          </cell>
          <cell r="BO340">
            <v>38</v>
          </cell>
          <cell r="BP340">
            <v>0</v>
          </cell>
          <cell r="BQ340">
            <v>0.52777777777777779</v>
          </cell>
          <cell r="BR340">
            <v>0.69</v>
          </cell>
          <cell r="BS340">
            <v>3.4404432132963986E-2</v>
          </cell>
          <cell r="BT340">
            <v>0.73</v>
          </cell>
          <cell r="BU340">
            <v>3.6398891966759002E-2</v>
          </cell>
          <cell r="BV340">
            <v>7.0803324099722981E-2</v>
          </cell>
          <cell r="BW340">
            <v>0</v>
          </cell>
          <cell r="BX340">
            <v>38</v>
          </cell>
          <cell r="BY340">
            <v>1.5555263157894736</v>
          </cell>
          <cell r="BZ340">
            <v>1.0874736842105261</v>
          </cell>
        </row>
        <row r="341">
          <cell r="A341" t="str">
            <v>Boubacar Kamara</v>
          </cell>
          <cell r="B341" t="str">
            <v/>
          </cell>
          <cell r="C341" t="str">
            <v>Kamara</v>
          </cell>
          <cell r="D341" t="str">
            <v/>
          </cell>
          <cell r="F341" t="str">
            <v/>
          </cell>
          <cell r="H341" t="str">
            <v/>
          </cell>
          <cell r="I341">
            <v>1.8</v>
          </cell>
          <cell r="J341">
            <v>2</v>
          </cell>
          <cell r="K341">
            <v>2.2000000000000002</v>
          </cell>
          <cell r="M341">
            <v>2.7322333551256111</v>
          </cell>
          <cell r="N341">
            <v>3.1985815602836878</v>
          </cell>
          <cell r="O341">
            <v>2.1126241134751775</v>
          </cell>
          <cell r="P341">
            <v>2.7322333551256111</v>
          </cell>
          <cell r="Q341">
            <v>3.1985815602836878</v>
          </cell>
          <cell r="R341">
            <v>0</v>
          </cell>
          <cell r="S341">
            <v>2.7322333551256111</v>
          </cell>
          <cell r="T341" t="str">
            <v>MID</v>
          </cell>
          <cell r="U341" t="str">
            <v>DM</v>
          </cell>
          <cell r="V341" t="str">
            <v>AVL</v>
          </cell>
          <cell r="W341" t="str">
            <v>Aston Villa</v>
          </cell>
          <cell r="X341">
            <v>5</v>
          </cell>
          <cell r="Y341">
            <v>61</v>
          </cell>
          <cell r="Z341">
            <v>6</v>
          </cell>
          <cell r="AA341">
            <v>55</v>
          </cell>
          <cell r="AB341">
            <v>1410</v>
          </cell>
          <cell r="AC341">
            <v>1410</v>
          </cell>
          <cell r="AD341">
            <v>0.67777777777777781</v>
          </cell>
          <cell r="AE341">
            <v>1</v>
          </cell>
          <cell r="AF341">
            <v>3</v>
          </cell>
          <cell r="AG341">
            <v>3.0000000000000006E-2</v>
          </cell>
          <cell r="AH341">
            <v>0.13787234042553193</v>
          </cell>
          <cell r="AI341">
            <v>0.16787234042553195</v>
          </cell>
          <cell r="AJ341">
            <v>9.9999999999988987E-4</v>
          </cell>
          <cell r="AK341">
            <v>7</v>
          </cell>
          <cell r="AL341">
            <v>282</v>
          </cell>
          <cell r="AM341">
            <v>5</v>
          </cell>
          <cell r="AN341">
            <v>0</v>
          </cell>
          <cell r="AO341">
            <v>47</v>
          </cell>
          <cell r="AP341" t="str">
            <v>Kamara</v>
          </cell>
          <cell r="AQ341">
            <v>2.6751773049645391</v>
          </cell>
          <cell r="AR341">
            <v>0</v>
          </cell>
          <cell r="AS341">
            <v>3.7801418439716308</v>
          </cell>
          <cell r="AT341">
            <v>8.6652482269503537</v>
          </cell>
          <cell r="AU341">
            <v>2.2099290780141847</v>
          </cell>
          <cell r="AV341">
            <v>8.6652482269503537</v>
          </cell>
          <cell r="AW341">
            <v>8.6652482269503537</v>
          </cell>
          <cell r="AX341">
            <v>0.17289787234042547</v>
          </cell>
          <cell r="AY341">
            <v>0</v>
          </cell>
          <cell r="AZ341">
            <v>3.4</v>
          </cell>
          <cell r="BA341">
            <v>61</v>
          </cell>
          <cell r="BB341">
            <v>75</v>
          </cell>
          <cell r="BC341">
            <v>17</v>
          </cell>
          <cell r="BD341">
            <v>9</v>
          </cell>
          <cell r="BE341">
            <v>0.52941176470588236</v>
          </cell>
          <cell r="BF341">
            <v>82</v>
          </cell>
          <cell r="BG341">
            <v>0.91111111111111109</v>
          </cell>
          <cell r="BH341">
            <v>1</v>
          </cell>
          <cell r="BI341">
            <v>1</v>
          </cell>
          <cell r="BJ341">
            <v>19</v>
          </cell>
          <cell r="BK341">
            <v>0</v>
          </cell>
          <cell r="BL341">
            <v>0.94444444444444442</v>
          </cell>
          <cell r="BM341">
            <v>0.29166666666666674</v>
          </cell>
          <cell r="BN341">
            <v>0.95731707317073167</v>
          </cell>
          <cell r="BO341">
            <v>38</v>
          </cell>
          <cell r="BP341">
            <v>0</v>
          </cell>
          <cell r="BQ341">
            <v>0.41228070175438597</v>
          </cell>
          <cell r="BR341">
            <v>0.53</v>
          </cell>
          <cell r="BS341">
            <v>3.3829787234042556E-2</v>
          </cell>
          <cell r="BT341">
            <v>0.84</v>
          </cell>
          <cell r="BU341">
            <v>5.3617021276595747E-2</v>
          </cell>
          <cell r="BV341">
            <v>8.7446808510638296E-2</v>
          </cell>
          <cell r="BW341">
            <v>0</v>
          </cell>
          <cell r="BX341">
            <v>38</v>
          </cell>
          <cell r="BY341">
            <v>1.4915789473684211</v>
          </cell>
          <cell r="BZ341">
            <v>1.1514210526315787</v>
          </cell>
        </row>
        <row r="342">
          <cell r="A342" t="str">
            <v>Adam Smith</v>
          </cell>
          <cell r="B342" t="str">
            <v/>
          </cell>
          <cell r="C342" t="str">
            <v>Smith</v>
          </cell>
          <cell r="D342" t="str">
            <v/>
          </cell>
          <cell r="E342" t="str">
            <v>A Smith</v>
          </cell>
          <cell r="F342" t="str">
            <v/>
          </cell>
          <cell r="H342" t="str">
            <v/>
          </cell>
          <cell r="I342">
            <v>0</v>
          </cell>
          <cell r="J342">
            <v>1.7333333333333332</v>
          </cell>
          <cell r="K342">
            <v>2.9</v>
          </cell>
          <cell r="M342">
            <v>2.7267157651113507</v>
          </cell>
          <cell r="N342">
            <v>3.9459459459459461</v>
          </cell>
          <cell r="O342">
            <v>1.7298132844630523</v>
          </cell>
          <cell r="P342">
            <v>2.7267157651113507</v>
          </cell>
          <cell r="Q342">
            <v>3.9459459459459461</v>
          </cell>
          <cell r="R342">
            <v>5.1753731343283578</v>
          </cell>
          <cell r="S342">
            <v>2.7267157651113507</v>
          </cell>
          <cell r="T342" t="str">
            <v>DEF</v>
          </cell>
          <cell r="U342" t="str">
            <v>RB</v>
          </cell>
          <cell r="V342" t="str">
            <v>BOU</v>
          </cell>
          <cell r="W342" t="str">
            <v>Bournemouth</v>
          </cell>
          <cell r="X342">
            <v>4.5</v>
          </cell>
          <cell r="Y342">
            <v>58</v>
          </cell>
          <cell r="Z342">
            <v>0</v>
          </cell>
          <cell r="AA342">
            <v>58</v>
          </cell>
          <cell r="AB342">
            <v>1073</v>
          </cell>
          <cell r="AC342">
            <v>1073</v>
          </cell>
          <cell r="AD342">
            <v>0.58585858585858586</v>
          </cell>
          <cell r="AE342">
            <v>0</v>
          </cell>
          <cell r="AF342">
            <v>2</v>
          </cell>
          <cell r="AG342">
            <v>0</v>
          </cell>
          <cell r="AH342">
            <v>0.14846225535880708</v>
          </cell>
          <cell r="AI342">
            <v>0.14846225535880708</v>
          </cell>
          <cell r="AJ342">
            <v>9.9999999999988987E-4</v>
          </cell>
          <cell r="AK342">
            <v>4</v>
          </cell>
          <cell r="AL342">
            <v>185</v>
          </cell>
          <cell r="AM342">
            <v>3</v>
          </cell>
          <cell r="AN342">
            <v>0</v>
          </cell>
          <cell r="AO342">
            <v>64</v>
          </cell>
          <cell r="AP342" t="str">
            <v>Smith</v>
          </cell>
          <cell r="AQ342">
            <v>3.7418452935694315</v>
          </cell>
          <cell r="AR342">
            <v>0</v>
          </cell>
          <cell r="AS342">
            <v>1.972972972972973</v>
          </cell>
          <cell r="AT342">
            <v>4.7623485554520029</v>
          </cell>
          <cell r="AU342">
            <v>1.0205032618825722</v>
          </cell>
          <cell r="AV342">
            <v>4.7623485554520029</v>
          </cell>
          <cell r="AW342">
            <v>4.7623485554520029</v>
          </cell>
          <cell r="AX342">
            <v>3.0479030754892819E-2</v>
          </cell>
          <cell r="AY342">
            <v>0</v>
          </cell>
          <cell r="AZ342">
            <v>2.6</v>
          </cell>
          <cell r="BA342">
            <v>58</v>
          </cell>
          <cell r="BB342" t="str">
            <v/>
          </cell>
          <cell r="BC342">
            <v>14</v>
          </cell>
          <cell r="BD342">
            <v>5</v>
          </cell>
          <cell r="BE342">
            <v>0.35714285714285715</v>
          </cell>
          <cell r="BF342">
            <v>73</v>
          </cell>
          <cell r="BG342">
            <v>0.81111111111111112</v>
          </cell>
          <cell r="BH342">
            <v>1</v>
          </cell>
          <cell r="BI342">
            <v>8</v>
          </cell>
          <cell r="BJ342">
            <v>7</v>
          </cell>
          <cell r="BK342">
            <v>11</v>
          </cell>
          <cell r="BL342">
            <v>0.42424242424242425</v>
          </cell>
          <cell r="BM342">
            <v>0.24242424242424238</v>
          </cell>
          <cell r="BN342">
            <v>0.47945205479452052</v>
          </cell>
          <cell r="BO342">
            <v>38</v>
          </cell>
          <cell r="BP342">
            <v>0</v>
          </cell>
          <cell r="BQ342">
            <v>0.31374269005847955</v>
          </cell>
          <cell r="BR342">
            <v>0</v>
          </cell>
          <cell r="BS342">
            <v>0</v>
          </cell>
          <cell r="BT342">
            <v>0.23</v>
          </cell>
          <cell r="BU342">
            <v>1.9291705498602051E-2</v>
          </cell>
          <cell r="BV342">
            <v>1.9291705498602051E-2</v>
          </cell>
          <cell r="BW342">
            <v>0</v>
          </cell>
          <cell r="BX342">
            <v>38</v>
          </cell>
          <cell r="BY342">
            <v>1.4939473684210527</v>
          </cell>
          <cell r="BZ342">
            <v>1.1490526315789471</v>
          </cell>
        </row>
        <row r="343">
          <cell r="A343" t="str">
            <v>Bafodé Diakité</v>
          </cell>
          <cell r="B343" t="str">
            <v/>
          </cell>
          <cell r="C343" t="str">
            <v>Diakité</v>
          </cell>
          <cell r="D343" t="str">
            <v/>
          </cell>
          <cell r="H343" t="str">
            <v/>
          </cell>
          <cell r="I343">
            <v>2.4</v>
          </cell>
          <cell r="J343">
            <v>2.8333333333333335</v>
          </cell>
          <cell r="K343">
            <v>3.7</v>
          </cell>
          <cell r="M343">
            <v>2.7231202210074086</v>
          </cell>
          <cell r="N343">
            <v>2.5035294117647067</v>
          </cell>
          <cell r="O343">
            <v>1.6971372549019601</v>
          </cell>
          <cell r="P343">
            <v>2.7231202210074086</v>
          </cell>
          <cell r="Q343">
            <v>2.5035294117647067</v>
          </cell>
          <cell r="R343">
            <v>0</v>
          </cell>
          <cell r="S343">
            <v>2.7231202210074086</v>
          </cell>
          <cell r="T343" t="str">
            <v>DEF</v>
          </cell>
          <cell r="U343" t="str">
            <v>CB</v>
          </cell>
          <cell r="V343" t="str">
            <v>BOU</v>
          </cell>
          <cell r="W343" t="str">
            <v>Bournemouth</v>
          </cell>
          <cell r="X343">
            <v>5</v>
          </cell>
          <cell r="Y343">
            <v>46.000000000000007</v>
          </cell>
          <cell r="Z343">
            <v>8</v>
          </cell>
          <cell r="AA343">
            <v>38.000000000000007</v>
          </cell>
          <cell r="AB343">
            <v>1275</v>
          </cell>
          <cell r="AC343">
            <v>1275</v>
          </cell>
          <cell r="AD343">
            <v>0.51111111111111118</v>
          </cell>
          <cell r="AE343">
            <v>0</v>
          </cell>
          <cell r="AF343">
            <v>0</v>
          </cell>
          <cell r="AG343">
            <v>-1.4117647058823528E-3</v>
          </cell>
          <cell r="AH343">
            <v>-1.3411764705882352E-2</v>
          </cell>
          <cell r="AI343">
            <v>-1.4823529411764704E-2</v>
          </cell>
          <cell r="AJ343">
            <v>2.0000000000000018E-3</v>
          </cell>
          <cell r="AK343">
            <v>2</v>
          </cell>
          <cell r="AL343">
            <v>164</v>
          </cell>
          <cell r="AM343">
            <v>1</v>
          </cell>
          <cell r="AN343">
            <v>0</v>
          </cell>
          <cell r="AO343">
            <v>62</v>
          </cell>
          <cell r="AP343" t="str">
            <v>Diakité</v>
          </cell>
          <cell r="AQ343">
            <v>6.3905882352941186</v>
          </cell>
          <cell r="AR343">
            <v>0</v>
          </cell>
          <cell r="AS343">
            <v>3.1623529411764704</v>
          </cell>
          <cell r="AT343">
            <v>7.7082352941176477</v>
          </cell>
          <cell r="AU343">
            <v>1.3176470588235294</v>
          </cell>
          <cell r="AV343">
            <v>7.7082352941176477</v>
          </cell>
          <cell r="AW343">
            <v>7.7082352941176477</v>
          </cell>
          <cell r="AX343">
            <v>0.25569647058823536</v>
          </cell>
          <cell r="AY343">
            <v>0</v>
          </cell>
          <cell r="AZ343">
            <v>2.6</v>
          </cell>
          <cell r="BA343">
            <v>46.000000000000007</v>
          </cell>
          <cell r="BB343" t="str">
            <v/>
          </cell>
          <cell r="BC343">
            <v>15</v>
          </cell>
          <cell r="BD343">
            <v>13</v>
          </cell>
          <cell r="BE343">
            <v>0.8666666666666667</v>
          </cell>
          <cell r="BF343">
            <v>84</v>
          </cell>
          <cell r="BG343">
            <v>0.93333333333333335</v>
          </cell>
          <cell r="BH343">
            <v>1</v>
          </cell>
          <cell r="BI343">
            <v>3</v>
          </cell>
          <cell r="BJ343">
            <v>6</v>
          </cell>
          <cell r="BK343">
            <v>19</v>
          </cell>
          <cell r="BL343">
            <v>0.40540540540540543</v>
          </cell>
          <cell r="BM343">
            <v>8.108108108108103E-2</v>
          </cell>
          <cell r="BN343">
            <v>0.44787644787644787</v>
          </cell>
          <cell r="BO343">
            <v>38</v>
          </cell>
          <cell r="BP343">
            <v>0</v>
          </cell>
          <cell r="BQ343">
            <v>0.37280701754385964</v>
          </cell>
          <cell r="BR343">
            <v>0.02</v>
          </cell>
          <cell r="BS343">
            <v>1.4117647058823528E-3</v>
          </cell>
          <cell r="BT343">
            <v>0.19</v>
          </cell>
          <cell r="BU343">
            <v>1.3411764705882352E-2</v>
          </cell>
          <cell r="BV343">
            <v>1.4823529411764704E-2</v>
          </cell>
          <cell r="BW343">
            <v>0</v>
          </cell>
          <cell r="BX343">
            <v>38</v>
          </cell>
          <cell r="BY343">
            <v>1.4939473684210527</v>
          </cell>
          <cell r="BZ343">
            <v>1.1490526315789471</v>
          </cell>
        </row>
        <row r="344">
          <cell r="A344" t="str">
            <v>Loum Tchaouna</v>
          </cell>
          <cell r="B344" t="str">
            <v/>
          </cell>
          <cell r="C344" t="str">
            <v>Tchaouna</v>
          </cell>
          <cell r="D344" t="str">
            <v/>
          </cell>
          <cell r="F344" t="str">
            <v/>
          </cell>
          <cell r="H344" t="str">
            <v/>
          </cell>
          <cell r="I344" t="e">
            <v>#N/A</v>
          </cell>
          <cell r="J344" t="e">
            <v>#N/A</v>
          </cell>
          <cell r="K344" t="e">
            <v>#N/A</v>
          </cell>
          <cell r="M344">
            <v>2.715766084010955</v>
          </cell>
          <cell r="N344">
            <v>3.2144559173947576</v>
          </cell>
          <cell r="O344">
            <v>2.4325326876513316</v>
          </cell>
          <cell r="P344">
            <v>2.1922572207366313</v>
          </cell>
          <cell r="Q344">
            <v>0</v>
          </cell>
          <cell r="R344">
            <v>3.4382566585956416</v>
          </cell>
          <cell r="S344">
            <v>2.715766084010955</v>
          </cell>
          <cell r="T344" t="str">
            <v>MID</v>
          </cell>
          <cell r="U344" t="str">
            <v>RW</v>
          </cell>
          <cell r="V344" t="str">
            <v>COV</v>
          </cell>
          <cell r="W344" t="str">
            <v>Coventry City</v>
          </cell>
          <cell r="X344">
            <v>5.5</v>
          </cell>
          <cell r="Y344">
            <v>0</v>
          </cell>
          <cell r="Z344">
            <v>2</v>
          </cell>
          <cell r="AA344">
            <v>-2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 t="e">
            <v>#DIV/0!</v>
          </cell>
          <cell r="AH344" t="e">
            <v>#DIV/0!</v>
          </cell>
          <cell r="AI344" t="e">
            <v>#DIV/0!</v>
          </cell>
          <cell r="AJ344">
            <v>9.9999999999988987E-4</v>
          </cell>
          <cell r="AK344">
            <v>0</v>
          </cell>
          <cell r="AL344">
            <v>0</v>
          </cell>
          <cell r="AM344">
            <v>2</v>
          </cell>
          <cell r="AN344">
            <v>0</v>
          </cell>
          <cell r="AO344">
            <v>190</v>
          </cell>
          <cell r="AP344" t="str">
            <v>Tchaouna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 t="str">
            <v/>
          </cell>
          <cell r="BC344">
            <v>14</v>
          </cell>
          <cell r="BD344">
            <v>2</v>
          </cell>
          <cell r="BE344">
            <v>0.14285714285714285</v>
          </cell>
          <cell r="BF344">
            <v>71</v>
          </cell>
          <cell r="BG344">
            <v>0.78888888888888886</v>
          </cell>
          <cell r="BH344">
            <v>1</v>
          </cell>
          <cell r="BI344">
            <v>15</v>
          </cell>
          <cell r="BJ344">
            <v>18</v>
          </cell>
          <cell r="BK344">
            <v>9</v>
          </cell>
          <cell r="BL344">
            <v>0.36842105263157893</v>
          </cell>
          <cell r="BM344">
            <v>0.39473684210526316</v>
          </cell>
          <cell r="BN344">
            <v>0.52853965900667166</v>
          </cell>
          <cell r="BO344">
            <v>38</v>
          </cell>
          <cell r="BP344">
            <v>0</v>
          </cell>
          <cell r="BQ344">
            <v>0</v>
          </cell>
          <cell r="BR344">
            <v>1.27</v>
          </cell>
          <cell r="BS344">
            <v>0</v>
          </cell>
          <cell r="BT344">
            <v>0.91</v>
          </cell>
          <cell r="BU344">
            <v>0</v>
          </cell>
          <cell r="BV344">
            <v>0</v>
          </cell>
          <cell r="BW344">
            <v>0</v>
          </cell>
          <cell r="BX344">
            <v>38</v>
          </cell>
          <cell r="BY344">
            <v>1.7926315789473686</v>
          </cell>
          <cell r="BZ344">
            <v>0.85036842105263122</v>
          </cell>
        </row>
        <row r="345">
          <cell r="A345" t="str">
            <v>Ilia Gruev</v>
          </cell>
          <cell r="B345" t="str">
            <v/>
          </cell>
          <cell r="C345" t="str">
            <v>Gruev</v>
          </cell>
          <cell r="D345" t="str">
            <v/>
          </cell>
          <cell r="F345" t="str">
            <v/>
          </cell>
          <cell r="H345" t="str">
            <v/>
          </cell>
          <cell r="I345" t="e">
            <v>#N/A</v>
          </cell>
          <cell r="J345" t="e">
            <v>#N/A</v>
          </cell>
          <cell r="K345" t="e">
            <v>#N/A</v>
          </cell>
          <cell r="M345">
            <v>2.7156646799035489</v>
          </cell>
          <cell r="N345">
            <v>3.2367223065250381</v>
          </cell>
          <cell r="O345">
            <v>2.0899089529590285</v>
          </cell>
          <cell r="P345">
            <v>2.7156646799035489</v>
          </cell>
          <cell r="Q345">
            <v>3.2367223065250381</v>
          </cell>
          <cell r="R345">
            <v>6.583333333333333</v>
          </cell>
          <cell r="S345">
            <v>2.7156646799035489</v>
          </cell>
          <cell r="T345" t="str">
            <v>MID</v>
          </cell>
          <cell r="U345" t="str">
            <v>DM</v>
          </cell>
          <cell r="V345" t="str">
            <v>LEE</v>
          </cell>
          <cell r="W345" t="str">
            <v>Leeds</v>
          </cell>
          <cell r="X345">
            <v>5</v>
          </cell>
          <cell r="Y345">
            <v>56.000000000000007</v>
          </cell>
          <cell r="Z345">
            <v>2</v>
          </cell>
          <cell r="AA345">
            <v>54.000000000000007</v>
          </cell>
          <cell r="AB345">
            <v>1318</v>
          </cell>
          <cell r="AC345">
            <v>1318</v>
          </cell>
          <cell r="AD345">
            <v>0.48695652173913045</v>
          </cell>
          <cell r="AE345">
            <v>0</v>
          </cell>
          <cell r="AF345">
            <v>4</v>
          </cell>
          <cell r="AG345">
            <v>-3.3459787556904402E-2</v>
          </cell>
          <cell r="AH345">
            <v>0.21441578148710169</v>
          </cell>
          <cell r="AI345">
            <v>0.18095599393019729</v>
          </cell>
          <cell r="AJ345">
            <v>0</v>
          </cell>
          <cell r="AK345">
            <v>3</v>
          </cell>
          <cell r="AL345">
            <v>245</v>
          </cell>
          <cell r="AM345">
            <v>3</v>
          </cell>
          <cell r="AN345">
            <v>0</v>
          </cell>
          <cell r="AO345">
            <v>344</v>
          </cell>
          <cell r="AP345" t="str">
            <v>Gruev</v>
          </cell>
          <cell r="AQ345">
            <v>2.3975720789074355</v>
          </cell>
          <cell r="AR345">
            <v>0</v>
          </cell>
          <cell r="AS345">
            <v>3.0569044006069803</v>
          </cell>
          <cell r="AT345">
            <v>6.8330804248861909</v>
          </cell>
          <cell r="AU345">
            <v>1.3786039453717753</v>
          </cell>
          <cell r="AV345">
            <v>6.8330804248861909</v>
          </cell>
          <cell r="AW345">
            <v>6.8330804248861909</v>
          </cell>
          <cell r="AX345">
            <v>5.1736180359852592E-2</v>
          </cell>
          <cell r="AY345">
            <v>0</v>
          </cell>
          <cell r="AZ345">
            <v>2.4</v>
          </cell>
          <cell r="BA345">
            <v>56.000000000000007</v>
          </cell>
          <cell r="BB345" t="str">
            <v/>
          </cell>
          <cell r="BC345">
            <v>15</v>
          </cell>
          <cell r="BD345">
            <v>6</v>
          </cell>
          <cell r="BE345">
            <v>0.4</v>
          </cell>
          <cell r="BF345">
            <v>79</v>
          </cell>
          <cell r="BG345">
            <v>0.87777777777777777</v>
          </cell>
          <cell r="BH345">
            <v>1</v>
          </cell>
          <cell r="BI345">
            <v>8</v>
          </cell>
          <cell r="BJ345">
            <v>17</v>
          </cell>
          <cell r="BK345">
            <v>10</v>
          </cell>
          <cell r="BL345">
            <v>0.45454545454545453</v>
          </cell>
          <cell r="BM345">
            <v>0.24242424242424238</v>
          </cell>
          <cell r="BN345">
            <v>0.57192174913693894</v>
          </cell>
          <cell r="BO345">
            <v>38</v>
          </cell>
          <cell r="BP345">
            <v>0</v>
          </cell>
          <cell r="BQ345">
            <v>0.38538011695906432</v>
          </cell>
          <cell r="BR345">
            <v>0.49</v>
          </cell>
          <cell r="BS345">
            <v>3.3459787556904402E-2</v>
          </cell>
          <cell r="BT345">
            <v>0.86</v>
          </cell>
          <cell r="BU345">
            <v>5.8725341426403642E-2</v>
          </cell>
          <cell r="BV345">
            <v>9.2185128983308051E-2</v>
          </cell>
          <cell r="BW345">
            <v>0</v>
          </cell>
          <cell r="BX345">
            <v>38</v>
          </cell>
          <cell r="BY345">
            <v>1.4823684210526316</v>
          </cell>
          <cell r="BZ345">
            <v>1.1606315789473682</v>
          </cell>
        </row>
        <row r="346">
          <cell r="A346" t="str">
            <v>Ethan Pinnock</v>
          </cell>
          <cell r="B346" t="str">
            <v/>
          </cell>
          <cell r="C346" t="str">
            <v>Pinnock</v>
          </cell>
          <cell r="D346" t="str">
            <v/>
          </cell>
          <cell r="F346" t="str">
            <v/>
          </cell>
          <cell r="H346" t="str">
            <v/>
          </cell>
          <cell r="I346">
            <v>2.1</v>
          </cell>
          <cell r="J346">
            <v>2.8333333333333335</v>
          </cell>
          <cell r="K346">
            <v>3.7</v>
          </cell>
          <cell r="M346">
            <v>2.71562847520046</v>
          </cell>
          <cell r="N346">
            <v>2.5157232704402515</v>
          </cell>
          <cell r="O346">
            <v>1.3831132075471702</v>
          </cell>
          <cell r="P346">
            <v>2.71562847520046</v>
          </cell>
          <cell r="Q346">
            <v>2.5157232704402515</v>
          </cell>
          <cell r="R346">
            <v>0</v>
          </cell>
          <cell r="S346">
            <v>2.71562847520046</v>
          </cell>
          <cell r="T346" t="str">
            <v>DEF</v>
          </cell>
          <cell r="U346" t="str">
            <v>CB</v>
          </cell>
          <cell r="V346" t="str">
            <v>BRE</v>
          </cell>
          <cell r="W346" t="str">
            <v>Brentford</v>
          </cell>
          <cell r="X346">
            <v>4.5</v>
          </cell>
          <cell r="Y346">
            <v>14</v>
          </cell>
          <cell r="Z346">
            <v>4</v>
          </cell>
          <cell r="AA346">
            <v>10</v>
          </cell>
          <cell r="AB346">
            <v>318</v>
          </cell>
          <cell r="AC346">
            <v>318</v>
          </cell>
          <cell r="AD346">
            <v>0.77777777777777779</v>
          </cell>
          <cell r="AE346">
            <v>0</v>
          </cell>
          <cell r="AF346">
            <v>0</v>
          </cell>
          <cell r="AG346">
            <v>-2.8301886792452828E-3</v>
          </cell>
          <cell r="AH346">
            <v>-1.6981132075471698E-2</v>
          </cell>
          <cell r="AI346">
            <v>-1.981132075471698E-2</v>
          </cell>
          <cell r="AJ346">
            <v>9.9999999999988987E-4</v>
          </cell>
          <cell r="AK346">
            <v>2</v>
          </cell>
          <cell r="AL346">
            <v>53</v>
          </cell>
          <cell r="AM346">
            <v>1</v>
          </cell>
          <cell r="AN346">
            <v>0</v>
          </cell>
          <cell r="AO346">
            <v>91</v>
          </cell>
          <cell r="AP346" t="str">
            <v>Pinnock</v>
          </cell>
          <cell r="AQ346">
            <v>9.3081761006289305</v>
          </cell>
          <cell r="AR346">
            <v>0</v>
          </cell>
          <cell r="AS346">
            <v>2.7672955974842766</v>
          </cell>
          <cell r="AT346">
            <v>10.566037735849056</v>
          </cell>
          <cell r="AU346">
            <v>1.2578616352201257</v>
          </cell>
          <cell r="AV346">
            <v>10.566037735849056</v>
          </cell>
          <cell r="AW346">
            <v>10.566037735849056</v>
          </cell>
          <cell r="AX346">
            <v>0.60540566037735843</v>
          </cell>
          <cell r="AY346">
            <v>0</v>
          </cell>
          <cell r="AZ346">
            <v>3.5</v>
          </cell>
          <cell r="BA346">
            <v>14</v>
          </cell>
          <cell r="BB346" t="str">
            <v/>
          </cell>
          <cell r="BC346">
            <v>4</v>
          </cell>
          <cell r="BD346">
            <v>1</v>
          </cell>
          <cell r="BE346">
            <v>0.25</v>
          </cell>
          <cell r="BF346">
            <v>80</v>
          </cell>
          <cell r="BG346">
            <v>0.88888888888888884</v>
          </cell>
          <cell r="BH346">
            <v>1</v>
          </cell>
          <cell r="BI346">
            <v>0</v>
          </cell>
          <cell r="BJ346">
            <v>0</v>
          </cell>
          <cell r="BK346">
            <v>32</v>
          </cell>
          <cell r="BL346">
            <v>0.1111111111111111</v>
          </cell>
          <cell r="BM346">
            <v>0</v>
          </cell>
          <cell r="BN346">
            <v>0.11111111111111112</v>
          </cell>
          <cell r="BO346">
            <v>38</v>
          </cell>
          <cell r="BP346">
            <v>0</v>
          </cell>
          <cell r="BQ346">
            <v>9.2982456140350875E-2</v>
          </cell>
          <cell r="BR346">
            <v>0.01</v>
          </cell>
          <cell r="BS346">
            <v>2.8301886792452828E-3</v>
          </cell>
          <cell r="BT346">
            <v>0.06</v>
          </cell>
          <cell r="BU346">
            <v>1.6981132075471698E-2</v>
          </cell>
          <cell r="BV346">
            <v>1.981132075471698E-2</v>
          </cell>
          <cell r="BW346">
            <v>0</v>
          </cell>
          <cell r="BX346">
            <v>38</v>
          </cell>
          <cell r="BY346">
            <v>1.5555263157894736</v>
          </cell>
          <cell r="BZ346">
            <v>1.0874736842105261</v>
          </cell>
        </row>
        <row r="347">
          <cell r="A347" t="str">
            <v>Destiny Udogie</v>
          </cell>
          <cell r="B347" t="str">
            <v/>
          </cell>
          <cell r="C347" t="str">
            <v>Udogie</v>
          </cell>
          <cell r="D347" t="str">
            <v/>
          </cell>
          <cell r="F347" t="str">
            <v/>
          </cell>
          <cell r="H347" t="str">
            <v/>
          </cell>
          <cell r="I347">
            <v>1.7</v>
          </cell>
          <cell r="J347">
            <v>2.25</v>
          </cell>
          <cell r="K347">
            <v>2.8</v>
          </cell>
          <cell r="M347">
            <v>2.7075251467293264</v>
          </cell>
          <cell r="N347">
            <v>1.8029962546816483</v>
          </cell>
          <cell r="O347">
            <v>1.7057214811534842</v>
          </cell>
          <cell r="P347">
            <v>2.7075251467293264</v>
          </cell>
          <cell r="Q347">
            <v>1.8029962546816483</v>
          </cell>
          <cell r="R347">
            <v>2.6576354679802958</v>
          </cell>
          <cell r="S347">
            <v>2.7075251467293264</v>
          </cell>
          <cell r="T347" t="str">
            <v>DEF</v>
          </cell>
          <cell r="U347" t="str">
            <v>LB</v>
          </cell>
          <cell r="V347" t="str">
            <v>TOT</v>
          </cell>
          <cell r="W347" t="str">
            <v>Spurs</v>
          </cell>
          <cell r="X347">
            <v>4.5</v>
          </cell>
          <cell r="Y347">
            <v>29</v>
          </cell>
          <cell r="Z347">
            <v>0</v>
          </cell>
          <cell r="AA347">
            <v>29</v>
          </cell>
          <cell r="AB347">
            <v>1335</v>
          </cell>
          <cell r="AC347">
            <v>1335</v>
          </cell>
          <cell r="AD347">
            <v>0.32222222222222219</v>
          </cell>
          <cell r="AE347">
            <v>0</v>
          </cell>
          <cell r="AF347">
            <v>1</v>
          </cell>
          <cell r="AG347">
            <v>-1.2134831460674156E-2</v>
          </cell>
          <cell r="AH347">
            <v>1.8876404494382028E-2</v>
          </cell>
          <cell r="AI347">
            <v>6.7415730337078705E-3</v>
          </cell>
          <cell r="AJ347">
            <v>4.0000000000000036E-3</v>
          </cell>
          <cell r="AK347">
            <v>1</v>
          </cell>
          <cell r="AL347">
            <v>121</v>
          </cell>
          <cell r="AM347">
            <v>4</v>
          </cell>
          <cell r="AN347">
            <v>0</v>
          </cell>
          <cell r="AO347">
            <v>506</v>
          </cell>
          <cell r="AP347" t="str">
            <v>Udogie</v>
          </cell>
          <cell r="AQ347">
            <v>2.3003745318352058</v>
          </cell>
          <cell r="AR347">
            <v>0</v>
          </cell>
          <cell r="AS347">
            <v>4.3520599250936334</v>
          </cell>
          <cell r="AT347">
            <v>4.2277153558052429</v>
          </cell>
          <cell r="AU347">
            <v>1.9273408239700374</v>
          </cell>
          <cell r="AV347">
            <v>4.2277153558052429</v>
          </cell>
          <cell r="AW347">
            <v>4.2277153558052429</v>
          </cell>
          <cell r="AX347">
            <v>2.7057378277153554E-2</v>
          </cell>
          <cell r="AY347">
            <v>0</v>
          </cell>
          <cell r="AZ347">
            <v>1.4</v>
          </cell>
          <cell r="BA347">
            <v>29</v>
          </cell>
          <cell r="BB347" t="str">
            <v/>
          </cell>
          <cell r="BC347">
            <v>14</v>
          </cell>
          <cell r="BD347">
            <v>7</v>
          </cell>
          <cell r="BE347">
            <v>0.5</v>
          </cell>
          <cell r="BF347">
            <v>83</v>
          </cell>
          <cell r="BG347">
            <v>0.92222222222222228</v>
          </cell>
          <cell r="BH347">
            <v>1</v>
          </cell>
          <cell r="BI347">
            <v>6</v>
          </cell>
          <cell r="BJ347">
            <v>29</v>
          </cell>
          <cell r="BK347">
            <v>1</v>
          </cell>
          <cell r="BL347">
            <v>0.66666666666666663</v>
          </cell>
          <cell r="BM347">
            <v>0.28571428571428575</v>
          </cell>
          <cell r="BN347">
            <v>0.7831325301204819</v>
          </cell>
          <cell r="BO347">
            <v>38</v>
          </cell>
          <cell r="BP347">
            <v>0</v>
          </cell>
          <cell r="BQ347">
            <v>0.39035087719298245</v>
          </cell>
          <cell r="BR347">
            <v>0.18</v>
          </cell>
          <cell r="BS347">
            <v>1.2134831460674156E-2</v>
          </cell>
          <cell r="BT347">
            <v>0.72</v>
          </cell>
          <cell r="BU347">
            <v>4.8539325842696622E-2</v>
          </cell>
          <cell r="BV347">
            <v>6.0674157303370779E-2</v>
          </cell>
          <cell r="BW347">
            <v>0</v>
          </cell>
          <cell r="BX347">
            <v>38</v>
          </cell>
          <cell r="BY347">
            <v>1.4628947368421052</v>
          </cell>
          <cell r="BZ347">
            <v>1.1801052631578945</v>
          </cell>
        </row>
        <row r="348">
          <cell r="A348" t="str">
            <v>Ola Aina</v>
          </cell>
          <cell r="B348" t="str">
            <v/>
          </cell>
          <cell r="C348" t="str">
            <v>Aina</v>
          </cell>
          <cell r="D348" t="str">
            <v/>
          </cell>
          <cell r="F348" t="str">
            <v/>
          </cell>
          <cell r="H348" t="str">
            <v/>
          </cell>
          <cell r="I348">
            <v>2</v>
          </cell>
          <cell r="J348">
            <v>2.85</v>
          </cell>
          <cell r="K348">
            <v>3.7</v>
          </cell>
          <cell r="M348">
            <v>2.7048057263014496</v>
          </cell>
          <cell r="N348">
            <v>3.4933837429111527</v>
          </cell>
          <cell r="O348">
            <v>1.6745417769376183</v>
          </cell>
          <cell r="P348">
            <v>2.7048057263014496</v>
          </cell>
          <cell r="Q348">
            <v>3.4933837429111527</v>
          </cell>
          <cell r="R348">
            <v>5.3777777777777773</v>
          </cell>
          <cell r="S348">
            <v>2.7048057263014496</v>
          </cell>
          <cell r="T348" t="str">
            <v>DEF</v>
          </cell>
          <cell r="U348" t="str">
            <v>RB</v>
          </cell>
          <cell r="V348" t="str">
            <v>NFO</v>
          </cell>
          <cell r="W348" t="str">
            <v>Nott'm Forest</v>
          </cell>
          <cell r="X348">
            <v>4.5</v>
          </cell>
          <cell r="Y348">
            <v>67</v>
          </cell>
          <cell r="Z348">
            <v>4</v>
          </cell>
          <cell r="AA348">
            <v>63</v>
          </cell>
          <cell r="AB348">
            <v>1587</v>
          </cell>
          <cell r="AC348">
            <v>1587</v>
          </cell>
          <cell r="AD348">
            <v>0.8271604938271605</v>
          </cell>
          <cell r="AE348">
            <v>0</v>
          </cell>
          <cell r="AF348">
            <v>2</v>
          </cell>
          <cell r="AG348">
            <v>-2.3251417769376177E-2</v>
          </cell>
          <cell r="AH348">
            <v>6.5784499054820422E-2</v>
          </cell>
          <cell r="AI348">
            <v>4.2533081285444252E-2</v>
          </cell>
          <cell r="AJ348">
            <v>4.2999999999999927E-2</v>
          </cell>
          <cell r="AK348">
            <v>5</v>
          </cell>
          <cell r="AL348">
            <v>264</v>
          </cell>
          <cell r="AM348">
            <v>3</v>
          </cell>
          <cell r="AN348">
            <v>0</v>
          </cell>
          <cell r="AO348">
            <v>473</v>
          </cell>
          <cell r="AP348" t="str">
            <v>Aina</v>
          </cell>
          <cell r="AQ348">
            <v>5.4896030245746692</v>
          </cell>
          <cell r="AR348">
            <v>0</v>
          </cell>
          <cell r="AS348">
            <v>4.4914933837429105</v>
          </cell>
          <cell r="AT348">
            <v>7.2085696282293625</v>
          </cell>
          <cell r="AU348">
            <v>1.7189666036546944</v>
          </cell>
          <cell r="AV348">
            <v>7.2085696282293625</v>
          </cell>
          <cell r="AW348">
            <v>7.2085696282293625</v>
          </cell>
          <cell r="AX348">
            <v>0.19523692501575288</v>
          </cell>
          <cell r="AY348">
            <v>0</v>
          </cell>
          <cell r="AZ348">
            <v>3.7</v>
          </cell>
          <cell r="BA348">
            <v>67</v>
          </cell>
          <cell r="BB348" t="str">
            <v/>
          </cell>
          <cell r="BC348">
            <v>18</v>
          </cell>
          <cell r="BD348">
            <v>15</v>
          </cell>
          <cell r="BE348">
            <v>0.83333333333333337</v>
          </cell>
          <cell r="BF348">
            <v>88</v>
          </cell>
          <cell r="BG348">
            <v>0.97777777777777775</v>
          </cell>
          <cell r="BH348">
            <v>1</v>
          </cell>
          <cell r="BI348">
            <v>0</v>
          </cell>
          <cell r="BJ348">
            <v>0</v>
          </cell>
          <cell r="BK348">
            <v>0</v>
          </cell>
          <cell r="BL348">
            <v>1</v>
          </cell>
          <cell r="BM348">
            <v>0</v>
          </cell>
          <cell r="BN348">
            <v>1</v>
          </cell>
          <cell r="BO348">
            <v>38</v>
          </cell>
          <cell r="BP348">
            <v>0</v>
          </cell>
          <cell r="BQ348">
            <v>0.46403508771929824</v>
          </cell>
          <cell r="BR348">
            <v>0.41</v>
          </cell>
          <cell r="BS348">
            <v>2.3251417769376177E-2</v>
          </cell>
          <cell r="BT348">
            <v>0.84</v>
          </cell>
          <cell r="BU348">
            <v>4.7637051039697537E-2</v>
          </cell>
          <cell r="BV348">
            <v>7.0888468809073707E-2</v>
          </cell>
          <cell r="BW348">
            <v>0</v>
          </cell>
          <cell r="BX348">
            <v>38</v>
          </cell>
          <cell r="BY348">
            <v>1.7036842105263157</v>
          </cell>
          <cell r="BZ348">
            <v>0.9393157894736841</v>
          </cell>
        </row>
        <row r="349">
          <cell r="A349" t="str">
            <v>Luke O'Nien</v>
          </cell>
          <cell r="B349" t="str">
            <v/>
          </cell>
          <cell r="C349" t="str">
            <v>O'Nien</v>
          </cell>
          <cell r="D349" t="str">
            <v/>
          </cell>
          <cell r="F349" t="str">
            <v/>
          </cell>
          <cell r="H349" t="str">
            <v/>
          </cell>
          <cell r="I349" t="e">
            <v>#N/A</v>
          </cell>
          <cell r="J349" t="e">
            <v>#N/A</v>
          </cell>
          <cell r="K349" t="e">
            <v>#N/A</v>
          </cell>
          <cell r="M349">
            <v>2.7042879419852301</v>
          </cell>
          <cell r="N349">
            <v>3.8230088495575218</v>
          </cell>
          <cell r="O349">
            <v>1.7793679612578073</v>
          </cell>
          <cell r="P349">
            <v>2.7042879419852301</v>
          </cell>
          <cell r="Q349">
            <v>3.8230088495575218</v>
          </cell>
          <cell r="R349">
            <v>3.6437246963562755</v>
          </cell>
          <cell r="S349">
            <v>2.7042879419852301</v>
          </cell>
          <cell r="T349" t="str">
            <v>DEF</v>
          </cell>
          <cell r="U349" t="str">
            <v>CB</v>
          </cell>
          <cell r="V349" t="str">
            <v>SUN</v>
          </cell>
          <cell r="W349" t="str">
            <v>Sunderland</v>
          </cell>
          <cell r="X349">
            <v>4</v>
          </cell>
          <cell r="Y349">
            <v>26</v>
          </cell>
          <cell r="Z349">
            <v>2</v>
          </cell>
          <cell r="AA349">
            <v>24</v>
          </cell>
          <cell r="AB349">
            <v>565</v>
          </cell>
          <cell r="AC349">
            <v>565</v>
          </cell>
          <cell r="AD349">
            <v>0.54166666666666663</v>
          </cell>
          <cell r="AE349">
            <v>0</v>
          </cell>
          <cell r="AF349">
            <v>1</v>
          </cell>
          <cell r="AG349">
            <v>-2.3893805309734509E-2</v>
          </cell>
          <cell r="AH349">
            <v>0.13858407079646018</v>
          </cell>
          <cell r="AI349">
            <v>0.11469026548672566</v>
          </cell>
          <cell r="AJ349">
            <v>2.4000000000000021E-2</v>
          </cell>
          <cell r="AK349">
            <v>1</v>
          </cell>
          <cell r="AL349">
            <v>90</v>
          </cell>
          <cell r="AM349">
            <v>1</v>
          </cell>
          <cell r="AN349">
            <v>0</v>
          </cell>
          <cell r="AO349">
            <v>539</v>
          </cell>
          <cell r="AP349" t="str">
            <v>O'Nien</v>
          </cell>
          <cell r="AQ349">
            <v>5.8938053097345131</v>
          </cell>
          <cell r="AR349">
            <v>0</v>
          </cell>
          <cell r="AS349">
            <v>1.5929203539823009</v>
          </cell>
          <cell r="AT349">
            <v>6.8495575221238933</v>
          </cell>
          <cell r="AU349">
            <v>0.95575221238938046</v>
          </cell>
          <cell r="AV349">
            <v>6.8495575221238933</v>
          </cell>
          <cell r="AW349">
            <v>6.8495575221238933</v>
          </cell>
          <cell r="AX349">
            <v>0.15961946902654867</v>
          </cell>
          <cell r="AY349">
            <v>0</v>
          </cell>
          <cell r="AZ349">
            <v>2.2000000000000002</v>
          </cell>
          <cell r="BA349">
            <v>26</v>
          </cell>
          <cell r="BB349" t="str">
            <v/>
          </cell>
          <cell r="BC349">
            <v>5</v>
          </cell>
          <cell r="BD349">
            <v>5</v>
          </cell>
          <cell r="BE349">
            <v>1</v>
          </cell>
          <cell r="BF349">
            <v>90</v>
          </cell>
          <cell r="BG349">
            <v>1</v>
          </cell>
          <cell r="BH349">
            <v>1</v>
          </cell>
          <cell r="BI349">
            <v>7</v>
          </cell>
          <cell r="BJ349">
            <v>17</v>
          </cell>
          <cell r="BK349">
            <v>17</v>
          </cell>
          <cell r="BL349">
            <v>0.17241379310344829</v>
          </cell>
          <cell r="BM349">
            <v>0.24137931034482751</v>
          </cell>
          <cell r="BN349">
            <v>0.328735632183908</v>
          </cell>
          <cell r="BO349">
            <v>38</v>
          </cell>
          <cell r="BP349">
            <v>0</v>
          </cell>
          <cell r="BQ349">
            <v>0.1652046783625731</v>
          </cell>
          <cell r="BR349">
            <v>0.15</v>
          </cell>
          <cell r="BS349">
            <v>2.3893805309734509E-2</v>
          </cell>
          <cell r="BT349">
            <v>0.13</v>
          </cell>
          <cell r="BU349">
            <v>2.0707964601769914E-2</v>
          </cell>
          <cell r="BV349">
            <v>4.4601769911504427E-2</v>
          </cell>
          <cell r="BW349">
            <v>0</v>
          </cell>
          <cell r="BX349">
            <v>38</v>
          </cell>
          <cell r="BY349">
            <v>1.5878947368421052</v>
          </cell>
          <cell r="BZ349">
            <v>1.0551052631578945</v>
          </cell>
        </row>
        <row r="350">
          <cell r="A350" t="str">
            <v>Axel Disasi</v>
          </cell>
          <cell r="B350" t="str">
            <v/>
          </cell>
          <cell r="C350" t="str">
            <v>Disasi</v>
          </cell>
          <cell r="D350" t="str">
            <v/>
          </cell>
          <cell r="F350" t="str">
            <v/>
          </cell>
          <cell r="H350" t="str">
            <v/>
          </cell>
          <cell r="I350" t="e">
            <v>#N/A</v>
          </cell>
          <cell r="J350" t="e">
            <v>#N/A</v>
          </cell>
          <cell r="K350" t="e">
            <v>#N/A</v>
          </cell>
          <cell r="M350">
            <v>2.7030480217025059</v>
          </cell>
          <cell r="N350">
            <v>3.5167464114832536</v>
          </cell>
          <cell r="O350">
            <v>1.3999906367041204</v>
          </cell>
          <cell r="P350">
            <v>2.6075826789888303</v>
          </cell>
          <cell r="Q350">
            <v>0</v>
          </cell>
          <cell r="R350">
            <v>3.7078651685393256</v>
          </cell>
          <cell r="S350">
            <v>2.7030480217025059</v>
          </cell>
          <cell r="T350" t="str">
            <v>DEF</v>
          </cell>
          <cell r="U350" t="str">
            <v>CB</v>
          </cell>
          <cell r="V350" t="str">
            <v>CHE</v>
          </cell>
          <cell r="W350" t="str">
            <v>Chelsea</v>
          </cell>
          <cell r="X350">
            <v>4.5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 t="e">
            <v>#DIV/0!</v>
          </cell>
          <cell r="AH350" t="e">
            <v>#DIV/0!</v>
          </cell>
          <cell r="AI350" t="e">
            <v>#DIV/0!</v>
          </cell>
          <cell r="AJ350">
            <v>9.9999999999988987E-4</v>
          </cell>
          <cell r="AK350">
            <v>0</v>
          </cell>
          <cell r="AL350">
            <v>0</v>
          </cell>
          <cell r="AM350">
            <v>1</v>
          </cell>
          <cell r="AN350">
            <v>0</v>
          </cell>
          <cell r="AO350">
            <v>153</v>
          </cell>
          <cell r="AP350" t="str">
            <v>Disasi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 t="str">
            <v/>
          </cell>
          <cell r="BC350">
            <v>14</v>
          </cell>
          <cell r="BD350">
            <v>13</v>
          </cell>
          <cell r="BE350">
            <v>0.9285714285714286</v>
          </cell>
          <cell r="BF350">
            <v>90</v>
          </cell>
          <cell r="BG350">
            <v>1</v>
          </cell>
          <cell r="BH350">
            <v>1</v>
          </cell>
          <cell r="BI350">
            <v>0</v>
          </cell>
          <cell r="BJ350">
            <v>0</v>
          </cell>
          <cell r="BK350">
            <v>0</v>
          </cell>
          <cell r="BL350">
            <v>1</v>
          </cell>
          <cell r="BM350">
            <v>0</v>
          </cell>
          <cell r="BN350">
            <v>1</v>
          </cell>
          <cell r="BO350">
            <v>38</v>
          </cell>
          <cell r="BP350">
            <v>0</v>
          </cell>
          <cell r="BQ350">
            <v>0</v>
          </cell>
          <cell r="BR350">
            <v>1.1000000000000001</v>
          </cell>
          <cell r="BS350">
            <v>0</v>
          </cell>
          <cell r="BT350">
            <v>0.03</v>
          </cell>
          <cell r="BU350">
            <v>0</v>
          </cell>
          <cell r="BV350">
            <v>0</v>
          </cell>
          <cell r="BW350">
            <v>0</v>
          </cell>
          <cell r="BX350">
            <v>38</v>
          </cell>
          <cell r="BY350">
            <v>1.4473684210526316</v>
          </cell>
          <cell r="BZ350">
            <v>1.1956315789473682</v>
          </cell>
        </row>
        <row r="351">
          <cell r="A351" t="str">
            <v>Dan Burn</v>
          </cell>
          <cell r="B351" t="str">
            <v/>
          </cell>
          <cell r="C351" t="str">
            <v>Burn</v>
          </cell>
          <cell r="D351" t="str">
            <v/>
          </cell>
          <cell r="F351" t="str">
            <v/>
          </cell>
          <cell r="H351" t="str">
            <v/>
          </cell>
          <cell r="I351">
            <v>2.9</v>
          </cell>
          <cell r="J351">
            <v>3.1333333333333333</v>
          </cell>
          <cell r="K351">
            <v>3.4</v>
          </cell>
          <cell r="M351">
            <v>2.7024919256872737</v>
          </cell>
          <cell r="N351">
            <v>2.8601366742596812</v>
          </cell>
          <cell r="O351">
            <v>2.2461317862566434</v>
          </cell>
          <cell r="P351">
            <v>2.7024919256872737</v>
          </cell>
          <cell r="Q351">
            <v>2.8601366742596812</v>
          </cell>
          <cell r="R351">
            <v>3.359375</v>
          </cell>
          <cell r="S351">
            <v>2.7024919256872737</v>
          </cell>
          <cell r="T351" t="str">
            <v>DEF</v>
          </cell>
          <cell r="U351" t="str">
            <v>CB</v>
          </cell>
          <cell r="V351" t="str">
            <v>NEW</v>
          </cell>
          <cell r="W351" t="str">
            <v>Newcastle</v>
          </cell>
          <cell r="X351">
            <v>5</v>
          </cell>
          <cell r="Y351">
            <v>93</v>
          </cell>
          <cell r="Z351">
            <v>20</v>
          </cell>
          <cell r="AA351">
            <v>73</v>
          </cell>
          <cell r="AB351">
            <v>2195</v>
          </cell>
          <cell r="AC351">
            <v>2195</v>
          </cell>
          <cell r="AD351">
            <v>0.64137931034482754</v>
          </cell>
          <cell r="AE351">
            <v>1</v>
          </cell>
          <cell r="AF351">
            <v>3</v>
          </cell>
          <cell r="AG351">
            <v>-3.280182232346246E-3</v>
          </cell>
          <cell r="AH351">
            <v>0.10824601366742598</v>
          </cell>
          <cell r="AI351">
            <v>0.10496583143507973</v>
          </cell>
          <cell r="AJ351">
            <v>2.4000000000000021E-2</v>
          </cell>
          <cell r="AK351">
            <v>5</v>
          </cell>
          <cell r="AL351">
            <v>286</v>
          </cell>
          <cell r="AM351">
            <v>9</v>
          </cell>
          <cell r="AN351">
            <v>0</v>
          </cell>
          <cell r="AO351">
            <v>448</v>
          </cell>
          <cell r="AP351" t="str">
            <v>Burn</v>
          </cell>
          <cell r="AQ351">
            <v>7.2482915717539873</v>
          </cell>
          <cell r="AR351">
            <v>0</v>
          </cell>
          <cell r="AS351">
            <v>2.9776765375854213</v>
          </cell>
          <cell r="AT351">
            <v>8.8154897494305242</v>
          </cell>
          <cell r="AU351">
            <v>1.5671981776765376</v>
          </cell>
          <cell r="AV351">
            <v>8.8154897494305242</v>
          </cell>
          <cell r="AW351">
            <v>8.8154897494305242</v>
          </cell>
          <cell r="AX351">
            <v>0.38967425968109337</v>
          </cell>
          <cell r="AY351">
            <v>0</v>
          </cell>
          <cell r="AZ351">
            <v>3.2</v>
          </cell>
          <cell r="BA351">
            <v>93</v>
          </cell>
          <cell r="BB351" t="str">
            <v/>
          </cell>
          <cell r="BC351">
            <v>25</v>
          </cell>
          <cell r="BD351">
            <v>21</v>
          </cell>
          <cell r="BE351">
            <v>0.84</v>
          </cell>
          <cell r="BF351">
            <v>86</v>
          </cell>
          <cell r="BG351">
            <v>0.9555555555555556</v>
          </cell>
          <cell r="BH351">
            <v>1</v>
          </cell>
          <cell r="BI351">
            <v>4</v>
          </cell>
          <cell r="BJ351">
            <v>13</v>
          </cell>
          <cell r="BK351">
            <v>2</v>
          </cell>
          <cell r="BL351">
            <v>0.80645161290322576</v>
          </cell>
          <cell r="BM351">
            <v>0.12903225806451618</v>
          </cell>
          <cell r="BN351">
            <v>0.83570892723180779</v>
          </cell>
          <cell r="BO351">
            <v>38</v>
          </cell>
          <cell r="BP351">
            <v>0</v>
          </cell>
          <cell r="BQ351">
            <v>0.64181286549707606</v>
          </cell>
          <cell r="BR351">
            <v>1.08</v>
          </cell>
          <cell r="BS351">
            <v>4.4282460136674265E-2</v>
          </cell>
          <cell r="BT351">
            <v>0.36</v>
          </cell>
          <cell r="BU351">
            <v>1.4760820045558084E-2</v>
          </cell>
          <cell r="BV351">
            <v>5.9043280182232351E-2</v>
          </cell>
          <cell r="BW351">
            <v>0</v>
          </cell>
          <cell r="BX351">
            <v>38</v>
          </cell>
          <cell r="BY351">
            <v>1.5081578947368421</v>
          </cell>
          <cell r="BZ351">
            <v>1.1348421052631577</v>
          </cell>
        </row>
        <row r="352">
          <cell r="A352" t="str">
            <v>Sander Berge</v>
          </cell>
          <cell r="B352" t="str">
            <v/>
          </cell>
          <cell r="C352" t="str">
            <v>Berge</v>
          </cell>
          <cell r="D352" t="str">
            <v/>
          </cell>
          <cell r="F352" t="str">
            <v/>
          </cell>
          <cell r="H352" t="str">
            <v/>
          </cell>
          <cell r="I352">
            <v>1.7</v>
          </cell>
          <cell r="J352">
            <v>1.85</v>
          </cell>
          <cell r="K352">
            <v>2</v>
          </cell>
          <cell r="M352">
            <v>2.7013765098205749</v>
          </cell>
          <cell r="N352">
            <v>2.3708677685950414</v>
          </cell>
          <cell r="O352">
            <v>2.757181726354454</v>
          </cell>
          <cell r="P352">
            <v>2.6825755932665194</v>
          </cell>
          <cell r="Q352">
            <v>2.3708677685950414</v>
          </cell>
          <cell r="R352">
            <v>2.6444444444444444</v>
          </cell>
          <cell r="S352">
            <v>2.7013765098205749</v>
          </cell>
          <cell r="T352" t="str">
            <v>MID</v>
          </cell>
          <cell r="U352" t="str">
            <v>DM</v>
          </cell>
          <cell r="V352" t="str">
            <v>FUL</v>
          </cell>
          <cell r="W352" t="str">
            <v>Fulham</v>
          </cell>
          <cell r="X352">
            <v>5</v>
          </cell>
          <cell r="Y352">
            <v>91</v>
          </cell>
          <cell r="Z352">
            <v>10</v>
          </cell>
          <cell r="AA352">
            <v>81</v>
          </cell>
          <cell r="AB352">
            <v>2904</v>
          </cell>
          <cell r="AC352">
            <v>2904</v>
          </cell>
          <cell r="AD352">
            <v>0.52</v>
          </cell>
          <cell r="AE352">
            <v>0</v>
          </cell>
          <cell r="AF352">
            <v>3</v>
          </cell>
          <cell r="AG352">
            <v>-4.7727272727272729E-2</v>
          </cell>
          <cell r="AH352">
            <v>4.6487603305785122E-2</v>
          </cell>
          <cell r="AI352">
            <v>-1.2396694214876075E-3</v>
          </cell>
          <cell r="AJ352">
            <v>4.9999999999998934E-3</v>
          </cell>
          <cell r="AK352">
            <v>3</v>
          </cell>
          <cell r="AL352">
            <v>503</v>
          </cell>
          <cell r="AM352">
            <v>5</v>
          </cell>
          <cell r="AN352">
            <v>0</v>
          </cell>
          <cell r="AO352">
            <v>265</v>
          </cell>
          <cell r="AP352" t="str">
            <v>Berge</v>
          </cell>
          <cell r="AQ352">
            <v>2.6635674931129474</v>
          </cell>
          <cell r="AR352">
            <v>0</v>
          </cell>
          <cell r="AS352">
            <v>3.8636363636363633</v>
          </cell>
          <cell r="AT352">
            <v>8.1955922865013786</v>
          </cell>
          <cell r="AU352">
            <v>1.6683884297520659</v>
          </cell>
          <cell r="AV352">
            <v>8.1955922865013786</v>
          </cell>
          <cell r="AW352">
            <v>8.1955922865013786</v>
          </cell>
          <cell r="AX352">
            <v>0.13908264462809927</v>
          </cell>
          <cell r="AY352">
            <v>0</v>
          </cell>
          <cell r="AZ352">
            <v>2.6</v>
          </cell>
          <cell r="BA352">
            <v>91</v>
          </cell>
          <cell r="BB352" t="str">
            <v/>
          </cell>
          <cell r="BC352">
            <v>34</v>
          </cell>
          <cell r="BD352">
            <v>25</v>
          </cell>
          <cell r="BE352">
            <v>0.73529411764705888</v>
          </cell>
          <cell r="BF352">
            <v>85</v>
          </cell>
          <cell r="BG352">
            <v>0.94444444444444442</v>
          </cell>
          <cell r="BH352">
            <v>1</v>
          </cell>
          <cell r="BI352">
            <v>1</v>
          </cell>
          <cell r="BJ352">
            <v>17</v>
          </cell>
          <cell r="BK352">
            <v>2</v>
          </cell>
          <cell r="BL352">
            <v>0.91891891891891897</v>
          </cell>
          <cell r="BM352">
            <v>2.7027027027027015E-2</v>
          </cell>
          <cell r="BN352">
            <v>0.93513513513513513</v>
          </cell>
          <cell r="BO352">
            <v>38</v>
          </cell>
          <cell r="BP352">
            <v>0</v>
          </cell>
          <cell r="BQ352">
            <v>0.84912280701754383</v>
          </cell>
          <cell r="BR352">
            <v>1.54</v>
          </cell>
          <cell r="BS352">
            <v>4.7727272727272729E-2</v>
          </cell>
          <cell r="BT352">
            <v>1.5</v>
          </cell>
          <cell r="BU352">
            <v>4.6487603305785122E-2</v>
          </cell>
          <cell r="BV352">
            <v>9.4214876033057851E-2</v>
          </cell>
          <cell r="BW352">
            <v>0</v>
          </cell>
          <cell r="BX352">
            <v>38</v>
          </cell>
          <cell r="BY352">
            <v>1.6842105263157894</v>
          </cell>
          <cell r="BZ352">
            <v>0.95878947368421041</v>
          </cell>
        </row>
        <row r="353">
          <cell r="A353" t="str">
            <v>Endo Wataru</v>
          </cell>
          <cell r="B353" t="str">
            <v/>
          </cell>
          <cell r="C353" t="str">
            <v>Endo</v>
          </cell>
          <cell r="D353" t="str">
            <v/>
          </cell>
          <cell r="E353" t="str">
            <v>Wataru Endo</v>
          </cell>
          <cell r="F353" t="str">
            <v/>
          </cell>
          <cell r="H353" t="str">
            <v/>
          </cell>
          <cell r="I353">
            <v>1.1000000000000001</v>
          </cell>
          <cell r="J353">
            <v>1.35</v>
          </cell>
          <cell r="K353">
            <v>1.6</v>
          </cell>
          <cell r="M353">
            <v>2.700451599649885</v>
          </cell>
          <cell r="N353">
            <v>0</v>
          </cell>
          <cell r="O353">
            <v>1.8594117647058823</v>
          </cell>
          <cell r="P353">
            <v>2.3004515996498851</v>
          </cell>
          <cell r="Q353">
            <v>4.8</v>
          </cell>
          <cell r="R353">
            <v>0</v>
          </cell>
          <cell r="S353">
            <v>2.700451599649885</v>
          </cell>
          <cell r="T353" t="str">
            <v>MID</v>
          </cell>
          <cell r="U353" t="str">
            <v>DM</v>
          </cell>
          <cell r="V353" t="str">
            <v>LIV</v>
          </cell>
          <cell r="W353" t="str">
            <v>Liverpool</v>
          </cell>
          <cell r="X353">
            <v>5</v>
          </cell>
          <cell r="Y353">
            <v>12</v>
          </cell>
          <cell r="Z353">
            <v>0</v>
          </cell>
          <cell r="AA353">
            <v>12</v>
          </cell>
          <cell r="AB353">
            <v>170</v>
          </cell>
          <cell r="AC353">
            <v>170</v>
          </cell>
          <cell r="AD353">
            <v>0.3</v>
          </cell>
          <cell r="AE353">
            <v>0</v>
          </cell>
          <cell r="AF353">
            <v>1</v>
          </cell>
          <cell r="AG353">
            <v>-2.1176470588235293E-2</v>
          </cell>
          <cell r="AH353">
            <v>0.50294117647058822</v>
          </cell>
          <cell r="AI353">
            <v>0.48176470588235293</v>
          </cell>
          <cell r="AJ353">
            <v>0</v>
          </cell>
          <cell r="AK353">
            <v>0</v>
          </cell>
          <cell r="AL353">
            <v>49</v>
          </cell>
          <cell r="AM353">
            <v>1</v>
          </cell>
          <cell r="AN353">
            <v>0</v>
          </cell>
          <cell r="AO353">
            <v>374</v>
          </cell>
          <cell r="AP353" t="str">
            <v>Endo</v>
          </cell>
          <cell r="AQ353">
            <v>5.2</v>
          </cell>
          <cell r="AR353">
            <v>0</v>
          </cell>
          <cell r="AS353">
            <v>1.2</v>
          </cell>
          <cell r="AT353">
            <v>9.1999999999999993</v>
          </cell>
          <cell r="AU353">
            <v>2.8000000000000003</v>
          </cell>
          <cell r="AV353">
            <v>9.1999999999999993</v>
          </cell>
          <cell r="AW353">
            <v>9.1999999999999993</v>
          </cell>
          <cell r="AX353">
            <v>0.21940000001119991</v>
          </cell>
          <cell r="AY353">
            <v>0</v>
          </cell>
          <cell r="AZ353">
            <v>1.5</v>
          </cell>
          <cell r="BA353">
            <v>12</v>
          </cell>
          <cell r="BB353">
            <v>75</v>
          </cell>
          <cell r="BC353">
            <v>1</v>
          </cell>
          <cell r="BD353">
            <v>0</v>
          </cell>
          <cell r="BE353">
            <v>0</v>
          </cell>
          <cell r="BF353">
            <v>68</v>
          </cell>
          <cell r="BG353">
            <v>0.75555555555555554</v>
          </cell>
          <cell r="BH353">
            <v>1</v>
          </cell>
          <cell r="BI353">
            <v>7</v>
          </cell>
          <cell r="BJ353">
            <v>15</v>
          </cell>
          <cell r="BK353">
            <v>12</v>
          </cell>
          <cell r="BL353">
            <v>0.05</v>
          </cell>
          <cell r="BM353">
            <v>0.35460526315789476</v>
          </cell>
          <cell r="BN353">
            <v>0.25955882352941173</v>
          </cell>
          <cell r="BO353">
            <v>38</v>
          </cell>
          <cell r="BP353">
            <v>0</v>
          </cell>
          <cell r="BQ353">
            <v>4.9707602339181284E-2</v>
          </cell>
          <cell r="BR353">
            <v>0.04</v>
          </cell>
          <cell r="BS353">
            <v>2.1176470588235293E-2</v>
          </cell>
          <cell r="BT353">
            <v>0.05</v>
          </cell>
          <cell r="BU353">
            <v>2.6470588235294121E-2</v>
          </cell>
          <cell r="BV353">
            <v>4.7647058823529417E-2</v>
          </cell>
          <cell r="BW353">
            <v>0</v>
          </cell>
          <cell r="BX353">
            <v>38</v>
          </cell>
          <cell r="BY353">
            <v>1.4176315789473684</v>
          </cell>
          <cell r="BZ353">
            <v>1.2253684210526314</v>
          </cell>
        </row>
        <row r="354">
          <cell r="A354" t="str">
            <v>Andrés García</v>
          </cell>
          <cell r="B354" t="str">
            <v/>
          </cell>
          <cell r="C354" t="str">
            <v>A.García</v>
          </cell>
          <cell r="D354" t="str">
            <v/>
          </cell>
          <cell r="F354" t="str">
            <v/>
          </cell>
          <cell r="H354" t="str">
            <v/>
          </cell>
          <cell r="I354" t="e">
            <v>#N/A</v>
          </cell>
          <cell r="J354" t="e">
            <v>#N/A</v>
          </cell>
          <cell r="K354" t="e">
            <v>#N/A</v>
          </cell>
          <cell r="M354">
            <v>2.6983872861329408</v>
          </cell>
          <cell r="N354">
            <v>0</v>
          </cell>
          <cell r="O354">
            <v>1.6667871485943775</v>
          </cell>
          <cell r="P354">
            <v>2.6983872861329408</v>
          </cell>
          <cell r="Q354">
            <v>2.7108433734939759</v>
          </cell>
          <cell r="R354">
            <v>1</v>
          </cell>
          <cell r="S354">
            <v>2.6983872861329408</v>
          </cell>
          <cell r="T354" t="str">
            <v>DEF</v>
          </cell>
          <cell r="U354" t="str">
            <v/>
          </cell>
          <cell r="V354" t="str">
            <v>AVL</v>
          </cell>
          <cell r="W354" t="str">
            <v>Aston Villa</v>
          </cell>
          <cell r="X354">
            <v>4</v>
          </cell>
          <cell r="Y354">
            <v>5</v>
          </cell>
          <cell r="Z354">
            <v>0</v>
          </cell>
          <cell r="AA354">
            <v>5</v>
          </cell>
          <cell r="AB354">
            <v>83</v>
          </cell>
          <cell r="AC354">
            <v>83</v>
          </cell>
          <cell r="AD354">
            <v>0.20833333333333334</v>
          </cell>
          <cell r="AE354">
            <v>0</v>
          </cell>
          <cell r="AF354">
            <v>0</v>
          </cell>
          <cell r="AG354">
            <v>0</v>
          </cell>
          <cell r="AH354">
            <v>-1.0843373493975903E-2</v>
          </cell>
          <cell r="AI354">
            <v>-1.0843373493975903E-2</v>
          </cell>
          <cell r="AJ354">
            <v>1.4999999999999902E-2</v>
          </cell>
          <cell r="AK354">
            <v>0</v>
          </cell>
          <cell r="AL354">
            <v>12</v>
          </cell>
          <cell r="AM354">
            <v>0</v>
          </cell>
          <cell r="AN354">
            <v>0</v>
          </cell>
          <cell r="AO354">
            <v>38</v>
          </cell>
          <cell r="AP354" t="str">
            <v>A.García</v>
          </cell>
          <cell r="AQ354">
            <v>2.7108433734939759</v>
          </cell>
          <cell r="AR354">
            <v>0</v>
          </cell>
          <cell r="AS354">
            <v>2.168674698795181</v>
          </cell>
          <cell r="AT354">
            <v>5.4216867469879517</v>
          </cell>
          <cell r="AU354">
            <v>2.7108433734939759</v>
          </cell>
          <cell r="AV354">
            <v>5.4216867469879517</v>
          </cell>
          <cell r="AW354">
            <v>5.4216867469879517</v>
          </cell>
          <cell r="AX354">
            <v>6.1096385542168674E-2</v>
          </cell>
          <cell r="AY354">
            <v>0</v>
          </cell>
          <cell r="AZ354">
            <v>0.8</v>
          </cell>
          <cell r="BA354">
            <v>5</v>
          </cell>
          <cell r="BB354" t="str">
            <v/>
          </cell>
          <cell r="BC354">
            <v>1</v>
          </cell>
          <cell r="BD354">
            <v>0</v>
          </cell>
          <cell r="BE354">
            <v>0</v>
          </cell>
          <cell r="BF354">
            <v>45</v>
          </cell>
          <cell r="BG354">
            <v>0.5</v>
          </cell>
          <cell r="BH354">
            <v>1</v>
          </cell>
          <cell r="BI354">
            <v>5</v>
          </cell>
          <cell r="BJ354">
            <v>8</v>
          </cell>
          <cell r="BK354">
            <v>9</v>
          </cell>
          <cell r="BL354">
            <v>6.6666666666666666E-2</v>
          </cell>
          <cell r="BM354">
            <v>0.33333333333333326</v>
          </cell>
          <cell r="BN354">
            <v>0.2325925925925926</v>
          </cell>
          <cell r="BO354">
            <v>38</v>
          </cell>
          <cell r="BP354">
            <v>0</v>
          </cell>
          <cell r="BQ354">
            <v>2.4269005847953218E-2</v>
          </cell>
          <cell r="BR354">
            <v>0</v>
          </cell>
          <cell r="BS354">
            <v>0</v>
          </cell>
          <cell r="BT354">
            <v>0.01</v>
          </cell>
          <cell r="BU354">
            <v>1.0843373493975903E-2</v>
          </cell>
          <cell r="BV354">
            <v>1.0843373493975903E-2</v>
          </cell>
          <cell r="BW354">
            <v>0</v>
          </cell>
          <cell r="BX354">
            <v>38</v>
          </cell>
          <cell r="BY354">
            <v>1.4915789473684211</v>
          </cell>
          <cell r="BZ354">
            <v>1.1514210526315787</v>
          </cell>
        </row>
        <row r="355">
          <cell r="A355" t="str">
            <v>Djiamgone Jocelin Ta Bi</v>
          </cell>
          <cell r="B355" t="str">
            <v/>
          </cell>
          <cell r="C355" t="str">
            <v>Jocelin.T</v>
          </cell>
          <cell r="D355" t="str">
            <v/>
          </cell>
          <cell r="F355" t="str">
            <v/>
          </cell>
          <cell r="H355" t="str">
            <v/>
          </cell>
          <cell r="I355" t="e">
            <v>#N/A</v>
          </cell>
          <cell r="J355" t="e">
            <v>#N/A</v>
          </cell>
          <cell r="K355" t="e">
            <v>#N/A</v>
          </cell>
          <cell r="M355">
            <v>2.6913876585284449</v>
          </cell>
          <cell r="N355">
            <v>2.1315789473684208</v>
          </cell>
          <cell r="O355">
            <v>2.4528421052631577</v>
          </cell>
          <cell r="P355">
            <v>2.6913876585284449</v>
          </cell>
          <cell r="Q355">
            <v>2.1315789473684208</v>
          </cell>
          <cell r="R355">
            <v>2.1315789473684208</v>
          </cell>
          <cell r="S355">
            <v>2.6913876585284449</v>
          </cell>
          <cell r="T355" t="str">
            <v>MID</v>
          </cell>
          <cell r="U355" t="str">
            <v/>
          </cell>
          <cell r="V355" t="str">
            <v>SUN</v>
          </cell>
          <cell r="W355" t="str">
            <v>Sunderland</v>
          </cell>
          <cell r="X355">
            <v>5</v>
          </cell>
          <cell r="Y355">
            <v>1</v>
          </cell>
          <cell r="Z355">
            <v>0</v>
          </cell>
          <cell r="AA355">
            <v>1</v>
          </cell>
          <cell r="AB355">
            <v>38</v>
          </cell>
          <cell r="AC355">
            <v>38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-9.4736842105263161E-2</v>
          </cell>
          <cell r="AI355">
            <v>-9.4736842105263161E-2</v>
          </cell>
          <cell r="AJ355">
            <v>0</v>
          </cell>
          <cell r="AK355">
            <v>0</v>
          </cell>
          <cell r="AL355">
            <v>4</v>
          </cell>
          <cell r="AM355">
            <v>0</v>
          </cell>
          <cell r="AN355">
            <v>0</v>
          </cell>
          <cell r="AO355">
            <v>550</v>
          </cell>
          <cell r="AP355" t="str">
            <v>Jocelin.T</v>
          </cell>
          <cell r="AQ355">
            <v>0</v>
          </cell>
          <cell r="AR355">
            <v>0</v>
          </cell>
          <cell r="AS355">
            <v>4.2631578947368416</v>
          </cell>
          <cell r="AT355">
            <v>6.3947368421052628</v>
          </cell>
          <cell r="AU355">
            <v>2.1315789473684208</v>
          </cell>
          <cell r="AV355">
            <v>6.3947368421052628</v>
          </cell>
          <cell r="AW355">
            <v>6.3947368421052628</v>
          </cell>
          <cell r="AX355">
            <v>4.8417293233082699E-2</v>
          </cell>
          <cell r="AY355">
            <v>0</v>
          </cell>
          <cell r="AZ355">
            <v>1</v>
          </cell>
          <cell r="BA355">
            <v>1</v>
          </cell>
          <cell r="BB355" t="str">
            <v/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0.9</v>
          </cell>
          <cell r="BH355">
            <v>1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 t="e">
            <v>#DIV/0!</v>
          </cell>
          <cell r="BO355">
            <v>38</v>
          </cell>
          <cell r="BP355">
            <v>0</v>
          </cell>
          <cell r="BQ355">
            <v>1.1111111111111112E-2</v>
          </cell>
          <cell r="BR355">
            <v>0</v>
          </cell>
          <cell r="BS355">
            <v>0</v>
          </cell>
          <cell r="BT355">
            <v>0.04</v>
          </cell>
          <cell r="BU355">
            <v>9.4736842105263161E-2</v>
          </cell>
          <cell r="BV355">
            <v>9.4736842105263161E-2</v>
          </cell>
          <cell r="BW355">
            <v>0</v>
          </cell>
          <cell r="BX355">
            <v>38</v>
          </cell>
          <cell r="BY355">
            <v>1.5878947368421052</v>
          </cell>
          <cell r="BZ355">
            <v>1.0551052631578945</v>
          </cell>
        </row>
        <row r="356">
          <cell r="A356" t="str">
            <v>Will Hughes</v>
          </cell>
          <cell r="B356" t="str">
            <v/>
          </cell>
          <cell r="C356" t="str">
            <v>Hughes</v>
          </cell>
          <cell r="D356" t="str">
            <v/>
          </cell>
          <cell r="E356" t="str">
            <v>W Hughes</v>
          </cell>
          <cell r="F356" t="str">
            <v/>
          </cell>
          <cell r="H356" t="str">
            <v/>
          </cell>
          <cell r="I356">
            <v>1.5</v>
          </cell>
          <cell r="J356">
            <v>1.8333333333333333</v>
          </cell>
          <cell r="K356">
            <v>2</v>
          </cell>
          <cell r="M356">
            <v>2.6788953128094812</v>
          </cell>
          <cell r="N356">
            <v>2.1057692307692308</v>
          </cell>
          <cell r="O356">
            <v>2.1679180602006687</v>
          </cell>
          <cell r="P356">
            <v>2.6672934813916305</v>
          </cell>
          <cell r="Q356">
            <v>2.1057692307692308</v>
          </cell>
          <cell r="R356">
            <v>1.4106280193236715</v>
          </cell>
          <cell r="S356">
            <v>2.6788953128094812</v>
          </cell>
          <cell r="T356" t="str">
            <v>MID</v>
          </cell>
          <cell r="U356" t="str">
            <v>CM</v>
          </cell>
          <cell r="V356" t="str">
            <v>CRY</v>
          </cell>
          <cell r="W356" t="str">
            <v>Crystal Palace</v>
          </cell>
          <cell r="X356">
            <v>4.5</v>
          </cell>
          <cell r="Y356">
            <v>45</v>
          </cell>
          <cell r="Z356">
            <v>0</v>
          </cell>
          <cell r="AA356">
            <v>45</v>
          </cell>
          <cell r="AB356">
            <v>1560</v>
          </cell>
          <cell r="AC356">
            <v>1560</v>
          </cell>
          <cell r="AD356">
            <v>0.32258064516129031</v>
          </cell>
          <cell r="AE356">
            <v>0</v>
          </cell>
          <cell r="AF356">
            <v>1</v>
          </cell>
          <cell r="AG356">
            <v>-6.4038461538461544E-2</v>
          </cell>
          <cell r="AH356">
            <v>-5.4230769230769235E-2</v>
          </cell>
          <cell r="AI356">
            <v>-0.11826923076923078</v>
          </cell>
          <cell r="AJ356">
            <v>9.099999999999997E-2</v>
          </cell>
          <cell r="AK356">
            <v>0</v>
          </cell>
          <cell r="AL356">
            <v>217</v>
          </cell>
          <cell r="AM356">
            <v>7</v>
          </cell>
          <cell r="AN356">
            <v>0</v>
          </cell>
          <cell r="AO356">
            <v>212</v>
          </cell>
          <cell r="AP356" t="str">
            <v>Hughes</v>
          </cell>
          <cell r="AQ356">
            <v>2.5269230769230768</v>
          </cell>
          <cell r="AR356">
            <v>0</v>
          </cell>
          <cell r="AS356">
            <v>3.0884615384615386</v>
          </cell>
          <cell r="AT356">
            <v>6.9256410256410259</v>
          </cell>
          <cell r="AU356">
            <v>1.31025641025641</v>
          </cell>
          <cell r="AV356">
            <v>6.9256410256410259</v>
          </cell>
          <cell r="AW356">
            <v>6.9256410256410259</v>
          </cell>
          <cell r="AX356">
            <v>5.243699633699634E-2</v>
          </cell>
          <cell r="AY356">
            <v>0</v>
          </cell>
          <cell r="AZ356">
            <v>1.5</v>
          </cell>
          <cell r="BA356">
            <v>45</v>
          </cell>
          <cell r="BB356" t="str">
            <v/>
          </cell>
          <cell r="BC356">
            <v>19</v>
          </cell>
          <cell r="BD356">
            <v>8</v>
          </cell>
          <cell r="BE356">
            <v>0.42105263157894735</v>
          </cell>
          <cell r="BF356">
            <v>73</v>
          </cell>
          <cell r="BG356">
            <v>0.81111111111111112</v>
          </cell>
          <cell r="BH356">
            <v>1</v>
          </cell>
          <cell r="BI356">
            <v>12</v>
          </cell>
          <cell r="BJ356">
            <v>16</v>
          </cell>
          <cell r="BK356">
            <v>6</v>
          </cell>
          <cell r="BL356">
            <v>0.51351351351351349</v>
          </cell>
          <cell r="BM356">
            <v>0.32432432432432434</v>
          </cell>
          <cell r="BN356">
            <v>0.62014068863383931</v>
          </cell>
          <cell r="BO356">
            <v>38</v>
          </cell>
          <cell r="BP356">
            <v>0</v>
          </cell>
          <cell r="BQ356">
            <v>0.45614035087719296</v>
          </cell>
          <cell r="BR356">
            <v>1.1100000000000001</v>
          </cell>
          <cell r="BS356">
            <v>6.4038461538461544E-2</v>
          </cell>
          <cell r="BT356">
            <v>1.94</v>
          </cell>
          <cell r="BU356">
            <v>0.11192307692307693</v>
          </cell>
          <cell r="BV356">
            <v>0.17596153846153847</v>
          </cell>
          <cell r="BW356">
            <v>0</v>
          </cell>
          <cell r="BX356">
            <v>38</v>
          </cell>
          <cell r="BY356">
            <v>1.631578947368421</v>
          </cell>
          <cell r="BZ356">
            <v>1.0114210526315788</v>
          </cell>
        </row>
        <row r="357">
          <cell r="A357" t="str">
            <v>Carl Rushworth</v>
          </cell>
          <cell r="B357" t="str">
            <v/>
          </cell>
          <cell r="C357" t="str">
            <v>Rushworth</v>
          </cell>
          <cell r="D357" t="str">
            <v/>
          </cell>
          <cell r="F357" t="str">
            <v/>
          </cell>
          <cell r="H357" t="str">
            <v/>
          </cell>
          <cell r="I357">
            <v>0</v>
          </cell>
          <cell r="J357">
            <v>0</v>
          </cell>
          <cell r="K357">
            <v>0</v>
          </cell>
          <cell r="M357">
            <v>2.6537783330966795</v>
          </cell>
          <cell r="N357">
            <v>0</v>
          </cell>
          <cell r="O357">
            <v>1.5350000000000001</v>
          </cell>
          <cell r="P357">
            <v>2.6537783330966795</v>
          </cell>
          <cell r="Q357">
            <v>0</v>
          </cell>
          <cell r="R357">
            <v>0</v>
          </cell>
          <cell r="S357">
            <v>2.6537783330966795</v>
          </cell>
          <cell r="T357" t="str">
            <v>GK</v>
          </cell>
          <cell r="U357" t="str">
            <v>GK</v>
          </cell>
          <cell r="V357" t="str">
            <v>BHA</v>
          </cell>
          <cell r="W357" t="str">
            <v>Brighton</v>
          </cell>
          <cell r="X357">
            <v>4.5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 t="e">
            <v>#DIV/0!</v>
          </cell>
          <cell r="AH357" t="e">
            <v>#DIV/0!</v>
          </cell>
          <cell r="AI357" t="e">
            <v>#DIV/0!</v>
          </cell>
          <cell r="AJ357">
            <v>4.0000000000000036E-3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110</v>
          </cell>
          <cell r="AP357" t="str">
            <v>Rushworth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 t="str">
            <v/>
          </cell>
          <cell r="BC357">
            <v>46</v>
          </cell>
          <cell r="BD357">
            <v>46</v>
          </cell>
          <cell r="BE357">
            <v>1</v>
          </cell>
          <cell r="BF357">
            <v>90</v>
          </cell>
          <cell r="BG357">
            <v>1</v>
          </cell>
          <cell r="BH357">
            <v>1</v>
          </cell>
          <cell r="BI357">
            <v>0</v>
          </cell>
          <cell r="BJ357">
            <v>0</v>
          </cell>
          <cell r="BK357">
            <v>0</v>
          </cell>
          <cell r="BL357">
            <v>1</v>
          </cell>
          <cell r="BM357">
            <v>0</v>
          </cell>
          <cell r="BN357">
            <v>1</v>
          </cell>
          <cell r="BO357">
            <v>38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38</v>
          </cell>
          <cell r="BY357">
            <v>1.4144736842105263</v>
          </cell>
          <cell r="BZ357">
            <v>1.2285263157894735</v>
          </cell>
        </row>
        <row r="358">
          <cell r="A358" t="str">
            <v>Jason Steele</v>
          </cell>
          <cell r="B358" t="str">
            <v/>
          </cell>
          <cell r="C358" t="str">
            <v>Steele</v>
          </cell>
          <cell r="D358" t="str">
            <v/>
          </cell>
          <cell r="F358" t="str">
            <v/>
          </cell>
          <cell r="H358" t="str">
            <v/>
          </cell>
          <cell r="I358">
            <v>2.5</v>
          </cell>
          <cell r="J358">
            <v>3.7666666666666671</v>
          </cell>
          <cell r="K358">
            <v>4.5</v>
          </cell>
          <cell r="M358">
            <v>2.6537783330966795</v>
          </cell>
          <cell r="N358">
            <v>0</v>
          </cell>
          <cell r="O358">
            <v>1.5350000000000001</v>
          </cell>
          <cell r="P358">
            <v>2.6537783330966795</v>
          </cell>
          <cell r="Q358">
            <v>0</v>
          </cell>
          <cell r="R358">
            <v>0</v>
          </cell>
          <cell r="S358">
            <v>2.6537783330966795</v>
          </cell>
          <cell r="T358" t="str">
            <v>GK</v>
          </cell>
          <cell r="U358" t="str">
            <v>GK</v>
          </cell>
          <cell r="V358" t="str">
            <v>BHA</v>
          </cell>
          <cell r="W358" t="str">
            <v>Brighton</v>
          </cell>
          <cell r="X358">
            <v>4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 t="e">
            <v>#DIV/0!</v>
          </cell>
          <cell r="AH358" t="e">
            <v>#DIV/0!</v>
          </cell>
          <cell r="AI358" t="e">
            <v>#DIV/0!</v>
          </cell>
          <cell r="AJ358">
            <v>6.0999999999999943E-2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111</v>
          </cell>
          <cell r="AP358" t="str">
            <v>Steele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 t="str">
            <v/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0.9</v>
          </cell>
          <cell r="BH358">
            <v>1</v>
          </cell>
          <cell r="BI358">
            <v>0</v>
          </cell>
          <cell r="BJ358">
            <v>0</v>
          </cell>
          <cell r="BK358">
            <v>38</v>
          </cell>
          <cell r="BL358">
            <v>0</v>
          </cell>
          <cell r="BM358">
            <v>0</v>
          </cell>
          <cell r="BN358" t="e">
            <v>#DIV/0!</v>
          </cell>
          <cell r="BO358">
            <v>38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38</v>
          </cell>
          <cell r="BY358">
            <v>1.4144736842105263</v>
          </cell>
          <cell r="BZ358">
            <v>1.2285263157894735</v>
          </cell>
        </row>
        <row r="359">
          <cell r="A359" t="str">
            <v>Nico González Iglesias</v>
          </cell>
          <cell r="B359" t="str">
            <v/>
          </cell>
          <cell r="C359" t="str">
            <v>N.Gonzalez</v>
          </cell>
          <cell r="D359" t="str">
            <v/>
          </cell>
          <cell r="E359" t="str">
            <v>Nicolás González</v>
          </cell>
          <cell r="F359" t="str">
            <v/>
          </cell>
          <cell r="G359" t="str">
            <v>Nico González</v>
          </cell>
          <cell r="H359" t="str">
            <v/>
          </cell>
          <cell r="I359">
            <v>2.8</v>
          </cell>
          <cell r="J359">
            <v>2.8</v>
          </cell>
          <cell r="K359">
            <v>2.8</v>
          </cell>
          <cell r="M359">
            <v>2.6532506748931799</v>
          </cell>
          <cell r="N359">
            <v>2.5426008968609866</v>
          </cell>
          <cell r="O359">
            <v>2.3799757974985831</v>
          </cell>
          <cell r="P359">
            <v>2.6532506748931799</v>
          </cell>
          <cell r="Q359">
            <v>2.5426008968609866</v>
          </cell>
          <cell r="R359">
            <v>3.3926701570680633</v>
          </cell>
          <cell r="S359">
            <v>2.6532506748931799</v>
          </cell>
          <cell r="T359" t="str">
            <v>MID</v>
          </cell>
          <cell r="U359" t="str">
            <v>DM</v>
          </cell>
          <cell r="V359" t="str">
            <v>MCI</v>
          </cell>
          <cell r="W359" t="str">
            <v>Man City</v>
          </cell>
          <cell r="X359">
            <v>5.5</v>
          </cell>
          <cell r="Y359">
            <v>63</v>
          </cell>
          <cell r="Z359">
            <v>14</v>
          </cell>
          <cell r="AA359">
            <v>49</v>
          </cell>
          <cell r="AB359">
            <v>1561</v>
          </cell>
          <cell r="AC359">
            <v>1561</v>
          </cell>
          <cell r="AD359">
            <v>0.45818181818181819</v>
          </cell>
          <cell r="AE359">
            <v>1</v>
          </cell>
          <cell r="AF359">
            <v>0</v>
          </cell>
          <cell r="AG359">
            <v>1.8449711723254318E-2</v>
          </cell>
          <cell r="AH359">
            <v>-6.4573991031390138E-2</v>
          </cell>
          <cell r="AI359">
            <v>-4.6124279308135813E-2</v>
          </cell>
          <cell r="AJ359">
            <v>9.9999999999988987E-4</v>
          </cell>
          <cell r="AK359">
            <v>1</v>
          </cell>
          <cell r="AL359">
            <v>337</v>
          </cell>
          <cell r="AM359">
            <v>6</v>
          </cell>
          <cell r="AN359">
            <v>0</v>
          </cell>
          <cell r="AO359">
            <v>405</v>
          </cell>
          <cell r="AP359" t="str">
            <v>N.Gonzalez</v>
          </cell>
          <cell r="AQ359">
            <v>3.8398462524023063</v>
          </cell>
          <cell r="AR359">
            <v>0</v>
          </cell>
          <cell r="AS359">
            <v>4.6700832799487513</v>
          </cell>
          <cell r="AT359">
            <v>10.689301729660475</v>
          </cell>
          <cell r="AU359">
            <v>2.1793721973094176</v>
          </cell>
          <cell r="AV359">
            <v>10.689301729660475</v>
          </cell>
          <cell r="AW359">
            <v>10.689301729660475</v>
          </cell>
          <cell r="AX359">
            <v>0.38620179381657405</v>
          </cell>
          <cell r="AY359">
            <v>0</v>
          </cell>
          <cell r="AZ359">
            <v>2.5</v>
          </cell>
          <cell r="BA359">
            <v>63</v>
          </cell>
          <cell r="BB359" t="str">
            <v/>
          </cell>
          <cell r="BC359">
            <v>17</v>
          </cell>
          <cell r="BD359">
            <v>10</v>
          </cell>
          <cell r="BE359">
            <v>0.58823529411764708</v>
          </cell>
          <cell r="BF359">
            <v>81</v>
          </cell>
          <cell r="BG359">
            <v>0.9</v>
          </cell>
          <cell r="BH359">
            <v>1</v>
          </cell>
          <cell r="BI359">
            <v>8</v>
          </cell>
          <cell r="BJ359">
            <v>25</v>
          </cell>
          <cell r="BK359">
            <v>8</v>
          </cell>
          <cell r="BL359">
            <v>0.51515151515151514</v>
          </cell>
          <cell r="BM359">
            <v>0.24242424242424243</v>
          </cell>
          <cell r="BN359">
            <v>0.66479610924055366</v>
          </cell>
          <cell r="BO359">
            <v>38</v>
          </cell>
          <cell r="BP359">
            <v>0</v>
          </cell>
          <cell r="BQ359">
            <v>0.45643274853801169</v>
          </cell>
          <cell r="BR359">
            <v>0.68</v>
          </cell>
          <cell r="BS359">
            <v>3.9205637411915441E-2</v>
          </cell>
          <cell r="BT359">
            <v>1.1200000000000001</v>
          </cell>
          <cell r="BU359">
            <v>6.4573991031390138E-2</v>
          </cell>
          <cell r="BV359">
            <v>0.10377962844330557</v>
          </cell>
          <cell r="BW359">
            <v>0</v>
          </cell>
          <cell r="BX359">
            <v>38</v>
          </cell>
          <cell r="BY359">
            <v>1.223421052631579</v>
          </cell>
          <cell r="BZ359">
            <v>1.4195789473684208</v>
          </cell>
        </row>
        <row r="360">
          <cell r="A360" t="str">
            <v>Felipe Rodrigues da Silva</v>
          </cell>
          <cell r="B360" t="str">
            <v/>
          </cell>
          <cell r="C360" t="str">
            <v>Morato</v>
          </cell>
          <cell r="D360" t="str">
            <v/>
          </cell>
          <cell r="F360" t="str">
            <v/>
          </cell>
          <cell r="H360" t="str">
            <v/>
          </cell>
          <cell r="I360">
            <v>1.4</v>
          </cell>
          <cell r="J360">
            <v>1.4</v>
          </cell>
          <cell r="K360">
            <v>1.4</v>
          </cell>
          <cell r="M360">
            <v>2.644603754120765</v>
          </cell>
          <cell r="N360">
            <v>2.5902985074626868</v>
          </cell>
          <cell r="O360">
            <v>1.9067562189054734</v>
          </cell>
          <cell r="P360">
            <v>2.644603754120765</v>
          </cell>
          <cell r="Q360">
            <v>2.5902985074626868</v>
          </cell>
          <cell r="R360">
            <v>3.9850746268656714</v>
          </cell>
          <cell r="S360">
            <v>2.644603754120765</v>
          </cell>
          <cell r="T360" t="str">
            <v>DEF</v>
          </cell>
          <cell r="U360" t="str">
            <v>CB</v>
          </cell>
          <cell r="V360" t="str">
            <v>NFO</v>
          </cell>
          <cell r="W360" t="str">
            <v>Nott'm Forest</v>
          </cell>
          <cell r="X360">
            <v>5</v>
          </cell>
          <cell r="Y360">
            <v>53</v>
          </cell>
          <cell r="Z360">
            <v>14</v>
          </cell>
          <cell r="AA360">
            <v>39</v>
          </cell>
          <cell r="AB360">
            <v>1340</v>
          </cell>
          <cell r="AC360">
            <v>1340</v>
          </cell>
          <cell r="AD360">
            <v>0.50476190476190474</v>
          </cell>
          <cell r="AE360">
            <v>1</v>
          </cell>
          <cell r="AF360">
            <v>0</v>
          </cell>
          <cell r="AG360">
            <v>-2.1492537313432841E-2</v>
          </cell>
          <cell r="AH360">
            <v>-1.0074626865671642E-2</v>
          </cell>
          <cell r="AI360">
            <v>-3.156716417910449E-2</v>
          </cell>
          <cell r="AJ360">
            <v>9.9999999999988987E-4</v>
          </cell>
          <cell r="AK360">
            <v>1</v>
          </cell>
          <cell r="AL360">
            <v>190</v>
          </cell>
          <cell r="AM360">
            <v>5</v>
          </cell>
          <cell r="AN360">
            <v>0</v>
          </cell>
          <cell r="AO360">
            <v>470</v>
          </cell>
          <cell r="AP360" t="str">
            <v>Morato</v>
          </cell>
          <cell r="AQ360">
            <v>7.5716417910447769</v>
          </cell>
          <cell r="AR360">
            <v>0</v>
          </cell>
          <cell r="AS360">
            <v>3.4537313432835819</v>
          </cell>
          <cell r="AT360">
            <v>9.5641791044776117</v>
          </cell>
          <cell r="AU360">
            <v>1.9925373134328357</v>
          </cell>
          <cell r="AV360">
            <v>9.5641791044776117</v>
          </cell>
          <cell r="AW360">
            <v>9.5641791044776117</v>
          </cell>
          <cell r="AX360">
            <v>0.48167611940298505</v>
          </cell>
          <cell r="AY360">
            <v>0</v>
          </cell>
          <cell r="AZ360">
            <v>2.5</v>
          </cell>
          <cell r="BA360">
            <v>53</v>
          </cell>
          <cell r="BB360" t="str">
            <v/>
          </cell>
          <cell r="BC360">
            <v>14</v>
          </cell>
          <cell r="BD360">
            <v>13</v>
          </cell>
          <cell r="BE360">
            <v>0.9285714285714286</v>
          </cell>
          <cell r="BF360">
            <v>89</v>
          </cell>
          <cell r="BG360">
            <v>0.98888888888888893</v>
          </cell>
          <cell r="BH360">
            <v>1</v>
          </cell>
          <cell r="BI360">
            <v>7</v>
          </cell>
          <cell r="BJ360">
            <v>14</v>
          </cell>
          <cell r="BK360">
            <v>16</v>
          </cell>
          <cell r="BL360">
            <v>0.3783783783783784</v>
          </cell>
          <cell r="BM360">
            <v>0.1891891891891892</v>
          </cell>
          <cell r="BN360">
            <v>0.47616155481324024</v>
          </cell>
          <cell r="BO360">
            <v>38</v>
          </cell>
          <cell r="BP360">
            <v>0</v>
          </cell>
          <cell r="BQ360">
            <v>0.391812865497076</v>
          </cell>
          <cell r="BR360">
            <v>1.32</v>
          </cell>
          <cell r="BS360">
            <v>8.8656716417910453E-2</v>
          </cell>
          <cell r="BT360">
            <v>0.15</v>
          </cell>
          <cell r="BU360">
            <v>1.0074626865671642E-2</v>
          </cell>
          <cell r="BV360">
            <v>9.8731343283582101E-2</v>
          </cell>
          <cell r="BW360">
            <v>0</v>
          </cell>
          <cell r="BX360">
            <v>38</v>
          </cell>
          <cell r="BY360">
            <v>1.7036842105263157</v>
          </cell>
          <cell r="BZ360">
            <v>0.9393157894736841</v>
          </cell>
        </row>
        <row r="361">
          <cell r="A361" t="str">
            <v>Rico Henry</v>
          </cell>
          <cell r="B361" t="str">
            <v/>
          </cell>
          <cell r="C361" t="str">
            <v>Henry</v>
          </cell>
          <cell r="D361" t="str">
            <v/>
          </cell>
          <cell r="F361" t="str">
            <v/>
          </cell>
          <cell r="H361" t="str">
            <v/>
          </cell>
          <cell r="I361">
            <v>0.8</v>
          </cell>
          <cell r="J361">
            <v>2.1333333333333333</v>
          </cell>
          <cell r="K361">
            <v>3</v>
          </cell>
          <cell r="M361">
            <v>2.6352980248631592</v>
          </cell>
          <cell r="N361">
            <v>3.146747352496218</v>
          </cell>
          <cell r="O361">
            <v>1.1786712052445791</v>
          </cell>
          <cell r="P361">
            <v>2.6352980248631592</v>
          </cell>
          <cell r="Q361">
            <v>3.146747352496218</v>
          </cell>
          <cell r="R361">
            <v>0</v>
          </cell>
          <cell r="S361">
            <v>2.6352980248631592</v>
          </cell>
          <cell r="T361" t="str">
            <v>DEF</v>
          </cell>
          <cell r="U361" t="str">
            <v>LB</v>
          </cell>
          <cell r="V361" t="str">
            <v>BRE</v>
          </cell>
          <cell r="W361" t="str">
            <v>Brentford</v>
          </cell>
          <cell r="X361">
            <v>4.5</v>
          </cell>
          <cell r="Y361">
            <v>52</v>
          </cell>
          <cell r="Z361">
            <v>0</v>
          </cell>
          <cell r="AA361">
            <v>52</v>
          </cell>
          <cell r="AB361">
            <v>1322</v>
          </cell>
          <cell r="AC361">
            <v>1322</v>
          </cell>
          <cell r="AD361">
            <v>0.46222222222222226</v>
          </cell>
          <cell r="AE361">
            <v>0</v>
          </cell>
          <cell r="AF361">
            <v>2</v>
          </cell>
          <cell r="AG361">
            <v>-1.2254160363086233E-2</v>
          </cell>
          <cell r="AH361">
            <v>9.9394856278366112E-2</v>
          </cell>
          <cell r="AI361">
            <v>8.714069591527987E-2</v>
          </cell>
          <cell r="AJ361">
            <v>2.0000000000000018E-3</v>
          </cell>
          <cell r="AK361">
            <v>0</v>
          </cell>
          <cell r="AL361">
            <v>144</v>
          </cell>
          <cell r="AM361">
            <v>2</v>
          </cell>
          <cell r="AN361">
            <v>0</v>
          </cell>
          <cell r="AO361">
            <v>89</v>
          </cell>
          <cell r="AP361" t="str">
            <v>Henry</v>
          </cell>
          <cell r="AQ361">
            <v>3.2072617246596065</v>
          </cell>
          <cell r="AR361">
            <v>0</v>
          </cell>
          <cell r="AS361">
            <v>4.3570347957639939</v>
          </cell>
          <cell r="AT361">
            <v>4.1149773071104381</v>
          </cell>
          <cell r="AU361">
            <v>0.90771558245083206</v>
          </cell>
          <cell r="AV361">
            <v>4.1149773071104381</v>
          </cell>
          <cell r="AW361">
            <v>4.1149773071104381</v>
          </cell>
          <cell r="AX361">
            <v>2.6335854765506803E-2</v>
          </cell>
          <cell r="AY361">
            <v>0</v>
          </cell>
          <cell r="AZ361">
            <v>2.1</v>
          </cell>
          <cell r="BA361">
            <v>52</v>
          </cell>
          <cell r="BB361" t="str">
            <v/>
          </cell>
          <cell r="BC361">
            <v>14</v>
          </cell>
          <cell r="BD361">
            <v>6</v>
          </cell>
          <cell r="BE361">
            <v>0.42857142857142855</v>
          </cell>
          <cell r="BF361">
            <v>80</v>
          </cell>
          <cell r="BG361">
            <v>0.88888888888888884</v>
          </cell>
          <cell r="BH361">
            <v>1</v>
          </cell>
          <cell r="BI361">
            <v>11</v>
          </cell>
          <cell r="BJ361">
            <v>19</v>
          </cell>
          <cell r="BK361">
            <v>4</v>
          </cell>
          <cell r="BL361">
            <v>0.48275862068965519</v>
          </cell>
          <cell r="BM361">
            <v>0.37931034482758619</v>
          </cell>
          <cell r="BN361">
            <v>0.60560344827586199</v>
          </cell>
          <cell r="BO361">
            <v>38</v>
          </cell>
          <cell r="BP361">
            <v>0</v>
          </cell>
          <cell r="BQ361">
            <v>0.3865497076023392</v>
          </cell>
          <cell r="BR361">
            <v>0.18</v>
          </cell>
          <cell r="BS361">
            <v>1.2254160363086233E-2</v>
          </cell>
          <cell r="BT361">
            <v>0.54</v>
          </cell>
          <cell r="BU361">
            <v>3.6762481089258704E-2</v>
          </cell>
          <cell r="BV361">
            <v>4.9016641452344939E-2</v>
          </cell>
          <cell r="BW361">
            <v>0</v>
          </cell>
          <cell r="BX361">
            <v>38</v>
          </cell>
          <cell r="BY361">
            <v>1.5555263157894736</v>
          </cell>
          <cell r="BZ361">
            <v>1.0874736842105261</v>
          </cell>
        </row>
        <row r="362">
          <cell r="A362" t="str">
            <v>Chadi Riad Dnanou</v>
          </cell>
          <cell r="B362" t="str">
            <v/>
          </cell>
          <cell r="C362" t="str">
            <v>Chadi Riad</v>
          </cell>
          <cell r="D362" t="str">
            <v/>
          </cell>
          <cell r="F362" t="str">
            <v/>
          </cell>
          <cell r="H362" t="str">
            <v/>
          </cell>
          <cell r="I362">
            <v>1</v>
          </cell>
          <cell r="J362">
            <v>1</v>
          </cell>
          <cell r="K362">
            <v>1</v>
          </cell>
          <cell r="M362">
            <v>2.6320467818476634</v>
          </cell>
          <cell r="N362">
            <v>2.52</v>
          </cell>
          <cell r="O362">
            <v>1.6517906799083275</v>
          </cell>
          <cell r="P362">
            <v>2.5599815614394181</v>
          </cell>
          <cell r="Q362">
            <v>2.52</v>
          </cell>
          <cell r="R362">
            <v>1.9411764705882351</v>
          </cell>
          <cell r="S362">
            <v>2.6320467818476634</v>
          </cell>
          <cell r="T362" t="str">
            <v>DEF</v>
          </cell>
          <cell r="U362" t="str">
            <v>CB</v>
          </cell>
          <cell r="V362" t="str">
            <v>CRY</v>
          </cell>
          <cell r="W362" t="str">
            <v>Crystal Palace</v>
          </cell>
          <cell r="X362">
            <v>4.5</v>
          </cell>
          <cell r="Y362">
            <v>20</v>
          </cell>
          <cell r="Z362">
            <v>2</v>
          </cell>
          <cell r="AA362">
            <v>18</v>
          </cell>
          <cell r="AB362">
            <v>550</v>
          </cell>
          <cell r="AC362">
            <v>550</v>
          </cell>
          <cell r="AD362">
            <v>0.49382716049382719</v>
          </cell>
          <cell r="AE362">
            <v>0</v>
          </cell>
          <cell r="AF362">
            <v>1</v>
          </cell>
          <cell r="AG362">
            <v>-5.4000000000000006E-2</v>
          </cell>
          <cell r="AH362">
            <v>0.14236363636363636</v>
          </cell>
          <cell r="AI362">
            <v>8.8363636363636353E-2</v>
          </cell>
          <cell r="AJ362">
            <v>9.9999999999988987E-4</v>
          </cell>
          <cell r="AK362">
            <v>0</v>
          </cell>
          <cell r="AL362">
            <v>84</v>
          </cell>
          <cell r="AM362">
            <v>2</v>
          </cell>
          <cell r="AN362">
            <v>0</v>
          </cell>
          <cell r="AO362">
            <v>206</v>
          </cell>
          <cell r="AP362" t="str">
            <v>Chadi Riad</v>
          </cell>
          <cell r="AQ362">
            <v>5.18</v>
          </cell>
          <cell r="AR362">
            <v>0</v>
          </cell>
          <cell r="AS362">
            <v>4.4799999999999995</v>
          </cell>
          <cell r="AT362">
            <v>6.3</v>
          </cell>
          <cell r="AU362">
            <v>1.1199999999999999</v>
          </cell>
          <cell r="AV362">
            <v>6.3</v>
          </cell>
          <cell r="AW362">
            <v>6.3</v>
          </cell>
          <cell r="AX362">
            <v>0.1217</v>
          </cell>
          <cell r="AY362">
            <v>0</v>
          </cell>
          <cell r="AZ362">
            <v>2.2000000000000002</v>
          </cell>
          <cell r="BA362">
            <v>20</v>
          </cell>
          <cell r="BB362" t="str">
            <v/>
          </cell>
          <cell r="BC362">
            <v>6</v>
          </cell>
          <cell r="BD362">
            <v>2</v>
          </cell>
          <cell r="BE362">
            <v>0.33333333333333331</v>
          </cell>
          <cell r="BF362">
            <v>77</v>
          </cell>
          <cell r="BG362">
            <v>0.85555555555555551</v>
          </cell>
          <cell r="BH362">
            <v>1</v>
          </cell>
          <cell r="BI362">
            <v>3</v>
          </cell>
          <cell r="BJ362">
            <v>31</v>
          </cell>
          <cell r="BK362">
            <v>8</v>
          </cell>
          <cell r="BL362">
            <v>0.35294117647058826</v>
          </cell>
          <cell r="BM362">
            <v>0.1764705882352941</v>
          </cell>
          <cell r="BN362">
            <v>0.61344537815126055</v>
          </cell>
          <cell r="BO362">
            <v>38</v>
          </cell>
          <cell r="BP362">
            <v>0</v>
          </cell>
          <cell r="BQ362">
            <v>0.16081871345029239</v>
          </cell>
          <cell r="BR362">
            <v>0.33</v>
          </cell>
          <cell r="BS362">
            <v>5.4000000000000006E-2</v>
          </cell>
          <cell r="BT362">
            <v>0.13</v>
          </cell>
          <cell r="BU362">
            <v>2.1272727272727273E-2</v>
          </cell>
          <cell r="BV362">
            <v>7.5272727272727283E-2</v>
          </cell>
          <cell r="BW362">
            <v>0</v>
          </cell>
          <cell r="BX362">
            <v>38</v>
          </cell>
          <cell r="BY362">
            <v>1.631578947368421</v>
          </cell>
          <cell r="BZ362">
            <v>1.0114210526315788</v>
          </cell>
        </row>
        <row r="363">
          <cell r="A363" t="str">
            <v>Lewis Cook</v>
          </cell>
          <cell r="B363" t="str">
            <v/>
          </cell>
          <cell r="C363" t="str">
            <v>Cook</v>
          </cell>
          <cell r="D363" t="str">
            <v/>
          </cell>
          <cell r="E363" t="str">
            <v>L Cook</v>
          </cell>
          <cell r="F363" t="str">
            <v/>
          </cell>
          <cell r="H363" t="str">
            <v/>
          </cell>
          <cell r="I363">
            <v>0</v>
          </cell>
          <cell r="J363">
            <v>1.3666666666666665</v>
          </cell>
          <cell r="K363">
            <v>2.2999999999999998</v>
          </cell>
          <cell r="M363">
            <v>2.614212434750248</v>
          </cell>
          <cell r="N363">
            <v>2.6834862385321103</v>
          </cell>
          <cell r="O363">
            <v>2.0928899082568808</v>
          </cell>
          <cell r="P363">
            <v>2.614212434750248</v>
          </cell>
          <cell r="Q363">
            <v>2.6834862385321103</v>
          </cell>
          <cell r="R363">
            <v>90</v>
          </cell>
          <cell r="S363">
            <v>2.614212434750248</v>
          </cell>
          <cell r="T363" t="str">
            <v>MID</v>
          </cell>
          <cell r="U363" t="str">
            <v>CM</v>
          </cell>
          <cell r="V363" t="str">
            <v>BOU</v>
          </cell>
          <cell r="W363" t="str">
            <v>Bournemouth</v>
          </cell>
          <cell r="X363">
            <v>5</v>
          </cell>
          <cell r="Y363">
            <v>40</v>
          </cell>
          <cell r="Z363">
            <v>14</v>
          </cell>
          <cell r="AA363">
            <v>26</v>
          </cell>
          <cell r="AB363">
            <v>872</v>
          </cell>
          <cell r="AC363">
            <v>872</v>
          </cell>
          <cell r="AD363">
            <v>0.44444444444444448</v>
          </cell>
          <cell r="AE363">
            <v>0</v>
          </cell>
          <cell r="AF363">
            <v>1</v>
          </cell>
          <cell r="AG363">
            <v>-7.2247706422018361E-3</v>
          </cell>
          <cell r="AH363">
            <v>4.9541284403669728E-2</v>
          </cell>
          <cell r="AI363">
            <v>4.2316513761467889E-2</v>
          </cell>
          <cell r="AJ363">
            <v>9.9999999999988987E-4</v>
          </cell>
          <cell r="AK363">
            <v>0</v>
          </cell>
          <cell r="AL363">
            <v>190</v>
          </cell>
          <cell r="AM363">
            <v>1</v>
          </cell>
          <cell r="AN363">
            <v>0</v>
          </cell>
          <cell r="AO363">
            <v>71</v>
          </cell>
          <cell r="AP363" t="str">
            <v>Cook</v>
          </cell>
          <cell r="AQ363">
            <v>5.7798165137614683</v>
          </cell>
          <cell r="AR363">
            <v>0</v>
          </cell>
          <cell r="AS363">
            <v>6.3990825688073398</v>
          </cell>
          <cell r="AT363">
            <v>14.759174311926605</v>
          </cell>
          <cell r="AU363">
            <v>2.5802752293577984</v>
          </cell>
          <cell r="AV363">
            <v>14.759174311926605</v>
          </cell>
          <cell r="AW363">
            <v>14.759174311926605</v>
          </cell>
          <cell r="AX363">
            <v>0.76486467889908261</v>
          </cell>
          <cell r="AY363">
            <v>0</v>
          </cell>
          <cell r="AZ363">
            <v>2.2000000000000002</v>
          </cell>
          <cell r="BA363">
            <v>40</v>
          </cell>
          <cell r="BB363" t="str">
            <v/>
          </cell>
          <cell r="BC363">
            <v>8</v>
          </cell>
          <cell r="BD363">
            <v>8</v>
          </cell>
          <cell r="BE363">
            <v>1</v>
          </cell>
          <cell r="BF363">
            <v>90</v>
          </cell>
          <cell r="BG363">
            <v>1</v>
          </cell>
          <cell r="BH363">
            <v>1</v>
          </cell>
          <cell r="BI363">
            <v>10</v>
          </cell>
          <cell r="BJ363">
            <v>15</v>
          </cell>
          <cell r="BK363">
            <v>1</v>
          </cell>
          <cell r="BL363">
            <v>0.42105263157894735</v>
          </cell>
          <cell r="BM363">
            <v>0.52631578947368418</v>
          </cell>
          <cell r="BN363">
            <v>0.51754385964912275</v>
          </cell>
          <cell r="BO363">
            <v>38</v>
          </cell>
          <cell r="BP363">
            <v>0</v>
          </cell>
          <cell r="BQ363">
            <v>0.25497076023391813</v>
          </cell>
          <cell r="BR363">
            <v>7.0000000000000007E-2</v>
          </cell>
          <cell r="BS363">
            <v>7.2247706422018361E-3</v>
          </cell>
          <cell r="BT363">
            <v>0.52</v>
          </cell>
          <cell r="BU363">
            <v>5.3669724770642205E-2</v>
          </cell>
          <cell r="BV363">
            <v>6.0894495412844044E-2</v>
          </cell>
          <cell r="BW363">
            <v>0</v>
          </cell>
          <cell r="BX363">
            <v>38</v>
          </cell>
          <cell r="BY363">
            <v>1.4939473684210527</v>
          </cell>
          <cell r="BZ363">
            <v>1.1490526315789471</v>
          </cell>
        </row>
        <row r="364">
          <cell r="A364" t="str">
            <v>Julio Soler Barreto</v>
          </cell>
          <cell r="B364" t="str">
            <v/>
          </cell>
          <cell r="C364" t="str">
            <v>Soler</v>
          </cell>
          <cell r="D364" t="str">
            <v/>
          </cell>
          <cell r="F364" t="str">
            <v/>
          </cell>
          <cell r="H364" t="str">
            <v/>
          </cell>
          <cell r="I364">
            <v>1</v>
          </cell>
          <cell r="J364">
            <v>1</v>
          </cell>
          <cell r="K364">
            <v>1</v>
          </cell>
          <cell r="M364">
            <v>2.5951108092427031</v>
          </cell>
          <cell r="N364">
            <v>0</v>
          </cell>
          <cell r="O364">
            <v>1.6296078431372543</v>
          </cell>
          <cell r="P364">
            <v>2.5951108092427031</v>
          </cell>
          <cell r="Q364">
            <v>7.1470588235294121</v>
          </cell>
          <cell r="R364">
            <v>0</v>
          </cell>
          <cell r="S364">
            <v>2.5951108092427031</v>
          </cell>
          <cell r="T364" t="str">
            <v>DEF</v>
          </cell>
          <cell r="U364" t="str">
            <v/>
          </cell>
          <cell r="V364" t="str">
            <v>BOU</v>
          </cell>
          <cell r="W364" t="str">
            <v>Bournemouth</v>
          </cell>
          <cell r="X364">
            <v>4</v>
          </cell>
          <cell r="Y364">
            <v>3</v>
          </cell>
          <cell r="Z364">
            <v>0</v>
          </cell>
          <cell r="AA364">
            <v>3</v>
          </cell>
          <cell r="AB364">
            <v>34</v>
          </cell>
          <cell r="AC364">
            <v>34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6.0000000000000053E-3</v>
          </cell>
          <cell r="AK364">
            <v>0</v>
          </cell>
          <cell r="AL364">
            <v>2</v>
          </cell>
          <cell r="AM364">
            <v>0</v>
          </cell>
          <cell r="AN364">
            <v>0</v>
          </cell>
          <cell r="AO364">
            <v>66</v>
          </cell>
          <cell r="AP364" t="str">
            <v>Soler</v>
          </cell>
          <cell r="AQ364">
            <v>0</v>
          </cell>
          <cell r="AR364">
            <v>0</v>
          </cell>
          <cell r="AS364">
            <v>9.5294117647058822</v>
          </cell>
          <cell r="AT364">
            <v>2.3823529411764706</v>
          </cell>
          <cell r="AU364">
            <v>2.3823529411764706</v>
          </cell>
          <cell r="AV364">
            <v>2.3823529411764706</v>
          </cell>
          <cell r="AW364">
            <v>2.3823529411764706</v>
          </cell>
          <cell r="AX364">
            <v>1.524705882352941E-2</v>
          </cell>
          <cell r="AY364">
            <v>0</v>
          </cell>
          <cell r="AZ364">
            <v>1</v>
          </cell>
          <cell r="BA364">
            <v>3</v>
          </cell>
          <cell r="BB364" t="str">
            <v/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0.9</v>
          </cell>
          <cell r="BH364">
            <v>1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 t="e">
            <v>#DIV/0!</v>
          </cell>
          <cell r="BO364">
            <v>38</v>
          </cell>
          <cell r="BP364">
            <v>0</v>
          </cell>
          <cell r="BQ364">
            <v>9.9415204678362581E-3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38</v>
          </cell>
          <cell r="BY364">
            <v>1.4939473684210527</v>
          </cell>
          <cell r="BZ364">
            <v>1.1490526315789471</v>
          </cell>
        </row>
        <row r="365">
          <cell r="A365" t="str">
            <v>Jair Paula da Cunha Filho</v>
          </cell>
          <cell r="B365" t="str">
            <v/>
          </cell>
          <cell r="C365" t="str">
            <v>Jair Cunha</v>
          </cell>
          <cell r="D365" t="str">
            <v/>
          </cell>
          <cell r="F365" t="str">
            <v/>
          </cell>
          <cell r="H365" t="str">
            <v/>
          </cell>
          <cell r="I365" t="e">
            <v>#N/A</v>
          </cell>
          <cell r="J365" t="e">
            <v>#N/A</v>
          </cell>
          <cell r="K365" t="e">
            <v>#N/A</v>
          </cell>
          <cell r="M365">
            <v>2.5902564923750191</v>
          </cell>
          <cell r="N365">
            <v>1.5194552529182879</v>
          </cell>
          <cell r="O365">
            <v>1.6899533592736709</v>
          </cell>
          <cell r="P365">
            <v>2.5902564923750191</v>
          </cell>
          <cell r="Q365">
            <v>1.5194552529182879</v>
          </cell>
          <cell r="R365">
            <v>1.8933333333333335</v>
          </cell>
          <cell r="S365">
            <v>2.5902564923750191</v>
          </cell>
          <cell r="T365" t="str">
            <v>DEF</v>
          </cell>
          <cell r="U365" t="str">
            <v>CB</v>
          </cell>
          <cell r="V365" t="str">
            <v>NFO</v>
          </cell>
          <cell r="W365" t="str">
            <v>Nott'm Forest</v>
          </cell>
          <cell r="X365">
            <v>4.5</v>
          </cell>
          <cell r="Y365">
            <v>13</v>
          </cell>
          <cell r="Z365">
            <v>2</v>
          </cell>
          <cell r="AA365">
            <v>11</v>
          </cell>
          <cell r="AB365">
            <v>514</v>
          </cell>
          <cell r="AC365">
            <v>514</v>
          </cell>
          <cell r="AD365">
            <v>0.32098765432098764</v>
          </cell>
          <cell r="AE365">
            <v>0</v>
          </cell>
          <cell r="AF365">
            <v>0</v>
          </cell>
          <cell r="AG365">
            <v>-4.7276264591439694E-2</v>
          </cell>
          <cell r="AH365">
            <v>-1.0505836575875485E-2</v>
          </cell>
          <cell r="AI365">
            <v>-5.7782101167315178E-2</v>
          </cell>
          <cell r="AJ365">
            <v>1.2000000000000011E-2</v>
          </cell>
          <cell r="AK365">
            <v>0</v>
          </cell>
          <cell r="AL365">
            <v>48</v>
          </cell>
          <cell r="AM365">
            <v>0</v>
          </cell>
          <cell r="AN365">
            <v>0</v>
          </cell>
          <cell r="AO365">
            <v>474</v>
          </cell>
          <cell r="AP365" t="str">
            <v>Jair Cunha</v>
          </cell>
          <cell r="AQ365">
            <v>5.2490272373540856</v>
          </cell>
          <cell r="AR365">
            <v>0</v>
          </cell>
          <cell r="AS365">
            <v>1.7957198443579765</v>
          </cell>
          <cell r="AT365">
            <v>6.492217898832684</v>
          </cell>
          <cell r="AU365">
            <v>1.2431906614785992</v>
          </cell>
          <cell r="AV365">
            <v>6.492217898832684</v>
          </cell>
          <cell r="AW365">
            <v>6.492217898832684</v>
          </cell>
          <cell r="AX365">
            <v>0.1349630350194552</v>
          </cell>
          <cell r="AY365">
            <v>0</v>
          </cell>
          <cell r="AZ365">
            <v>1.4</v>
          </cell>
          <cell r="BA365">
            <v>13</v>
          </cell>
          <cell r="BB365" t="str">
            <v/>
          </cell>
          <cell r="BC365">
            <v>6</v>
          </cell>
          <cell r="BD365">
            <v>3</v>
          </cell>
          <cell r="BE365">
            <v>0.5</v>
          </cell>
          <cell r="BF365">
            <v>71</v>
          </cell>
          <cell r="BG365">
            <v>0.78888888888888886</v>
          </cell>
          <cell r="BH365">
            <v>1</v>
          </cell>
          <cell r="BI365">
            <v>3</v>
          </cell>
          <cell r="BJ365">
            <v>30</v>
          </cell>
          <cell r="BK365">
            <v>14</v>
          </cell>
          <cell r="BL365">
            <v>0.2608695652173913</v>
          </cell>
          <cell r="BM365">
            <v>0.13043478260869568</v>
          </cell>
          <cell r="BN365">
            <v>0.57317819963257799</v>
          </cell>
          <cell r="BO365">
            <v>38</v>
          </cell>
          <cell r="BP365">
            <v>0</v>
          </cell>
          <cell r="BQ365">
            <v>0.15029239766081873</v>
          </cell>
          <cell r="BR365">
            <v>0.27</v>
          </cell>
          <cell r="BS365">
            <v>4.7276264591439694E-2</v>
          </cell>
          <cell r="BT365">
            <v>0.06</v>
          </cell>
          <cell r="BU365">
            <v>1.0505836575875485E-2</v>
          </cell>
          <cell r="BV365">
            <v>5.7782101167315178E-2</v>
          </cell>
          <cell r="BW365">
            <v>0</v>
          </cell>
          <cell r="BX365">
            <v>38</v>
          </cell>
          <cell r="BY365">
            <v>1.7036842105263157</v>
          </cell>
          <cell r="BZ365">
            <v>0.9393157894736841</v>
          </cell>
        </row>
        <row r="366">
          <cell r="A366" t="str">
            <v>Ashley Phillips</v>
          </cell>
          <cell r="B366" t="str">
            <v/>
          </cell>
          <cell r="C366" t="str">
            <v>Phillips</v>
          </cell>
          <cell r="D366" t="str">
            <v/>
          </cell>
          <cell r="F366" t="str">
            <v/>
          </cell>
          <cell r="H366" t="str">
            <v/>
          </cell>
          <cell r="I366">
            <v>0</v>
          </cell>
          <cell r="J366">
            <v>0.46666666666666662</v>
          </cell>
          <cell r="K366">
            <v>1.4</v>
          </cell>
          <cell r="M366">
            <v>2.5857783302499251</v>
          </cell>
          <cell r="N366">
            <v>0</v>
          </cell>
          <cell r="O366">
            <v>1.7716666666666665</v>
          </cell>
          <cell r="P366">
            <v>2.5857783302499251</v>
          </cell>
          <cell r="Q366">
            <v>0</v>
          </cell>
          <cell r="R366">
            <v>0</v>
          </cell>
          <cell r="S366">
            <v>2.5857783302499251</v>
          </cell>
          <cell r="T366" t="str">
            <v>DEF</v>
          </cell>
          <cell r="U366" t="str">
            <v>CB</v>
          </cell>
          <cell r="V366" t="str">
            <v>TOT</v>
          </cell>
          <cell r="W366" t="str">
            <v>Spurs</v>
          </cell>
          <cell r="X366">
            <v>4.5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 t="e">
            <v>#DIV/0!</v>
          </cell>
          <cell r="AH366" t="e">
            <v>#DIV/0!</v>
          </cell>
          <cell r="AI366" t="e">
            <v>#DIV/0!</v>
          </cell>
          <cell r="AJ366">
            <v>9.9999999999988987E-4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507</v>
          </cell>
          <cell r="AP366" t="str">
            <v>Phillips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 t="str">
            <v/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0.9</v>
          </cell>
          <cell r="BH366">
            <v>1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 t="e">
            <v>#DIV/0!</v>
          </cell>
          <cell r="BO366">
            <v>38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38</v>
          </cell>
          <cell r="BY366">
            <v>1.4628947368421052</v>
          </cell>
          <cell r="BZ366">
            <v>1.1801052631578945</v>
          </cell>
        </row>
        <row r="367">
          <cell r="A367" t="str">
            <v>Brandon Austin</v>
          </cell>
          <cell r="B367" t="str">
            <v/>
          </cell>
          <cell r="C367" t="str">
            <v>Austin</v>
          </cell>
          <cell r="D367" t="str">
            <v/>
          </cell>
          <cell r="F367" t="str">
            <v/>
          </cell>
          <cell r="H367" t="str">
            <v/>
          </cell>
          <cell r="I367">
            <v>0</v>
          </cell>
          <cell r="J367">
            <v>0.33333333333333331</v>
          </cell>
          <cell r="K367">
            <v>1</v>
          </cell>
          <cell r="M367">
            <v>2.5857783302499251</v>
          </cell>
          <cell r="N367">
            <v>0</v>
          </cell>
          <cell r="O367">
            <v>1.7716666666666665</v>
          </cell>
          <cell r="P367">
            <v>2.5857783302499251</v>
          </cell>
          <cell r="Q367">
            <v>0</v>
          </cell>
          <cell r="R367">
            <v>0</v>
          </cell>
          <cell r="S367">
            <v>2.5857783302499251</v>
          </cell>
          <cell r="T367" t="str">
            <v>GK</v>
          </cell>
          <cell r="U367" t="str">
            <v>GK</v>
          </cell>
          <cell r="V367" t="str">
            <v>TOT</v>
          </cell>
          <cell r="W367" t="str">
            <v>Spurs</v>
          </cell>
          <cell r="X367">
            <v>4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 t="e">
            <v>#DIV/0!</v>
          </cell>
          <cell r="AH367" t="e">
            <v>#DIV/0!</v>
          </cell>
          <cell r="AI367" t="e">
            <v>#DIV/0!</v>
          </cell>
          <cell r="AJ367">
            <v>4.9999999999998934E-3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495</v>
          </cell>
          <cell r="AP367" t="str">
            <v>Austin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 t="str">
            <v/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0.9</v>
          </cell>
          <cell r="BH367">
            <v>1</v>
          </cell>
          <cell r="BI367">
            <v>0</v>
          </cell>
          <cell r="BJ367">
            <v>0</v>
          </cell>
          <cell r="BK367">
            <v>10</v>
          </cell>
          <cell r="BL367">
            <v>0</v>
          </cell>
          <cell r="BM367">
            <v>0</v>
          </cell>
          <cell r="BN367" t="e">
            <v>#DIV/0!</v>
          </cell>
          <cell r="BO367">
            <v>38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38</v>
          </cell>
          <cell r="BY367">
            <v>1.4628947368421052</v>
          </cell>
          <cell r="BZ367">
            <v>1.1801052631578945</v>
          </cell>
        </row>
        <row r="368">
          <cell r="A368" t="str">
            <v>Kevin Danso</v>
          </cell>
          <cell r="B368" t="str">
            <v/>
          </cell>
          <cell r="C368" t="str">
            <v>Danso</v>
          </cell>
          <cell r="D368" t="str">
            <v/>
          </cell>
          <cell r="F368" t="str">
            <v/>
          </cell>
          <cell r="H368" t="str">
            <v/>
          </cell>
          <cell r="I368">
            <v>1.6</v>
          </cell>
          <cell r="J368">
            <v>1.6</v>
          </cell>
          <cell r="K368">
            <v>1.6</v>
          </cell>
          <cell r="M368">
            <v>2.5711779272949213</v>
          </cell>
          <cell r="N368">
            <v>2.2263263935527196</v>
          </cell>
          <cell r="O368">
            <v>1.8355211178270272</v>
          </cell>
          <cell r="P368">
            <v>2.5711779272949213</v>
          </cell>
          <cell r="Q368">
            <v>2.2263263935527196</v>
          </cell>
          <cell r="R368">
            <v>3.7777777777777777</v>
          </cell>
          <cell r="S368">
            <v>2.5711779272949213</v>
          </cell>
          <cell r="T368" t="str">
            <v>DEF</v>
          </cell>
          <cell r="U368" t="str">
            <v>CB</v>
          </cell>
          <cell r="V368" t="str">
            <v>TOT</v>
          </cell>
          <cell r="W368" t="str">
            <v>Spurs</v>
          </cell>
          <cell r="X368">
            <v>5</v>
          </cell>
          <cell r="Y368">
            <v>63</v>
          </cell>
          <cell r="Z368">
            <v>24</v>
          </cell>
          <cell r="AA368">
            <v>39</v>
          </cell>
          <cell r="AB368">
            <v>1489</v>
          </cell>
          <cell r="AC368">
            <v>1489</v>
          </cell>
          <cell r="AD368">
            <v>0.52500000000000002</v>
          </cell>
          <cell r="AE368">
            <v>0</v>
          </cell>
          <cell r="AF368">
            <v>0</v>
          </cell>
          <cell r="AG368">
            <v>-3.7474815312290126E-2</v>
          </cell>
          <cell r="AH368">
            <v>-1.6924110141034253E-2</v>
          </cell>
          <cell r="AI368">
            <v>-5.4398925453324379E-2</v>
          </cell>
          <cell r="AJ368">
            <v>2.0000000000000018E-3</v>
          </cell>
          <cell r="AK368">
            <v>1</v>
          </cell>
          <cell r="AL368">
            <v>219</v>
          </cell>
          <cell r="AM368">
            <v>8</v>
          </cell>
          <cell r="AN368">
            <v>0</v>
          </cell>
          <cell r="AO368">
            <v>501</v>
          </cell>
          <cell r="AP368" t="str">
            <v>Danso</v>
          </cell>
          <cell r="AQ368">
            <v>9.4190732034922764</v>
          </cell>
          <cell r="AR368">
            <v>0</v>
          </cell>
          <cell r="AS368">
            <v>2.5688381464069847</v>
          </cell>
          <cell r="AT368">
            <v>10.960376091336466</v>
          </cell>
          <cell r="AU368">
            <v>1.5413028878441906</v>
          </cell>
          <cell r="AV368">
            <v>10.960376091336466</v>
          </cell>
          <cell r="AW368">
            <v>10.960376091336466</v>
          </cell>
          <cell r="AX368">
            <v>0.65410644728005352</v>
          </cell>
          <cell r="AY368">
            <v>0</v>
          </cell>
          <cell r="AZ368">
            <v>2.6</v>
          </cell>
          <cell r="BA368">
            <v>63</v>
          </cell>
          <cell r="BB368" t="str">
            <v/>
          </cell>
          <cell r="BC368">
            <v>17</v>
          </cell>
          <cell r="BD368">
            <v>14</v>
          </cell>
          <cell r="BE368">
            <v>0.82352941176470584</v>
          </cell>
          <cell r="BF368">
            <v>85</v>
          </cell>
          <cell r="BG368">
            <v>0.94444444444444442</v>
          </cell>
          <cell r="BH368">
            <v>1</v>
          </cell>
          <cell r="BI368">
            <v>7</v>
          </cell>
          <cell r="BJ368">
            <v>8</v>
          </cell>
          <cell r="BK368">
            <v>10</v>
          </cell>
          <cell r="BL368">
            <v>0.5</v>
          </cell>
          <cell r="BM368">
            <v>0.20588235294117646</v>
          </cell>
          <cell r="BN368">
            <v>0.54705882352941182</v>
          </cell>
          <cell r="BO368">
            <v>38</v>
          </cell>
          <cell r="BP368">
            <v>0</v>
          </cell>
          <cell r="BQ368">
            <v>0.43538011695906431</v>
          </cell>
          <cell r="BR368">
            <v>0.62</v>
          </cell>
          <cell r="BS368">
            <v>3.7474815312290126E-2</v>
          </cell>
          <cell r="BT368">
            <v>0.28000000000000003</v>
          </cell>
          <cell r="BU368">
            <v>1.6924110141034253E-2</v>
          </cell>
          <cell r="BV368">
            <v>5.4398925453324379E-2</v>
          </cell>
          <cell r="BW368">
            <v>0</v>
          </cell>
          <cell r="BX368">
            <v>38</v>
          </cell>
          <cell r="BY368">
            <v>1.4628947368421052</v>
          </cell>
          <cell r="BZ368">
            <v>1.1801052631578945</v>
          </cell>
        </row>
        <row r="369">
          <cell r="A369" t="str">
            <v>Yehor Yarmoliuk</v>
          </cell>
          <cell r="B369" t="str">
            <v/>
          </cell>
          <cell r="C369" t="str">
            <v>Yarmoliuk</v>
          </cell>
          <cell r="D369" t="str">
            <v/>
          </cell>
          <cell r="E369" t="str">
            <v>Yegor Yarmolyuk</v>
          </cell>
          <cell r="F369" t="str">
            <v/>
          </cell>
          <cell r="H369" t="str">
            <v/>
          </cell>
          <cell r="I369">
            <v>1.2</v>
          </cell>
          <cell r="J369">
            <v>1.2999999999999998</v>
          </cell>
          <cell r="K369">
            <v>1.4</v>
          </cell>
          <cell r="M369">
            <v>2.5694134052998949</v>
          </cell>
          <cell r="N369">
            <v>2.5663650075414783</v>
          </cell>
          <cell r="O369">
            <v>2.0824199980627394</v>
          </cell>
          <cell r="P369">
            <v>2.5694134052998949</v>
          </cell>
          <cell r="Q369">
            <v>2.5663650075414783</v>
          </cell>
          <cell r="R369">
            <v>3.8073394495412853</v>
          </cell>
          <cell r="S369">
            <v>2.5694134052998949</v>
          </cell>
          <cell r="T369" t="str">
            <v>MID</v>
          </cell>
          <cell r="U369" t="str">
            <v>CM</v>
          </cell>
          <cell r="V369" t="str">
            <v>BRE</v>
          </cell>
          <cell r="W369" t="str">
            <v>Brentford</v>
          </cell>
          <cell r="X369">
            <v>5</v>
          </cell>
          <cell r="Y369">
            <v>104</v>
          </cell>
          <cell r="Z369">
            <v>22</v>
          </cell>
          <cell r="AA369">
            <v>82</v>
          </cell>
          <cell r="AB369">
            <v>2652</v>
          </cell>
          <cell r="AC369">
            <v>2652</v>
          </cell>
          <cell r="AD369">
            <v>0.56216216216216219</v>
          </cell>
          <cell r="AE369">
            <v>1</v>
          </cell>
          <cell r="AF369">
            <v>3</v>
          </cell>
          <cell r="AG369">
            <v>-7.4660633484162839E-3</v>
          </cell>
          <cell r="AH369">
            <v>5.463800904977377E-2</v>
          </cell>
          <cell r="AI369">
            <v>4.7171945701357493E-2</v>
          </cell>
          <cell r="AJ369">
            <v>1.2999999999999901E-2</v>
          </cell>
          <cell r="AK369">
            <v>1</v>
          </cell>
          <cell r="AL369">
            <v>448</v>
          </cell>
          <cell r="AM369">
            <v>7</v>
          </cell>
          <cell r="AN369">
            <v>0</v>
          </cell>
          <cell r="AO369">
            <v>102</v>
          </cell>
          <cell r="AP369" t="str">
            <v>Yarmoliuk</v>
          </cell>
          <cell r="AQ369">
            <v>2.5976621417797889</v>
          </cell>
          <cell r="AR369">
            <v>0</v>
          </cell>
          <cell r="AS369">
            <v>5.8212669683257916</v>
          </cell>
          <cell r="AT369">
            <v>10.578431372549019</v>
          </cell>
          <cell r="AU369">
            <v>2.1595022624434392</v>
          </cell>
          <cell r="AV369">
            <v>10.578431372549019</v>
          </cell>
          <cell r="AW369">
            <v>10.578431372549019</v>
          </cell>
          <cell r="AX369">
            <v>0.37378431381388233</v>
          </cell>
          <cell r="AY369">
            <v>0</v>
          </cell>
          <cell r="AZ369">
            <v>2.8</v>
          </cell>
          <cell r="BA369">
            <v>104</v>
          </cell>
          <cell r="BB369" t="str">
            <v/>
          </cell>
          <cell r="BC369">
            <v>30</v>
          </cell>
          <cell r="BD369">
            <v>15</v>
          </cell>
          <cell r="BE369">
            <v>0.5</v>
          </cell>
          <cell r="BF369">
            <v>83</v>
          </cell>
          <cell r="BG369">
            <v>0.92222222222222228</v>
          </cell>
          <cell r="BH369">
            <v>1</v>
          </cell>
          <cell r="BI369">
            <v>7</v>
          </cell>
          <cell r="BJ369">
            <v>26</v>
          </cell>
          <cell r="BK369">
            <v>0</v>
          </cell>
          <cell r="BL369">
            <v>0.81081081081081086</v>
          </cell>
          <cell r="BM369">
            <v>0.18918918918918914</v>
          </cell>
          <cell r="BN369">
            <v>0.87007489417127981</v>
          </cell>
          <cell r="BO369">
            <v>38</v>
          </cell>
          <cell r="BP369">
            <v>0</v>
          </cell>
          <cell r="BQ369">
            <v>0.77543859649122804</v>
          </cell>
          <cell r="BR369">
            <v>1.22</v>
          </cell>
          <cell r="BS369">
            <v>4.1402714932126695E-2</v>
          </cell>
          <cell r="BT369">
            <v>1.39</v>
          </cell>
          <cell r="BU369">
            <v>4.7171945701357465E-2</v>
          </cell>
          <cell r="BV369">
            <v>8.8574660633484154E-2</v>
          </cell>
          <cell r="BW369">
            <v>0</v>
          </cell>
          <cell r="BX369">
            <v>38</v>
          </cell>
          <cell r="BY369">
            <v>1.5555263157894736</v>
          </cell>
          <cell r="BZ369">
            <v>1.0874736842105261</v>
          </cell>
        </row>
        <row r="370">
          <cell r="A370" t="str">
            <v>Mateus Fernandes</v>
          </cell>
          <cell r="B370" t="str">
            <v/>
          </cell>
          <cell r="C370" t="str">
            <v>Fernandes</v>
          </cell>
          <cell r="D370" t="str">
            <v/>
          </cell>
          <cell r="H370" t="str">
            <v/>
          </cell>
          <cell r="I370">
            <v>0</v>
          </cell>
          <cell r="J370">
            <v>1.35</v>
          </cell>
          <cell r="K370">
            <v>2.7</v>
          </cell>
          <cell r="M370">
            <v>2.5678007899312512</v>
          </cell>
          <cell r="N370">
            <v>3.8034471329134898</v>
          </cell>
          <cell r="O370">
            <v>2.3009943652635068</v>
          </cell>
          <cell r="P370">
            <v>2.5678007899312512</v>
          </cell>
          <cell r="Q370">
            <v>3.8034471329134898</v>
          </cell>
          <cell r="R370">
            <v>0</v>
          </cell>
          <cell r="S370">
            <v>2.5678007899312512</v>
          </cell>
          <cell r="T370" t="str">
            <v>MID</v>
          </cell>
          <cell r="U370" t="str">
            <v>CM</v>
          </cell>
          <cell r="V370" t="str">
            <v>TOT</v>
          </cell>
          <cell r="W370" t="str">
            <v>Spurs</v>
          </cell>
          <cell r="X370">
            <v>6</v>
          </cell>
          <cell r="Y370">
            <v>135</v>
          </cell>
          <cell r="Z370">
            <v>0</v>
          </cell>
          <cell r="AA370">
            <v>135</v>
          </cell>
          <cell r="AB370">
            <v>3017</v>
          </cell>
          <cell r="AC370">
            <v>3017</v>
          </cell>
          <cell r="AD370">
            <v>0.625</v>
          </cell>
          <cell r="AE370">
            <v>3</v>
          </cell>
          <cell r="AF370">
            <v>4</v>
          </cell>
          <cell r="AG370">
            <v>8.9492873715611529E-2</v>
          </cell>
          <cell r="AH370">
            <v>0.11932383162081538</v>
          </cell>
          <cell r="AI370">
            <v>0.20881670533642691</v>
          </cell>
          <cell r="AJ370">
            <v>5.2999999999999936E-2</v>
          </cell>
          <cell r="AK370">
            <v>7</v>
          </cell>
          <cell r="AL370">
            <v>659</v>
          </cell>
          <cell r="AM370">
            <v>0</v>
          </cell>
          <cell r="AN370">
            <v>0</v>
          </cell>
          <cell r="AO370">
            <v>525</v>
          </cell>
          <cell r="AP370" t="str">
            <v>Fernandes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3.8</v>
          </cell>
          <cell r="BA370">
            <v>135</v>
          </cell>
          <cell r="BB370" t="str">
            <v/>
          </cell>
          <cell r="BC370">
            <v>35</v>
          </cell>
          <cell r="BD370">
            <v>23</v>
          </cell>
          <cell r="BE370">
            <v>0.65714285714285714</v>
          </cell>
          <cell r="BF370">
            <v>85</v>
          </cell>
          <cell r="BG370">
            <v>0.94444444444444442</v>
          </cell>
          <cell r="BH370">
            <v>1</v>
          </cell>
          <cell r="BI370">
            <v>1</v>
          </cell>
          <cell r="BJ370">
            <v>26</v>
          </cell>
          <cell r="BK370">
            <v>0</v>
          </cell>
          <cell r="BL370">
            <v>0.97222222222222221</v>
          </cell>
          <cell r="BM370">
            <v>2.777777777777779E-2</v>
          </cell>
          <cell r="BN370">
            <v>0.98071895424836608</v>
          </cell>
          <cell r="BO370">
            <v>38</v>
          </cell>
          <cell r="BP370">
            <v>0</v>
          </cell>
          <cell r="BQ370">
            <v>0.88216374269005848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38</v>
          </cell>
          <cell r="BY370">
            <v>1.4628947368421052</v>
          </cell>
          <cell r="BZ370">
            <v>1.1801052631578945</v>
          </cell>
        </row>
        <row r="371">
          <cell r="A371" t="str">
            <v>Jack Fletcher</v>
          </cell>
          <cell r="B371" t="str">
            <v/>
          </cell>
          <cell r="C371" t="str">
            <v>J.Fletcher</v>
          </cell>
          <cell r="D371" t="str">
            <v/>
          </cell>
          <cell r="F371" t="str">
            <v/>
          </cell>
          <cell r="H371" t="str">
            <v/>
          </cell>
          <cell r="I371" t="e">
            <v>#N/A</v>
          </cell>
          <cell r="J371" t="e">
            <v>#N/A</v>
          </cell>
          <cell r="K371" t="e">
            <v>#N/A</v>
          </cell>
          <cell r="M371">
            <v>2.5596514405157214</v>
          </cell>
          <cell r="N371">
            <v>2.2710280373831777</v>
          </cell>
          <cell r="O371">
            <v>2.0841121495327104</v>
          </cell>
          <cell r="P371">
            <v>2.5596514405157214</v>
          </cell>
          <cell r="Q371">
            <v>2.2710280373831777</v>
          </cell>
          <cell r="R371">
            <v>0</v>
          </cell>
          <cell r="S371">
            <v>2.5596514405157214</v>
          </cell>
          <cell r="T371" t="str">
            <v>MID</v>
          </cell>
          <cell r="U371" t="str">
            <v>AM</v>
          </cell>
          <cell r="V371" t="str">
            <v>MUN</v>
          </cell>
          <cell r="W371" t="str">
            <v>Man Utd</v>
          </cell>
          <cell r="X371">
            <v>5</v>
          </cell>
          <cell r="Y371">
            <v>3</v>
          </cell>
          <cell r="Z371">
            <v>0</v>
          </cell>
          <cell r="AA371">
            <v>3</v>
          </cell>
          <cell r="AB371">
            <v>107</v>
          </cell>
          <cell r="AC371">
            <v>107</v>
          </cell>
          <cell r="AD371">
            <v>0.2</v>
          </cell>
          <cell r="AE371">
            <v>0</v>
          </cell>
          <cell r="AF371">
            <v>0</v>
          </cell>
          <cell r="AG371">
            <v>-2.5233644859813085E-2</v>
          </cell>
          <cell r="AH371">
            <v>-1.6822429906542057E-2</v>
          </cell>
          <cell r="AI371">
            <v>-4.2056074766355145E-2</v>
          </cell>
          <cell r="AJ371">
            <v>0</v>
          </cell>
          <cell r="AK371">
            <v>0</v>
          </cell>
          <cell r="AL371">
            <v>10</v>
          </cell>
          <cell r="AM371">
            <v>0</v>
          </cell>
          <cell r="AN371">
            <v>0</v>
          </cell>
          <cell r="AO371">
            <v>434</v>
          </cell>
          <cell r="AP371" t="str">
            <v>J.Fletcher</v>
          </cell>
          <cell r="AQ371">
            <v>1.514018691588785</v>
          </cell>
          <cell r="AR371">
            <v>0</v>
          </cell>
          <cell r="AS371">
            <v>3.02803738317757</v>
          </cell>
          <cell r="AT371">
            <v>8.3271028037383186</v>
          </cell>
          <cell r="AU371">
            <v>3.7850467289719627</v>
          </cell>
          <cell r="AV371">
            <v>8.3271028037383186</v>
          </cell>
          <cell r="AW371">
            <v>8.3271028037383186</v>
          </cell>
          <cell r="AX371">
            <v>0.14855140186915894</v>
          </cell>
          <cell r="AY371">
            <v>0</v>
          </cell>
          <cell r="AZ371">
            <v>1</v>
          </cell>
          <cell r="BA371">
            <v>3</v>
          </cell>
          <cell r="BB371" t="str">
            <v/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0.9</v>
          </cell>
          <cell r="BH371">
            <v>1</v>
          </cell>
          <cell r="BI371">
            <v>3</v>
          </cell>
          <cell r="BJ371">
            <v>36</v>
          </cell>
          <cell r="BK371">
            <v>5</v>
          </cell>
          <cell r="BL371">
            <v>0</v>
          </cell>
          <cell r="BM371">
            <v>0.375</v>
          </cell>
          <cell r="BN371" t="e">
            <v>#DIV/0!</v>
          </cell>
          <cell r="BO371">
            <v>38</v>
          </cell>
          <cell r="BP371">
            <v>0</v>
          </cell>
          <cell r="BQ371">
            <v>3.1286549707602342E-2</v>
          </cell>
          <cell r="BR371">
            <v>0.03</v>
          </cell>
          <cell r="BS371">
            <v>2.5233644859813085E-2</v>
          </cell>
          <cell r="BT371">
            <v>0.02</v>
          </cell>
          <cell r="BU371">
            <v>1.6822429906542057E-2</v>
          </cell>
          <cell r="BV371">
            <v>4.2056074766355145E-2</v>
          </cell>
          <cell r="BW371">
            <v>0</v>
          </cell>
          <cell r="BX371">
            <v>38</v>
          </cell>
          <cell r="BY371">
            <v>1.3231578947368421</v>
          </cell>
          <cell r="BZ371">
            <v>1.3198421052631577</v>
          </cell>
        </row>
        <row r="372">
          <cell r="A372" t="str">
            <v>Illan Meslier</v>
          </cell>
          <cell r="B372" t="str">
            <v/>
          </cell>
          <cell r="C372" t="str">
            <v>Meslier</v>
          </cell>
          <cell r="D372" t="str">
            <v/>
          </cell>
          <cell r="F372" t="str">
            <v/>
          </cell>
          <cell r="H372" t="str">
            <v/>
          </cell>
          <cell r="I372" t="e">
            <v>#N/A</v>
          </cell>
          <cell r="J372" t="e">
            <v>#N/A</v>
          </cell>
          <cell r="K372" t="e">
            <v>#N/A</v>
          </cell>
          <cell r="M372">
            <v>2.5584305030180783</v>
          </cell>
          <cell r="N372">
            <v>0</v>
          </cell>
          <cell r="O372">
            <v>1.6916666666666664</v>
          </cell>
          <cell r="P372">
            <v>3.4158218432597662</v>
          </cell>
          <cell r="Q372">
            <v>0</v>
          </cell>
          <cell r="R372">
            <v>0</v>
          </cell>
          <cell r="S372">
            <v>2.5584305030180783</v>
          </cell>
          <cell r="T372" t="str">
            <v>GK</v>
          </cell>
          <cell r="U372" t="str">
            <v>GK</v>
          </cell>
          <cell r="V372" t="str">
            <v>ARS</v>
          </cell>
          <cell r="W372" t="str">
            <v>Arsenal</v>
          </cell>
          <cell r="X372">
            <v>5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11</v>
          </cell>
          <cell r="AF372">
            <v>0</v>
          </cell>
          <cell r="AG372" t="e">
            <v>#DIV/0!</v>
          </cell>
          <cell r="AH372" t="e">
            <v>#DIV/0!</v>
          </cell>
          <cell r="AI372" t="e">
            <v>#DIV/0!</v>
          </cell>
          <cell r="AJ372">
            <v>9.9999999999988987E-4</v>
          </cell>
          <cell r="AK372">
            <v>0</v>
          </cell>
          <cell r="AL372">
            <v>11</v>
          </cell>
          <cell r="AM372">
            <v>0</v>
          </cell>
          <cell r="AN372">
            <v>0</v>
          </cell>
          <cell r="AO372">
            <v>3</v>
          </cell>
          <cell r="AP372" t="str">
            <v>Meslier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 t="str">
            <v/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0.9</v>
          </cell>
          <cell r="BH372">
            <v>1</v>
          </cell>
          <cell r="BI372">
            <v>0</v>
          </cell>
          <cell r="BJ372">
            <v>0</v>
          </cell>
          <cell r="BK372">
            <v>5</v>
          </cell>
          <cell r="BL372">
            <v>0</v>
          </cell>
          <cell r="BM372">
            <v>0</v>
          </cell>
          <cell r="BN372" t="e">
            <v>#DIV/0!</v>
          </cell>
          <cell r="BO372">
            <v>38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38</v>
          </cell>
          <cell r="BY372">
            <v>0.87184210526315797</v>
          </cell>
          <cell r="BZ372">
            <v>1.7711578947368418</v>
          </cell>
        </row>
        <row r="373">
          <cell r="A373" t="str">
            <v>Rodrigo Bentancur</v>
          </cell>
          <cell r="B373" t="str">
            <v/>
          </cell>
          <cell r="C373" t="str">
            <v>Bentancur</v>
          </cell>
          <cell r="D373" t="str">
            <v/>
          </cell>
          <cell r="F373" t="str">
            <v/>
          </cell>
          <cell r="H373" t="str">
            <v/>
          </cell>
          <cell r="I373">
            <v>1.4</v>
          </cell>
          <cell r="J373">
            <v>2.4</v>
          </cell>
          <cell r="K373">
            <v>3.9</v>
          </cell>
          <cell r="M373">
            <v>2.5431425948805106</v>
          </cell>
          <cell r="N373">
            <v>2.5212765957446805</v>
          </cell>
          <cell r="O373">
            <v>2.3145209842112364</v>
          </cell>
          <cell r="P373">
            <v>2.5431425948805106</v>
          </cell>
          <cell r="Q373">
            <v>2.5212765957446805</v>
          </cell>
          <cell r="R373">
            <v>3.6744186046511631</v>
          </cell>
          <cell r="S373">
            <v>2.5431425948805106</v>
          </cell>
          <cell r="T373" t="str">
            <v>MID</v>
          </cell>
          <cell r="U373" t="str">
            <v>DM</v>
          </cell>
          <cell r="V373" t="str">
            <v>TOT</v>
          </cell>
          <cell r="W373" t="str">
            <v>Spurs</v>
          </cell>
          <cell r="X373">
            <v>5.5</v>
          </cell>
          <cell r="Y373">
            <v>86</v>
          </cell>
          <cell r="Z373">
            <v>26</v>
          </cell>
          <cell r="AA373">
            <v>60</v>
          </cell>
          <cell r="AB373">
            <v>1880</v>
          </cell>
          <cell r="AC373">
            <v>1880</v>
          </cell>
          <cell r="AD373">
            <v>0.60139860139860135</v>
          </cell>
          <cell r="AE373">
            <v>1</v>
          </cell>
          <cell r="AF373">
            <v>1</v>
          </cell>
          <cell r="AG373">
            <v>1.340425531914894E-2</v>
          </cell>
          <cell r="AH373">
            <v>7.6595744680851077E-3</v>
          </cell>
          <cell r="AI373">
            <v>2.1063829787234048E-2</v>
          </cell>
          <cell r="AJ373">
            <v>9.9999999999988987E-4</v>
          </cell>
          <cell r="AK373">
            <v>4</v>
          </cell>
          <cell r="AL373">
            <v>366</v>
          </cell>
          <cell r="AM373">
            <v>7</v>
          </cell>
          <cell r="AN373">
            <v>0</v>
          </cell>
          <cell r="AO373">
            <v>516</v>
          </cell>
          <cell r="AP373" t="str">
            <v>Bentancur</v>
          </cell>
          <cell r="AQ373">
            <v>3.8239361702127663</v>
          </cell>
          <cell r="AR373">
            <v>0</v>
          </cell>
          <cell r="AS373">
            <v>5.5047872340425537</v>
          </cell>
          <cell r="AT373">
            <v>11.681914893617021</v>
          </cell>
          <cell r="AU373">
            <v>2.3531914893617021</v>
          </cell>
          <cell r="AV373">
            <v>11.681914893617021</v>
          </cell>
          <cell r="AW373">
            <v>11.681914893617021</v>
          </cell>
          <cell r="AX373">
            <v>0.4980563829787234</v>
          </cell>
          <cell r="AY373">
            <v>0</v>
          </cell>
          <cell r="AZ373">
            <v>3.3</v>
          </cell>
          <cell r="BA373">
            <v>86</v>
          </cell>
          <cell r="BB373" t="str">
            <v/>
          </cell>
          <cell r="BC373">
            <v>23</v>
          </cell>
          <cell r="BD373">
            <v>11</v>
          </cell>
          <cell r="BE373">
            <v>0.47826086956521741</v>
          </cell>
          <cell r="BF373">
            <v>79</v>
          </cell>
          <cell r="BG373">
            <v>0.87777777777777777</v>
          </cell>
          <cell r="BH373">
            <v>1</v>
          </cell>
          <cell r="BI373">
            <v>3</v>
          </cell>
          <cell r="BJ373">
            <v>21</v>
          </cell>
          <cell r="BK373">
            <v>1</v>
          </cell>
          <cell r="BL373">
            <v>0.85185185185185186</v>
          </cell>
          <cell r="BM373">
            <v>0.1111111111111111</v>
          </cell>
          <cell r="BN373">
            <v>0.89123300515705572</v>
          </cell>
          <cell r="BO373">
            <v>38</v>
          </cell>
          <cell r="BP373">
            <v>0</v>
          </cell>
          <cell r="BQ373">
            <v>0.54970760233918126</v>
          </cell>
          <cell r="BR373">
            <v>0.72</v>
          </cell>
          <cell r="BS373">
            <v>3.4468085106382974E-2</v>
          </cell>
          <cell r="BT373">
            <v>0.84</v>
          </cell>
          <cell r="BU373">
            <v>4.0212765957446807E-2</v>
          </cell>
          <cell r="BV373">
            <v>7.4680851063829781E-2</v>
          </cell>
          <cell r="BW373">
            <v>0</v>
          </cell>
          <cell r="BX373">
            <v>38</v>
          </cell>
          <cell r="BY373">
            <v>1.4628947368421052</v>
          </cell>
          <cell r="BZ373">
            <v>1.1801052631578945</v>
          </cell>
        </row>
        <row r="374">
          <cell r="A374" t="str">
            <v>Julián Araujo Zúñiga</v>
          </cell>
          <cell r="B374" t="str">
            <v/>
          </cell>
          <cell r="C374" t="str">
            <v>J.Araujo</v>
          </cell>
          <cell r="D374" t="str">
            <v/>
          </cell>
          <cell r="E374" t="str">
            <v>Julián Araujo</v>
          </cell>
          <cell r="F374" t="str">
            <v/>
          </cell>
          <cell r="H374" t="str">
            <v/>
          </cell>
          <cell r="I374">
            <v>1</v>
          </cell>
          <cell r="J374">
            <v>1</v>
          </cell>
          <cell r="K374">
            <v>1</v>
          </cell>
          <cell r="M374">
            <v>2.5421696327721151</v>
          </cell>
          <cell r="N374">
            <v>0</v>
          </cell>
          <cell r="O374">
            <v>1.5766666666666662</v>
          </cell>
          <cell r="P374">
            <v>2.5421696327721151</v>
          </cell>
          <cell r="Q374">
            <v>0</v>
          </cell>
          <cell r="R374">
            <v>0</v>
          </cell>
          <cell r="S374">
            <v>2.5421696327721151</v>
          </cell>
          <cell r="T374" t="str">
            <v>DEF</v>
          </cell>
          <cell r="U374" t="str">
            <v>RB</v>
          </cell>
          <cell r="V374" t="str">
            <v>BOU</v>
          </cell>
          <cell r="W374" t="str">
            <v>Bournemouth</v>
          </cell>
          <cell r="X374">
            <v>4.5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 t="e">
            <v>#DIV/0!</v>
          </cell>
          <cell r="AH374" t="e">
            <v>#DIV/0!</v>
          </cell>
          <cell r="AI374" t="e">
            <v>#DIV/0!</v>
          </cell>
          <cell r="AJ374">
            <v>9.9999999999988987E-4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65</v>
          </cell>
          <cell r="AP374" t="str">
            <v>J.Araujo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 t="str">
            <v/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0.9</v>
          </cell>
          <cell r="BH374">
            <v>1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 t="e">
            <v>#DIV/0!</v>
          </cell>
          <cell r="BO374">
            <v>38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38</v>
          </cell>
          <cell r="BY374">
            <v>1.4939473684210527</v>
          </cell>
          <cell r="BZ374">
            <v>1.1490526315789471</v>
          </cell>
        </row>
        <row r="375">
          <cell r="A375" t="str">
            <v>Ryan Yates</v>
          </cell>
          <cell r="B375" t="str">
            <v/>
          </cell>
          <cell r="C375" t="str">
            <v>Yates</v>
          </cell>
          <cell r="D375" t="str">
            <v/>
          </cell>
          <cell r="F375" t="str">
            <v/>
          </cell>
          <cell r="H375" t="str">
            <v/>
          </cell>
          <cell r="I375">
            <v>1.7</v>
          </cell>
          <cell r="J375">
            <v>1.8666666666666665</v>
          </cell>
          <cell r="K375">
            <v>2</v>
          </cell>
          <cell r="M375">
            <v>2.5246727097014383</v>
          </cell>
          <cell r="N375">
            <v>3.5813953488372094</v>
          </cell>
          <cell r="O375">
            <v>2.6233234733629023</v>
          </cell>
          <cell r="P375">
            <v>2.5246727097014383</v>
          </cell>
          <cell r="Q375">
            <v>3.5813953488372094</v>
          </cell>
          <cell r="R375">
            <v>3.5177664974619289</v>
          </cell>
          <cell r="S375">
            <v>2.5246727097014383</v>
          </cell>
          <cell r="T375" t="str">
            <v>MID</v>
          </cell>
          <cell r="U375" t="str">
            <v>CM</v>
          </cell>
          <cell r="V375" t="str">
            <v>NFO</v>
          </cell>
          <cell r="W375" t="str">
            <v>Nott'm Forest</v>
          </cell>
          <cell r="X375">
            <v>4.5</v>
          </cell>
          <cell r="Y375">
            <v>30</v>
          </cell>
          <cell r="Z375">
            <v>2</v>
          </cell>
          <cell r="AA375">
            <v>28</v>
          </cell>
          <cell r="AB375">
            <v>602</v>
          </cell>
          <cell r="AC375">
            <v>602</v>
          </cell>
          <cell r="AD375">
            <v>0.30303030303030298</v>
          </cell>
          <cell r="AE375">
            <v>0</v>
          </cell>
          <cell r="AF375">
            <v>2</v>
          </cell>
          <cell r="AG375">
            <v>-7.3255813953488375E-2</v>
          </cell>
          <cell r="AH375">
            <v>0.24368770764119602</v>
          </cell>
          <cell r="AI375">
            <v>0.17043189368770767</v>
          </cell>
          <cell r="AJ375">
            <v>6.6999999999999948E-2</v>
          </cell>
          <cell r="AK375">
            <v>0</v>
          </cell>
          <cell r="AL375">
            <v>123</v>
          </cell>
          <cell r="AM375">
            <v>3</v>
          </cell>
          <cell r="AN375">
            <v>0</v>
          </cell>
          <cell r="AO375">
            <v>489</v>
          </cell>
          <cell r="AP375" t="str">
            <v>Yates</v>
          </cell>
          <cell r="AQ375">
            <v>4.4767441860465107</v>
          </cell>
          <cell r="AR375">
            <v>0</v>
          </cell>
          <cell r="AS375">
            <v>2.3023255813953489</v>
          </cell>
          <cell r="AT375">
            <v>8.825581395348836</v>
          </cell>
          <cell r="AU375">
            <v>2.0465116279069768</v>
          </cell>
          <cell r="AV375">
            <v>8.825581395348836</v>
          </cell>
          <cell r="AW375">
            <v>8.825581395348836</v>
          </cell>
          <cell r="AX375">
            <v>0.18444186046511621</v>
          </cell>
          <cell r="AY375">
            <v>0</v>
          </cell>
          <cell r="AZ375">
            <v>1.4</v>
          </cell>
          <cell r="BA375">
            <v>30</v>
          </cell>
          <cell r="BB375" t="str">
            <v/>
          </cell>
          <cell r="BC375">
            <v>2</v>
          </cell>
          <cell r="BD375">
            <v>1</v>
          </cell>
          <cell r="BE375">
            <v>0.5</v>
          </cell>
          <cell r="BF375">
            <v>77</v>
          </cell>
          <cell r="BG375">
            <v>0.85555555555555551</v>
          </cell>
          <cell r="BH375">
            <v>1</v>
          </cell>
          <cell r="BI375">
            <v>20</v>
          </cell>
          <cell r="BJ375">
            <v>23</v>
          </cell>
          <cell r="BK375">
            <v>10</v>
          </cell>
          <cell r="BL375">
            <v>6.25E-2</v>
          </cell>
          <cell r="BM375">
            <v>0.625</v>
          </cell>
          <cell r="BN375">
            <v>0.34253246753246752</v>
          </cell>
          <cell r="BO375">
            <v>38</v>
          </cell>
          <cell r="BP375">
            <v>0</v>
          </cell>
          <cell r="BQ375">
            <v>0.1760233918128655</v>
          </cell>
          <cell r="BR375">
            <v>0.49</v>
          </cell>
          <cell r="BS375">
            <v>7.3255813953488375E-2</v>
          </cell>
          <cell r="BT375">
            <v>0.37</v>
          </cell>
          <cell r="BU375">
            <v>5.5315614617940198E-2</v>
          </cell>
          <cell r="BV375">
            <v>0.12857142857142856</v>
          </cell>
          <cell r="BW375">
            <v>0</v>
          </cell>
          <cell r="BX375">
            <v>38</v>
          </cell>
          <cell r="BY375">
            <v>1.7036842105263157</v>
          </cell>
          <cell r="BZ375">
            <v>0.9393157894736841</v>
          </cell>
        </row>
        <row r="376">
          <cell r="A376" t="str">
            <v>Reinildo Mandava</v>
          </cell>
          <cell r="B376" t="str">
            <v/>
          </cell>
          <cell r="C376" t="str">
            <v>Reinildo</v>
          </cell>
          <cell r="D376" t="str">
            <v/>
          </cell>
          <cell r="F376" t="str">
            <v/>
          </cell>
          <cell r="H376" t="str">
            <v/>
          </cell>
          <cell r="I376" t="e">
            <v>#N/A</v>
          </cell>
          <cell r="J376" t="e">
            <v>#N/A</v>
          </cell>
          <cell r="K376" t="e">
            <v>#N/A</v>
          </cell>
          <cell r="M376">
            <v>2.5235471538974728</v>
          </cell>
          <cell r="N376">
            <v>2.7863682604272637</v>
          </cell>
          <cell r="O376">
            <v>1.4802184426924381</v>
          </cell>
          <cell r="P376">
            <v>2.5235471538974728</v>
          </cell>
          <cell r="Q376">
            <v>2.7863682604272637</v>
          </cell>
          <cell r="R376">
            <v>2.964285714285714</v>
          </cell>
          <cell r="S376">
            <v>2.5235471538974728</v>
          </cell>
          <cell r="T376" t="str">
            <v>DEF</v>
          </cell>
          <cell r="U376" t="str">
            <v>LB</v>
          </cell>
          <cell r="V376" t="str">
            <v>SUN</v>
          </cell>
          <cell r="W376" t="str">
            <v>Sunderland</v>
          </cell>
          <cell r="X376">
            <v>4.5</v>
          </cell>
          <cell r="Y376">
            <v>74</v>
          </cell>
          <cell r="Z376">
            <v>8</v>
          </cell>
          <cell r="AA376">
            <v>66</v>
          </cell>
          <cell r="AB376">
            <v>1966</v>
          </cell>
          <cell r="AC376">
            <v>1966</v>
          </cell>
          <cell r="AD376">
            <v>0.65777777777777779</v>
          </cell>
          <cell r="AE376">
            <v>0</v>
          </cell>
          <cell r="AF376">
            <v>2</v>
          </cell>
          <cell r="AG376">
            <v>-5.9511698880976606E-3</v>
          </cell>
          <cell r="AH376">
            <v>6.3173957273652076E-2</v>
          </cell>
          <cell r="AI376">
            <v>5.7222787385554419E-2</v>
          </cell>
          <cell r="AJ376">
            <v>6.9999999999998952E-3</v>
          </cell>
          <cell r="AK376">
            <v>6</v>
          </cell>
          <cell r="AL376">
            <v>281</v>
          </cell>
          <cell r="AM376">
            <v>7</v>
          </cell>
          <cell r="AN376">
            <v>0</v>
          </cell>
          <cell r="AO376">
            <v>536</v>
          </cell>
          <cell r="AP376" t="str">
            <v>Reinildo</v>
          </cell>
          <cell r="AQ376">
            <v>5.2772126144455749</v>
          </cell>
          <cell r="AR376">
            <v>0</v>
          </cell>
          <cell r="AS376">
            <v>3.7995930824008135</v>
          </cell>
          <cell r="AT376">
            <v>6.9237029501525944</v>
          </cell>
          <cell r="AU376">
            <v>1.6464903357070195</v>
          </cell>
          <cell r="AV376">
            <v>6.9237029501525944</v>
          </cell>
          <cell r="AW376">
            <v>6.9237029501525944</v>
          </cell>
          <cell r="AX376">
            <v>0.16473550356052902</v>
          </cell>
          <cell r="AY376">
            <v>0</v>
          </cell>
          <cell r="AZ376">
            <v>3</v>
          </cell>
          <cell r="BA376">
            <v>74</v>
          </cell>
          <cell r="BB376" t="str">
            <v/>
          </cell>
          <cell r="BC376">
            <v>23</v>
          </cell>
          <cell r="BD376">
            <v>19</v>
          </cell>
          <cell r="BE376">
            <v>0.82608695652173914</v>
          </cell>
          <cell r="BF376">
            <v>83</v>
          </cell>
          <cell r="BG376">
            <v>0.92222222222222228</v>
          </cell>
          <cell r="BH376">
            <v>1</v>
          </cell>
          <cell r="BI376">
            <v>2</v>
          </cell>
          <cell r="BJ376">
            <v>23</v>
          </cell>
          <cell r="BK376">
            <v>0</v>
          </cell>
          <cell r="BL376">
            <v>0.92</v>
          </cell>
          <cell r="BM376">
            <v>7.999999999999996E-2</v>
          </cell>
          <cell r="BN376">
            <v>0.94216867469879517</v>
          </cell>
          <cell r="BO376">
            <v>38</v>
          </cell>
          <cell r="BP376">
            <v>0</v>
          </cell>
          <cell r="BQ376">
            <v>0.57485380116959062</v>
          </cell>
          <cell r="BR376">
            <v>0.13</v>
          </cell>
          <cell r="BS376">
            <v>5.9511698880976606E-3</v>
          </cell>
          <cell r="BT376">
            <v>0.62</v>
          </cell>
          <cell r="BU376">
            <v>2.8382502543234996E-2</v>
          </cell>
          <cell r="BV376">
            <v>3.433367243133266E-2</v>
          </cell>
          <cell r="BW376">
            <v>0</v>
          </cell>
          <cell r="BX376">
            <v>38</v>
          </cell>
          <cell r="BY376">
            <v>1.5878947368421052</v>
          </cell>
          <cell r="BZ376">
            <v>1.0551052631578945</v>
          </cell>
        </row>
        <row r="377">
          <cell r="A377" t="str">
            <v>Mark Gillespie</v>
          </cell>
          <cell r="B377" t="str">
            <v/>
          </cell>
          <cell r="C377" t="str">
            <v>Gillespie</v>
          </cell>
          <cell r="D377" t="str">
            <v/>
          </cell>
          <cell r="F377" t="str">
            <v/>
          </cell>
          <cell r="H377" t="str">
            <v/>
          </cell>
          <cell r="I377" t="e">
            <v>#N/A</v>
          </cell>
          <cell r="J377" t="e">
            <v>#N/A</v>
          </cell>
          <cell r="K377" t="e">
            <v>#N/A</v>
          </cell>
          <cell r="M377">
            <v>2.5222131101975238</v>
          </cell>
          <cell r="N377">
            <v>0</v>
          </cell>
          <cell r="O377">
            <v>1.4141666666666666</v>
          </cell>
          <cell r="P377">
            <v>2.5222131101975238</v>
          </cell>
          <cell r="Q377">
            <v>0</v>
          </cell>
          <cell r="R377">
            <v>0</v>
          </cell>
          <cell r="S377">
            <v>2.5222131101975238</v>
          </cell>
          <cell r="T377" t="str">
            <v>GK</v>
          </cell>
          <cell r="U377" t="str">
            <v>GK</v>
          </cell>
          <cell r="V377" t="str">
            <v>NEW</v>
          </cell>
          <cell r="W377" t="str">
            <v>Newcastle</v>
          </cell>
          <cell r="X377">
            <v>4.5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e">
            <v>#DIV/0!</v>
          </cell>
          <cell r="AH377" t="e">
            <v>#DIV/0!</v>
          </cell>
          <cell r="AI377" t="e">
            <v>#DIV/0!</v>
          </cell>
          <cell r="AJ377">
            <v>9.9999999999988987E-4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443</v>
          </cell>
          <cell r="AP377" t="str">
            <v>Gillespie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 t="str">
            <v/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0.9</v>
          </cell>
          <cell r="BH377">
            <v>1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 t="e">
            <v>#DIV/0!</v>
          </cell>
          <cell r="BO377">
            <v>38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38</v>
          </cell>
          <cell r="BY377">
            <v>1.5081578947368421</v>
          </cell>
          <cell r="BZ377">
            <v>1.1348421052631577</v>
          </cell>
        </row>
        <row r="378">
          <cell r="A378" t="str">
            <v>Matt Targett</v>
          </cell>
          <cell r="B378" t="str">
            <v/>
          </cell>
          <cell r="C378" t="str">
            <v>Targett</v>
          </cell>
          <cell r="D378" t="str">
            <v/>
          </cell>
          <cell r="F378" t="str">
            <v/>
          </cell>
          <cell r="H378" t="str">
            <v/>
          </cell>
          <cell r="I378">
            <v>0.7</v>
          </cell>
          <cell r="J378">
            <v>1.2666666666666666</v>
          </cell>
          <cell r="K378">
            <v>2.1</v>
          </cell>
          <cell r="M378">
            <v>2.5222131101975238</v>
          </cell>
          <cell r="N378">
            <v>0</v>
          </cell>
          <cell r="O378">
            <v>2</v>
          </cell>
          <cell r="P378">
            <v>1.314104363969042</v>
          </cell>
          <cell r="Q378">
            <v>0</v>
          </cell>
          <cell r="R378">
            <v>0</v>
          </cell>
          <cell r="S378">
            <v>2.5222131101975238</v>
          </cell>
          <cell r="T378" t="str">
            <v>DEF</v>
          </cell>
          <cell r="U378" t="str">
            <v>LB</v>
          </cell>
          <cell r="V378" t="str">
            <v>HUL</v>
          </cell>
          <cell r="W378" t="str">
            <v>Hull City</v>
          </cell>
          <cell r="X378">
            <v>4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 t="e">
            <v>#DIV/0!</v>
          </cell>
          <cell r="AH378" t="e">
            <v>#DIV/0!</v>
          </cell>
          <cell r="AI378" t="e">
            <v>#DIV/0!</v>
          </cell>
          <cell r="AJ378">
            <v>2.9999999999998916E-3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556</v>
          </cell>
          <cell r="AP378" t="str">
            <v>Targett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 t="str">
            <v/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0.9</v>
          </cell>
          <cell r="BH378">
            <v>1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 t="e">
            <v>#DIV/0!</v>
          </cell>
          <cell r="BO378">
            <v>38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38</v>
          </cell>
          <cell r="BY378">
            <v>2.3684210526315788</v>
          </cell>
          <cell r="BZ378">
            <v>0.27457894736842103</v>
          </cell>
        </row>
        <row r="379">
          <cell r="A379" t="str">
            <v>Joao Gomes</v>
          </cell>
          <cell r="B379" t="str">
            <v/>
          </cell>
          <cell r="C379" t="str">
            <v>Gomes</v>
          </cell>
          <cell r="D379" t="str">
            <v/>
          </cell>
          <cell r="E379" t="str">
            <v>João Victor Gomes da Silva</v>
          </cell>
          <cell r="F379" t="str">
            <v/>
          </cell>
          <cell r="H379" t="str">
            <v/>
          </cell>
          <cell r="I379" t="e">
            <v>#N/A</v>
          </cell>
          <cell r="J379" t="e">
            <v>#N/A</v>
          </cell>
          <cell r="K379" t="e">
            <v>#N/A</v>
          </cell>
          <cell r="M379">
            <v>2.5135609902774654</v>
          </cell>
          <cell r="N379">
            <v>3.1196193928409603</v>
          </cell>
          <cell r="O379">
            <v>2.2532396918894428</v>
          </cell>
          <cell r="P379">
            <v>2.5135609902774654</v>
          </cell>
          <cell r="Q379">
            <v>3.1196193928409603</v>
          </cell>
          <cell r="R379">
            <v>0</v>
          </cell>
          <cell r="S379">
            <v>2.5135609902774654</v>
          </cell>
          <cell r="T379" t="str">
            <v>MID</v>
          </cell>
          <cell r="U379" t="str">
            <v/>
          </cell>
          <cell r="V379" t="str">
            <v>AVL</v>
          </cell>
          <cell r="W379" t="str">
            <v>Aston Villa</v>
          </cell>
          <cell r="X379">
            <v>5.5</v>
          </cell>
          <cell r="Y379">
            <v>85</v>
          </cell>
          <cell r="Z379">
            <v>0</v>
          </cell>
          <cell r="AA379">
            <v>85</v>
          </cell>
          <cell r="AB379">
            <v>2207</v>
          </cell>
          <cell r="AC379">
            <v>2207</v>
          </cell>
          <cell r="AD379">
            <v>0</v>
          </cell>
          <cell r="AE379">
            <v>1</v>
          </cell>
          <cell r="AF379">
            <v>1</v>
          </cell>
          <cell r="AG379">
            <v>4.0779338468509292E-2</v>
          </cell>
          <cell r="AH379">
            <v>4.0779338468509292E-2</v>
          </cell>
          <cell r="AI379">
            <v>8.1558676937018584E-2</v>
          </cell>
          <cell r="AJ379">
            <v>2.9999999999998916E-3</v>
          </cell>
          <cell r="AK379">
            <v>4</v>
          </cell>
          <cell r="AL379">
            <v>421</v>
          </cell>
          <cell r="AM379">
            <v>0</v>
          </cell>
          <cell r="AN379">
            <v>0</v>
          </cell>
          <cell r="AO379">
            <v>54</v>
          </cell>
          <cell r="AP379" t="str">
            <v>Gomes</v>
          </cell>
          <cell r="AQ379">
            <v>3.1930222020842769</v>
          </cell>
          <cell r="AR379">
            <v>0</v>
          </cell>
          <cell r="AS379">
            <v>7.0833710919800641</v>
          </cell>
          <cell r="AT379">
            <v>14.203443588581786</v>
          </cell>
          <cell r="AU379">
            <v>3.927050294517445</v>
          </cell>
          <cell r="AV379">
            <v>14.203443588581786</v>
          </cell>
          <cell r="AW379">
            <v>14.203443588581786</v>
          </cell>
          <cell r="AX379">
            <v>0.72763072043497967</v>
          </cell>
          <cell r="AY379">
            <v>0</v>
          </cell>
          <cell r="AZ379">
            <v>3</v>
          </cell>
          <cell r="BA379">
            <v>85</v>
          </cell>
          <cell r="BB379" t="str">
            <v/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0.9</v>
          </cell>
          <cell r="BH379">
            <v>1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 t="e">
            <v>#DIV/0!</v>
          </cell>
          <cell r="BO379">
            <v>38</v>
          </cell>
          <cell r="BP379">
            <v>0</v>
          </cell>
          <cell r="BQ379">
            <v>0.64532163742690063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38</v>
          </cell>
          <cell r="BY379">
            <v>1.4915789473684211</v>
          </cell>
          <cell r="BZ379">
            <v>1.1514210526315787</v>
          </cell>
        </row>
        <row r="380">
          <cell r="A380" t="str">
            <v>Lamare Bogarde</v>
          </cell>
          <cell r="B380" t="str">
            <v/>
          </cell>
          <cell r="C380" t="str">
            <v>Bogarde</v>
          </cell>
          <cell r="D380" t="str">
            <v/>
          </cell>
          <cell r="F380" t="str">
            <v/>
          </cell>
          <cell r="H380" t="str">
            <v/>
          </cell>
          <cell r="I380">
            <v>0</v>
          </cell>
          <cell r="J380">
            <v>0.4</v>
          </cell>
          <cell r="K380">
            <v>0.8</v>
          </cell>
          <cell r="M380">
            <v>2.507357524090529</v>
          </cell>
          <cell r="N380">
            <v>3.0326295585412661</v>
          </cell>
          <cell r="O380">
            <v>1.9117194406361393</v>
          </cell>
          <cell r="P380">
            <v>2.2221831026106713</v>
          </cell>
          <cell r="Q380">
            <v>3.0326295585412661</v>
          </cell>
          <cell r="R380">
            <v>1.9346938775510203</v>
          </cell>
          <cell r="S380">
            <v>2.507357524090529</v>
          </cell>
          <cell r="T380" t="str">
            <v>MID</v>
          </cell>
          <cell r="U380" t="str">
            <v>DM</v>
          </cell>
          <cell r="V380" t="str">
            <v>AVL</v>
          </cell>
          <cell r="W380" t="str">
            <v>Aston Villa</v>
          </cell>
          <cell r="X380">
            <v>5</v>
          </cell>
          <cell r="Y380">
            <v>40</v>
          </cell>
          <cell r="Z380">
            <v>0</v>
          </cell>
          <cell r="AA380">
            <v>40</v>
          </cell>
          <cell r="AB380">
            <v>1042</v>
          </cell>
          <cell r="AC380">
            <v>1042</v>
          </cell>
          <cell r="AD380">
            <v>0.2857142857142857</v>
          </cell>
          <cell r="AE380">
            <v>0</v>
          </cell>
          <cell r="AF380">
            <v>0</v>
          </cell>
          <cell r="AG380">
            <v>0</v>
          </cell>
          <cell r="AH380">
            <v>-1.7274472168905951E-2</v>
          </cell>
          <cell r="AI380">
            <v>-1.7274472168905951E-2</v>
          </cell>
          <cell r="AJ380">
            <v>9.9999999999988987E-4</v>
          </cell>
          <cell r="AK380">
            <v>4</v>
          </cell>
          <cell r="AL380">
            <v>121</v>
          </cell>
          <cell r="AM380">
            <v>5</v>
          </cell>
          <cell r="AN380">
            <v>0</v>
          </cell>
          <cell r="AO380">
            <v>35</v>
          </cell>
          <cell r="AP380" t="str">
            <v>Bogarde</v>
          </cell>
          <cell r="AQ380">
            <v>2.5777351247600766</v>
          </cell>
          <cell r="AR380">
            <v>0</v>
          </cell>
          <cell r="AS380">
            <v>3.2600767754318616</v>
          </cell>
          <cell r="AT380">
            <v>4.5489443378118999</v>
          </cell>
          <cell r="AU380">
            <v>1.9712092130518231</v>
          </cell>
          <cell r="AV380">
            <v>4.5489443378118999</v>
          </cell>
          <cell r="AW380">
            <v>4.5489443378118999</v>
          </cell>
          <cell r="AX380">
            <v>3.4442007129147245E-2</v>
          </cell>
          <cell r="AY380">
            <v>0</v>
          </cell>
          <cell r="AZ380">
            <v>1.4</v>
          </cell>
          <cell r="BA380">
            <v>40</v>
          </cell>
          <cell r="BB380" t="str">
            <v/>
          </cell>
          <cell r="BC380">
            <v>11</v>
          </cell>
          <cell r="BD380">
            <v>4</v>
          </cell>
          <cell r="BE380">
            <v>0.36363636363636365</v>
          </cell>
          <cell r="BF380">
            <v>79</v>
          </cell>
          <cell r="BG380">
            <v>0.87777777777777777</v>
          </cell>
          <cell r="BH380">
            <v>1</v>
          </cell>
          <cell r="BI380">
            <v>17</v>
          </cell>
          <cell r="BJ380">
            <v>11</v>
          </cell>
          <cell r="BK380">
            <v>10</v>
          </cell>
          <cell r="BL380">
            <v>0.28947368421052633</v>
          </cell>
          <cell r="BM380">
            <v>0.44736842105263158</v>
          </cell>
          <cell r="BN380">
            <v>0.3884077281812125</v>
          </cell>
          <cell r="BO380">
            <v>38</v>
          </cell>
          <cell r="BP380">
            <v>0</v>
          </cell>
          <cell r="BQ380">
            <v>0.30467836257309944</v>
          </cell>
          <cell r="BR380">
            <v>0</v>
          </cell>
          <cell r="BS380">
            <v>0</v>
          </cell>
          <cell r="BT380">
            <v>0.2</v>
          </cell>
          <cell r="BU380">
            <v>1.7274472168905951E-2</v>
          </cell>
          <cell r="BV380">
            <v>1.7274472168905951E-2</v>
          </cell>
          <cell r="BW380">
            <v>0</v>
          </cell>
          <cell r="BX380">
            <v>38</v>
          </cell>
          <cell r="BY380">
            <v>1.4915789473684211</v>
          </cell>
          <cell r="BZ380">
            <v>1.1514210526315787</v>
          </cell>
        </row>
        <row r="381">
          <cell r="A381" t="str">
            <v>Murillo Costa dos Santos</v>
          </cell>
          <cell r="B381" t="str">
            <v/>
          </cell>
          <cell r="C381" t="str">
            <v>Murillo</v>
          </cell>
          <cell r="D381" t="str">
            <v/>
          </cell>
          <cell r="F381" t="str">
            <v/>
          </cell>
          <cell r="H381" t="str">
            <v/>
          </cell>
          <cell r="I381">
            <v>1.8</v>
          </cell>
          <cell r="J381">
            <v>2.7</v>
          </cell>
          <cell r="K381">
            <v>3.6</v>
          </cell>
          <cell r="M381">
            <v>2.5057435130724852</v>
          </cell>
          <cell r="N381">
            <v>2.5140845070422535</v>
          </cell>
          <cell r="O381">
            <v>1.3662206572769953</v>
          </cell>
          <cell r="P381">
            <v>2.5057435130724852</v>
          </cell>
          <cell r="Q381">
            <v>2.5140845070422535</v>
          </cell>
          <cell r="R381">
            <v>2.0731707317073171</v>
          </cell>
          <cell r="S381">
            <v>2.5057435130724852</v>
          </cell>
          <cell r="T381" t="str">
            <v>DEF</v>
          </cell>
          <cell r="U381" t="str">
            <v>CB</v>
          </cell>
          <cell r="V381" t="str">
            <v>NFO</v>
          </cell>
          <cell r="W381" t="str">
            <v>Nott'm Forest</v>
          </cell>
          <cell r="X381">
            <v>5.5</v>
          </cell>
          <cell r="Y381">
            <v>83</v>
          </cell>
          <cell r="Z381">
            <v>20</v>
          </cell>
          <cell r="AA381">
            <v>63</v>
          </cell>
          <cell r="AB381">
            <v>2130</v>
          </cell>
          <cell r="AC381">
            <v>2130</v>
          </cell>
          <cell r="AD381">
            <v>0.60363636363636364</v>
          </cell>
          <cell r="AE381">
            <v>1</v>
          </cell>
          <cell r="AF381">
            <v>0</v>
          </cell>
          <cell r="AG381">
            <v>1.1408450704225352E-2</v>
          </cell>
          <cell r="AH381">
            <v>-1.9859154929577464E-2</v>
          </cell>
          <cell r="AI381">
            <v>-8.4507042253521153E-3</v>
          </cell>
          <cell r="AJ381">
            <v>9.9999999999988987E-4</v>
          </cell>
          <cell r="AK381">
            <v>3</v>
          </cell>
          <cell r="AL381">
            <v>333</v>
          </cell>
          <cell r="AM381">
            <v>5</v>
          </cell>
          <cell r="AN381">
            <v>0</v>
          </cell>
          <cell r="AO381">
            <v>472</v>
          </cell>
          <cell r="AP381" t="str">
            <v>Murillo</v>
          </cell>
          <cell r="AQ381">
            <v>7.5023474178403751</v>
          </cell>
          <cell r="AR381">
            <v>0</v>
          </cell>
          <cell r="AS381">
            <v>4.0704225352112671</v>
          </cell>
          <cell r="AT381">
            <v>8.89906103286385</v>
          </cell>
          <cell r="AU381">
            <v>1.3967136150234742</v>
          </cell>
          <cell r="AV381">
            <v>8.89906103286385</v>
          </cell>
          <cell r="AW381">
            <v>8.89906103286385</v>
          </cell>
          <cell r="AX381">
            <v>0.39978638497652585</v>
          </cell>
          <cell r="AY381">
            <v>0</v>
          </cell>
          <cell r="AZ381">
            <v>3.3</v>
          </cell>
          <cell r="BA381">
            <v>83</v>
          </cell>
          <cell r="BB381">
            <v>75</v>
          </cell>
          <cell r="BC381">
            <v>25</v>
          </cell>
          <cell r="BD381">
            <v>22</v>
          </cell>
          <cell r="BE381">
            <v>0.88</v>
          </cell>
          <cell r="BF381">
            <v>85</v>
          </cell>
          <cell r="BG381">
            <v>0.94444444444444442</v>
          </cell>
          <cell r="BH381">
            <v>1</v>
          </cell>
          <cell r="BI381">
            <v>0</v>
          </cell>
          <cell r="BJ381">
            <v>0</v>
          </cell>
          <cell r="BK381">
            <v>1</v>
          </cell>
          <cell r="BL381">
            <v>0.96153846153846156</v>
          </cell>
          <cell r="BM381">
            <v>0</v>
          </cell>
          <cell r="BN381">
            <v>0.96153846153846145</v>
          </cell>
          <cell r="BO381">
            <v>38</v>
          </cell>
          <cell r="BP381">
            <v>0</v>
          </cell>
          <cell r="BQ381">
            <v>0.6228070175438597</v>
          </cell>
          <cell r="BR381">
            <v>0.73</v>
          </cell>
          <cell r="BS381">
            <v>3.084507042253521E-2</v>
          </cell>
          <cell r="BT381">
            <v>0.47</v>
          </cell>
          <cell r="BU381">
            <v>1.9859154929577464E-2</v>
          </cell>
          <cell r="BV381">
            <v>5.0704225352112678E-2</v>
          </cell>
          <cell r="BW381">
            <v>0</v>
          </cell>
          <cell r="BX381">
            <v>38</v>
          </cell>
          <cell r="BY381">
            <v>1.7036842105263157</v>
          </cell>
          <cell r="BZ381">
            <v>0.9393157894736841</v>
          </cell>
        </row>
        <row r="382">
          <cell r="A382" t="str">
            <v>Jenson Seelt</v>
          </cell>
          <cell r="B382" t="str">
            <v/>
          </cell>
          <cell r="C382" t="str">
            <v>Seelt</v>
          </cell>
          <cell r="D382" t="str">
            <v/>
          </cell>
          <cell r="F382" t="str">
            <v/>
          </cell>
          <cell r="H382" t="str">
            <v/>
          </cell>
          <cell r="I382" t="e">
            <v>#N/A</v>
          </cell>
          <cell r="J382" t="e">
            <v>#N/A</v>
          </cell>
          <cell r="K382" t="e">
            <v>#N/A</v>
          </cell>
          <cell r="M382">
            <v>2.5010919874972397</v>
          </cell>
          <cell r="N382">
            <v>0</v>
          </cell>
          <cell r="O382">
            <v>1.4916904761904757</v>
          </cell>
          <cell r="P382">
            <v>2.5010919874972397</v>
          </cell>
          <cell r="Q382">
            <v>0</v>
          </cell>
          <cell r="R382">
            <v>0.78195488721804496</v>
          </cell>
          <cell r="S382">
            <v>2.5010919874972397</v>
          </cell>
          <cell r="T382" t="str">
            <v>DEF</v>
          </cell>
          <cell r="U382" t="str">
            <v>CB</v>
          </cell>
          <cell r="V382" t="str">
            <v>SUN</v>
          </cell>
          <cell r="W382" t="str">
            <v>Sunderland</v>
          </cell>
          <cell r="X382">
            <v>4.5</v>
          </cell>
          <cell r="Y382">
            <v>2</v>
          </cell>
          <cell r="Z382">
            <v>2</v>
          </cell>
          <cell r="AA382">
            <v>0</v>
          </cell>
          <cell r="AB382">
            <v>133</v>
          </cell>
          <cell r="AC382">
            <v>133</v>
          </cell>
          <cell r="AD382">
            <v>0.22222222222222221</v>
          </cell>
          <cell r="AE382">
            <v>0</v>
          </cell>
          <cell r="AF382">
            <v>0</v>
          </cell>
          <cell r="AG382">
            <v>0</v>
          </cell>
          <cell r="AH382">
            <v>-6.7669172932330827E-3</v>
          </cell>
          <cell r="AI382">
            <v>-6.7669172932330827E-3</v>
          </cell>
          <cell r="AJ382">
            <v>0</v>
          </cell>
          <cell r="AK382">
            <v>0</v>
          </cell>
          <cell r="AL382">
            <v>11</v>
          </cell>
          <cell r="AM382">
            <v>0</v>
          </cell>
          <cell r="AN382">
            <v>0</v>
          </cell>
          <cell r="AO382">
            <v>537</v>
          </cell>
          <cell r="AP382" t="str">
            <v>Seelt</v>
          </cell>
          <cell r="AQ382">
            <v>3.1278195488721798</v>
          </cell>
          <cell r="AR382">
            <v>0</v>
          </cell>
          <cell r="AS382">
            <v>2.3458646616541348</v>
          </cell>
          <cell r="AT382">
            <v>4.6917293233082695</v>
          </cell>
          <cell r="AU382">
            <v>1.5639097744360899</v>
          </cell>
          <cell r="AV382">
            <v>4.6917293233082695</v>
          </cell>
          <cell r="AW382">
            <v>4.6917293233082695</v>
          </cell>
          <cell r="AX382">
            <v>3.0027067669172926E-2</v>
          </cell>
          <cell r="AY382">
            <v>0</v>
          </cell>
          <cell r="AZ382">
            <v>1</v>
          </cell>
          <cell r="BA382">
            <v>2</v>
          </cell>
          <cell r="BB382" t="str">
            <v/>
          </cell>
          <cell r="BC382">
            <v>1</v>
          </cell>
          <cell r="BD382">
            <v>0</v>
          </cell>
          <cell r="BE382">
            <v>0</v>
          </cell>
          <cell r="BF382">
            <v>52</v>
          </cell>
          <cell r="BG382">
            <v>0.57777777777777772</v>
          </cell>
          <cell r="BH382">
            <v>1</v>
          </cell>
          <cell r="BI382">
            <v>1</v>
          </cell>
          <cell r="BJ382">
            <v>82</v>
          </cell>
          <cell r="BK382">
            <v>1</v>
          </cell>
          <cell r="BL382">
            <v>0.33333333333333331</v>
          </cell>
          <cell r="BM382">
            <v>0.33333333333333337</v>
          </cell>
          <cell r="BN382">
            <v>1.3846153846153846</v>
          </cell>
          <cell r="BO382">
            <v>38</v>
          </cell>
          <cell r="BP382">
            <v>0</v>
          </cell>
          <cell r="BQ382">
            <v>3.888888888888889E-2</v>
          </cell>
          <cell r="BR382">
            <v>0</v>
          </cell>
          <cell r="BS382">
            <v>0</v>
          </cell>
          <cell r="BT382">
            <v>0.01</v>
          </cell>
          <cell r="BU382">
            <v>6.7669172932330827E-3</v>
          </cell>
          <cell r="BV382">
            <v>6.7669172932330827E-3</v>
          </cell>
          <cell r="BW382">
            <v>0</v>
          </cell>
          <cell r="BX382">
            <v>38</v>
          </cell>
          <cell r="BY382">
            <v>1.5878947368421052</v>
          </cell>
          <cell r="BZ382">
            <v>1.0551052631578945</v>
          </cell>
        </row>
        <row r="383">
          <cell r="A383" t="str">
            <v>Noah Sadiki</v>
          </cell>
          <cell r="B383" t="str">
            <v/>
          </cell>
          <cell r="C383" t="str">
            <v>Sadiki</v>
          </cell>
          <cell r="D383" t="str">
            <v/>
          </cell>
          <cell r="F383" t="str">
            <v/>
          </cell>
          <cell r="H383" t="str">
            <v/>
          </cell>
          <cell r="I383" t="e">
            <v>#N/A</v>
          </cell>
          <cell r="J383" t="e">
            <v>#N/A</v>
          </cell>
          <cell r="K383" t="e">
            <v>#N/A</v>
          </cell>
          <cell r="M383">
            <v>2.4965241073988049</v>
          </cell>
          <cell r="N383">
            <v>2.1916291940505013</v>
          </cell>
          <cell r="O383">
            <v>2.7007055426723889</v>
          </cell>
          <cell r="P383">
            <v>2.4965241073988049</v>
          </cell>
          <cell r="Q383">
            <v>2.1916291940505013</v>
          </cell>
          <cell r="R383">
            <v>2.7771203155818545</v>
          </cell>
          <cell r="S383">
            <v>2.4965241073988049</v>
          </cell>
          <cell r="T383" t="str">
            <v>MID</v>
          </cell>
          <cell r="U383" t="str">
            <v>CM</v>
          </cell>
          <cell r="V383" t="str">
            <v>SUN</v>
          </cell>
          <cell r="W383" t="str">
            <v>Sunderland</v>
          </cell>
          <cell r="X383">
            <v>5</v>
          </cell>
          <cell r="Y383">
            <v>80</v>
          </cell>
          <cell r="Z383">
            <v>8</v>
          </cell>
          <cell r="AA383">
            <v>72</v>
          </cell>
          <cell r="AB383">
            <v>2891</v>
          </cell>
          <cell r="AC383">
            <v>2891</v>
          </cell>
          <cell r="AD383">
            <v>0.48484848484848486</v>
          </cell>
          <cell r="AE383">
            <v>0</v>
          </cell>
          <cell r="AF383">
            <v>2</v>
          </cell>
          <cell r="AG383">
            <v>-4.4517468004150816E-2</v>
          </cell>
          <cell r="AH383">
            <v>1.6810792113455549E-2</v>
          </cell>
          <cell r="AI383">
            <v>-2.7706675890695268E-2</v>
          </cell>
          <cell r="AJ383">
            <v>4.9999999999998934E-3</v>
          </cell>
          <cell r="AK383">
            <v>0</v>
          </cell>
          <cell r="AL383">
            <v>410</v>
          </cell>
          <cell r="AM383">
            <v>9</v>
          </cell>
          <cell r="AN383">
            <v>0</v>
          </cell>
          <cell r="AO383">
            <v>545</v>
          </cell>
          <cell r="AP383" t="str">
            <v>Sadiki</v>
          </cell>
          <cell r="AQ383">
            <v>2.7090971982013143</v>
          </cell>
          <cell r="AR383">
            <v>0</v>
          </cell>
          <cell r="AS383">
            <v>3.4396402628848146</v>
          </cell>
          <cell r="AT383">
            <v>7.5489450017295043</v>
          </cell>
          <cell r="AU383">
            <v>1.4002075406433758</v>
          </cell>
          <cell r="AV383">
            <v>7.5489450017295043</v>
          </cell>
          <cell r="AW383">
            <v>7.5489450017295043</v>
          </cell>
          <cell r="AX383">
            <v>9.2524040124524309E-2</v>
          </cell>
          <cell r="AY383">
            <v>0</v>
          </cell>
          <cell r="AZ383">
            <v>2.4</v>
          </cell>
          <cell r="BA383">
            <v>80</v>
          </cell>
          <cell r="BB383" t="str">
            <v/>
          </cell>
          <cell r="BC383">
            <v>33</v>
          </cell>
          <cell r="BD383">
            <v>26</v>
          </cell>
          <cell r="BE383">
            <v>0.78787878787878785</v>
          </cell>
          <cell r="BF383">
            <v>88</v>
          </cell>
          <cell r="BG383">
            <v>0.97777777777777775</v>
          </cell>
          <cell r="BH383">
            <v>1</v>
          </cell>
          <cell r="BI383">
            <v>0</v>
          </cell>
          <cell r="BJ383">
            <v>0</v>
          </cell>
          <cell r="BK383">
            <v>0</v>
          </cell>
          <cell r="BL383">
            <v>1</v>
          </cell>
          <cell r="BM383">
            <v>0</v>
          </cell>
          <cell r="BN383">
            <v>1</v>
          </cell>
          <cell r="BO383">
            <v>38</v>
          </cell>
          <cell r="BP383">
            <v>0</v>
          </cell>
          <cell r="BQ383">
            <v>0.84532163742690059</v>
          </cell>
          <cell r="BR383">
            <v>1.43</v>
          </cell>
          <cell r="BS383">
            <v>4.4517468004150816E-2</v>
          </cell>
          <cell r="BT383">
            <v>1.46</v>
          </cell>
          <cell r="BU383">
            <v>4.5451400899342791E-2</v>
          </cell>
          <cell r="BV383">
            <v>8.9968868903493607E-2</v>
          </cell>
          <cell r="BW383">
            <v>0</v>
          </cell>
          <cell r="BX383">
            <v>38</v>
          </cell>
          <cell r="BY383">
            <v>1.5878947368421052</v>
          </cell>
          <cell r="BZ383">
            <v>1.0551052631578945</v>
          </cell>
        </row>
        <row r="384">
          <cell r="A384" t="str">
            <v>Carlos Baleba</v>
          </cell>
          <cell r="B384" t="str">
            <v/>
          </cell>
          <cell r="C384" t="str">
            <v>Baleba</v>
          </cell>
          <cell r="D384" t="str">
            <v/>
          </cell>
          <cell r="F384" t="str">
            <v/>
          </cell>
          <cell r="H384" t="str">
            <v/>
          </cell>
          <cell r="I384">
            <v>1.3</v>
          </cell>
          <cell r="J384">
            <v>1.9500000000000002</v>
          </cell>
          <cell r="K384">
            <v>2.6</v>
          </cell>
          <cell r="M384">
            <v>2.4812070137275817</v>
          </cell>
          <cell r="N384">
            <v>1.9246658566221142</v>
          </cell>
          <cell r="O384">
            <v>2.4723594959520527</v>
          </cell>
          <cell r="P384">
            <v>2.4812070137275817</v>
          </cell>
          <cell r="Q384">
            <v>1.9246658566221142</v>
          </cell>
          <cell r="R384">
            <v>2.595505617977528</v>
          </cell>
          <cell r="S384">
            <v>2.4812070137275817</v>
          </cell>
          <cell r="T384" t="str">
            <v>MID</v>
          </cell>
          <cell r="U384" t="str">
            <v>DM</v>
          </cell>
          <cell r="V384" t="str">
            <v>BHA</v>
          </cell>
          <cell r="W384" t="str">
            <v>Brighton</v>
          </cell>
          <cell r="X384">
            <v>5</v>
          </cell>
          <cell r="Y384">
            <v>56</v>
          </cell>
          <cell r="Z384">
            <v>8</v>
          </cell>
          <cell r="AA384">
            <v>48</v>
          </cell>
          <cell r="AB384">
            <v>1646</v>
          </cell>
          <cell r="AC384">
            <v>1646</v>
          </cell>
          <cell r="AD384">
            <v>0.36129032258064514</v>
          </cell>
          <cell r="AE384">
            <v>0</v>
          </cell>
          <cell r="AF384">
            <v>0</v>
          </cell>
          <cell r="AG384">
            <v>-4.2648845686512754E-2</v>
          </cell>
          <cell r="AH384">
            <v>-3.9368165249088698E-2</v>
          </cell>
          <cell r="AI384">
            <v>-8.2017010935601459E-2</v>
          </cell>
          <cell r="AJ384">
            <v>6.0000000000000053E-3</v>
          </cell>
          <cell r="AK384">
            <v>0</v>
          </cell>
          <cell r="AL384">
            <v>231</v>
          </cell>
          <cell r="AM384">
            <v>5</v>
          </cell>
          <cell r="AN384">
            <v>0</v>
          </cell>
          <cell r="AO384">
            <v>131</v>
          </cell>
          <cell r="AP384" t="str">
            <v>Baleba</v>
          </cell>
          <cell r="AQ384">
            <v>2.686512758201701</v>
          </cell>
          <cell r="AR384">
            <v>0</v>
          </cell>
          <cell r="AS384">
            <v>4.2102065613608746</v>
          </cell>
          <cell r="AT384">
            <v>8.3803159173754551</v>
          </cell>
          <cell r="AU384">
            <v>1.4835965978128796</v>
          </cell>
          <cell r="AV384">
            <v>8.3803159173754551</v>
          </cell>
          <cell r="AW384">
            <v>8.3803159173754551</v>
          </cell>
          <cell r="AX384">
            <v>0.15238274605103277</v>
          </cell>
          <cell r="AY384">
            <v>0</v>
          </cell>
          <cell r="AZ384">
            <v>1.8</v>
          </cell>
          <cell r="BA384">
            <v>56</v>
          </cell>
          <cell r="BB384" t="str">
            <v/>
          </cell>
          <cell r="BC384">
            <v>23</v>
          </cell>
          <cell r="BD384">
            <v>3</v>
          </cell>
          <cell r="BE384">
            <v>0.13043478260869565</v>
          </cell>
          <cell r="BF384">
            <v>66</v>
          </cell>
          <cell r="BG384">
            <v>0.73333333333333328</v>
          </cell>
          <cell r="BH384">
            <v>1</v>
          </cell>
          <cell r="BI384">
            <v>8</v>
          </cell>
          <cell r="BJ384">
            <v>16</v>
          </cell>
          <cell r="BK384">
            <v>1</v>
          </cell>
          <cell r="BL384">
            <v>0.71875</v>
          </cell>
          <cell r="BM384">
            <v>0.25</v>
          </cell>
          <cell r="BN384">
            <v>0.78693181818181823</v>
          </cell>
          <cell r="BO384">
            <v>38</v>
          </cell>
          <cell r="BP384">
            <v>0</v>
          </cell>
          <cell r="BQ384">
            <v>0.48128654970760232</v>
          </cell>
          <cell r="BR384">
            <v>0.78</v>
          </cell>
          <cell r="BS384">
            <v>4.2648845686512754E-2</v>
          </cell>
          <cell r="BT384">
            <v>0.72</v>
          </cell>
          <cell r="BU384">
            <v>3.9368165249088698E-2</v>
          </cell>
          <cell r="BV384">
            <v>8.2017010935601459E-2</v>
          </cell>
          <cell r="BW384">
            <v>0</v>
          </cell>
          <cell r="BX384">
            <v>38</v>
          </cell>
          <cell r="BY384">
            <v>1.4144736842105263</v>
          </cell>
          <cell r="BZ384">
            <v>1.2285263157894735</v>
          </cell>
        </row>
        <row r="385">
          <cell r="A385" t="str">
            <v>Kim Ji-soo</v>
          </cell>
          <cell r="B385" t="str">
            <v/>
          </cell>
          <cell r="C385" t="str">
            <v>Ji-soo</v>
          </cell>
          <cell r="D385" t="str">
            <v/>
          </cell>
          <cell r="F385" t="str">
            <v/>
          </cell>
          <cell r="H385" t="str">
            <v/>
          </cell>
          <cell r="I385">
            <v>1</v>
          </cell>
          <cell r="J385">
            <v>1</v>
          </cell>
          <cell r="K385">
            <v>1</v>
          </cell>
          <cell r="M385">
            <v>2.4556913682822206</v>
          </cell>
          <cell r="N385">
            <v>0</v>
          </cell>
          <cell r="O385">
            <v>1.2016666666666669</v>
          </cell>
          <cell r="P385">
            <v>2.4556913682822206</v>
          </cell>
          <cell r="Q385">
            <v>0</v>
          </cell>
          <cell r="R385">
            <v>0</v>
          </cell>
          <cell r="S385">
            <v>2.4556913682822206</v>
          </cell>
          <cell r="T385" t="str">
            <v>DEF</v>
          </cell>
          <cell r="U385" t="str">
            <v/>
          </cell>
          <cell r="V385" t="str">
            <v>BRE</v>
          </cell>
          <cell r="W385" t="str">
            <v>Brentford</v>
          </cell>
          <cell r="X385">
            <v>4.5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 t="e">
            <v>#DIV/0!</v>
          </cell>
          <cell r="AH385" t="e">
            <v>#DIV/0!</v>
          </cell>
          <cell r="AI385" t="e">
            <v>#DIV/0!</v>
          </cell>
          <cell r="AJ385">
            <v>9.9999999999988987E-4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92</v>
          </cell>
          <cell r="AP385" t="str">
            <v>Ji-soo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 t="str">
            <v/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0.9</v>
          </cell>
          <cell r="BH385">
            <v>1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 t="e">
            <v>#DIV/0!</v>
          </cell>
          <cell r="BO385">
            <v>38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38</v>
          </cell>
          <cell r="BY385">
            <v>1.5555263157894736</v>
          </cell>
          <cell r="BZ385">
            <v>1.0874736842105261</v>
          </cell>
        </row>
        <row r="386">
          <cell r="A386" t="str">
            <v>Nikola Milenković</v>
          </cell>
          <cell r="B386" t="str">
            <v/>
          </cell>
          <cell r="C386" t="str">
            <v>Milenković</v>
          </cell>
          <cell r="D386" t="str">
            <v/>
          </cell>
          <cell r="F386" t="str">
            <v/>
          </cell>
          <cell r="H386" t="str">
            <v/>
          </cell>
          <cell r="I386">
            <v>3.9</v>
          </cell>
          <cell r="J386">
            <v>3.9</v>
          </cell>
          <cell r="K386">
            <v>3.9</v>
          </cell>
          <cell r="M386">
            <v>2.430186142180466</v>
          </cell>
          <cell r="N386">
            <v>2.4799999999999995</v>
          </cell>
          <cell r="O386">
            <v>1.5250848484848483</v>
          </cell>
          <cell r="P386">
            <v>2.430186142180466</v>
          </cell>
          <cell r="Q386">
            <v>2.4799999999999995</v>
          </cell>
          <cell r="R386">
            <v>3.8181818181818183</v>
          </cell>
          <cell r="S386">
            <v>2.430186142180466</v>
          </cell>
          <cell r="T386" t="str">
            <v>DEF</v>
          </cell>
          <cell r="U386" t="str">
            <v>CB</v>
          </cell>
          <cell r="V386" t="str">
            <v>NFO</v>
          </cell>
          <cell r="W386" t="str">
            <v>Nott'm Forest</v>
          </cell>
          <cell r="X386">
            <v>5.5</v>
          </cell>
          <cell r="Y386">
            <v>118.99999999999999</v>
          </cell>
          <cell r="Z386">
            <v>26</v>
          </cell>
          <cell r="AA386">
            <v>92.999999999999986</v>
          </cell>
          <cell r="AB386">
            <v>3375</v>
          </cell>
          <cell r="AC386">
            <v>3375</v>
          </cell>
          <cell r="AD386">
            <v>0.56937799043062198</v>
          </cell>
          <cell r="AE386">
            <v>0</v>
          </cell>
          <cell r="AF386">
            <v>1</v>
          </cell>
          <cell r="AG386">
            <v>-2.2133333333333331E-2</v>
          </cell>
          <cell r="AH386">
            <v>8.5333333333333303E-3</v>
          </cell>
          <cell r="AI386">
            <v>-1.3600000000000001E-2</v>
          </cell>
          <cell r="AJ386">
            <v>2.4999999999999911E-2</v>
          </cell>
          <cell r="AK386">
            <v>2</v>
          </cell>
          <cell r="AL386">
            <v>401</v>
          </cell>
          <cell r="AM386">
            <v>6</v>
          </cell>
          <cell r="AN386">
            <v>0</v>
          </cell>
          <cell r="AO386">
            <v>471</v>
          </cell>
          <cell r="AP386" t="str">
            <v>Milenković</v>
          </cell>
          <cell r="AQ386">
            <v>7.4933333333333332</v>
          </cell>
          <cell r="AR386">
            <v>0</v>
          </cell>
          <cell r="AS386">
            <v>2.8533333333333335</v>
          </cell>
          <cell r="AT386">
            <v>8.293333333333333</v>
          </cell>
          <cell r="AU386">
            <v>0.8</v>
          </cell>
          <cell r="AV386">
            <v>8.293333333333333</v>
          </cell>
          <cell r="AW386">
            <v>8.293333333333333</v>
          </cell>
          <cell r="AX386">
            <v>0.3264933333333333</v>
          </cell>
          <cell r="AY386">
            <v>0</v>
          </cell>
          <cell r="AZ386">
            <v>3.1</v>
          </cell>
          <cell r="BA386">
            <v>118.99999999999999</v>
          </cell>
          <cell r="BB386" t="str">
            <v/>
          </cell>
          <cell r="BC386">
            <v>37</v>
          </cell>
          <cell r="BD386">
            <v>37</v>
          </cell>
          <cell r="BE386">
            <v>1</v>
          </cell>
          <cell r="BF386">
            <v>90</v>
          </cell>
          <cell r="BG386">
            <v>1</v>
          </cell>
          <cell r="BH386">
            <v>1</v>
          </cell>
          <cell r="BI386">
            <v>1</v>
          </cell>
          <cell r="BJ386">
            <v>45</v>
          </cell>
          <cell r="BK386">
            <v>0</v>
          </cell>
          <cell r="BL386">
            <v>0.97368421052631582</v>
          </cell>
          <cell r="BM386">
            <v>2.6315789473684181E-2</v>
          </cell>
          <cell r="BN386">
            <v>0.98684210526315796</v>
          </cell>
          <cell r="BO386">
            <v>38</v>
          </cell>
          <cell r="BP386">
            <v>0</v>
          </cell>
          <cell r="BQ386">
            <v>0.98684210526315785</v>
          </cell>
          <cell r="BR386">
            <v>0.83</v>
          </cell>
          <cell r="BS386">
            <v>2.2133333333333331E-2</v>
          </cell>
          <cell r="BT386">
            <v>0.68</v>
          </cell>
          <cell r="BU386">
            <v>1.8133333333333335E-2</v>
          </cell>
          <cell r="BV386">
            <v>4.0266666666666666E-2</v>
          </cell>
          <cell r="BW386">
            <v>0</v>
          </cell>
          <cell r="BX386">
            <v>38</v>
          </cell>
          <cell r="BY386">
            <v>1.7036842105263157</v>
          </cell>
          <cell r="BZ386">
            <v>0.9393157894736841</v>
          </cell>
        </row>
        <row r="387">
          <cell r="A387" t="str">
            <v>Mark Travers</v>
          </cell>
          <cell r="B387" t="str">
            <v/>
          </cell>
          <cell r="C387" t="str">
            <v>Travers</v>
          </cell>
          <cell r="D387" t="str">
            <v/>
          </cell>
          <cell r="F387" t="str">
            <v/>
          </cell>
          <cell r="H387" t="str">
            <v/>
          </cell>
          <cell r="I387">
            <v>2.2999999999999998</v>
          </cell>
          <cell r="J387">
            <v>3.6333333333333329</v>
          </cell>
          <cell r="K387">
            <v>4.8</v>
          </cell>
          <cell r="M387">
            <v>2.423169627790295</v>
          </cell>
          <cell r="N387">
            <v>0</v>
          </cell>
          <cell r="O387">
            <v>1.3658333333333332</v>
          </cell>
          <cell r="P387">
            <v>2.423169627790295</v>
          </cell>
          <cell r="Q387">
            <v>0</v>
          </cell>
          <cell r="R387">
            <v>0</v>
          </cell>
          <cell r="S387">
            <v>2.423169627790295</v>
          </cell>
          <cell r="T387" t="str">
            <v>GK</v>
          </cell>
          <cell r="U387" t="str">
            <v>GK</v>
          </cell>
          <cell r="V387" t="str">
            <v>EVE</v>
          </cell>
          <cell r="W387" t="str">
            <v>Everton</v>
          </cell>
          <cell r="X387">
            <v>5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 t="e">
            <v>#DIV/0!</v>
          </cell>
          <cell r="AH387" t="e">
            <v>#DIV/0!</v>
          </cell>
          <cell r="AI387" t="e">
            <v>#DIV/0!</v>
          </cell>
          <cell r="AJ387">
            <v>9.9999999999988987E-4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227</v>
          </cell>
          <cell r="AP387" t="str">
            <v>Travers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 t="str">
            <v/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0.9</v>
          </cell>
          <cell r="BH387">
            <v>1</v>
          </cell>
          <cell r="BI387">
            <v>0</v>
          </cell>
          <cell r="BJ387">
            <v>0</v>
          </cell>
          <cell r="BK387">
            <v>37</v>
          </cell>
          <cell r="BL387">
            <v>0</v>
          </cell>
          <cell r="BM387">
            <v>0</v>
          </cell>
          <cell r="BN387" t="e">
            <v>#DIV/0!</v>
          </cell>
          <cell r="BO387">
            <v>38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38</v>
          </cell>
          <cell r="BY387">
            <v>1.5786842105263159</v>
          </cell>
          <cell r="BZ387">
            <v>1.0643157894736839</v>
          </cell>
        </row>
        <row r="388">
          <cell r="A388" t="str">
            <v>Tom King</v>
          </cell>
          <cell r="B388" t="str">
            <v/>
          </cell>
          <cell r="C388" t="str">
            <v>King</v>
          </cell>
          <cell r="D388" t="str">
            <v/>
          </cell>
          <cell r="F388" t="str">
            <v/>
          </cell>
          <cell r="H388" t="str">
            <v/>
          </cell>
          <cell r="I388">
            <v>0</v>
          </cell>
          <cell r="J388">
            <v>0.6</v>
          </cell>
          <cell r="K388">
            <v>1.2</v>
          </cell>
          <cell r="M388">
            <v>2.423169627790295</v>
          </cell>
          <cell r="N388">
            <v>0</v>
          </cell>
          <cell r="O388">
            <v>1.3658333333333332</v>
          </cell>
          <cell r="P388">
            <v>2.423169627790295</v>
          </cell>
          <cell r="Q388">
            <v>0</v>
          </cell>
          <cell r="R388">
            <v>0</v>
          </cell>
          <cell r="S388">
            <v>2.423169627790295</v>
          </cell>
          <cell r="T388" t="str">
            <v>GK</v>
          </cell>
          <cell r="U388" t="str">
            <v>GK</v>
          </cell>
          <cell r="V388" t="str">
            <v>EVE</v>
          </cell>
          <cell r="W388" t="str">
            <v>Everton</v>
          </cell>
          <cell r="X388">
            <v>4.5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e">
            <v>#DIV/0!</v>
          </cell>
          <cell r="AH388" t="e">
            <v>#DIV/0!</v>
          </cell>
          <cell r="AI388" t="e">
            <v>#DIV/0!</v>
          </cell>
          <cell r="AJ388">
            <v>9.9999999999988987E-4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228</v>
          </cell>
          <cell r="AP388" t="str">
            <v>King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 t="str">
            <v/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0.9</v>
          </cell>
          <cell r="BH388">
            <v>1</v>
          </cell>
          <cell r="BI388">
            <v>0</v>
          </cell>
          <cell r="BJ388">
            <v>0</v>
          </cell>
          <cell r="BK388">
            <v>13</v>
          </cell>
          <cell r="BL388">
            <v>0</v>
          </cell>
          <cell r="BM388">
            <v>0</v>
          </cell>
          <cell r="BN388" t="e">
            <v>#DIV/0!</v>
          </cell>
          <cell r="BO388">
            <v>38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38</v>
          </cell>
          <cell r="BY388">
            <v>1.5786842105263159</v>
          </cell>
          <cell r="BZ388">
            <v>1.0643157894736839</v>
          </cell>
        </row>
        <row r="389">
          <cell r="A389" t="str">
            <v>Remi Matthews</v>
          </cell>
          <cell r="B389" t="str">
            <v/>
          </cell>
          <cell r="C389" t="str">
            <v>Matthews</v>
          </cell>
          <cell r="D389" t="str">
            <v/>
          </cell>
          <cell r="F389" t="str">
            <v/>
          </cell>
          <cell r="H389" t="str">
            <v/>
          </cell>
          <cell r="I389">
            <v>0</v>
          </cell>
          <cell r="J389">
            <v>0.33333333333333331</v>
          </cell>
          <cell r="K389">
            <v>1</v>
          </cell>
          <cell r="M389">
            <v>2.4209522363931177</v>
          </cell>
          <cell r="N389">
            <v>0</v>
          </cell>
          <cell r="O389">
            <v>1.2585714285714289</v>
          </cell>
          <cell r="P389">
            <v>2.3488870159848725</v>
          </cell>
          <cell r="Q389">
            <v>0</v>
          </cell>
          <cell r="R389">
            <v>0</v>
          </cell>
          <cell r="S389">
            <v>2.4209522363931177</v>
          </cell>
          <cell r="T389" t="str">
            <v>GK</v>
          </cell>
          <cell r="U389" t="str">
            <v>GK</v>
          </cell>
          <cell r="V389" t="str">
            <v>CRY</v>
          </cell>
          <cell r="W389" t="str">
            <v>Crystal Palace</v>
          </cell>
          <cell r="X389">
            <v>4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 t="e">
            <v>#DIV/0!</v>
          </cell>
          <cell r="AH389" t="e">
            <v>#DIV/0!</v>
          </cell>
          <cell r="AI389" t="e">
            <v>#DIV/0!</v>
          </cell>
          <cell r="AJ389">
            <v>1.6000000000000014E-2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555</v>
          </cell>
          <cell r="AP389" t="str">
            <v>Matthews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 t="str">
            <v/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0.9</v>
          </cell>
          <cell r="BH389">
            <v>1</v>
          </cell>
          <cell r="BI389">
            <v>0</v>
          </cell>
          <cell r="BJ389">
            <v>0</v>
          </cell>
          <cell r="BK389">
            <v>10</v>
          </cell>
          <cell r="BL389">
            <v>0</v>
          </cell>
          <cell r="BM389">
            <v>0</v>
          </cell>
          <cell r="BN389" t="e">
            <v>#DIV/0!</v>
          </cell>
          <cell r="BO389">
            <v>38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38</v>
          </cell>
          <cell r="BY389">
            <v>1.631578947368421</v>
          </cell>
          <cell r="BZ389">
            <v>1.0114210526315788</v>
          </cell>
        </row>
        <row r="390">
          <cell r="A390" t="str">
            <v>Tyler Adams</v>
          </cell>
          <cell r="B390" t="str">
            <v/>
          </cell>
          <cell r="C390" t="str">
            <v>Adams</v>
          </cell>
          <cell r="D390" t="str">
            <v/>
          </cell>
          <cell r="F390" t="str">
            <v/>
          </cell>
          <cell r="H390" t="str">
            <v/>
          </cell>
          <cell r="I390">
            <v>1.7</v>
          </cell>
          <cell r="J390">
            <v>1.9333333333333336</v>
          </cell>
          <cell r="K390">
            <v>2.1</v>
          </cell>
          <cell r="M390">
            <v>2.4137055579059203</v>
          </cell>
          <cell r="N390">
            <v>2.8134539287733182</v>
          </cell>
          <cell r="O390">
            <v>2.1745122342754293</v>
          </cell>
          <cell r="P390">
            <v>2.4137055579059203</v>
          </cell>
          <cell r="Q390">
            <v>2.8134539287733182</v>
          </cell>
          <cell r="R390">
            <v>3.7507418397626111</v>
          </cell>
          <cell r="S390">
            <v>2.4137055579059203</v>
          </cell>
          <cell r="T390" t="str">
            <v>MID</v>
          </cell>
          <cell r="U390" t="str">
            <v>DM</v>
          </cell>
          <cell r="V390" t="str">
            <v>BOU</v>
          </cell>
          <cell r="W390" t="str">
            <v>Bournemouth</v>
          </cell>
          <cell r="X390">
            <v>5</v>
          </cell>
          <cell r="Y390">
            <v>77</v>
          </cell>
          <cell r="Z390">
            <v>14</v>
          </cell>
          <cell r="AA390">
            <v>63</v>
          </cell>
          <cell r="AB390">
            <v>1769</v>
          </cell>
          <cell r="AC390">
            <v>1769</v>
          </cell>
          <cell r="AD390">
            <v>0.61599999999999999</v>
          </cell>
          <cell r="AE390">
            <v>2</v>
          </cell>
          <cell r="AF390">
            <v>2</v>
          </cell>
          <cell r="AG390">
            <v>6.9700395703787443E-2</v>
          </cell>
          <cell r="AH390">
            <v>6.9700395703787443E-2</v>
          </cell>
          <cell r="AI390">
            <v>0.13940079140757489</v>
          </cell>
          <cell r="AJ390">
            <v>6.9999999999998952E-3</v>
          </cell>
          <cell r="AK390">
            <v>3</v>
          </cell>
          <cell r="AL390">
            <v>346</v>
          </cell>
          <cell r="AM390">
            <v>8</v>
          </cell>
          <cell r="AN390">
            <v>0</v>
          </cell>
          <cell r="AO390">
            <v>73</v>
          </cell>
          <cell r="AP390" t="str">
            <v>Adams</v>
          </cell>
          <cell r="AQ390">
            <v>3.7066139061616727</v>
          </cell>
          <cell r="AR390">
            <v>0</v>
          </cell>
          <cell r="AS390">
            <v>4.2871678914641045</v>
          </cell>
          <cell r="AT390">
            <v>10.360655737704919</v>
          </cell>
          <cell r="AU390">
            <v>2.3668739400791408</v>
          </cell>
          <cell r="AV390">
            <v>10.360655737704919</v>
          </cell>
          <cell r="AW390">
            <v>10.360655737704919</v>
          </cell>
          <cell r="AX390">
            <v>0.34939344269914763</v>
          </cell>
          <cell r="AY390">
            <v>0</v>
          </cell>
          <cell r="AZ390">
            <v>3.1</v>
          </cell>
          <cell r="BA390">
            <v>77</v>
          </cell>
          <cell r="BB390" t="str">
            <v/>
          </cell>
          <cell r="BC390">
            <v>21</v>
          </cell>
          <cell r="BD390">
            <v>10</v>
          </cell>
          <cell r="BE390">
            <v>0.47619047619047616</v>
          </cell>
          <cell r="BF390">
            <v>79</v>
          </cell>
          <cell r="BG390">
            <v>0.87777777777777777</v>
          </cell>
          <cell r="BH390">
            <v>1</v>
          </cell>
          <cell r="BI390">
            <v>4</v>
          </cell>
          <cell r="BJ390">
            <v>28</v>
          </cell>
          <cell r="BK390">
            <v>1</v>
          </cell>
          <cell r="BL390">
            <v>0.80769230769230771</v>
          </cell>
          <cell r="BM390">
            <v>0.15384615384615383</v>
          </cell>
          <cell r="BN390">
            <v>0.87585199610516062</v>
          </cell>
          <cell r="BO390">
            <v>38</v>
          </cell>
          <cell r="BP390">
            <v>0</v>
          </cell>
          <cell r="BQ390">
            <v>0.51725146198830407</v>
          </cell>
          <cell r="BR390">
            <v>0.63</v>
          </cell>
          <cell r="BS390">
            <v>3.20520067834935E-2</v>
          </cell>
          <cell r="BT390">
            <v>0.63</v>
          </cell>
          <cell r="BU390">
            <v>3.20520067834935E-2</v>
          </cell>
          <cell r="BV390">
            <v>6.4104013566987E-2</v>
          </cell>
          <cell r="BW390">
            <v>0</v>
          </cell>
          <cell r="BX390">
            <v>38</v>
          </cell>
          <cell r="BY390">
            <v>1.4939473684210527</v>
          </cell>
          <cell r="BZ390">
            <v>1.1490526315789471</v>
          </cell>
        </row>
        <row r="391">
          <cell r="A391" t="str">
            <v>Leo Fuhr Hjelde</v>
          </cell>
          <cell r="B391" t="str">
            <v/>
          </cell>
          <cell r="C391" t="str">
            <v>Hjelde</v>
          </cell>
          <cell r="D391" t="str">
            <v/>
          </cell>
          <cell r="F391" t="str">
            <v/>
          </cell>
          <cell r="H391" t="str">
            <v/>
          </cell>
          <cell r="I391" t="e">
            <v>#N/A</v>
          </cell>
          <cell r="J391" t="e">
            <v>#N/A</v>
          </cell>
          <cell r="K391" t="e">
            <v>#N/A</v>
          </cell>
          <cell r="M391">
            <v>2.410234844640097</v>
          </cell>
          <cell r="N391">
            <v>0</v>
          </cell>
          <cell r="O391">
            <v>1.4008333333333329</v>
          </cell>
          <cell r="P391">
            <v>2.410234844640097</v>
          </cell>
          <cell r="Q391">
            <v>0</v>
          </cell>
          <cell r="R391">
            <v>0</v>
          </cell>
          <cell r="S391">
            <v>2.410234844640097</v>
          </cell>
          <cell r="T391" t="str">
            <v>DEF</v>
          </cell>
          <cell r="U391" t="str">
            <v/>
          </cell>
          <cell r="V391" t="str">
            <v>SUN</v>
          </cell>
          <cell r="W391" t="str">
            <v>Sunderland</v>
          </cell>
          <cell r="X391">
            <v>4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e">
            <v>#DIV/0!</v>
          </cell>
          <cell r="AH391" t="e">
            <v>#DIV/0!</v>
          </cell>
          <cell r="AI391" t="e">
            <v>#DIV/0!</v>
          </cell>
          <cell r="AJ391">
            <v>4.0000000000000036E-3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538</v>
          </cell>
          <cell r="AP391" t="str">
            <v>Hjelde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 t="str">
            <v/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0.9</v>
          </cell>
          <cell r="BH391">
            <v>1</v>
          </cell>
          <cell r="BI391">
            <v>0</v>
          </cell>
          <cell r="BJ391">
            <v>0</v>
          </cell>
          <cell r="BK391">
            <v>5</v>
          </cell>
          <cell r="BL391">
            <v>0</v>
          </cell>
          <cell r="BM391">
            <v>0</v>
          </cell>
          <cell r="BN391" t="e">
            <v>#DIV/0!</v>
          </cell>
          <cell r="BO391">
            <v>38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38</v>
          </cell>
          <cell r="BY391">
            <v>1.5878947368421052</v>
          </cell>
          <cell r="BZ391">
            <v>1.0551052631578945</v>
          </cell>
        </row>
        <row r="392">
          <cell r="A392" t="str">
            <v>Fábio Ferreira Vieira</v>
          </cell>
          <cell r="B392" t="str">
            <v/>
          </cell>
          <cell r="C392" t="str">
            <v>Fábio Vieira</v>
          </cell>
          <cell r="D392" t="str">
            <v/>
          </cell>
          <cell r="E392" t="str">
            <v>Vieira</v>
          </cell>
          <cell r="F392" t="str">
            <v/>
          </cell>
          <cell r="H392" t="str">
            <v/>
          </cell>
          <cell r="I392">
            <v>0</v>
          </cell>
          <cell r="J392">
            <v>1.3333333333333333</v>
          </cell>
          <cell r="K392">
            <v>2.2000000000000002</v>
          </cell>
          <cell r="M392">
            <v>2.4004357239728362</v>
          </cell>
          <cell r="N392">
            <v>0</v>
          </cell>
          <cell r="O392">
            <v>2</v>
          </cell>
          <cell r="P392">
            <v>2.4004357239728362</v>
          </cell>
          <cell r="Q392">
            <v>0</v>
          </cell>
          <cell r="R392">
            <v>0</v>
          </cell>
          <cell r="S392">
            <v>2.4004357239728362</v>
          </cell>
          <cell r="T392" t="str">
            <v>MID</v>
          </cell>
          <cell r="U392" t="str">
            <v>AM</v>
          </cell>
          <cell r="V392" t="str">
            <v>ARS</v>
          </cell>
          <cell r="W392" t="str">
            <v>Arsenal</v>
          </cell>
          <cell r="X392">
            <v>5.5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 t="e">
            <v>#DIV/0!</v>
          </cell>
          <cell r="AH392" t="e">
            <v>#DIV/0!</v>
          </cell>
          <cell r="AI392" t="e">
            <v>#DIV/0!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23</v>
          </cell>
          <cell r="AP392" t="str">
            <v>Fábio Vieira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 t="str">
            <v/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0.9</v>
          </cell>
          <cell r="BH392">
            <v>1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 t="e">
            <v>#DIV/0!</v>
          </cell>
          <cell r="BO392">
            <v>38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38</v>
          </cell>
          <cell r="BY392">
            <v>0.87184210526315797</v>
          </cell>
          <cell r="BZ392">
            <v>1.7711578947368418</v>
          </cell>
        </row>
        <row r="393">
          <cell r="A393" t="str">
            <v>Antoni Milambo</v>
          </cell>
          <cell r="B393" t="str">
            <v/>
          </cell>
          <cell r="C393" t="str">
            <v>Milambo</v>
          </cell>
          <cell r="D393" t="str">
            <v/>
          </cell>
          <cell r="F393" t="str">
            <v/>
          </cell>
          <cell r="H393" t="str">
            <v/>
          </cell>
          <cell r="I393" t="e">
            <v>#N/A</v>
          </cell>
          <cell r="J393" t="e">
            <v>#N/A</v>
          </cell>
          <cell r="K393" t="e">
            <v>#N/A</v>
          </cell>
          <cell r="M393">
            <v>2.3878636315442394</v>
          </cell>
          <cell r="N393">
            <v>1</v>
          </cell>
          <cell r="O393">
            <v>2.1</v>
          </cell>
          <cell r="P393">
            <v>2.3878636315442394</v>
          </cell>
          <cell r="Q393">
            <v>1</v>
          </cell>
          <cell r="R393">
            <v>0</v>
          </cell>
          <cell r="S393">
            <v>2.3878636315442394</v>
          </cell>
          <cell r="T393" t="str">
            <v>MID</v>
          </cell>
          <cell r="U393" t="str">
            <v>AM</v>
          </cell>
          <cell r="V393" t="str">
            <v>BRE</v>
          </cell>
          <cell r="W393" t="str">
            <v>Brentford</v>
          </cell>
          <cell r="X393">
            <v>5</v>
          </cell>
          <cell r="Y393">
            <v>1</v>
          </cell>
          <cell r="Z393">
            <v>0</v>
          </cell>
          <cell r="AA393">
            <v>1</v>
          </cell>
          <cell r="AB393">
            <v>45</v>
          </cell>
          <cell r="AC393">
            <v>45</v>
          </cell>
          <cell r="AD393">
            <v>0.2</v>
          </cell>
          <cell r="AE393">
            <v>0</v>
          </cell>
          <cell r="AF393">
            <v>0</v>
          </cell>
          <cell r="AG393">
            <v>0</v>
          </cell>
          <cell r="AH393">
            <v>-0.02</v>
          </cell>
          <cell r="AI393">
            <v>-0.02</v>
          </cell>
          <cell r="AJ393">
            <v>0</v>
          </cell>
          <cell r="AK393">
            <v>0</v>
          </cell>
          <cell r="AL393">
            <v>5</v>
          </cell>
          <cell r="AM393">
            <v>0</v>
          </cell>
          <cell r="AN393">
            <v>0</v>
          </cell>
          <cell r="AO393">
            <v>99</v>
          </cell>
          <cell r="AP393" t="str">
            <v>Milambo</v>
          </cell>
          <cell r="AQ393">
            <v>0</v>
          </cell>
          <cell r="AR393">
            <v>0</v>
          </cell>
          <cell r="AS393">
            <v>2</v>
          </cell>
          <cell r="AT393">
            <v>4</v>
          </cell>
          <cell r="AU393">
            <v>2</v>
          </cell>
          <cell r="AV393">
            <v>4</v>
          </cell>
          <cell r="AW393">
            <v>4</v>
          </cell>
          <cell r="AX393">
            <v>3.0285714285714284E-2</v>
          </cell>
          <cell r="AY393">
            <v>0</v>
          </cell>
          <cell r="AZ393">
            <v>1</v>
          </cell>
          <cell r="BA393">
            <v>1</v>
          </cell>
          <cell r="BB393">
            <v>75</v>
          </cell>
          <cell r="BC393">
            <v>1</v>
          </cell>
          <cell r="BD393">
            <v>0</v>
          </cell>
          <cell r="BE393">
            <v>0</v>
          </cell>
          <cell r="BF393">
            <v>45</v>
          </cell>
          <cell r="BG393">
            <v>0.5</v>
          </cell>
          <cell r="BH393">
            <v>1</v>
          </cell>
          <cell r="BI393">
            <v>0</v>
          </cell>
          <cell r="BJ393">
            <v>0</v>
          </cell>
          <cell r="BK393">
            <v>3</v>
          </cell>
          <cell r="BL393">
            <v>0.25</v>
          </cell>
          <cell r="BM393">
            <v>0</v>
          </cell>
          <cell r="BN393">
            <v>0.25</v>
          </cell>
          <cell r="BO393">
            <v>38</v>
          </cell>
          <cell r="BP393">
            <v>0</v>
          </cell>
          <cell r="BQ393">
            <v>1.3157894736842105E-2</v>
          </cell>
          <cell r="BR393">
            <v>0</v>
          </cell>
          <cell r="BS393">
            <v>0</v>
          </cell>
          <cell r="BT393">
            <v>0.01</v>
          </cell>
          <cell r="BU393">
            <v>0.02</v>
          </cell>
          <cell r="BV393">
            <v>0.02</v>
          </cell>
          <cell r="BW393">
            <v>0</v>
          </cell>
          <cell r="BX393">
            <v>38</v>
          </cell>
          <cell r="BY393">
            <v>1.5555263157894736</v>
          </cell>
          <cell r="BZ393">
            <v>1.0874736842105261</v>
          </cell>
        </row>
        <row r="394">
          <cell r="A394" t="str">
            <v>Jorrel Hato</v>
          </cell>
          <cell r="B394" t="str">
            <v/>
          </cell>
          <cell r="C394" t="str">
            <v>Hato</v>
          </cell>
          <cell r="D394" t="str">
            <v/>
          </cell>
          <cell r="F394" t="str">
            <v/>
          </cell>
          <cell r="H394" t="str">
            <v/>
          </cell>
          <cell r="I394" t="e">
            <v>#N/A</v>
          </cell>
          <cell r="J394" t="e">
            <v>#N/A</v>
          </cell>
          <cell r="K394" t="e">
            <v>#N/A</v>
          </cell>
          <cell r="M394">
            <v>2.3874267021038547</v>
          </cell>
          <cell r="N394">
            <v>1.0140474100087797</v>
          </cell>
          <cell r="O394">
            <v>1.0805200799352321</v>
          </cell>
          <cell r="P394">
            <v>2.502731054757048</v>
          </cell>
          <cell r="Q394">
            <v>1.0140474100087797</v>
          </cell>
          <cell r="R394">
            <v>1.1240875912408759</v>
          </cell>
          <cell r="S394">
            <v>2.3874267021038547</v>
          </cell>
          <cell r="T394" t="str">
            <v>DEF</v>
          </cell>
          <cell r="U394" t="str">
            <v>LB</v>
          </cell>
          <cell r="V394" t="str">
            <v>CHE</v>
          </cell>
          <cell r="W394" t="str">
            <v>Chelsea</v>
          </cell>
          <cell r="X394">
            <v>4.5</v>
          </cell>
          <cell r="Y394">
            <v>19</v>
          </cell>
          <cell r="Z394">
            <v>4</v>
          </cell>
          <cell r="AA394">
            <v>15</v>
          </cell>
          <cell r="AB394">
            <v>1139</v>
          </cell>
          <cell r="AC394">
            <v>1139</v>
          </cell>
          <cell r="AD394">
            <v>0.19191919191919193</v>
          </cell>
          <cell r="AE394">
            <v>0</v>
          </cell>
          <cell r="AF394">
            <v>0</v>
          </cell>
          <cell r="AG394">
            <v>-2.3705004389815626E-2</v>
          </cell>
          <cell r="AH394">
            <v>-4.8200175592625114E-2</v>
          </cell>
          <cell r="AI394">
            <v>-7.1905179982440739E-2</v>
          </cell>
          <cell r="AJ394">
            <v>1.0000000000000009E-2</v>
          </cell>
          <cell r="AK394">
            <v>0</v>
          </cell>
          <cell r="AL394">
            <v>93</v>
          </cell>
          <cell r="AM394">
            <v>7</v>
          </cell>
          <cell r="AN394">
            <v>0</v>
          </cell>
          <cell r="AO394">
            <v>148</v>
          </cell>
          <cell r="AP394" t="str">
            <v>Hato</v>
          </cell>
          <cell r="AQ394">
            <v>4.2589991220368741</v>
          </cell>
          <cell r="AR394">
            <v>0</v>
          </cell>
          <cell r="AS394">
            <v>3.3801580333625987</v>
          </cell>
          <cell r="AT394">
            <v>6.6927129060579453</v>
          </cell>
          <cell r="AU394">
            <v>2.4337137840210712</v>
          </cell>
          <cell r="AV394">
            <v>6.6927129060579453</v>
          </cell>
          <cell r="AW394">
            <v>6.6927129060579453</v>
          </cell>
          <cell r="AX394">
            <v>0.14879719051799822</v>
          </cell>
          <cell r="AY394">
            <v>0</v>
          </cell>
          <cell r="AZ394">
            <v>0.9</v>
          </cell>
          <cell r="BA394">
            <v>19</v>
          </cell>
          <cell r="BB394" t="str">
            <v/>
          </cell>
          <cell r="BC394">
            <v>12</v>
          </cell>
          <cell r="BD394">
            <v>7</v>
          </cell>
          <cell r="BE394">
            <v>0.58333333333333337</v>
          </cell>
          <cell r="BF394">
            <v>77</v>
          </cell>
          <cell r="BG394">
            <v>0.85555555555555551</v>
          </cell>
          <cell r="BH394">
            <v>1</v>
          </cell>
          <cell r="BI394">
            <v>10</v>
          </cell>
          <cell r="BJ394">
            <v>23</v>
          </cell>
          <cell r="BK394">
            <v>13</v>
          </cell>
          <cell r="BL394">
            <v>0.34285714285714286</v>
          </cell>
          <cell r="BM394">
            <v>0.28571428571428575</v>
          </cell>
          <cell r="BN394">
            <v>0.53914656771799629</v>
          </cell>
          <cell r="BO394">
            <v>38</v>
          </cell>
          <cell r="BP394">
            <v>0</v>
          </cell>
          <cell r="BQ394">
            <v>0.33304093567251464</v>
          </cell>
          <cell r="BR394">
            <v>0.3</v>
          </cell>
          <cell r="BS394">
            <v>2.3705004389815626E-2</v>
          </cell>
          <cell r="BT394">
            <v>0.61</v>
          </cell>
          <cell r="BU394">
            <v>4.8200175592625114E-2</v>
          </cell>
          <cell r="BV394">
            <v>7.1905179982440739E-2</v>
          </cell>
          <cell r="BW394">
            <v>0</v>
          </cell>
          <cell r="BX394">
            <v>38</v>
          </cell>
          <cell r="BY394">
            <v>1.4473684210526316</v>
          </cell>
          <cell r="BZ394">
            <v>1.1956315789473682</v>
          </cell>
        </row>
        <row r="395">
          <cell r="A395" t="str">
            <v>Benoît Badiashile Mukinayi</v>
          </cell>
          <cell r="B395" t="str">
            <v/>
          </cell>
          <cell r="C395" t="str">
            <v>B.Badiashile</v>
          </cell>
          <cell r="D395" t="str">
            <v/>
          </cell>
          <cell r="E395" t="str">
            <v>Benoît Badiashile</v>
          </cell>
          <cell r="F395" t="str">
            <v/>
          </cell>
          <cell r="H395" t="str">
            <v/>
          </cell>
          <cell r="I395">
            <v>1.4</v>
          </cell>
          <cell r="J395">
            <v>1.65</v>
          </cell>
          <cell r="K395">
            <v>1.9</v>
          </cell>
          <cell r="M395">
            <v>2.3275719433569142</v>
          </cell>
          <cell r="N395">
            <v>0.73404255319148937</v>
          </cell>
          <cell r="O395">
            <v>1.1841312056737592</v>
          </cell>
          <cell r="P395">
            <v>2.4428762960101063</v>
          </cell>
          <cell r="Q395">
            <v>0.73404255319148937</v>
          </cell>
          <cell r="R395">
            <v>0</v>
          </cell>
          <cell r="S395">
            <v>2.3275719433569142</v>
          </cell>
          <cell r="T395" t="str">
            <v>DEF</v>
          </cell>
          <cell r="U395" t="str">
            <v>CB</v>
          </cell>
          <cell r="V395" t="str">
            <v>CHE</v>
          </cell>
          <cell r="W395" t="str">
            <v>Chelsea</v>
          </cell>
          <cell r="X395">
            <v>4.5</v>
          </cell>
          <cell r="Y395">
            <v>7</v>
          </cell>
          <cell r="Z395">
            <v>2</v>
          </cell>
          <cell r="AA395">
            <v>5</v>
          </cell>
          <cell r="AB395">
            <v>470</v>
          </cell>
          <cell r="AC395">
            <v>470</v>
          </cell>
          <cell r="AD395">
            <v>0.19444444444444445</v>
          </cell>
          <cell r="AE395">
            <v>0</v>
          </cell>
          <cell r="AF395">
            <v>0</v>
          </cell>
          <cell r="AG395">
            <v>0</v>
          </cell>
          <cell r="AH395">
            <v>-1.1489361702127658E-2</v>
          </cell>
          <cell r="AI395">
            <v>-1.1489361702127658E-2</v>
          </cell>
          <cell r="AJ395">
            <v>9.9999999999988987E-4</v>
          </cell>
          <cell r="AK395">
            <v>0</v>
          </cell>
          <cell r="AL395">
            <v>48</v>
          </cell>
          <cell r="AM395">
            <v>2</v>
          </cell>
          <cell r="AN395">
            <v>0</v>
          </cell>
          <cell r="AO395">
            <v>146</v>
          </cell>
          <cell r="AP395" t="str">
            <v>B.Badiashile</v>
          </cell>
          <cell r="AQ395">
            <v>6.0191489361702137</v>
          </cell>
          <cell r="AR395">
            <v>0</v>
          </cell>
          <cell r="AS395">
            <v>2.3489361702127662</v>
          </cell>
          <cell r="AT395">
            <v>7.0468085106382974</v>
          </cell>
          <cell r="AU395">
            <v>1.0276595744680852</v>
          </cell>
          <cell r="AV395">
            <v>7.0468085106382974</v>
          </cell>
          <cell r="AW395">
            <v>7.0468085106382974</v>
          </cell>
          <cell r="AX395">
            <v>0.17566382978723399</v>
          </cell>
          <cell r="AY395">
            <v>0</v>
          </cell>
          <cell r="AZ395">
            <v>0.9</v>
          </cell>
          <cell r="BA395">
            <v>7</v>
          </cell>
          <cell r="BB395" t="str">
            <v/>
          </cell>
          <cell r="BC395">
            <v>6</v>
          </cell>
          <cell r="BD395">
            <v>3</v>
          </cell>
          <cell r="BE395">
            <v>0.5</v>
          </cell>
          <cell r="BF395">
            <v>69</v>
          </cell>
          <cell r="BG395">
            <v>0.76666666666666672</v>
          </cell>
          <cell r="BH395">
            <v>1</v>
          </cell>
          <cell r="BI395">
            <v>2</v>
          </cell>
          <cell r="BJ395">
            <v>29</v>
          </cell>
          <cell r="BK395">
            <v>11</v>
          </cell>
          <cell r="BL395">
            <v>0.31578947368421051</v>
          </cell>
          <cell r="BM395">
            <v>0.10526315789473684</v>
          </cell>
          <cell r="BN395">
            <v>0.60335621662852779</v>
          </cell>
          <cell r="BO395">
            <v>38</v>
          </cell>
          <cell r="BP395">
            <v>0</v>
          </cell>
          <cell r="BQ395">
            <v>0.13742690058479531</v>
          </cell>
          <cell r="BR395">
            <v>0</v>
          </cell>
          <cell r="BS395">
            <v>0</v>
          </cell>
          <cell r="BT395">
            <v>0.06</v>
          </cell>
          <cell r="BU395">
            <v>1.1489361702127658E-2</v>
          </cell>
          <cell r="BV395">
            <v>1.1489361702127658E-2</v>
          </cell>
          <cell r="BW395">
            <v>0</v>
          </cell>
          <cell r="BX395">
            <v>38</v>
          </cell>
          <cell r="BY395">
            <v>1.4473684210526316</v>
          </cell>
          <cell r="BZ395">
            <v>1.1956315789473682</v>
          </cell>
        </row>
        <row r="396">
          <cell r="A396" t="str">
            <v>Kalvin Phillips</v>
          </cell>
          <cell r="B396" t="str">
            <v/>
          </cell>
          <cell r="C396" t="str">
            <v>Phillips</v>
          </cell>
          <cell r="D396" t="str">
            <v/>
          </cell>
          <cell r="E396" t="str">
            <v>K Phillips</v>
          </cell>
          <cell r="F396" t="str">
            <v/>
          </cell>
          <cell r="H396" t="str">
            <v/>
          </cell>
          <cell r="I396">
            <v>0</v>
          </cell>
          <cell r="J396">
            <v>0.46666666666666662</v>
          </cell>
          <cell r="K396">
            <v>1.4</v>
          </cell>
          <cell r="M396">
            <v>2.3209483046177151</v>
          </cell>
          <cell r="N396">
            <v>0</v>
          </cell>
          <cell r="O396">
            <v>2</v>
          </cell>
          <cell r="P396">
            <v>2.3209483046177151</v>
          </cell>
          <cell r="Q396">
            <v>0</v>
          </cell>
          <cell r="R396">
            <v>0</v>
          </cell>
          <cell r="S396">
            <v>2.3209483046177151</v>
          </cell>
          <cell r="T396" t="str">
            <v>MID</v>
          </cell>
          <cell r="U396" t="str">
            <v>DM</v>
          </cell>
          <cell r="V396" t="str">
            <v>MCI</v>
          </cell>
          <cell r="W396" t="str">
            <v>Man City</v>
          </cell>
          <cell r="X396">
            <v>5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 t="e">
            <v>#DIV/0!</v>
          </cell>
          <cell r="AH396" t="e">
            <v>#DIV/0!</v>
          </cell>
          <cell r="AI396" t="e">
            <v>#DIV/0!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408</v>
          </cell>
          <cell r="AP396" t="str">
            <v>Phillips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 t="str">
            <v/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0.9</v>
          </cell>
          <cell r="BH396">
            <v>1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 t="e">
            <v>#DIV/0!</v>
          </cell>
          <cell r="BO396">
            <v>38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38</v>
          </cell>
          <cell r="BY396">
            <v>1.223421052631579</v>
          </cell>
          <cell r="BZ396">
            <v>1.4195789473684208</v>
          </cell>
        </row>
        <row r="397">
          <cell r="A397" t="str">
            <v>Claudio Echeverri</v>
          </cell>
          <cell r="B397" t="str">
            <v/>
          </cell>
          <cell r="C397" t="str">
            <v>Echeverri</v>
          </cell>
          <cell r="D397" t="str">
            <v/>
          </cell>
          <cell r="F397" t="str">
            <v/>
          </cell>
          <cell r="H397" t="str">
            <v/>
          </cell>
          <cell r="I397">
            <v>1</v>
          </cell>
          <cell r="J397">
            <v>1</v>
          </cell>
          <cell r="K397">
            <v>1</v>
          </cell>
          <cell r="M397">
            <v>2.3209483046177151</v>
          </cell>
          <cell r="N397">
            <v>0</v>
          </cell>
          <cell r="O397">
            <v>2</v>
          </cell>
          <cell r="P397">
            <v>2.3209483046177151</v>
          </cell>
          <cell r="Q397">
            <v>0</v>
          </cell>
          <cell r="R397">
            <v>0</v>
          </cell>
          <cell r="S397">
            <v>2.3209483046177151</v>
          </cell>
          <cell r="T397" t="str">
            <v>MID</v>
          </cell>
          <cell r="U397" t="str">
            <v>AM</v>
          </cell>
          <cell r="V397" t="str">
            <v>MCI</v>
          </cell>
          <cell r="W397" t="str">
            <v>Man City</v>
          </cell>
          <cell r="X397">
            <v>5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 t="e">
            <v>#DIV/0!</v>
          </cell>
          <cell r="AH397" t="e">
            <v>#DIV/0!</v>
          </cell>
          <cell r="AI397" t="e">
            <v>#DIV/0!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407</v>
          </cell>
          <cell r="AP397" t="str">
            <v>Echeverri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 t="str">
            <v/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0.9</v>
          </cell>
          <cell r="BH397">
            <v>1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 t="e">
            <v>#DIV/0!</v>
          </cell>
          <cell r="BO397">
            <v>38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38</v>
          </cell>
          <cell r="BY397">
            <v>1.223421052631579</v>
          </cell>
          <cell r="BZ397">
            <v>1.4195789473684208</v>
          </cell>
        </row>
        <row r="398">
          <cell r="A398" t="str">
            <v>Marcus Rashford</v>
          </cell>
          <cell r="B398" t="str">
            <v/>
          </cell>
          <cell r="C398" t="str">
            <v>Rashford</v>
          </cell>
          <cell r="D398" t="str">
            <v/>
          </cell>
          <cell r="F398" t="str">
            <v/>
          </cell>
          <cell r="H398" t="str">
            <v/>
          </cell>
          <cell r="I398">
            <v>3.3</v>
          </cell>
          <cell r="J398">
            <v>4.333333333333333</v>
          </cell>
          <cell r="K398">
            <v>5.9</v>
          </cell>
          <cell r="M398">
            <v>2.2983991040671228</v>
          </cell>
          <cell r="N398">
            <v>0</v>
          </cell>
          <cell r="O398">
            <v>2</v>
          </cell>
          <cell r="P398">
            <v>2.2983991040671228</v>
          </cell>
          <cell r="Q398">
            <v>0</v>
          </cell>
          <cell r="R398">
            <v>0</v>
          </cell>
          <cell r="S398">
            <v>2.2983991040671228</v>
          </cell>
          <cell r="T398" t="str">
            <v>MID</v>
          </cell>
          <cell r="U398" t="str">
            <v>LW</v>
          </cell>
          <cell r="V398" t="str">
            <v>MUN</v>
          </cell>
          <cell r="W398" t="str">
            <v>Man Utd</v>
          </cell>
          <cell r="X398">
            <v>7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e">
            <v>#DIV/0!</v>
          </cell>
          <cell r="AH398" t="e">
            <v>#DIV/0!</v>
          </cell>
          <cell r="AI398" t="e">
            <v>#DIV/0!</v>
          </cell>
          <cell r="AJ398">
            <v>1.4000000000000012E-2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429</v>
          </cell>
          <cell r="AP398" t="str">
            <v>Rashford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 t="str">
            <v/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0.9</v>
          </cell>
          <cell r="BH398">
            <v>1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 t="e">
            <v>#DIV/0!</v>
          </cell>
          <cell r="BO398">
            <v>38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38</v>
          </cell>
          <cell r="BY398">
            <v>1.3231578947368421</v>
          </cell>
          <cell r="BZ398">
            <v>1.3198421052631577</v>
          </cell>
        </row>
        <row r="399">
          <cell r="A399" t="str">
            <v>Toby Collyer</v>
          </cell>
          <cell r="B399" t="str">
            <v/>
          </cell>
          <cell r="C399" t="str">
            <v>Collyer</v>
          </cell>
          <cell r="D399" t="str">
            <v/>
          </cell>
          <cell r="F399" t="str">
            <v/>
          </cell>
          <cell r="H399" t="str">
            <v/>
          </cell>
          <cell r="I399">
            <v>0</v>
          </cell>
          <cell r="J399">
            <v>0.5</v>
          </cell>
          <cell r="K399">
            <v>1</v>
          </cell>
          <cell r="M399">
            <v>2.2983991040671228</v>
          </cell>
          <cell r="N399">
            <v>0</v>
          </cell>
          <cell r="O399">
            <v>2</v>
          </cell>
          <cell r="P399">
            <v>2.2983991040671228</v>
          </cell>
          <cell r="Q399">
            <v>0</v>
          </cell>
          <cell r="R399">
            <v>0</v>
          </cell>
          <cell r="S399">
            <v>2.2983991040671228</v>
          </cell>
          <cell r="T399" t="str">
            <v>MID</v>
          </cell>
          <cell r="U399" t="str">
            <v>DM</v>
          </cell>
          <cell r="V399" t="str">
            <v>MUN</v>
          </cell>
          <cell r="W399" t="str">
            <v>Man Utd</v>
          </cell>
          <cell r="X399">
            <v>5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 t="e">
            <v>#DIV/0!</v>
          </cell>
          <cell r="AH399" t="e">
            <v>#DIV/0!</v>
          </cell>
          <cell r="AI399" t="e">
            <v>#DIV/0!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436</v>
          </cell>
          <cell r="AP399" t="str">
            <v>Collyer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 t="str">
            <v/>
          </cell>
          <cell r="BC399">
            <v>0</v>
          </cell>
          <cell r="BD399">
            <v>0</v>
          </cell>
          <cell r="BE399">
            <v>0</v>
          </cell>
          <cell r="BF399">
            <v>73</v>
          </cell>
          <cell r="BG399">
            <v>0.9</v>
          </cell>
          <cell r="BH399">
            <v>1</v>
          </cell>
          <cell r="BI399">
            <v>4</v>
          </cell>
          <cell r="BJ399">
            <v>8</v>
          </cell>
          <cell r="BK399">
            <v>0</v>
          </cell>
          <cell r="BL399">
            <v>0</v>
          </cell>
          <cell r="BM399">
            <v>1</v>
          </cell>
          <cell r="BN399">
            <v>0.1095890410958904</v>
          </cell>
          <cell r="BO399">
            <v>38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38</v>
          </cell>
          <cell r="BY399">
            <v>1.3231578947368421</v>
          </cell>
          <cell r="BZ399">
            <v>1.3198421052631577</v>
          </cell>
        </row>
        <row r="400">
          <cell r="A400" t="str">
            <v>Tyler Dibling</v>
          </cell>
          <cell r="B400" t="str">
            <v/>
          </cell>
          <cell r="C400" t="str">
            <v>Dibling</v>
          </cell>
          <cell r="D400" t="str">
            <v/>
          </cell>
          <cell r="F400" t="str">
            <v/>
          </cell>
          <cell r="H400" t="str">
            <v/>
          </cell>
          <cell r="I400" t="e">
            <v>#N/A</v>
          </cell>
          <cell r="J400" t="e">
            <v>#N/A</v>
          </cell>
          <cell r="K400" t="e">
            <v>#N/A</v>
          </cell>
          <cell r="M400">
            <v>2.2878944089080617</v>
          </cell>
          <cell r="N400">
            <v>3.4555873925501439</v>
          </cell>
          <cell r="O400">
            <v>1.7424068767908309</v>
          </cell>
          <cell r="P400">
            <v>2.2878944089080617</v>
          </cell>
          <cell r="Q400">
            <v>3.4555873925501439</v>
          </cell>
          <cell r="R400">
            <v>0</v>
          </cell>
          <cell r="S400">
            <v>2.2878944089080617</v>
          </cell>
          <cell r="T400" t="str">
            <v>MID</v>
          </cell>
          <cell r="U400" t="str">
            <v>RW</v>
          </cell>
          <cell r="V400" t="str">
            <v>EVE</v>
          </cell>
          <cell r="W400" t="str">
            <v>Everton</v>
          </cell>
          <cell r="X400">
            <v>5.5</v>
          </cell>
          <cell r="Y400">
            <v>18</v>
          </cell>
          <cell r="Z400">
            <v>0</v>
          </cell>
          <cell r="AA400">
            <v>18</v>
          </cell>
          <cell r="AB400">
            <v>349</v>
          </cell>
          <cell r="AC400">
            <v>349</v>
          </cell>
          <cell r="AD400">
            <v>0.23376623376623379</v>
          </cell>
          <cell r="AE400">
            <v>0</v>
          </cell>
          <cell r="AF400">
            <v>0</v>
          </cell>
          <cell r="AG400">
            <v>-5.1575931232091698E-2</v>
          </cell>
          <cell r="AH400">
            <v>-3.6103151862464183E-2</v>
          </cell>
          <cell r="AI400">
            <v>-8.7679083094555882E-2</v>
          </cell>
          <cell r="AJ400">
            <v>9.9999999999988987E-4</v>
          </cell>
          <cell r="AK400">
            <v>0</v>
          </cell>
          <cell r="AL400">
            <v>49</v>
          </cell>
          <cell r="AM400">
            <v>2</v>
          </cell>
          <cell r="AN400">
            <v>0</v>
          </cell>
          <cell r="AO400">
            <v>245</v>
          </cell>
          <cell r="AP400" t="str">
            <v>Dibling</v>
          </cell>
          <cell r="AQ400">
            <v>2.1117478510028653</v>
          </cell>
          <cell r="AR400">
            <v>0</v>
          </cell>
          <cell r="AS400">
            <v>4.2234957020057307</v>
          </cell>
          <cell r="AT400">
            <v>7.6790830945558746</v>
          </cell>
          <cell r="AU400">
            <v>1.3438395415472781</v>
          </cell>
          <cell r="AV400">
            <v>7.6790830945558746</v>
          </cell>
          <cell r="AW400">
            <v>7.6790830945558746</v>
          </cell>
          <cell r="AX400">
            <v>0.10189398280802298</v>
          </cell>
          <cell r="AY400">
            <v>0</v>
          </cell>
          <cell r="AZ400">
            <v>1.3</v>
          </cell>
          <cell r="BA400">
            <v>18</v>
          </cell>
          <cell r="BB400" t="str">
            <v/>
          </cell>
          <cell r="BC400">
            <v>4</v>
          </cell>
          <cell r="BD400">
            <v>1</v>
          </cell>
          <cell r="BE400">
            <v>0.25</v>
          </cell>
          <cell r="BF400">
            <v>67</v>
          </cell>
          <cell r="BG400">
            <v>0.74444444444444446</v>
          </cell>
          <cell r="BH400">
            <v>1</v>
          </cell>
          <cell r="BI400">
            <v>10</v>
          </cell>
          <cell r="BJ400">
            <v>9</v>
          </cell>
          <cell r="BK400">
            <v>22</v>
          </cell>
          <cell r="BL400">
            <v>0.1111111111111111</v>
          </cell>
          <cell r="BM400">
            <v>0.27777777777777779</v>
          </cell>
          <cell r="BN400">
            <v>0.23051409618573795</v>
          </cell>
          <cell r="BO400">
            <v>38</v>
          </cell>
          <cell r="BP400">
            <v>0</v>
          </cell>
          <cell r="BQ400">
            <v>0.102046783625731</v>
          </cell>
          <cell r="BR400">
            <v>0.2</v>
          </cell>
          <cell r="BS400">
            <v>5.1575931232091698E-2</v>
          </cell>
          <cell r="BT400">
            <v>0.14000000000000001</v>
          </cell>
          <cell r="BU400">
            <v>3.6103151862464183E-2</v>
          </cell>
          <cell r="BV400">
            <v>8.7679083094555882E-2</v>
          </cell>
          <cell r="BW400">
            <v>0</v>
          </cell>
          <cell r="BX400">
            <v>38</v>
          </cell>
          <cell r="BY400">
            <v>1.5786842105263159</v>
          </cell>
          <cell r="BZ400">
            <v>1.0643157894736839</v>
          </cell>
        </row>
        <row r="401">
          <cell r="A401" t="str">
            <v>Zach Abbott</v>
          </cell>
          <cell r="B401" t="str">
            <v/>
          </cell>
          <cell r="C401" t="str">
            <v>Abbott</v>
          </cell>
          <cell r="D401" t="str">
            <v/>
          </cell>
          <cell r="F401" t="str">
            <v/>
          </cell>
          <cell r="H401" t="str">
            <v/>
          </cell>
          <cell r="I401">
            <v>0</v>
          </cell>
          <cell r="J401">
            <v>0.5</v>
          </cell>
          <cell r="K401">
            <v>1</v>
          </cell>
          <cell r="M401">
            <v>2.2792625058168303</v>
          </cell>
          <cell r="N401">
            <v>0</v>
          </cell>
          <cell r="O401">
            <v>1.3780303030303034</v>
          </cell>
          <cell r="P401">
            <v>2.2792625058168303</v>
          </cell>
          <cell r="Q401">
            <v>1.0909090909090908</v>
          </cell>
          <cell r="R401">
            <v>1.3333333333333333</v>
          </cell>
          <cell r="S401">
            <v>2.2792625058168303</v>
          </cell>
          <cell r="T401" t="str">
            <v>DEF</v>
          </cell>
          <cell r="U401" t="str">
            <v>CB</v>
          </cell>
          <cell r="V401" t="str">
            <v>NFO</v>
          </cell>
          <cell r="W401" t="str">
            <v>Nott'm Forest</v>
          </cell>
          <cell r="X401">
            <v>4</v>
          </cell>
          <cell r="Y401">
            <v>3</v>
          </cell>
          <cell r="Z401">
            <v>0</v>
          </cell>
          <cell r="AA401">
            <v>3</v>
          </cell>
          <cell r="AB401">
            <v>165</v>
          </cell>
          <cell r="AC401">
            <v>165</v>
          </cell>
          <cell r="AD401">
            <v>0.25</v>
          </cell>
          <cell r="AE401">
            <v>0</v>
          </cell>
          <cell r="AF401">
            <v>0</v>
          </cell>
          <cell r="AG401">
            <v>0</v>
          </cell>
          <cell r="AH401">
            <v>-5.4545454545454541E-3</v>
          </cell>
          <cell r="AI401">
            <v>-5.4545454545454541E-3</v>
          </cell>
          <cell r="AJ401">
            <v>2.0000000000000018E-3</v>
          </cell>
          <cell r="AK401">
            <v>0</v>
          </cell>
          <cell r="AL401">
            <v>3</v>
          </cell>
          <cell r="AM401">
            <v>0</v>
          </cell>
          <cell r="AN401">
            <v>0</v>
          </cell>
          <cell r="AO401">
            <v>477</v>
          </cell>
          <cell r="AP401" t="str">
            <v>Abbott</v>
          </cell>
          <cell r="AQ401">
            <v>3.2727272727272725</v>
          </cell>
          <cell r="AR401">
            <v>0</v>
          </cell>
          <cell r="AS401">
            <v>3.6363636363636367</v>
          </cell>
          <cell r="AT401">
            <v>4.7272727272727266</v>
          </cell>
          <cell r="AU401">
            <v>1.4545454545454544</v>
          </cell>
          <cell r="AV401">
            <v>4.7272727272727266</v>
          </cell>
          <cell r="AW401">
            <v>4.7272727272727266</v>
          </cell>
          <cell r="AX401">
            <v>3.0254545454545451E-2</v>
          </cell>
          <cell r="AY401">
            <v>0</v>
          </cell>
          <cell r="AZ401">
            <v>1</v>
          </cell>
          <cell r="BA401">
            <v>3</v>
          </cell>
          <cell r="BB401" t="str">
            <v/>
          </cell>
          <cell r="BC401">
            <v>2</v>
          </cell>
          <cell r="BD401">
            <v>0</v>
          </cell>
          <cell r="BE401">
            <v>0</v>
          </cell>
          <cell r="BF401">
            <v>60</v>
          </cell>
          <cell r="BG401">
            <v>0.66666666666666663</v>
          </cell>
          <cell r="BH401">
            <v>1</v>
          </cell>
          <cell r="BI401">
            <v>1</v>
          </cell>
          <cell r="BJ401">
            <v>45</v>
          </cell>
          <cell r="BK401">
            <v>13</v>
          </cell>
          <cell r="BL401">
            <v>0.125</v>
          </cell>
          <cell r="BM401">
            <v>6.25E-2</v>
          </cell>
          <cell r="BN401">
            <v>0.78125</v>
          </cell>
          <cell r="BO401">
            <v>38</v>
          </cell>
          <cell r="BP401">
            <v>0</v>
          </cell>
          <cell r="BQ401">
            <v>4.8245614035087717E-2</v>
          </cell>
          <cell r="BR401">
            <v>0</v>
          </cell>
          <cell r="BS401">
            <v>0</v>
          </cell>
          <cell r="BT401">
            <v>0.01</v>
          </cell>
          <cell r="BU401">
            <v>5.4545454545454541E-3</v>
          </cell>
          <cell r="BV401">
            <v>5.4545454545454541E-3</v>
          </cell>
          <cell r="BW401">
            <v>0</v>
          </cell>
          <cell r="BX401">
            <v>38</v>
          </cell>
          <cell r="BY401">
            <v>1.7036842105263157</v>
          </cell>
          <cell r="BZ401">
            <v>0.9393157894736841</v>
          </cell>
        </row>
        <row r="402">
          <cell r="A402" t="str">
            <v>Stefan Bajčetić Maquieira</v>
          </cell>
          <cell r="B402" t="str">
            <v/>
          </cell>
          <cell r="C402" t="str">
            <v>Bajcetic</v>
          </cell>
          <cell r="D402" t="str">
            <v/>
          </cell>
          <cell r="F402" t="str">
            <v/>
          </cell>
          <cell r="H402" t="str">
            <v/>
          </cell>
          <cell r="I402">
            <v>0</v>
          </cell>
          <cell r="J402">
            <v>1</v>
          </cell>
          <cell r="K402">
            <v>2</v>
          </cell>
          <cell r="M402">
            <v>2.2770398349440026</v>
          </cell>
          <cell r="N402">
            <v>0</v>
          </cell>
          <cell r="O402">
            <v>2</v>
          </cell>
          <cell r="P402">
            <v>2.2770398349440026</v>
          </cell>
          <cell r="Q402">
            <v>0</v>
          </cell>
          <cell r="R402">
            <v>0</v>
          </cell>
          <cell r="S402">
            <v>2.2770398349440026</v>
          </cell>
          <cell r="T402" t="str">
            <v>MID</v>
          </cell>
          <cell r="U402" t="str">
            <v/>
          </cell>
          <cell r="V402" t="str">
            <v>LIV</v>
          </cell>
          <cell r="W402" t="str">
            <v>Liverpool</v>
          </cell>
          <cell r="X402">
            <v>5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e">
            <v>#DIV/0!</v>
          </cell>
          <cell r="AH402" t="e">
            <v>#DIV/0!</v>
          </cell>
          <cell r="AI402" t="e">
            <v>#DIV/0!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376</v>
          </cell>
          <cell r="AP402" t="str">
            <v>Bajcetic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0.9</v>
          </cell>
          <cell r="BH402">
            <v>1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 t="e">
            <v>#DIV/0!</v>
          </cell>
          <cell r="BO402">
            <v>38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38</v>
          </cell>
          <cell r="BY402">
            <v>1.4176315789473684</v>
          </cell>
          <cell r="BZ402">
            <v>1.2253684210526314</v>
          </cell>
        </row>
        <row r="403">
          <cell r="A403" t="str">
            <v>James McConnell</v>
          </cell>
          <cell r="B403" t="str">
            <v/>
          </cell>
          <cell r="C403" t="str">
            <v>McConnell</v>
          </cell>
          <cell r="D403" t="str">
            <v/>
          </cell>
          <cell r="F403" t="str">
            <v/>
          </cell>
          <cell r="H403" t="str">
            <v/>
          </cell>
          <cell r="I403">
            <v>0</v>
          </cell>
          <cell r="J403">
            <v>0.5</v>
          </cell>
          <cell r="K403">
            <v>1</v>
          </cell>
          <cell r="M403">
            <v>2.2770398349440026</v>
          </cell>
          <cell r="N403">
            <v>0</v>
          </cell>
          <cell r="O403">
            <v>2</v>
          </cell>
          <cell r="P403">
            <v>2.2770398349440026</v>
          </cell>
          <cell r="Q403">
            <v>0</v>
          </cell>
          <cell r="R403">
            <v>0</v>
          </cell>
          <cell r="S403">
            <v>2.2770398349440026</v>
          </cell>
          <cell r="T403" t="str">
            <v>MID</v>
          </cell>
          <cell r="U403" t="str">
            <v/>
          </cell>
          <cell r="V403" t="str">
            <v>LIV</v>
          </cell>
          <cell r="W403" t="str">
            <v>Liverpool</v>
          </cell>
          <cell r="X403">
            <v>4.5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 t="e">
            <v>#DIV/0!</v>
          </cell>
          <cell r="AH403" t="e">
            <v>#DIV/0!</v>
          </cell>
          <cell r="AI403" t="e">
            <v>#DIV/0!</v>
          </cell>
          <cell r="AJ403">
            <v>2.0000000000000018E-3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378</v>
          </cell>
          <cell r="AP403" t="str">
            <v>McConnell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 t="str">
            <v/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0.9</v>
          </cell>
          <cell r="BH403">
            <v>1</v>
          </cell>
          <cell r="BI403">
            <v>0</v>
          </cell>
          <cell r="BJ403">
            <v>0</v>
          </cell>
          <cell r="BK403">
            <v>1</v>
          </cell>
          <cell r="BL403">
            <v>0</v>
          </cell>
          <cell r="BM403">
            <v>0</v>
          </cell>
          <cell r="BN403" t="e">
            <v>#DIV/0!</v>
          </cell>
          <cell r="BO403">
            <v>38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38</v>
          </cell>
          <cell r="BY403">
            <v>1.4176315789473684</v>
          </cell>
          <cell r="BZ403">
            <v>1.2253684210526314</v>
          </cell>
        </row>
        <row r="404">
          <cell r="A404" t="str">
            <v>Jorge Cuenca Barreno</v>
          </cell>
          <cell r="B404" t="str">
            <v/>
          </cell>
          <cell r="C404" t="str">
            <v>J.Cuenca</v>
          </cell>
          <cell r="D404" t="str">
            <v/>
          </cell>
          <cell r="E404" t="str">
            <v>Jorge Cuenca</v>
          </cell>
          <cell r="F404" t="str">
            <v/>
          </cell>
          <cell r="H404" t="str">
            <v/>
          </cell>
          <cell r="I404">
            <v>1.1000000000000001</v>
          </cell>
          <cell r="J404">
            <v>1.1000000000000001</v>
          </cell>
          <cell r="K404">
            <v>1.1000000000000001</v>
          </cell>
          <cell r="M404">
            <v>2.276980112408721</v>
          </cell>
          <cell r="N404">
            <v>2.2459893048128343</v>
          </cell>
          <cell r="O404">
            <v>1.069122103386809</v>
          </cell>
          <cell r="P404">
            <v>2.1601974988240777</v>
          </cell>
          <cell r="Q404">
            <v>2.2459893048128343</v>
          </cell>
          <cell r="R404">
            <v>0</v>
          </cell>
          <cell r="S404">
            <v>2.276980112408721</v>
          </cell>
          <cell r="T404" t="str">
            <v>DEF</v>
          </cell>
          <cell r="U404" t="str">
            <v>CB</v>
          </cell>
          <cell r="V404" t="str">
            <v>FUL</v>
          </cell>
          <cell r="W404" t="str">
            <v>Fulham</v>
          </cell>
          <cell r="X404">
            <v>4.5</v>
          </cell>
          <cell r="Y404">
            <v>39</v>
          </cell>
          <cell r="Z404">
            <v>14</v>
          </cell>
          <cell r="AA404">
            <v>25</v>
          </cell>
          <cell r="AB404">
            <v>935</v>
          </cell>
          <cell r="AC404">
            <v>935</v>
          </cell>
          <cell r="AD404">
            <v>0.57777777777777783</v>
          </cell>
          <cell r="AE404">
            <v>0</v>
          </cell>
          <cell r="AF404">
            <v>0</v>
          </cell>
          <cell r="AG404">
            <v>-4.8128342245989308E-3</v>
          </cell>
          <cell r="AH404">
            <v>-5.1016042780748665E-2</v>
          </cell>
          <cell r="AI404">
            <v>-5.5828877005347596E-2</v>
          </cell>
          <cell r="AJ404">
            <v>0</v>
          </cell>
          <cell r="AK404">
            <v>1</v>
          </cell>
          <cell r="AL404">
            <v>155</v>
          </cell>
          <cell r="AM404">
            <v>6</v>
          </cell>
          <cell r="AN404">
            <v>0</v>
          </cell>
          <cell r="AO404">
            <v>255</v>
          </cell>
          <cell r="AP404" t="str">
            <v>J.Cuenca</v>
          </cell>
          <cell r="AQ404">
            <v>9.0737967914438489</v>
          </cell>
          <cell r="AR404">
            <v>0</v>
          </cell>
          <cell r="AS404">
            <v>3.5935828877005345</v>
          </cell>
          <cell r="AT404">
            <v>10.511229946524065</v>
          </cell>
          <cell r="AU404">
            <v>1.437433155080214</v>
          </cell>
          <cell r="AV404">
            <v>10.511229946524065</v>
          </cell>
          <cell r="AW404">
            <v>10.511229946524065</v>
          </cell>
          <cell r="AX404">
            <v>0.59863689839572198</v>
          </cell>
          <cell r="AY404">
            <v>0</v>
          </cell>
          <cell r="AZ404">
            <v>2.6</v>
          </cell>
          <cell r="BA404">
            <v>39</v>
          </cell>
          <cell r="BB404" t="str">
            <v/>
          </cell>
          <cell r="BC404">
            <v>11</v>
          </cell>
          <cell r="BD404">
            <v>7</v>
          </cell>
          <cell r="BE404">
            <v>0.63636363636363635</v>
          </cell>
          <cell r="BF404">
            <v>84</v>
          </cell>
          <cell r="BG404">
            <v>0.93333333333333335</v>
          </cell>
          <cell r="BH404">
            <v>1</v>
          </cell>
          <cell r="BI404">
            <v>4</v>
          </cell>
          <cell r="BJ404">
            <v>4</v>
          </cell>
          <cell r="BK404">
            <v>16</v>
          </cell>
          <cell r="BL404">
            <v>0.35483870967741937</v>
          </cell>
          <cell r="BM404">
            <v>0.12903225806451613</v>
          </cell>
          <cell r="BN404">
            <v>0.38556067588325654</v>
          </cell>
          <cell r="BO404">
            <v>38</v>
          </cell>
          <cell r="BP404">
            <v>0</v>
          </cell>
          <cell r="BQ404">
            <v>0.27339181286549707</v>
          </cell>
          <cell r="BR404">
            <v>0.05</v>
          </cell>
          <cell r="BS404">
            <v>4.8128342245989308E-3</v>
          </cell>
          <cell r="BT404">
            <v>0.53</v>
          </cell>
          <cell r="BU404">
            <v>5.1016042780748665E-2</v>
          </cell>
          <cell r="BV404">
            <v>5.5828877005347596E-2</v>
          </cell>
          <cell r="BW404">
            <v>0</v>
          </cell>
          <cell r="BX404">
            <v>38</v>
          </cell>
          <cell r="BY404">
            <v>1.6842105263157894</v>
          </cell>
          <cell r="BZ404">
            <v>0.95878947368421041</v>
          </cell>
        </row>
        <row r="405">
          <cell r="A405" t="str">
            <v>Dejan Kulusevski</v>
          </cell>
          <cell r="B405" t="str">
            <v/>
          </cell>
          <cell r="C405" t="str">
            <v>Kulusevski</v>
          </cell>
          <cell r="D405" t="str">
            <v/>
          </cell>
          <cell r="F405" t="str">
            <v/>
          </cell>
          <cell r="H405" t="str">
            <v/>
          </cell>
          <cell r="I405">
            <v>3.2</v>
          </cell>
          <cell r="J405">
            <v>3.5</v>
          </cell>
          <cell r="K405">
            <v>3.7</v>
          </cell>
          <cell r="M405">
            <v>2.2668064246677444</v>
          </cell>
          <cell r="N405">
            <v>0</v>
          </cell>
          <cell r="O405">
            <v>2</v>
          </cell>
          <cell r="P405">
            <v>2.2668064246677444</v>
          </cell>
          <cell r="Q405">
            <v>0</v>
          </cell>
          <cell r="R405">
            <v>0</v>
          </cell>
          <cell r="S405">
            <v>2.2668064246677444</v>
          </cell>
          <cell r="T405" t="str">
            <v>MID</v>
          </cell>
          <cell r="U405" t="str">
            <v>AM</v>
          </cell>
          <cell r="V405" t="str">
            <v>TOT</v>
          </cell>
          <cell r="W405" t="str">
            <v>Spurs</v>
          </cell>
          <cell r="X405">
            <v>6.5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 t="e">
            <v>#DIV/0!</v>
          </cell>
          <cell r="AH405" t="e">
            <v>#DIV/0!</v>
          </cell>
          <cell r="AI405" t="e">
            <v>#DIV/0!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521</v>
          </cell>
          <cell r="AP405" t="str">
            <v>Kulusevski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0.9</v>
          </cell>
          <cell r="BH405">
            <v>1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 t="e">
            <v>#DIV/0!</v>
          </cell>
          <cell r="BO405">
            <v>38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38</v>
          </cell>
          <cell r="BY405">
            <v>1.4628947368421052</v>
          </cell>
          <cell r="BZ405">
            <v>1.1801052631578945</v>
          </cell>
        </row>
        <row r="406">
          <cell r="A406" t="str">
            <v>Mikey Moore</v>
          </cell>
          <cell r="B406" t="str">
            <v/>
          </cell>
          <cell r="C406" t="str">
            <v>Moore</v>
          </cell>
          <cell r="D406" t="str">
            <v/>
          </cell>
          <cell r="F406" t="str">
            <v/>
          </cell>
          <cell r="H406" t="str">
            <v/>
          </cell>
          <cell r="I406">
            <v>0</v>
          </cell>
          <cell r="J406">
            <v>1.3</v>
          </cell>
          <cell r="K406">
            <v>2.1</v>
          </cell>
          <cell r="M406">
            <v>2.2668064246677444</v>
          </cell>
          <cell r="N406">
            <v>0</v>
          </cell>
          <cell r="O406">
            <v>2</v>
          </cell>
          <cell r="P406">
            <v>2.2668064246677444</v>
          </cell>
          <cell r="Q406">
            <v>0</v>
          </cell>
          <cell r="R406">
            <v>0</v>
          </cell>
          <cell r="S406">
            <v>2.2668064246677444</v>
          </cell>
          <cell r="T406" t="str">
            <v>MID</v>
          </cell>
          <cell r="U406" t="str">
            <v>LW</v>
          </cell>
          <cell r="V406" t="str">
            <v>TOT</v>
          </cell>
          <cell r="W406" t="str">
            <v>Spurs</v>
          </cell>
          <cell r="X406">
            <v>5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 t="e">
            <v>#DIV/0!</v>
          </cell>
          <cell r="AH406" t="e">
            <v>#DIV/0!</v>
          </cell>
          <cell r="AI406" t="e">
            <v>#DIV/0!</v>
          </cell>
          <cell r="AJ406">
            <v>9.9999999999988987E-4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523</v>
          </cell>
          <cell r="AP406" t="str">
            <v>Moore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 t="str">
            <v/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0.9</v>
          </cell>
          <cell r="BH406">
            <v>1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 t="e">
            <v>#DIV/0!</v>
          </cell>
          <cell r="BO406">
            <v>38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38</v>
          </cell>
          <cell r="BY406">
            <v>1.4628947368421052</v>
          </cell>
          <cell r="BZ406">
            <v>1.1801052631578945</v>
          </cell>
        </row>
        <row r="407">
          <cell r="A407" t="str">
            <v>Joe Gelhardt</v>
          </cell>
          <cell r="B407" t="str">
            <v/>
          </cell>
          <cell r="C407" t="str">
            <v>Gelhardt</v>
          </cell>
          <cell r="D407" t="str">
            <v/>
          </cell>
          <cell r="F407" t="str">
            <v/>
          </cell>
          <cell r="H407" t="str">
            <v/>
          </cell>
          <cell r="I407" t="e">
            <v>#N/A</v>
          </cell>
          <cell r="J407" t="e">
            <v>#N/A</v>
          </cell>
          <cell r="K407" t="e">
            <v>#N/A</v>
          </cell>
          <cell r="M407">
            <v>2.2624036783860983</v>
          </cell>
          <cell r="N407">
            <v>0</v>
          </cell>
          <cell r="O407">
            <v>2</v>
          </cell>
          <cell r="P407">
            <v>2.2624036783860983</v>
          </cell>
          <cell r="Q407">
            <v>0</v>
          </cell>
          <cell r="R407">
            <v>0</v>
          </cell>
          <cell r="S407">
            <v>2.2624036783860983</v>
          </cell>
          <cell r="T407" t="str">
            <v>MID</v>
          </cell>
          <cell r="U407" t="str">
            <v>CF</v>
          </cell>
          <cell r="V407" t="str">
            <v>LEE</v>
          </cell>
          <cell r="W407" t="str">
            <v>Leeds</v>
          </cell>
          <cell r="X407">
            <v>5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 t="e">
            <v>#DIV/0!</v>
          </cell>
          <cell r="AH407" t="e">
            <v>#DIV/0!</v>
          </cell>
          <cell r="AI407" t="e">
            <v>#DIV/0!</v>
          </cell>
          <cell r="AJ407">
            <v>9.9999999999988987E-4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340</v>
          </cell>
          <cell r="AP407" t="str">
            <v>Gelhardt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 t="str">
            <v/>
          </cell>
          <cell r="BC407">
            <v>35</v>
          </cell>
          <cell r="BD407">
            <v>8</v>
          </cell>
          <cell r="BE407">
            <v>0.22857142857142856</v>
          </cell>
          <cell r="BF407">
            <v>77</v>
          </cell>
          <cell r="BG407">
            <v>0.85555555555555551</v>
          </cell>
          <cell r="BH407">
            <v>1</v>
          </cell>
          <cell r="BI407">
            <v>4</v>
          </cell>
          <cell r="BJ407">
            <v>25</v>
          </cell>
          <cell r="BK407">
            <v>0</v>
          </cell>
          <cell r="BL407">
            <v>0.89743589743589747</v>
          </cell>
          <cell r="BM407">
            <v>0.10256410256410253</v>
          </cell>
          <cell r="BN407">
            <v>0.93073593073593075</v>
          </cell>
          <cell r="BO407">
            <v>38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38</v>
          </cell>
          <cell r="BY407">
            <v>1.4823684210526316</v>
          </cell>
          <cell r="BZ407">
            <v>1.1606315789473682</v>
          </cell>
        </row>
        <row r="408">
          <cell r="A408" t="str">
            <v>Samuel Iling-Junior</v>
          </cell>
          <cell r="B408" t="str">
            <v/>
          </cell>
          <cell r="C408" t="str">
            <v>Iling Jr</v>
          </cell>
          <cell r="D408" t="str">
            <v/>
          </cell>
          <cell r="F408" t="str">
            <v/>
          </cell>
          <cell r="H408" t="str">
            <v/>
          </cell>
          <cell r="I408">
            <v>0</v>
          </cell>
          <cell r="J408">
            <v>0</v>
          </cell>
          <cell r="K408">
            <v>0</v>
          </cell>
          <cell r="M408">
            <v>2.2603212983880225</v>
          </cell>
          <cell r="N408">
            <v>0</v>
          </cell>
          <cell r="O408">
            <v>2</v>
          </cell>
          <cell r="P408">
            <v>2.2603212983880225</v>
          </cell>
          <cell r="Q408">
            <v>0</v>
          </cell>
          <cell r="R408">
            <v>0</v>
          </cell>
          <cell r="S408">
            <v>2.2603212983880225</v>
          </cell>
          <cell r="T408" t="str">
            <v>MID</v>
          </cell>
          <cell r="U408" t="str">
            <v>LW</v>
          </cell>
          <cell r="V408" t="str">
            <v>AVL</v>
          </cell>
          <cell r="W408" t="str">
            <v>Aston Villa</v>
          </cell>
          <cell r="X408">
            <v>5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 t="e">
            <v>#DIV/0!</v>
          </cell>
          <cell r="AH408" t="e">
            <v>#DIV/0!</v>
          </cell>
          <cell r="AI408" t="e">
            <v>#DIV/0!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49</v>
          </cell>
          <cell r="AP408" t="str">
            <v>Iling Jr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 t="str">
            <v/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0.9</v>
          </cell>
          <cell r="BH408">
            <v>1</v>
          </cell>
          <cell r="BI408">
            <v>0</v>
          </cell>
          <cell r="BJ408">
            <v>0</v>
          </cell>
          <cell r="BK408">
            <v>1</v>
          </cell>
          <cell r="BL408">
            <v>0</v>
          </cell>
          <cell r="BM408">
            <v>0</v>
          </cell>
          <cell r="BN408" t="e">
            <v>#DIV/0!</v>
          </cell>
          <cell r="BO408">
            <v>38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38</v>
          </cell>
          <cell r="BY408">
            <v>1.4915789473684211</v>
          </cell>
          <cell r="BZ408">
            <v>1.1514210526315787</v>
          </cell>
        </row>
        <row r="409">
          <cell r="A409" t="str">
            <v>Cheick Doucouré</v>
          </cell>
          <cell r="B409" t="str">
            <v/>
          </cell>
          <cell r="C409" t="str">
            <v>Doucouré</v>
          </cell>
          <cell r="D409" t="str">
            <v/>
          </cell>
          <cell r="E409" t="str">
            <v>C.Doucoure</v>
          </cell>
          <cell r="F409" t="str">
            <v/>
          </cell>
          <cell r="G409" t="str">
            <v>Abdoulaye Doucoure</v>
          </cell>
          <cell r="H409" t="str">
            <v/>
          </cell>
          <cell r="I409" t="e">
            <v>#N/A</v>
          </cell>
          <cell r="J409" t="e">
            <v>#N/A</v>
          </cell>
          <cell r="K409" t="e">
            <v>#N/A</v>
          </cell>
          <cell r="M409">
            <v>2.2402709538351218</v>
          </cell>
          <cell r="N409">
            <v>0</v>
          </cell>
          <cell r="O409">
            <v>2</v>
          </cell>
          <cell r="P409">
            <v>2.228669122417271</v>
          </cell>
          <cell r="Q409">
            <v>0</v>
          </cell>
          <cell r="R409">
            <v>0</v>
          </cell>
          <cell r="S409">
            <v>2.2402709538351218</v>
          </cell>
          <cell r="T409" t="str">
            <v>MID</v>
          </cell>
          <cell r="U409" t="str">
            <v>DM</v>
          </cell>
          <cell r="V409" t="str">
            <v>CRY</v>
          </cell>
          <cell r="W409" t="str">
            <v>Crystal Palace</v>
          </cell>
          <cell r="X409">
            <v>5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e">
            <v>#DIV/0!</v>
          </cell>
          <cell r="AH409" t="e">
            <v>#DIV/0!</v>
          </cell>
          <cell r="AI409" t="e">
            <v>#DIV/0!</v>
          </cell>
          <cell r="AJ409">
            <v>9.9999999999988987E-4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218</v>
          </cell>
          <cell r="AP409" t="str">
            <v>Doucouré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 t="str">
            <v/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0.9</v>
          </cell>
          <cell r="BH409">
            <v>1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 t="e">
            <v>#DIV/0!</v>
          </cell>
          <cell r="BO409">
            <v>38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38</v>
          </cell>
          <cell r="BY409">
            <v>1.631578947368421</v>
          </cell>
          <cell r="BZ409">
            <v>1.0114210526315788</v>
          </cell>
        </row>
        <row r="410">
          <cell r="A410" t="str">
            <v>Matheus França de Oliveira</v>
          </cell>
          <cell r="B410" t="str">
            <v/>
          </cell>
          <cell r="C410" t="str">
            <v>M.França</v>
          </cell>
          <cell r="D410" t="str">
            <v/>
          </cell>
          <cell r="F410" t="str">
            <v/>
          </cell>
          <cell r="H410" t="str">
            <v/>
          </cell>
          <cell r="I410">
            <v>2.2000000000000002</v>
          </cell>
          <cell r="J410">
            <v>2.2000000000000002</v>
          </cell>
          <cell r="K410">
            <v>2.2000000000000002</v>
          </cell>
          <cell r="M410">
            <v>2.2402709538351218</v>
          </cell>
          <cell r="N410">
            <v>0</v>
          </cell>
          <cell r="O410">
            <v>2</v>
          </cell>
          <cell r="P410">
            <v>2.228669122417271</v>
          </cell>
          <cell r="Q410">
            <v>0</v>
          </cell>
          <cell r="R410">
            <v>0</v>
          </cell>
          <cell r="S410">
            <v>2.2402709538351218</v>
          </cell>
          <cell r="T410" t="str">
            <v>MID</v>
          </cell>
          <cell r="U410" t="str">
            <v/>
          </cell>
          <cell r="V410" t="str">
            <v>CRY</v>
          </cell>
          <cell r="W410" t="str">
            <v>Crystal Palace</v>
          </cell>
          <cell r="X410">
            <v>5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 t="e">
            <v>#DIV/0!</v>
          </cell>
          <cell r="AH410" t="e">
            <v>#DIV/0!</v>
          </cell>
          <cell r="AI410" t="e">
            <v>#DIV/0!</v>
          </cell>
          <cell r="AJ410">
            <v>9.9999999999988987E-4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217</v>
          </cell>
          <cell r="AP410" t="str">
            <v>M.França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 t="str">
            <v/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0.9</v>
          </cell>
          <cell r="BH410">
            <v>1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 t="e">
            <v>#DIV/0!</v>
          </cell>
          <cell r="BO410">
            <v>38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38</v>
          </cell>
          <cell r="BY410">
            <v>1.631578947368421</v>
          </cell>
          <cell r="BZ410">
            <v>1.0114210526315788</v>
          </cell>
        </row>
        <row r="411">
          <cell r="A411" t="str">
            <v>Jesurun Rak-Sakyi</v>
          </cell>
          <cell r="B411" t="str">
            <v/>
          </cell>
          <cell r="C411" t="str">
            <v>J.Rak-Sakyi</v>
          </cell>
          <cell r="D411" t="str">
            <v/>
          </cell>
          <cell r="F411" t="str">
            <v/>
          </cell>
          <cell r="H411" t="str">
            <v/>
          </cell>
          <cell r="I411" t="e">
            <v>#N/A</v>
          </cell>
          <cell r="J411" t="e">
            <v>#N/A</v>
          </cell>
          <cell r="K411" t="e">
            <v>#N/A</v>
          </cell>
          <cell r="M411">
            <v>2.2402709538351218</v>
          </cell>
          <cell r="N411">
            <v>0</v>
          </cell>
          <cell r="O411">
            <v>2</v>
          </cell>
          <cell r="P411">
            <v>2.228669122417271</v>
          </cell>
          <cell r="Q411">
            <v>0</v>
          </cell>
          <cell r="R411">
            <v>0</v>
          </cell>
          <cell r="S411">
            <v>2.2402709538351218</v>
          </cell>
          <cell r="T411" t="str">
            <v>MID</v>
          </cell>
          <cell r="U411" t="str">
            <v>RW</v>
          </cell>
          <cell r="V411" t="str">
            <v>CRY</v>
          </cell>
          <cell r="W411" t="str">
            <v>Crystal Palace</v>
          </cell>
          <cell r="X411">
            <v>5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 t="e">
            <v>#DIV/0!</v>
          </cell>
          <cell r="AH411" t="e">
            <v>#DIV/0!</v>
          </cell>
          <cell r="AI411" t="e">
            <v>#DIV/0!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219</v>
          </cell>
          <cell r="AP411" t="str">
            <v>J.Rak-Sakyi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 t="str">
            <v/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0.9</v>
          </cell>
          <cell r="BH411">
            <v>1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 t="e">
            <v>#DIV/0!</v>
          </cell>
          <cell r="BO411">
            <v>38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38</v>
          </cell>
          <cell r="BY411">
            <v>1.631578947368421</v>
          </cell>
          <cell r="BZ411">
            <v>1.0114210526315788</v>
          </cell>
        </row>
        <row r="412">
          <cell r="A412" t="str">
            <v>Tim Iroegbunam</v>
          </cell>
          <cell r="B412" t="str">
            <v/>
          </cell>
          <cell r="C412" t="str">
            <v>Iroegbunam</v>
          </cell>
          <cell r="D412" t="str">
            <v/>
          </cell>
          <cell r="F412" t="str">
            <v/>
          </cell>
          <cell r="H412" t="str">
            <v/>
          </cell>
          <cell r="I412">
            <v>0</v>
          </cell>
          <cell r="J412">
            <v>0.76666666666666661</v>
          </cell>
          <cell r="K412">
            <v>1.2</v>
          </cell>
          <cell r="M412">
            <v>2.2307281363777842</v>
          </cell>
          <cell r="N412">
            <v>2.8882870683818549</v>
          </cell>
          <cell r="O412">
            <v>1.9209937749191301</v>
          </cell>
          <cell r="P412">
            <v>2.2307281363777842</v>
          </cell>
          <cell r="Q412">
            <v>2.8882870683818549</v>
          </cell>
          <cell r="R412">
            <v>2.1944444444444446</v>
          </cell>
          <cell r="S412">
            <v>2.2307281363777842</v>
          </cell>
          <cell r="T412" t="str">
            <v>MID</v>
          </cell>
          <cell r="U412" t="str">
            <v>CM</v>
          </cell>
          <cell r="V412" t="str">
            <v>EVE</v>
          </cell>
          <cell r="W412" t="str">
            <v>Everton</v>
          </cell>
          <cell r="X412">
            <v>5</v>
          </cell>
          <cell r="Y412">
            <v>68</v>
          </cell>
          <cell r="Z412">
            <v>14</v>
          </cell>
          <cell r="AA412">
            <v>54</v>
          </cell>
          <cell r="AB412">
            <v>1477</v>
          </cell>
          <cell r="AC412">
            <v>1477</v>
          </cell>
          <cell r="AD412">
            <v>0.46896551724137925</v>
          </cell>
          <cell r="AE412">
            <v>0</v>
          </cell>
          <cell r="AF412">
            <v>3</v>
          </cell>
          <cell r="AG412">
            <v>-3.2904536222071769E-2</v>
          </cell>
          <cell r="AH412">
            <v>0.13953960731211917</v>
          </cell>
          <cell r="AI412">
            <v>0.10663507109004741</v>
          </cell>
          <cell r="AJ412">
            <v>9.9999999999988987E-4</v>
          </cell>
          <cell r="AK412">
            <v>1</v>
          </cell>
          <cell r="AL412">
            <v>225</v>
          </cell>
          <cell r="AM412">
            <v>9</v>
          </cell>
          <cell r="AN412">
            <v>0</v>
          </cell>
          <cell r="AO412">
            <v>240</v>
          </cell>
          <cell r="AP412" t="str">
            <v>Iroegbunam</v>
          </cell>
          <cell r="AQ412">
            <v>2.2999322951929586</v>
          </cell>
          <cell r="AR412">
            <v>0</v>
          </cell>
          <cell r="AS412">
            <v>4.1719702098849014</v>
          </cell>
          <cell r="AT412">
            <v>10.109004739336493</v>
          </cell>
          <cell r="AU412">
            <v>3.6371022342586321</v>
          </cell>
          <cell r="AV412">
            <v>10.109004739336493</v>
          </cell>
          <cell r="AW412">
            <v>10.109004739336493</v>
          </cell>
          <cell r="AX412">
            <v>0.3212085308677915</v>
          </cell>
          <cell r="AY412">
            <v>0</v>
          </cell>
          <cell r="AZ412">
            <v>2.2999999999999998</v>
          </cell>
          <cell r="BA412">
            <v>68</v>
          </cell>
          <cell r="BB412" t="str">
            <v/>
          </cell>
          <cell r="BC412">
            <v>17</v>
          </cell>
          <cell r="BD412">
            <v>6</v>
          </cell>
          <cell r="BE412">
            <v>0.35294117647058826</v>
          </cell>
          <cell r="BF412">
            <v>79</v>
          </cell>
          <cell r="BG412">
            <v>0.87777777777777777</v>
          </cell>
          <cell r="BH412">
            <v>1</v>
          </cell>
          <cell r="BI412">
            <v>12</v>
          </cell>
          <cell r="BJ412">
            <v>12</v>
          </cell>
          <cell r="BK412">
            <v>6</v>
          </cell>
          <cell r="BL412">
            <v>0.48571428571428571</v>
          </cell>
          <cell r="BM412">
            <v>0.34285714285714286</v>
          </cell>
          <cell r="BN412">
            <v>0.56383363471971071</v>
          </cell>
          <cell r="BO412">
            <v>38</v>
          </cell>
          <cell r="BP412">
            <v>0</v>
          </cell>
          <cell r="BQ412">
            <v>0.43187134502923974</v>
          </cell>
          <cell r="BR412">
            <v>0.54</v>
          </cell>
          <cell r="BS412">
            <v>3.2904536222071769E-2</v>
          </cell>
          <cell r="BT412">
            <v>0.71</v>
          </cell>
          <cell r="BU412">
            <v>4.3263371699390651E-2</v>
          </cell>
          <cell r="BV412">
            <v>7.6167907921462413E-2</v>
          </cell>
          <cell r="BW412">
            <v>0</v>
          </cell>
          <cell r="BX412">
            <v>38</v>
          </cell>
          <cell r="BY412">
            <v>1.5786842105263159</v>
          </cell>
          <cell r="BZ412">
            <v>1.0643157894736839</v>
          </cell>
        </row>
        <row r="413">
          <cell r="A413" t="str">
            <v>Callum Olusesi</v>
          </cell>
          <cell r="B413" t="str">
            <v/>
          </cell>
          <cell r="C413" t="str">
            <v>Olusesi</v>
          </cell>
          <cell r="D413" t="str">
            <v/>
          </cell>
          <cell r="F413" t="str">
            <v/>
          </cell>
          <cell r="H413" t="str">
            <v/>
          </cell>
          <cell r="I413">
            <v>0</v>
          </cell>
          <cell r="J413">
            <v>0</v>
          </cell>
          <cell r="K413">
            <v>0</v>
          </cell>
          <cell r="M413">
            <v>2.2000000000000002</v>
          </cell>
          <cell r="N413">
            <v>2.2000000000000002</v>
          </cell>
          <cell r="O413">
            <v>2.1928571428571431</v>
          </cell>
          <cell r="P413">
            <v>2.7026635675248869</v>
          </cell>
          <cell r="Q413">
            <v>5.7857142857142856</v>
          </cell>
          <cell r="R413">
            <v>0</v>
          </cell>
          <cell r="S413">
            <v>2.2000000000000002</v>
          </cell>
          <cell r="T413" t="str">
            <v>MID</v>
          </cell>
          <cell r="U413" t="str">
            <v/>
          </cell>
          <cell r="V413" t="str">
            <v>TOT</v>
          </cell>
          <cell r="W413" t="str">
            <v>Spurs</v>
          </cell>
          <cell r="X413">
            <v>4.5</v>
          </cell>
          <cell r="Y413">
            <v>1</v>
          </cell>
          <cell r="Z413">
            <v>0</v>
          </cell>
          <cell r="AA413">
            <v>1</v>
          </cell>
          <cell r="AB413">
            <v>14</v>
          </cell>
          <cell r="AC413">
            <v>14</v>
          </cell>
          <cell r="AD413">
            <v>0.22222222222222221</v>
          </cell>
          <cell r="AE413">
            <v>0</v>
          </cell>
          <cell r="AF413">
            <v>0</v>
          </cell>
          <cell r="AG413">
            <v>0</v>
          </cell>
          <cell r="AH413">
            <v>-6.4285714285714279E-2</v>
          </cell>
          <cell r="AI413">
            <v>-6.4285714285714279E-2</v>
          </cell>
          <cell r="AJ413">
            <v>8.0000000000000071E-3</v>
          </cell>
          <cell r="AK413">
            <v>0</v>
          </cell>
          <cell r="AL413">
            <v>3</v>
          </cell>
          <cell r="AM413">
            <v>0</v>
          </cell>
          <cell r="AN413">
            <v>0</v>
          </cell>
          <cell r="AO413">
            <v>524</v>
          </cell>
          <cell r="AP413" t="str">
            <v>Olusesi</v>
          </cell>
          <cell r="AQ413">
            <v>0</v>
          </cell>
          <cell r="AR413">
            <v>0</v>
          </cell>
          <cell r="AS413">
            <v>11.571428571428571</v>
          </cell>
          <cell r="AT413">
            <v>11.571428571428571</v>
          </cell>
          <cell r="AU413">
            <v>0</v>
          </cell>
          <cell r="AV413">
            <v>11.571428571428571</v>
          </cell>
          <cell r="AW413">
            <v>11.571428571428571</v>
          </cell>
          <cell r="AX413">
            <v>0.48557142857142854</v>
          </cell>
          <cell r="AY413">
            <v>0</v>
          </cell>
          <cell r="AZ413">
            <v>1</v>
          </cell>
          <cell r="BA413">
            <v>1</v>
          </cell>
          <cell r="BB413" t="str">
            <v/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0.9</v>
          </cell>
          <cell r="BH413">
            <v>1</v>
          </cell>
          <cell r="BI413">
            <v>1</v>
          </cell>
          <cell r="BJ413">
            <v>15</v>
          </cell>
          <cell r="BK413">
            <v>7</v>
          </cell>
          <cell r="BL413">
            <v>0</v>
          </cell>
          <cell r="BM413">
            <v>0.125</v>
          </cell>
          <cell r="BN413" t="e">
            <v>#DIV/0!</v>
          </cell>
          <cell r="BO413">
            <v>38</v>
          </cell>
          <cell r="BP413">
            <v>0</v>
          </cell>
          <cell r="BQ413">
            <v>4.0935672514619886E-3</v>
          </cell>
          <cell r="BR413">
            <v>0</v>
          </cell>
          <cell r="BS413">
            <v>0</v>
          </cell>
          <cell r="BT413">
            <v>0.01</v>
          </cell>
          <cell r="BU413">
            <v>6.4285714285714279E-2</v>
          </cell>
          <cell r="BV413">
            <v>6.4285714285714279E-2</v>
          </cell>
          <cell r="BW413">
            <v>0</v>
          </cell>
          <cell r="BX413">
            <v>38</v>
          </cell>
          <cell r="BY413">
            <v>1.4628947368421052</v>
          </cell>
          <cell r="BZ413">
            <v>1.1801052631578945</v>
          </cell>
        </row>
        <row r="414">
          <cell r="A414" t="str">
            <v>Jun'ai Byfield</v>
          </cell>
          <cell r="B414" t="str">
            <v/>
          </cell>
          <cell r="C414" t="str">
            <v>Byfield</v>
          </cell>
          <cell r="D414" t="str">
            <v/>
          </cell>
          <cell r="F414" t="str">
            <v/>
          </cell>
          <cell r="H414" t="str">
            <v/>
          </cell>
          <cell r="I414" t="e">
            <v>#N/A</v>
          </cell>
          <cell r="J414" t="e">
            <v>#N/A</v>
          </cell>
          <cell r="K414" t="e">
            <v>#N/A</v>
          </cell>
          <cell r="M414">
            <v>2.2000000000000002</v>
          </cell>
          <cell r="N414">
            <v>2.2000000000000002</v>
          </cell>
          <cell r="O414">
            <v>4.4716666666666667</v>
          </cell>
          <cell r="P414">
            <v>5.2857783302499248</v>
          </cell>
          <cell r="Q414">
            <v>81</v>
          </cell>
          <cell r="R414">
            <v>81</v>
          </cell>
          <cell r="S414">
            <v>2.2000000000000002</v>
          </cell>
          <cell r="T414" t="str">
            <v>DEF</v>
          </cell>
          <cell r="U414" t="str">
            <v/>
          </cell>
          <cell r="V414" t="str">
            <v>TOT</v>
          </cell>
          <cell r="W414" t="str">
            <v>Spurs</v>
          </cell>
          <cell r="X414">
            <v>4</v>
          </cell>
          <cell r="Y414">
            <v>1</v>
          </cell>
          <cell r="Z414">
            <v>0</v>
          </cell>
          <cell r="AA414">
            <v>1</v>
          </cell>
          <cell r="AB414">
            <v>1</v>
          </cell>
          <cell r="AC414">
            <v>1</v>
          </cell>
          <cell r="AD414">
            <v>0.25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9.9999999999988987E-4</v>
          </cell>
          <cell r="AK414">
            <v>0</v>
          </cell>
          <cell r="AL414">
            <v>3</v>
          </cell>
          <cell r="AM414">
            <v>0</v>
          </cell>
          <cell r="AN414">
            <v>0</v>
          </cell>
          <cell r="AO414">
            <v>509</v>
          </cell>
          <cell r="AP414" t="str">
            <v>Byfield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1</v>
          </cell>
          <cell r="BA414">
            <v>1</v>
          </cell>
          <cell r="BB414" t="str">
            <v/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0.9</v>
          </cell>
          <cell r="BH414">
            <v>1</v>
          </cell>
          <cell r="BI414">
            <v>1</v>
          </cell>
          <cell r="BJ414">
            <v>1</v>
          </cell>
          <cell r="BK414">
            <v>5</v>
          </cell>
          <cell r="BL414">
            <v>0</v>
          </cell>
          <cell r="BM414">
            <v>0.16666666666666663</v>
          </cell>
          <cell r="BN414" t="e">
            <v>#DIV/0!</v>
          </cell>
          <cell r="BO414">
            <v>38</v>
          </cell>
          <cell r="BP414">
            <v>0</v>
          </cell>
          <cell r="BQ414">
            <v>2.9239766081871346E-4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38</v>
          </cell>
          <cell r="BY414">
            <v>1.4628947368421052</v>
          </cell>
          <cell r="BZ414">
            <v>1.1801052631578945</v>
          </cell>
        </row>
        <row r="415">
          <cell r="A415" t="str">
            <v>James Rowswell</v>
          </cell>
          <cell r="B415" t="str">
            <v/>
          </cell>
          <cell r="C415" t="str">
            <v>Rowswell</v>
          </cell>
          <cell r="D415" t="str">
            <v/>
          </cell>
          <cell r="F415" t="str">
            <v/>
          </cell>
          <cell r="H415" t="str">
            <v/>
          </cell>
          <cell r="I415" t="e">
            <v>#N/A</v>
          </cell>
          <cell r="J415" t="e">
            <v>#N/A</v>
          </cell>
          <cell r="K415" t="e">
            <v>#N/A</v>
          </cell>
          <cell r="M415">
            <v>2.2000000000000002</v>
          </cell>
          <cell r="N415">
            <v>2.2000000000000002</v>
          </cell>
          <cell r="O415">
            <v>4.4716666666666667</v>
          </cell>
          <cell r="P415">
            <v>5.2857783302499248</v>
          </cell>
          <cell r="Q415">
            <v>81</v>
          </cell>
          <cell r="R415">
            <v>81</v>
          </cell>
          <cell r="S415">
            <v>2.2000000000000002</v>
          </cell>
          <cell r="T415" t="str">
            <v>DEF</v>
          </cell>
          <cell r="U415" t="str">
            <v/>
          </cell>
          <cell r="V415" t="str">
            <v>TOT</v>
          </cell>
          <cell r="W415" t="str">
            <v>Spurs</v>
          </cell>
          <cell r="X415">
            <v>4</v>
          </cell>
          <cell r="Y415">
            <v>1</v>
          </cell>
          <cell r="Z415">
            <v>0</v>
          </cell>
          <cell r="AA415">
            <v>1</v>
          </cell>
          <cell r="AB415">
            <v>1</v>
          </cell>
          <cell r="AC415">
            <v>1</v>
          </cell>
          <cell r="AD415">
            <v>0.25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9.9999999999988987E-4</v>
          </cell>
          <cell r="AK415">
            <v>0</v>
          </cell>
          <cell r="AL415">
            <v>3</v>
          </cell>
          <cell r="AM415">
            <v>0</v>
          </cell>
          <cell r="AN415">
            <v>0</v>
          </cell>
          <cell r="AO415">
            <v>510</v>
          </cell>
          <cell r="AP415" t="str">
            <v>Rowswell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1</v>
          </cell>
          <cell r="BA415">
            <v>1</v>
          </cell>
          <cell r="BB415" t="str">
            <v/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0.9</v>
          </cell>
          <cell r="BH415">
            <v>1</v>
          </cell>
          <cell r="BI415">
            <v>1</v>
          </cell>
          <cell r="BJ415">
            <v>1</v>
          </cell>
          <cell r="BK415">
            <v>6</v>
          </cell>
          <cell r="BL415">
            <v>0</v>
          </cell>
          <cell r="BM415">
            <v>0.1428571428571429</v>
          </cell>
          <cell r="BN415" t="e">
            <v>#DIV/0!</v>
          </cell>
          <cell r="BO415">
            <v>38</v>
          </cell>
          <cell r="BP415">
            <v>0</v>
          </cell>
          <cell r="BQ415">
            <v>2.9239766081871346E-4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38</v>
          </cell>
          <cell r="BY415">
            <v>1.4628947368421052</v>
          </cell>
          <cell r="BZ415">
            <v>1.1801052631578945</v>
          </cell>
        </row>
        <row r="416">
          <cell r="A416" t="str">
            <v>João Victor de Souza Menezes</v>
          </cell>
          <cell r="B416" t="str">
            <v/>
          </cell>
          <cell r="C416" t="str">
            <v>Souza</v>
          </cell>
          <cell r="D416" t="str">
            <v/>
          </cell>
          <cell r="F416" t="str">
            <v/>
          </cell>
          <cell r="H416" t="str">
            <v/>
          </cell>
          <cell r="I416" t="e">
            <v>#N/A</v>
          </cell>
          <cell r="J416" t="e">
            <v>#N/A</v>
          </cell>
          <cell r="K416" t="e">
            <v>#N/A</v>
          </cell>
          <cell r="M416">
            <v>2.2000000000000002</v>
          </cell>
          <cell r="N416">
            <v>2.2000000000000002</v>
          </cell>
          <cell r="O416">
            <v>1.4265962441314552</v>
          </cell>
          <cell r="P416">
            <v>2.3255952316583763</v>
          </cell>
          <cell r="Q416">
            <v>1.0352112676056338</v>
          </cell>
          <cell r="R416">
            <v>0</v>
          </cell>
          <cell r="S416">
            <v>2.2000000000000002</v>
          </cell>
          <cell r="T416" t="str">
            <v>DEF</v>
          </cell>
          <cell r="U416" t="str">
            <v>LB</v>
          </cell>
          <cell r="V416" t="str">
            <v>TOT</v>
          </cell>
          <cell r="W416" t="str">
            <v>Spurs</v>
          </cell>
          <cell r="X416">
            <v>4</v>
          </cell>
          <cell r="Y416">
            <v>3</v>
          </cell>
          <cell r="Z416">
            <v>0</v>
          </cell>
          <cell r="AA416">
            <v>3</v>
          </cell>
          <cell r="AB416">
            <v>142</v>
          </cell>
          <cell r="AC416">
            <v>142</v>
          </cell>
          <cell r="AD416">
            <v>0.1875</v>
          </cell>
          <cell r="AE416">
            <v>0</v>
          </cell>
          <cell r="AF416">
            <v>0</v>
          </cell>
          <cell r="AG416">
            <v>-1.2676056338028169E-2</v>
          </cell>
          <cell r="AH416">
            <v>-1.9014084507042252E-2</v>
          </cell>
          <cell r="AI416">
            <v>-3.1690140845070422E-2</v>
          </cell>
          <cell r="AJ416">
            <v>4.0000000000000036E-3</v>
          </cell>
          <cell r="AK416">
            <v>0</v>
          </cell>
          <cell r="AL416">
            <v>0</v>
          </cell>
          <cell r="AM416">
            <v>1</v>
          </cell>
          <cell r="AN416">
            <v>0</v>
          </cell>
          <cell r="AO416">
            <v>511</v>
          </cell>
          <cell r="AP416" t="str">
            <v>Souza</v>
          </cell>
          <cell r="AQ416">
            <v>2.0704225352112675</v>
          </cell>
          <cell r="AR416">
            <v>0</v>
          </cell>
          <cell r="AS416">
            <v>1.0352112676056338</v>
          </cell>
          <cell r="AT416">
            <v>2.0704225352112675</v>
          </cell>
          <cell r="AU416">
            <v>0</v>
          </cell>
          <cell r="AV416">
            <v>2.0704225352112675</v>
          </cell>
          <cell r="AW416">
            <v>2.0704225352112675</v>
          </cell>
          <cell r="AX416">
            <v>1.3250704225352112E-2</v>
          </cell>
          <cell r="AY416">
            <v>0</v>
          </cell>
          <cell r="AZ416">
            <v>0.8</v>
          </cell>
          <cell r="BA416">
            <v>3</v>
          </cell>
          <cell r="BB416" t="str">
            <v/>
          </cell>
          <cell r="BC416">
            <v>2</v>
          </cell>
          <cell r="BD416">
            <v>0</v>
          </cell>
          <cell r="BE416">
            <v>0</v>
          </cell>
          <cell r="BF416">
            <v>49</v>
          </cell>
          <cell r="BG416">
            <v>0.5444444444444444</v>
          </cell>
          <cell r="BH416">
            <v>1</v>
          </cell>
          <cell r="BI416">
            <v>2</v>
          </cell>
          <cell r="BJ416">
            <v>24</v>
          </cell>
          <cell r="BK416">
            <v>8</v>
          </cell>
          <cell r="BL416">
            <v>0.16666666666666666</v>
          </cell>
          <cell r="BM416">
            <v>0.16666666666666663</v>
          </cell>
          <cell r="BN416">
            <v>0.57482993197278909</v>
          </cell>
          <cell r="BO416">
            <v>38</v>
          </cell>
          <cell r="BP416">
            <v>0</v>
          </cell>
          <cell r="BQ416">
            <v>4.1520467836257312E-2</v>
          </cell>
          <cell r="BR416">
            <v>0.02</v>
          </cell>
          <cell r="BS416">
            <v>1.2676056338028169E-2</v>
          </cell>
          <cell r="BT416">
            <v>0.03</v>
          </cell>
          <cell r="BU416">
            <v>1.9014084507042252E-2</v>
          </cell>
          <cell r="BV416">
            <v>3.1690140845070422E-2</v>
          </cell>
          <cell r="BW416">
            <v>0</v>
          </cell>
          <cell r="BX416">
            <v>38</v>
          </cell>
          <cell r="BY416">
            <v>1.4628947368421052</v>
          </cell>
          <cell r="BZ416">
            <v>1.1801052631578945</v>
          </cell>
        </row>
        <row r="417">
          <cell r="A417" t="str">
            <v>Thomas Meunier</v>
          </cell>
          <cell r="B417" t="str">
            <v/>
          </cell>
          <cell r="C417" t="str">
            <v>Meunier</v>
          </cell>
          <cell r="D417" t="str">
            <v/>
          </cell>
          <cell r="H417" t="str">
            <v/>
          </cell>
          <cell r="I417" t="e">
            <v>#N/A</v>
          </cell>
          <cell r="J417" t="e">
            <v>#N/A</v>
          </cell>
          <cell r="K417" t="e">
            <v>#N/A</v>
          </cell>
          <cell r="M417">
            <v>2.2000000000000002</v>
          </cell>
          <cell r="N417">
            <v>2.2000000000000002</v>
          </cell>
          <cell r="O417">
            <v>1.4008333333333329</v>
          </cell>
          <cell r="P417">
            <v>2.410234844640097</v>
          </cell>
          <cell r="Q417">
            <v>0</v>
          </cell>
          <cell r="R417">
            <v>0</v>
          </cell>
          <cell r="S417">
            <v>2.2000000000000002</v>
          </cell>
          <cell r="T417" t="str">
            <v>DEF</v>
          </cell>
          <cell r="U417" t="str">
            <v>RB</v>
          </cell>
          <cell r="V417" t="str">
            <v>SUN</v>
          </cell>
          <cell r="W417" t="str">
            <v>Sunderland</v>
          </cell>
          <cell r="X417">
            <v>4.5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e">
            <v>#DIV/0!</v>
          </cell>
          <cell r="AH417" t="e">
            <v>#DIV/0!</v>
          </cell>
          <cell r="AI417" t="e">
            <v>#DIV/0!</v>
          </cell>
          <cell r="AJ417">
            <v>6.9999999999998952E-3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541</v>
          </cell>
          <cell r="AP417" t="str">
            <v>Meunier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 t="str">
            <v/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0.9</v>
          </cell>
          <cell r="BH417">
            <v>1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 t="e">
            <v>#DIV/0!</v>
          </cell>
          <cell r="BO417">
            <v>38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38</v>
          </cell>
          <cell r="BY417">
            <v>1.5878947368421052</v>
          </cell>
          <cell r="BZ417">
            <v>1.0551052631578945</v>
          </cell>
        </row>
        <row r="418">
          <cell r="A418" t="str">
            <v>Anthony Patterson</v>
          </cell>
          <cell r="B418" t="str">
            <v/>
          </cell>
          <cell r="C418" t="str">
            <v>Patterson</v>
          </cell>
          <cell r="D418" t="str">
            <v/>
          </cell>
          <cell r="F418" t="str">
            <v/>
          </cell>
          <cell r="H418" t="str">
            <v/>
          </cell>
          <cell r="I418">
            <v>0</v>
          </cell>
          <cell r="J418">
            <v>1.0333333333333332</v>
          </cell>
          <cell r="K418">
            <v>1.7</v>
          </cell>
          <cell r="M418">
            <v>2.2000000000000002</v>
          </cell>
          <cell r="N418">
            <v>2.2000000000000002</v>
          </cell>
          <cell r="O418">
            <v>1.4008333333333329</v>
          </cell>
          <cell r="P418">
            <v>2.410234844640097</v>
          </cell>
          <cell r="Q418">
            <v>0</v>
          </cell>
          <cell r="R418">
            <v>0</v>
          </cell>
          <cell r="S418">
            <v>2.2000000000000002</v>
          </cell>
          <cell r="T418" t="str">
            <v>GK</v>
          </cell>
          <cell r="U418" t="str">
            <v>GK</v>
          </cell>
          <cell r="V418" t="str">
            <v>SUN</v>
          </cell>
          <cell r="W418" t="str">
            <v>Sunderland</v>
          </cell>
          <cell r="X418">
            <v>4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 t="e">
            <v>#DIV/0!</v>
          </cell>
          <cell r="AH418" t="e">
            <v>#DIV/0!</v>
          </cell>
          <cell r="AI418" t="e">
            <v>#DIV/0!</v>
          </cell>
          <cell r="AJ418">
            <v>1.0999999999999899E-2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530</v>
          </cell>
          <cell r="AP418" t="str">
            <v>Patterson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 t="str">
            <v/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0.9</v>
          </cell>
          <cell r="BH418">
            <v>1</v>
          </cell>
          <cell r="BI418">
            <v>0</v>
          </cell>
          <cell r="BJ418">
            <v>0</v>
          </cell>
          <cell r="BK418">
            <v>23</v>
          </cell>
          <cell r="BL418">
            <v>0</v>
          </cell>
          <cell r="BM418">
            <v>0</v>
          </cell>
          <cell r="BN418" t="e">
            <v>#DIV/0!</v>
          </cell>
          <cell r="BO418">
            <v>38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38</v>
          </cell>
          <cell r="BY418">
            <v>1.5878947368421052</v>
          </cell>
          <cell r="BZ418">
            <v>1.0551052631578945</v>
          </cell>
        </row>
        <row r="419">
          <cell r="A419" t="str">
            <v>Arthur Masuaku</v>
          </cell>
          <cell r="B419" t="str">
            <v/>
          </cell>
          <cell r="C419" t="str">
            <v>Masuaku</v>
          </cell>
          <cell r="D419" t="str">
            <v/>
          </cell>
          <cell r="F419" t="str">
            <v/>
          </cell>
          <cell r="H419" t="str">
            <v/>
          </cell>
          <cell r="I419" t="e">
            <v>#N/A</v>
          </cell>
          <cell r="J419" t="e">
            <v>#N/A</v>
          </cell>
          <cell r="K419" t="e">
            <v>#N/A</v>
          </cell>
          <cell r="M419">
            <v>2.2000000000000002</v>
          </cell>
          <cell r="N419">
            <v>2.2000000000000002</v>
          </cell>
          <cell r="O419">
            <v>0.9656333333333329</v>
          </cell>
          <cell r="P419">
            <v>2.3258188446400969</v>
          </cell>
          <cell r="Q419">
            <v>0.46400000000000002</v>
          </cell>
          <cell r="R419">
            <v>0</v>
          </cell>
          <cell r="S419">
            <v>2.2000000000000002</v>
          </cell>
          <cell r="T419" t="str">
            <v>DEF</v>
          </cell>
          <cell r="U419" t="str">
            <v>LB</v>
          </cell>
          <cell r="V419" t="str">
            <v>SUN</v>
          </cell>
          <cell r="W419" t="str">
            <v>Sunderland</v>
          </cell>
          <cell r="X419">
            <v>4</v>
          </cell>
          <cell r="Y419">
            <v>1</v>
          </cell>
          <cell r="Z419">
            <v>0</v>
          </cell>
          <cell r="AA419">
            <v>1</v>
          </cell>
          <cell r="AB419">
            <v>125</v>
          </cell>
          <cell r="AC419">
            <v>125</v>
          </cell>
          <cell r="AD419">
            <v>8.3333333333333329E-2</v>
          </cell>
          <cell r="AE419">
            <v>0</v>
          </cell>
          <cell r="AF419">
            <v>0</v>
          </cell>
          <cell r="AG419">
            <v>-5.0400000000000007E-2</v>
          </cell>
          <cell r="AH419">
            <v>-5.7600000000000005E-2</v>
          </cell>
          <cell r="AI419">
            <v>-0.10800000000000001</v>
          </cell>
          <cell r="AJ419">
            <v>1.8999999999999906E-2</v>
          </cell>
          <cell r="AK419">
            <v>0</v>
          </cell>
          <cell r="AL419">
            <v>4</v>
          </cell>
          <cell r="AM419">
            <v>1</v>
          </cell>
          <cell r="AN419">
            <v>0</v>
          </cell>
          <cell r="AO419">
            <v>540</v>
          </cell>
          <cell r="AP419" t="str">
            <v>Masuaku</v>
          </cell>
          <cell r="AQ419">
            <v>2.7840000000000003</v>
          </cell>
          <cell r="AR419">
            <v>0</v>
          </cell>
          <cell r="AS419">
            <v>1.3920000000000001</v>
          </cell>
          <cell r="AT419">
            <v>4.6400000000000006</v>
          </cell>
          <cell r="AU419">
            <v>1.8560000000000001</v>
          </cell>
          <cell r="AV419">
            <v>4.6400000000000006</v>
          </cell>
          <cell r="AW419">
            <v>4.6400000000000006</v>
          </cell>
          <cell r="AX419">
            <v>2.9696000000000007E-2</v>
          </cell>
          <cell r="AY419">
            <v>0</v>
          </cell>
          <cell r="AZ419">
            <v>0.3</v>
          </cell>
          <cell r="BA419">
            <v>1</v>
          </cell>
          <cell r="BB419" t="str">
            <v/>
          </cell>
          <cell r="BC419">
            <v>2</v>
          </cell>
          <cell r="BD419">
            <v>0</v>
          </cell>
          <cell r="BE419">
            <v>0</v>
          </cell>
          <cell r="BF419">
            <v>58</v>
          </cell>
          <cell r="BG419">
            <v>0.64444444444444449</v>
          </cell>
          <cell r="BH419">
            <v>1</v>
          </cell>
          <cell r="BI419">
            <v>1</v>
          </cell>
          <cell r="BJ419">
            <v>11</v>
          </cell>
          <cell r="BK419">
            <v>8</v>
          </cell>
          <cell r="BL419">
            <v>0.18181818181818182</v>
          </cell>
          <cell r="BM419">
            <v>9.0909090909090939E-2</v>
          </cell>
          <cell r="BN419">
            <v>0.3369905956112853</v>
          </cell>
          <cell r="BO419">
            <v>38</v>
          </cell>
          <cell r="BP419">
            <v>0</v>
          </cell>
          <cell r="BQ419">
            <v>3.6549707602339179E-2</v>
          </cell>
          <cell r="BR419">
            <v>7.0000000000000007E-2</v>
          </cell>
          <cell r="BS419">
            <v>5.0400000000000007E-2</v>
          </cell>
          <cell r="BT419">
            <v>0.08</v>
          </cell>
          <cell r="BU419">
            <v>5.7600000000000005E-2</v>
          </cell>
          <cell r="BV419">
            <v>0.10800000000000001</v>
          </cell>
          <cell r="BW419">
            <v>0</v>
          </cell>
          <cell r="BX419">
            <v>38</v>
          </cell>
          <cell r="BY419">
            <v>1.5878947368421052</v>
          </cell>
          <cell r="BZ419">
            <v>1.0551052631578945</v>
          </cell>
        </row>
        <row r="420">
          <cell r="A420" t="str">
            <v>Xaver Schlager</v>
          </cell>
          <cell r="B420" t="str">
            <v/>
          </cell>
          <cell r="C420" t="str">
            <v>Schlager</v>
          </cell>
          <cell r="D420" t="str">
            <v/>
          </cell>
          <cell r="H420" t="str">
            <v/>
          </cell>
          <cell r="I420">
            <v>1</v>
          </cell>
          <cell r="J420">
            <v>1</v>
          </cell>
          <cell r="K420">
            <v>1</v>
          </cell>
          <cell r="M420">
            <v>2.2000000000000002</v>
          </cell>
          <cell r="N420">
            <v>2.2000000000000002</v>
          </cell>
          <cell r="O420">
            <v>2</v>
          </cell>
          <cell r="P420">
            <v>2.2123670618609061</v>
          </cell>
          <cell r="Q420">
            <v>0</v>
          </cell>
          <cell r="R420">
            <v>0</v>
          </cell>
          <cell r="S420">
            <v>2.2000000000000002</v>
          </cell>
          <cell r="T420" t="str">
            <v>MID</v>
          </cell>
          <cell r="U420" t="str">
            <v>CM</v>
          </cell>
          <cell r="V420" t="str">
            <v>NFO</v>
          </cell>
          <cell r="W420" t="str">
            <v>Nott'm Forest</v>
          </cell>
          <cell r="X420">
            <v>5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 t="e">
            <v>#DIV/0!</v>
          </cell>
          <cell r="AH420" t="e">
            <v>#DIV/0!</v>
          </cell>
          <cell r="AI420" t="e">
            <v>#DIV/0!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558</v>
          </cell>
          <cell r="AP420" t="str">
            <v>Schlager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7.58</v>
          </cell>
          <cell r="AW420">
            <v>7.58</v>
          </cell>
          <cell r="AX420">
            <v>9.4760000000000011E-2</v>
          </cell>
          <cell r="AY420">
            <v>0</v>
          </cell>
          <cell r="AZ420">
            <v>0</v>
          </cell>
          <cell r="BA420">
            <v>0</v>
          </cell>
          <cell r="BB420" t="str">
            <v/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0.9</v>
          </cell>
          <cell r="BH420">
            <v>1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 t="e">
            <v>#DIV/0!</v>
          </cell>
          <cell r="BO420">
            <v>38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38</v>
          </cell>
          <cell r="BY420">
            <v>1.7036842105263157</v>
          </cell>
          <cell r="BZ420">
            <v>0.9393157894736841</v>
          </cell>
        </row>
        <row r="421">
          <cell r="A421" t="str">
            <v>John Victor Maciel Furtado</v>
          </cell>
          <cell r="B421" t="str">
            <v/>
          </cell>
          <cell r="C421" t="str">
            <v>John</v>
          </cell>
          <cell r="D421" t="str">
            <v/>
          </cell>
          <cell r="F421" t="str">
            <v/>
          </cell>
          <cell r="H421" t="str">
            <v/>
          </cell>
          <cell r="I421" t="e">
            <v>#N/A</v>
          </cell>
          <cell r="J421" t="e">
            <v>#N/A</v>
          </cell>
          <cell r="K421" t="e">
            <v>#N/A</v>
          </cell>
          <cell r="M421">
            <v>2.2000000000000002</v>
          </cell>
          <cell r="N421">
            <v>2.2000000000000002</v>
          </cell>
          <cell r="O421">
            <v>1.6403852021357745</v>
          </cell>
          <cell r="P421">
            <v>2.5263446776495737</v>
          </cell>
          <cell r="Q421">
            <v>2.1899313501144166</v>
          </cell>
          <cell r="R421">
            <v>0</v>
          </cell>
          <cell r="S421">
            <v>2.2000000000000002</v>
          </cell>
          <cell r="T421" t="str">
            <v>GK</v>
          </cell>
          <cell r="U421" t="str">
            <v/>
          </cell>
          <cell r="V421" t="str">
            <v>NFO</v>
          </cell>
          <cell r="W421" t="str">
            <v>Nott'm Forest</v>
          </cell>
          <cell r="X421">
            <v>4.5</v>
          </cell>
          <cell r="Y421">
            <v>11</v>
          </cell>
          <cell r="Z421">
            <v>0</v>
          </cell>
          <cell r="AA421">
            <v>11</v>
          </cell>
          <cell r="AB421">
            <v>437</v>
          </cell>
          <cell r="AC421">
            <v>437</v>
          </cell>
          <cell r="AD421">
            <v>0.48888888888888893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9.9999999999988987E-4</v>
          </cell>
          <cell r="AK421">
            <v>0</v>
          </cell>
          <cell r="AL421">
            <v>32</v>
          </cell>
          <cell r="AM421">
            <v>1</v>
          </cell>
          <cell r="AN421">
            <v>6</v>
          </cell>
          <cell r="AO421">
            <v>468</v>
          </cell>
          <cell r="AP421" t="str">
            <v>John</v>
          </cell>
          <cell r="AQ421">
            <v>0.79633867276887871</v>
          </cell>
          <cell r="AR421">
            <v>0</v>
          </cell>
          <cell r="AS421">
            <v>5.1762013729977117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2.2000000000000002</v>
          </cell>
          <cell r="BA421">
            <v>11</v>
          </cell>
          <cell r="BB421" t="str">
            <v/>
          </cell>
          <cell r="BC421">
            <v>5</v>
          </cell>
          <cell r="BD421">
            <v>4</v>
          </cell>
          <cell r="BE421">
            <v>0.8</v>
          </cell>
          <cell r="BF421">
            <v>87</v>
          </cell>
          <cell r="BG421">
            <v>0.96666666666666667</v>
          </cell>
          <cell r="BH421">
            <v>1</v>
          </cell>
          <cell r="BI421">
            <v>0</v>
          </cell>
          <cell r="BJ421">
            <v>0</v>
          </cell>
          <cell r="BK421">
            <v>13</v>
          </cell>
          <cell r="BL421">
            <v>0.27777777777777779</v>
          </cell>
          <cell r="BM421">
            <v>0</v>
          </cell>
          <cell r="BN421">
            <v>0.27777777777777779</v>
          </cell>
          <cell r="BO421">
            <v>38</v>
          </cell>
          <cell r="BP421">
            <v>0</v>
          </cell>
          <cell r="BQ421">
            <v>0.12777777777777777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38</v>
          </cell>
          <cell r="BY421">
            <v>1.7036842105263157</v>
          </cell>
          <cell r="BZ421">
            <v>0.9393157894736841</v>
          </cell>
        </row>
        <row r="422">
          <cell r="A422" t="str">
            <v>Omar Richards</v>
          </cell>
          <cell r="B422" t="str">
            <v/>
          </cell>
          <cell r="C422" t="str">
            <v>O.Richards</v>
          </cell>
          <cell r="D422" t="str">
            <v/>
          </cell>
          <cell r="E422" t="str">
            <v>O Richards</v>
          </cell>
          <cell r="F422" t="str">
            <v/>
          </cell>
          <cell r="H422" t="str">
            <v/>
          </cell>
          <cell r="I422">
            <v>0</v>
          </cell>
          <cell r="J422">
            <v>0</v>
          </cell>
          <cell r="K422">
            <v>0</v>
          </cell>
          <cell r="M422">
            <v>2.2000000000000002</v>
          </cell>
          <cell r="N422">
            <v>2.2000000000000002</v>
          </cell>
          <cell r="O422">
            <v>1.3616666666666668</v>
          </cell>
          <cell r="P422">
            <v>2.2476261421804664</v>
          </cell>
          <cell r="Q422">
            <v>0</v>
          </cell>
          <cell r="R422">
            <v>0</v>
          </cell>
          <cell r="S422">
            <v>2.2000000000000002</v>
          </cell>
          <cell r="T422" t="str">
            <v>DEF</v>
          </cell>
          <cell r="U422" t="str">
            <v>LB</v>
          </cell>
          <cell r="V422" t="str">
            <v>NFO</v>
          </cell>
          <cell r="W422" t="str">
            <v>Nott'm Forest</v>
          </cell>
          <cell r="X422">
            <v>4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 t="e">
            <v>#DIV/0!</v>
          </cell>
          <cell r="AH422" t="e">
            <v>#DIV/0!</v>
          </cell>
          <cell r="AI422" t="e">
            <v>#DIV/0!</v>
          </cell>
          <cell r="AJ422">
            <v>2.0000000000000018E-3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476</v>
          </cell>
          <cell r="AP422" t="str">
            <v>O.Richards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 t="str">
            <v/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0.9</v>
          </cell>
          <cell r="BH422">
            <v>1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 t="e">
            <v>#DIV/0!</v>
          </cell>
          <cell r="BO422">
            <v>38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38</v>
          </cell>
          <cell r="BY422">
            <v>1.7036842105263157</v>
          </cell>
          <cell r="BZ422">
            <v>0.9393157894736841</v>
          </cell>
        </row>
        <row r="423">
          <cell r="A423" t="str">
            <v>Tyler Bindon</v>
          </cell>
          <cell r="B423" t="str">
            <v/>
          </cell>
          <cell r="C423" t="str">
            <v>Bindon</v>
          </cell>
          <cell r="D423" t="str">
            <v/>
          </cell>
          <cell r="H423" t="str">
            <v/>
          </cell>
          <cell r="I423" t="e">
            <v>#N/A</v>
          </cell>
          <cell r="J423" t="e">
            <v>#N/A</v>
          </cell>
          <cell r="K423" t="e">
            <v>#N/A</v>
          </cell>
          <cell r="M423">
            <v>2.2000000000000002</v>
          </cell>
          <cell r="N423">
            <v>2.2000000000000002</v>
          </cell>
          <cell r="O423">
            <v>1.3616666666666668</v>
          </cell>
          <cell r="P423">
            <v>2.2476261421804664</v>
          </cell>
          <cell r="Q423">
            <v>0</v>
          </cell>
          <cell r="R423">
            <v>0</v>
          </cell>
          <cell r="S423">
            <v>2.2000000000000002</v>
          </cell>
          <cell r="T423" t="str">
            <v>DEF</v>
          </cell>
          <cell r="U423" t="str">
            <v>CB</v>
          </cell>
          <cell r="V423" t="str">
            <v>NFO</v>
          </cell>
          <cell r="W423" t="str">
            <v>Nott'm Forest</v>
          </cell>
          <cell r="X423">
            <v>4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 t="e">
            <v>#DIV/0!</v>
          </cell>
          <cell r="AH423" t="e">
            <v>#DIV/0!</v>
          </cell>
          <cell r="AI423" t="e">
            <v>#DIV/0!</v>
          </cell>
          <cell r="AJ423">
            <v>2.0000000000000018E-3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479</v>
          </cell>
          <cell r="AP423" t="str">
            <v>Bindon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 t="str">
            <v/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0.9</v>
          </cell>
          <cell r="BH423">
            <v>1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 t="e">
            <v>#DIV/0!</v>
          </cell>
          <cell r="BO423">
            <v>38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38</v>
          </cell>
          <cell r="BY423">
            <v>1.7036842105263157</v>
          </cell>
          <cell r="BZ423">
            <v>0.9393157894736841</v>
          </cell>
        </row>
        <row r="424">
          <cell r="A424" t="str">
            <v>Bazoumana Touré</v>
          </cell>
          <cell r="B424" t="str">
            <v/>
          </cell>
          <cell r="C424" t="str">
            <v>Touré</v>
          </cell>
          <cell r="D424" t="str">
            <v/>
          </cell>
          <cell r="H424" t="str">
            <v/>
          </cell>
          <cell r="I424">
            <v>0</v>
          </cell>
          <cell r="J424">
            <v>0</v>
          </cell>
          <cell r="K424">
            <v>0</v>
          </cell>
          <cell r="M424">
            <v>2.2000000000000002</v>
          </cell>
          <cell r="N424">
            <v>2.2000000000000002</v>
          </cell>
          <cell r="O424">
            <v>2</v>
          </cell>
          <cell r="P424">
            <v>2.2565730143914862</v>
          </cell>
          <cell r="Q424">
            <v>0</v>
          </cell>
          <cell r="R424">
            <v>0</v>
          </cell>
          <cell r="S424">
            <v>2.2000000000000002</v>
          </cell>
          <cell r="T424" t="str">
            <v>MID</v>
          </cell>
          <cell r="U424" t="str">
            <v>LW</v>
          </cell>
          <cell r="V424" t="str">
            <v>NEW</v>
          </cell>
          <cell r="W424" t="str">
            <v>Newcastle</v>
          </cell>
          <cell r="X424">
            <v>6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 t="e">
            <v>#DIV/0!</v>
          </cell>
          <cell r="AH424" t="e">
            <v>#DIV/0!</v>
          </cell>
          <cell r="AI424" t="e">
            <v>#DIV/0!</v>
          </cell>
          <cell r="AJ424">
            <v>2.0000000000000018E-3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461</v>
          </cell>
          <cell r="AP424" t="str">
            <v>Touré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 t="str">
            <v/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0.9</v>
          </cell>
          <cell r="BH424">
            <v>1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 t="e">
            <v>#DIV/0!</v>
          </cell>
          <cell r="BO424">
            <v>38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38</v>
          </cell>
          <cell r="BY424">
            <v>1.5081578947368421</v>
          </cell>
          <cell r="BZ424">
            <v>1.1348421052631577</v>
          </cell>
        </row>
        <row r="425">
          <cell r="A425" t="str">
            <v>Sean Steur</v>
          </cell>
          <cell r="B425" t="str">
            <v/>
          </cell>
          <cell r="C425" t="str">
            <v>Steur</v>
          </cell>
          <cell r="D425" t="str">
            <v/>
          </cell>
          <cell r="H425" t="str">
            <v/>
          </cell>
          <cell r="I425" t="e">
            <v>#N/A</v>
          </cell>
          <cell r="J425" t="e">
            <v>#N/A</v>
          </cell>
          <cell r="K425" t="e">
            <v>#N/A</v>
          </cell>
          <cell r="M425">
            <v>2.2000000000000002</v>
          </cell>
          <cell r="N425">
            <v>2.2000000000000002</v>
          </cell>
          <cell r="O425">
            <v>2</v>
          </cell>
          <cell r="P425">
            <v>2.2565730143914862</v>
          </cell>
          <cell r="Q425">
            <v>0</v>
          </cell>
          <cell r="R425">
            <v>0</v>
          </cell>
          <cell r="S425">
            <v>2.2000000000000002</v>
          </cell>
          <cell r="T425" t="str">
            <v>MID</v>
          </cell>
          <cell r="U425" t="str">
            <v>CM</v>
          </cell>
          <cell r="V425" t="str">
            <v>NEW</v>
          </cell>
          <cell r="W425" t="str">
            <v>Newcastle</v>
          </cell>
          <cell r="X425">
            <v>5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e">
            <v>#DIV/0!</v>
          </cell>
          <cell r="AH425" t="e">
            <v>#DIV/0!</v>
          </cell>
          <cell r="AI425" t="e">
            <v>#DIV/0!</v>
          </cell>
          <cell r="AJ425">
            <v>9.9999999999988987E-4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462</v>
          </cell>
          <cell r="AP425" t="str">
            <v>Steur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 t="str">
            <v/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0.9</v>
          </cell>
          <cell r="BH425">
            <v>1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 t="e">
            <v>#DIV/0!</v>
          </cell>
          <cell r="BO425">
            <v>38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38</v>
          </cell>
          <cell r="BY425">
            <v>1.5081578947368421</v>
          </cell>
          <cell r="BZ425">
            <v>1.1348421052631577</v>
          </cell>
        </row>
        <row r="426">
          <cell r="A426" t="str">
            <v>Sean Neave</v>
          </cell>
          <cell r="B426" t="str">
            <v/>
          </cell>
          <cell r="C426" t="str">
            <v>Neave</v>
          </cell>
          <cell r="D426" t="str">
            <v/>
          </cell>
          <cell r="F426" t="str">
            <v/>
          </cell>
          <cell r="H426" t="str">
            <v/>
          </cell>
          <cell r="I426">
            <v>0</v>
          </cell>
          <cell r="J426">
            <v>0</v>
          </cell>
          <cell r="K426">
            <v>0</v>
          </cell>
          <cell r="M426">
            <v>2.2000000000000002</v>
          </cell>
          <cell r="N426">
            <v>2.2000000000000002</v>
          </cell>
          <cell r="O426">
            <v>2.8861538461538463</v>
          </cell>
          <cell r="P426">
            <v>2.8861538461538463</v>
          </cell>
          <cell r="Q426">
            <v>6.2307692307692308</v>
          </cell>
          <cell r="R426">
            <v>6.2307692307692308</v>
          </cell>
          <cell r="S426">
            <v>2.2000000000000002</v>
          </cell>
          <cell r="T426" t="str">
            <v>FWD</v>
          </cell>
          <cell r="U426" t="str">
            <v/>
          </cell>
          <cell r="V426" t="str">
            <v>NEW</v>
          </cell>
          <cell r="W426" t="str">
            <v>Newcastle</v>
          </cell>
          <cell r="X426">
            <v>4.5</v>
          </cell>
          <cell r="Y426">
            <v>1</v>
          </cell>
          <cell r="Z426">
            <v>0</v>
          </cell>
          <cell r="AA426">
            <v>1</v>
          </cell>
          <cell r="AB426">
            <v>13</v>
          </cell>
          <cell r="AC426">
            <v>13</v>
          </cell>
          <cell r="AD426">
            <v>0.22222222222222221</v>
          </cell>
          <cell r="AE426">
            <v>0</v>
          </cell>
          <cell r="AF426">
            <v>0</v>
          </cell>
          <cell r="AG426">
            <v>-0.20769230769230768</v>
          </cell>
          <cell r="AH426">
            <v>0</v>
          </cell>
          <cell r="AI426">
            <v>-0.20769230769230768</v>
          </cell>
          <cell r="AJ426">
            <v>6.9999999999998952E-3</v>
          </cell>
          <cell r="AK426">
            <v>0</v>
          </cell>
          <cell r="AL426">
            <v>2</v>
          </cell>
          <cell r="AM426">
            <v>0</v>
          </cell>
          <cell r="AN426">
            <v>0</v>
          </cell>
          <cell r="AO426">
            <v>466</v>
          </cell>
          <cell r="AP426" t="str">
            <v>Neave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1</v>
          </cell>
          <cell r="BA426">
            <v>1</v>
          </cell>
          <cell r="BB426" t="str">
            <v/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0.9</v>
          </cell>
          <cell r="BH426">
            <v>1</v>
          </cell>
          <cell r="BI426">
            <v>1</v>
          </cell>
          <cell r="BJ426">
            <v>14</v>
          </cell>
          <cell r="BK426">
            <v>13</v>
          </cell>
          <cell r="BL426">
            <v>0</v>
          </cell>
          <cell r="BM426">
            <v>7.1428571428571397E-2</v>
          </cell>
          <cell r="BN426" t="e">
            <v>#DIV/0!</v>
          </cell>
          <cell r="BO426">
            <v>38</v>
          </cell>
          <cell r="BP426">
            <v>0</v>
          </cell>
          <cell r="BQ426">
            <v>3.8011695906432748E-3</v>
          </cell>
          <cell r="BR426">
            <v>0.03</v>
          </cell>
          <cell r="BS426">
            <v>0.20769230769230768</v>
          </cell>
          <cell r="BT426">
            <v>0</v>
          </cell>
          <cell r="BU426">
            <v>0</v>
          </cell>
          <cell r="BV426">
            <v>0.20769230769230768</v>
          </cell>
          <cell r="BW426">
            <v>0</v>
          </cell>
          <cell r="BX426">
            <v>38</v>
          </cell>
          <cell r="BY426">
            <v>1.5081578947368421</v>
          </cell>
          <cell r="BZ426">
            <v>1.1348421052631577</v>
          </cell>
        </row>
        <row r="427">
          <cell r="A427" t="str">
            <v>Ewen Jaouen</v>
          </cell>
          <cell r="B427" t="str">
            <v/>
          </cell>
          <cell r="C427" t="str">
            <v>Jaouen</v>
          </cell>
          <cell r="D427" t="str">
            <v/>
          </cell>
          <cell r="H427" t="str">
            <v/>
          </cell>
          <cell r="I427" t="e">
            <v>#N/A</v>
          </cell>
          <cell r="J427" t="e">
            <v>#N/A</v>
          </cell>
          <cell r="K427" t="e">
            <v>#N/A</v>
          </cell>
          <cell r="M427">
            <v>2.2000000000000002</v>
          </cell>
          <cell r="N427">
            <v>2.2000000000000002</v>
          </cell>
          <cell r="O427">
            <v>1.4141666666666666</v>
          </cell>
          <cell r="P427">
            <v>2.5222131101975238</v>
          </cell>
          <cell r="Q427">
            <v>0</v>
          </cell>
          <cell r="R427">
            <v>0</v>
          </cell>
          <cell r="S427">
            <v>2.2000000000000002</v>
          </cell>
          <cell r="T427" t="str">
            <v>GK</v>
          </cell>
          <cell r="U427" t="str">
            <v>GK</v>
          </cell>
          <cell r="V427" t="str">
            <v>NEW</v>
          </cell>
          <cell r="W427" t="str">
            <v>Newcastle</v>
          </cell>
          <cell r="X427">
            <v>4.5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 t="e">
            <v>#DIV/0!</v>
          </cell>
          <cell r="AH427" t="e">
            <v>#DIV/0!</v>
          </cell>
          <cell r="AI427" t="e">
            <v>#DIV/0!</v>
          </cell>
          <cell r="AJ427">
            <v>9.9999999999988987E-4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444</v>
          </cell>
          <cell r="AP427" t="str">
            <v>Jaouen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 t="str">
            <v/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0.9</v>
          </cell>
          <cell r="BH427">
            <v>1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 t="e">
            <v>#DIV/0!</v>
          </cell>
          <cell r="BO427">
            <v>38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38</v>
          </cell>
          <cell r="BY427">
            <v>1.5081578947368421</v>
          </cell>
          <cell r="BZ427">
            <v>1.1348421052631577</v>
          </cell>
        </row>
        <row r="428">
          <cell r="A428" t="str">
            <v>Shea Lacey</v>
          </cell>
          <cell r="B428" t="str">
            <v/>
          </cell>
          <cell r="C428" t="str">
            <v>Lacey</v>
          </cell>
          <cell r="D428" t="str">
            <v/>
          </cell>
          <cell r="F428" t="str">
            <v/>
          </cell>
          <cell r="H428" t="str">
            <v/>
          </cell>
          <cell r="I428" t="e">
            <v>#N/A</v>
          </cell>
          <cell r="J428" t="e">
            <v>#N/A</v>
          </cell>
          <cell r="K428" t="e">
            <v>#N/A</v>
          </cell>
          <cell r="M428">
            <v>2.2000000000000002</v>
          </cell>
          <cell r="N428">
            <v>2.2000000000000002</v>
          </cell>
          <cell r="O428">
            <v>3.3000500000000001</v>
          </cell>
          <cell r="P428">
            <v>3.5984491040671229</v>
          </cell>
          <cell r="Q428">
            <v>6.0750000000000002</v>
          </cell>
          <cell r="R428">
            <v>6.0750000000000002</v>
          </cell>
          <cell r="S428">
            <v>2.2000000000000002</v>
          </cell>
          <cell r="T428" t="str">
            <v>MID</v>
          </cell>
          <cell r="U428" t="str">
            <v>RW</v>
          </cell>
          <cell r="V428" t="str">
            <v>MUN</v>
          </cell>
          <cell r="W428" t="str">
            <v>Man Utd</v>
          </cell>
          <cell r="X428">
            <v>5</v>
          </cell>
          <cell r="Y428">
            <v>3</v>
          </cell>
          <cell r="Z428">
            <v>0</v>
          </cell>
          <cell r="AA428">
            <v>3</v>
          </cell>
          <cell r="AB428">
            <v>40</v>
          </cell>
          <cell r="AC428">
            <v>40</v>
          </cell>
          <cell r="AD428">
            <v>0.2</v>
          </cell>
          <cell r="AE428">
            <v>0</v>
          </cell>
          <cell r="AF428">
            <v>0</v>
          </cell>
          <cell r="AG428">
            <v>-0.22500000000000001</v>
          </cell>
          <cell r="AH428">
            <v>-2.2499999999999999E-2</v>
          </cell>
          <cell r="AI428">
            <v>-0.2475</v>
          </cell>
          <cell r="AJ428">
            <v>0</v>
          </cell>
          <cell r="AK428">
            <v>0</v>
          </cell>
          <cell r="AL428">
            <v>9</v>
          </cell>
          <cell r="AM428">
            <v>0</v>
          </cell>
          <cell r="AN428">
            <v>0</v>
          </cell>
          <cell r="AO428">
            <v>435</v>
          </cell>
          <cell r="AP428" t="str">
            <v>Lacey</v>
          </cell>
          <cell r="AQ428">
            <v>0</v>
          </cell>
          <cell r="AR428">
            <v>0</v>
          </cell>
          <cell r="AS428">
            <v>4.05</v>
          </cell>
          <cell r="AT428">
            <v>6.0750000000000002</v>
          </cell>
          <cell r="AU428">
            <v>2.0249999999999999</v>
          </cell>
          <cell r="AV428">
            <v>6.0750000000000002</v>
          </cell>
          <cell r="AW428">
            <v>6.0750000000000002</v>
          </cell>
          <cell r="AX428">
            <v>4.599642857142857E-2</v>
          </cell>
          <cell r="AY428">
            <v>0</v>
          </cell>
          <cell r="AZ428">
            <v>1</v>
          </cell>
          <cell r="BA428">
            <v>3</v>
          </cell>
          <cell r="BB428" t="str">
            <v/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0.9</v>
          </cell>
          <cell r="BH428">
            <v>1</v>
          </cell>
          <cell r="BI428">
            <v>3</v>
          </cell>
          <cell r="BJ428">
            <v>14</v>
          </cell>
          <cell r="BK428">
            <v>11</v>
          </cell>
          <cell r="BL428">
            <v>0</v>
          </cell>
          <cell r="BM428">
            <v>0.2142857142857143</v>
          </cell>
          <cell r="BN428" t="e">
            <v>#DIV/0!</v>
          </cell>
          <cell r="BO428">
            <v>38</v>
          </cell>
          <cell r="BP428">
            <v>0</v>
          </cell>
          <cell r="BQ428">
            <v>1.1695906432748537E-2</v>
          </cell>
          <cell r="BR428">
            <v>0.1</v>
          </cell>
          <cell r="BS428">
            <v>0.22500000000000001</v>
          </cell>
          <cell r="BT428">
            <v>0.01</v>
          </cell>
          <cell r="BU428">
            <v>2.2499999999999999E-2</v>
          </cell>
          <cell r="BV428">
            <v>0.2475</v>
          </cell>
          <cell r="BW428">
            <v>0</v>
          </cell>
          <cell r="BX428">
            <v>38</v>
          </cell>
          <cell r="BY428">
            <v>1.3231578947368421</v>
          </cell>
          <cell r="BZ428">
            <v>1.3198421052631577</v>
          </cell>
        </row>
        <row r="429">
          <cell r="A429" t="str">
            <v>Chido Obi</v>
          </cell>
          <cell r="B429" t="str">
            <v/>
          </cell>
          <cell r="C429" t="str">
            <v>Obi</v>
          </cell>
          <cell r="D429" t="str">
            <v/>
          </cell>
          <cell r="F429" t="str">
            <v/>
          </cell>
          <cell r="H429" t="str">
            <v/>
          </cell>
          <cell r="I429">
            <v>1</v>
          </cell>
          <cell r="J429">
            <v>1</v>
          </cell>
          <cell r="K429">
            <v>1</v>
          </cell>
          <cell r="M429">
            <v>2.2000000000000002</v>
          </cell>
          <cell r="N429">
            <v>2.2000000000000002</v>
          </cell>
          <cell r="O429">
            <v>2</v>
          </cell>
          <cell r="P429">
            <v>2</v>
          </cell>
          <cell r="Q429">
            <v>0</v>
          </cell>
          <cell r="R429">
            <v>0</v>
          </cell>
          <cell r="S429">
            <v>2.2000000000000002</v>
          </cell>
          <cell r="T429" t="str">
            <v>FWD</v>
          </cell>
          <cell r="U429" t="str">
            <v/>
          </cell>
          <cell r="V429" t="str">
            <v>MUN</v>
          </cell>
          <cell r="W429" t="str">
            <v>Man Utd</v>
          </cell>
          <cell r="X429">
            <v>4.5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 t="e">
            <v>#DIV/0!</v>
          </cell>
          <cell r="AH429" t="e">
            <v>#DIV/0!</v>
          </cell>
          <cell r="AI429" t="e">
            <v>#DIV/0!</v>
          </cell>
          <cell r="AJ429">
            <v>1.2000000000000011E-2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441</v>
          </cell>
          <cell r="AP429" t="str">
            <v>Obi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 t="str">
            <v/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0.9</v>
          </cell>
          <cell r="BH429">
            <v>1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 t="e">
            <v>#DIV/0!</v>
          </cell>
          <cell r="BO429">
            <v>38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38</v>
          </cell>
          <cell r="BY429">
            <v>1.3231578947368421</v>
          </cell>
          <cell r="BZ429">
            <v>1.3198421052631577</v>
          </cell>
        </row>
        <row r="430">
          <cell r="A430" t="str">
            <v>Tyler Fletcher</v>
          </cell>
          <cell r="B430" t="str">
            <v/>
          </cell>
          <cell r="C430" t="str">
            <v>Fletcher</v>
          </cell>
          <cell r="D430" t="str">
            <v/>
          </cell>
          <cell r="F430" t="str">
            <v/>
          </cell>
          <cell r="H430" t="str">
            <v/>
          </cell>
          <cell r="I430" t="e">
            <v>#N/A</v>
          </cell>
          <cell r="J430" t="e">
            <v>#N/A</v>
          </cell>
          <cell r="K430" t="e">
            <v>#N/A</v>
          </cell>
          <cell r="M430">
            <v>2.2000000000000002</v>
          </cell>
          <cell r="N430">
            <v>2.2000000000000002</v>
          </cell>
          <cell r="O430">
            <v>2.5177647058823531</v>
          </cell>
          <cell r="P430">
            <v>2.8161638099494759</v>
          </cell>
          <cell r="Q430">
            <v>9.5294117647058822</v>
          </cell>
          <cell r="R430">
            <v>9.5294117647058822</v>
          </cell>
          <cell r="S430">
            <v>2.2000000000000002</v>
          </cell>
          <cell r="T430" t="str">
            <v>MID</v>
          </cell>
          <cell r="U430" t="str">
            <v>CM</v>
          </cell>
          <cell r="V430" t="str">
            <v>MUN</v>
          </cell>
          <cell r="W430" t="str">
            <v>Man Utd</v>
          </cell>
          <cell r="X430">
            <v>4.5</v>
          </cell>
          <cell r="Y430">
            <v>2</v>
          </cell>
          <cell r="Z430">
            <v>0</v>
          </cell>
          <cell r="AA430">
            <v>2</v>
          </cell>
          <cell r="AB430">
            <v>17</v>
          </cell>
          <cell r="AC430">
            <v>17</v>
          </cell>
          <cell r="AD430">
            <v>0.22222222222222221</v>
          </cell>
          <cell r="AE430">
            <v>0</v>
          </cell>
          <cell r="AF430">
            <v>0</v>
          </cell>
          <cell r="AG430">
            <v>0</v>
          </cell>
          <cell r="AH430">
            <v>-5.2941176470588241E-2</v>
          </cell>
          <cell r="AI430">
            <v>-5.2941176470588241E-2</v>
          </cell>
          <cell r="AJ430">
            <v>2.9999999999998916E-3</v>
          </cell>
          <cell r="AK430">
            <v>0</v>
          </cell>
          <cell r="AL430">
            <v>6</v>
          </cell>
          <cell r="AM430">
            <v>0</v>
          </cell>
          <cell r="AN430">
            <v>0</v>
          </cell>
          <cell r="AO430">
            <v>438</v>
          </cell>
          <cell r="AP430" t="str">
            <v>Fletcher</v>
          </cell>
          <cell r="AQ430">
            <v>0</v>
          </cell>
          <cell r="AR430">
            <v>0</v>
          </cell>
          <cell r="AS430">
            <v>9.5294117647058822</v>
          </cell>
          <cell r="AT430">
            <v>9.5294117647058822</v>
          </cell>
          <cell r="AU430">
            <v>0</v>
          </cell>
          <cell r="AV430">
            <v>9.5294117647058822</v>
          </cell>
          <cell r="AW430">
            <v>9.5294117647058822</v>
          </cell>
          <cell r="AX430">
            <v>0.2562941176767059</v>
          </cell>
          <cell r="AY430">
            <v>0</v>
          </cell>
          <cell r="AZ430">
            <v>1</v>
          </cell>
          <cell r="BA430">
            <v>2</v>
          </cell>
          <cell r="BB430" t="str">
            <v/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0.9</v>
          </cell>
          <cell r="BH430">
            <v>1</v>
          </cell>
          <cell r="BI430">
            <v>2</v>
          </cell>
          <cell r="BJ430">
            <v>9</v>
          </cell>
          <cell r="BK430">
            <v>12</v>
          </cell>
          <cell r="BL430">
            <v>0</v>
          </cell>
          <cell r="BM430">
            <v>0.1428571428571429</v>
          </cell>
          <cell r="BN430" t="e">
            <v>#DIV/0!</v>
          </cell>
          <cell r="BO430">
            <v>38</v>
          </cell>
          <cell r="BP430">
            <v>0</v>
          </cell>
          <cell r="BQ430">
            <v>4.9707602339181291E-3</v>
          </cell>
          <cell r="BR430">
            <v>0</v>
          </cell>
          <cell r="BS430">
            <v>0</v>
          </cell>
          <cell r="BT430">
            <v>0.01</v>
          </cell>
          <cell r="BU430">
            <v>5.2941176470588241E-2</v>
          </cell>
          <cell r="BV430">
            <v>5.2941176470588241E-2</v>
          </cell>
          <cell r="BW430">
            <v>0</v>
          </cell>
          <cell r="BX430">
            <v>38</v>
          </cell>
          <cell r="BY430">
            <v>1.3231578947368421</v>
          </cell>
          <cell r="BZ430">
            <v>1.3198421052631577</v>
          </cell>
        </row>
        <row r="431">
          <cell r="A431" t="str">
            <v>Bendito Mantato</v>
          </cell>
          <cell r="B431" t="str">
            <v/>
          </cell>
          <cell r="C431" t="str">
            <v>Bendito Mantato</v>
          </cell>
          <cell r="D431" t="str">
            <v/>
          </cell>
          <cell r="F431" t="str">
            <v/>
          </cell>
          <cell r="H431" t="str">
            <v/>
          </cell>
          <cell r="I431" t="e">
            <v>#N/A</v>
          </cell>
          <cell r="J431" t="e">
            <v>#N/A</v>
          </cell>
          <cell r="K431" t="e">
            <v>#N/A</v>
          </cell>
          <cell r="M431">
            <v>2.2000000000000002</v>
          </cell>
          <cell r="N431">
            <v>2.2000000000000002</v>
          </cell>
          <cell r="O431">
            <v>2.4068000000000001</v>
          </cell>
          <cell r="P431">
            <v>2.7051991040671228</v>
          </cell>
          <cell r="Q431">
            <v>5.4</v>
          </cell>
          <cell r="R431">
            <v>5.4</v>
          </cell>
          <cell r="S431">
            <v>2.2000000000000002</v>
          </cell>
          <cell r="T431" t="str">
            <v>MID</v>
          </cell>
          <cell r="U431" t="str">
            <v/>
          </cell>
          <cell r="V431" t="str">
            <v>MUN</v>
          </cell>
          <cell r="W431" t="str">
            <v>Man Utd</v>
          </cell>
          <cell r="X431">
            <v>4.5</v>
          </cell>
          <cell r="Y431">
            <v>1</v>
          </cell>
          <cell r="Z431">
            <v>0</v>
          </cell>
          <cell r="AA431">
            <v>1</v>
          </cell>
          <cell r="AB431">
            <v>15</v>
          </cell>
          <cell r="AC431">
            <v>15</v>
          </cell>
          <cell r="AD431">
            <v>0.22222222222222221</v>
          </cell>
          <cell r="AE431">
            <v>0</v>
          </cell>
          <cell r="AF431">
            <v>0</v>
          </cell>
          <cell r="AG431">
            <v>0</v>
          </cell>
          <cell r="AH431">
            <v>-0.06</v>
          </cell>
          <cell r="AI431">
            <v>-0.06</v>
          </cell>
          <cell r="AJ431">
            <v>2.0000000000000018E-3</v>
          </cell>
          <cell r="AK431">
            <v>0</v>
          </cell>
          <cell r="AL431">
            <v>3</v>
          </cell>
          <cell r="AM431">
            <v>0</v>
          </cell>
          <cell r="AN431">
            <v>0</v>
          </cell>
          <cell r="AO431">
            <v>437</v>
          </cell>
          <cell r="AP431" t="str">
            <v>Bendito Mantato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1</v>
          </cell>
          <cell r="BA431">
            <v>1</v>
          </cell>
          <cell r="BB431" t="str">
            <v/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0.9</v>
          </cell>
          <cell r="BH431">
            <v>1</v>
          </cell>
          <cell r="BI431">
            <v>1</v>
          </cell>
          <cell r="BJ431">
            <v>16</v>
          </cell>
          <cell r="BK431">
            <v>3</v>
          </cell>
          <cell r="BL431">
            <v>0</v>
          </cell>
          <cell r="BM431">
            <v>0.25</v>
          </cell>
          <cell r="BN431" t="e">
            <v>#DIV/0!</v>
          </cell>
          <cell r="BO431">
            <v>38</v>
          </cell>
          <cell r="BP431">
            <v>0</v>
          </cell>
          <cell r="BQ431">
            <v>4.3859649122807015E-3</v>
          </cell>
          <cell r="BR431">
            <v>0</v>
          </cell>
          <cell r="BS431">
            <v>0</v>
          </cell>
          <cell r="BT431">
            <v>0.01</v>
          </cell>
          <cell r="BU431">
            <v>0.06</v>
          </cell>
          <cell r="BV431">
            <v>0.06</v>
          </cell>
          <cell r="BW431">
            <v>0</v>
          </cell>
          <cell r="BX431">
            <v>38</v>
          </cell>
          <cell r="BY431">
            <v>1.3231578947368421</v>
          </cell>
          <cell r="BZ431">
            <v>1.3198421052631577</v>
          </cell>
        </row>
        <row r="432">
          <cell r="A432" t="str">
            <v>Jeremy Monga</v>
          </cell>
          <cell r="B432" t="str">
            <v/>
          </cell>
          <cell r="C432" t="str">
            <v>Monga</v>
          </cell>
          <cell r="D432" t="str">
            <v/>
          </cell>
          <cell r="H432" t="str">
            <v/>
          </cell>
          <cell r="I432" t="e">
            <v>#N/A</v>
          </cell>
          <cell r="J432" t="e">
            <v>#N/A</v>
          </cell>
          <cell r="K432" t="e">
            <v>#N/A</v>
          </cell>
          <cell r="M432">
            <v>2.2000000000000002</v>
          </cell>
          <cell r="N432">
            <v>2.2000000000000002</v>
          </cell>
          <cell r="O432">
            <v>2</v>
          </cell>
          <cell r="P432">
            <v>2.3209483046177151</v>
          </cell>
          <cell r="Q432">
            <v>0</v>
          </cell>
          <cell r="R432">
            <v>0</v>
          </cell>
          <cell r="S432">
            <v>2.2000000000000002</v>
          </cell>
          <cell r="T432" t="str">
            <v>MID</v>
          </cell>
          <cell r="U432" t="str">
            <v>LW</v>
          </cell>
          <cell r="V432" t="str">
            <v>MCI</v>
          </cell>
          <cell r="W432" t="str">
            <v>Man City</v>
          </cell>
          <cell r="X432">
            <v>5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 t="e">
            <v>#DIV/0!</v>
          </cell>
          <cell r="AH432" t="e">
            <v>#DIV/0!</v>
          </cell>
          <cell r="AI432" t="e">
            <v>#DIV/0!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410</v>
          </cell>
          <cell r="AP432" t="str">
            <v>Monga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 t="str">
            <v/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0.9</v>
          </cell>
          <cell r="BH432">
            <v>1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 t="e">
            <v>#DIV/0!</v>
          </cell>
          <cell r="BO432">
            <v>38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38</v>
          </cell>
          <cell r="BY432">
            <v>1.223421052631579</v>
          </cell>
          <cell r="BZ432">
            <v>1.4195789473684208</v>
          </cell>
        </row>
        <row r="433">
          <cell r="A433" t="str">
            <v>Victor Munoz</v>
          </cell>
          <cell r="B433" t="str">
            <v/>
          </cell>
          <cell r="C433" t="str">
            <v>Munoz</v>
          </cell>
          <cell r="D433" t="str">
            <v/>
          </cell>
          <cell r="H433" t="str">
            <v/>
          </cell>
          <cell r="I433">
            <v>1</v>
          </cell>
          <cell r="J433">
            <v>2.0666666666666669</v>
          </cell>
          <cell r="K433">
            <v>2.7</v>
          </cell>
          <cell r="M433">
            <v>2.2000000000000002</v>
          </cell>
          <cell r="N433">
            <v>2.2000000000000002</v>
          </cell>
          <cell r="O433">
            <v>2</v>
          </cell>
          <cell r="P433">
            <v>2.2770398349440026</v>
          </cell>
          <cell r="Q433">
            <v>0</v>
          </cell>
          <cell r="R433">
            <v>0</v>
          </cell>
          <cell r="S433">
            <v>2.2000000000000002</v>
          </cell>
          <cell r="T433" t="str">
            <v>MID</v>
          </cell>
          <cell r="U433" t="str">
            <v/>
          </cell>
          <cell r="V433" t="str">
            <v>LIV</v>
          </cell>
          <cell r="W433" t="str">
            <v>Liverpool</v>
          </cell>
          <cell r="X433">
            <v>6.5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 t="e">
            <v>#DIV/0!</v>
          </cell>
          <cell r="AH433" t="e">
            <v>#DIV/0!</v>
          </cell>
          <cell r="AI433" t="e">
            <v>#DIV/0!</v>
          </cell>
          <cell r="AJ433">
            <v>1.0000000000000009E-2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377</v>
          </cell>
          <cell r="AP433" t="str">
            <v>Munoz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 t="str">
            <v/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0.9</v>
          </cell>
          <cell r="BH433">
            <v>1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 t="e">
            <v>#DIV/0!</v>
          </cell>
          <cell r="BO433">
            <v>38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38</v>
          </cell>
          <cell r="BY433">
            <v>1.4176315789473684</v>
          </cell>
          <cell r="BZ433">
            <v>1.2253684210526314</v>
          </cell>
        </row>
        <row r="434">
          <cell r="A434" t="str">
            <v>Trey Nyoni</v>
          </cell>
          <cell r="B434" t="str">
            <v/>
          </cell>
          <cell r="C434" t="str">
            <v>Nyoni</v>
          </cell>
          <cell r="D434" t="str">
            <v/>
          </cell>
          <cell r="F434" t="str">
            <v/>
          </cell>
          <cell r="H434" t="str">
            <v/>
          </cell>
          <cell r="I434">
            <v>0</v>
          </cell>
          <cell r="J434">
            <v>0</v>
          </cell>
          <cell r="K434">
            <v>0</v>
          </cell>
          <cell r="M434">
            <v>2.2000000000000002</v>
          </cell>
          <cell r="N434">
            <v>2.2000000000000002</v>
          </cell>
          <cell r="O434">
            <v>2.9574285714285713</v>
          </cell>
          <cell r="P434">
            <v>10.208182692086858</v>
          </cell>
          <cell r="Q434">
            <v>23.142857142857142</v>
          </cell>
          <cell r="R434">
            <v>11.571428571428571</v>
          </cell>
          <cell r="S434">
            <v>2.2000000000000002</v>
          </cell>
          <cell r="T434" t="str">
            <v>MID</v>
          </cell>
          <cell r="U434" t="str">
            <v>CM</v>
          </cell>
          <cell r="V434" t="str">
            <v>LIV</v>
          </cell>
          <cell r="W434" t="str">
            <v>Liverpool</v>
          </cell>
          <cell r="X434">
            <v>5</v>
          </cell>
          <cell r="Y434">
            <v>6</v>
          </cell>
          <cell r="Z434">
            <v>0</v>
          </cell>
          <cell r="AA434">
            <v>6</v>
          </cell>
          <cell r="AB434">
            <v>21</v>
          </cell>
          <cell r="AC434">
            <v>21</v>
          </cell>
          <cell r="AD434">
            <v>0.2</v>
          </cell>
          <cell r="AE434">
            <v>0</v>
          </cell>
          <cell r="AF434">
            <v>0</v>
          </cell>
          <cell r="AG434">
            <v>-1.5857142857142856</v>
          </cell>
          <cell r="AH434">
            <v>-8.5714285714285715E-2</v>
          </cell>
          <cell r="AI434">
            <v>-1.6714285714285713</v>
          </cell>
          <cell r="AJ434">
            <v>0</v>
          </cell>
          <cell r="AK434">
            <v>0</v>
          </cell>
          <cell r="AL434">
            <v>11</v>
          </cell>
          <cell r="AM434">
            <v>0</v>
          </cell>
          <cell r="AN434">
            <v>0</v>
          </cell>
          <cell r="AO434">
            <v>375</v>
          </cell>
          <cell r="AP434" t="str">
            <v>Nyoni</v>
          </cell>
          <cell r="AQ434">
            <v>0</v>
          </cell>
          <cell r="AR434">
            <v>0</v>
          </cell>
          <cell r="AS434">
            <v>15.428571428571429</v>
          </cell>
          <cell r="AT434">
            <v>19.285714285714285</v>
          </cell>
          <cell r="AU434">
            <v>3.8571428571428572</v>
          </cell>
          <cell r="AV434">
            <v>19.285714285714285</v>
          </cell>
          <cell r="AW434">
            <v>19.285714285714285</v>
          </cell>
          <cell r="AX434">
            <v>1.0681428571428571</v>
          </cell>
          <cell r="AY434">
            <v>0</v>
          </cell>
          <cell r="AZ434">
            <v>1</v>
          </cell>
          <cell r="BA434">
            <v>6</v>
          </cell>
          <cell r="BB434" t="str">
            <v/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0.9</v>
          </cell>
          <cell r="BH434">
            <v>1</v>
          </cell>
          <cell r="BI434">
            <v>6</v>
          </cell>
          <cell r="BJ434">
            <v>4</v>
          </cell>
          <cell r="BK434">
            <v>23</v>
          </cell>
          <cell r="BL434">
            <v>0</v>
          </cell>
          <cell r="BM434">
            <v>0.2068965517241379</v>
          </cell>
          <cell r="BN434" t="e">
            <v>#DIV/0!</v>
          </cell>
          <cell r="BO434">
            <v>38</v>
          </cell>
          <cell r="BP434">
            <v>0</v>
          </cell>
          <cell r="BQ434">
            <v>6.1403508771929825E-3</v>
          </cell>
          <cell r="BR434">
            <v>0.37</v>
          </cell>
          <cell r="BS434">
            <v>1.5857142857142856</v>
          </cell>
          <cell r="BT434">
            <v>0.02</v>
          </cell>
          <cell r="BU434">
            <v>8.5714285714285715E-2</v>
          </cell>
          <cell r="BV434">
            <v>1.6714285714285713</v>
          </cell>
          <cell r="BW434">
            <v>0</v>
          </cell>
          <cell r="BX434">
            <v>38</v>
          </cell>
          <cell r="BY434">
            <v>1.4176315789473684</v>
          </cell>
          <cell r="BZ434">
            <v>1.2253684210526314</v>
          </cell>
        </row>
        <row r="435">
          <cell r="A435" t="str">
            <v>Jeremy Jacquet</v>
          </cell>
          <cell r="B435" t="str">
            <v/>
          </cell>
          <cell r="C435" t="str">
            <v>Jacquet</v>
          </cell>
          <cell r="D435" t="str">
            <v/>
          </cell>
          <cell r="H435" t="str">
            <v/>
          </cell>
          <cell r="I435">
            <v>0</v>
          </cell>
          <cell r="J435">
            <v>0.5</v>
          </cell>
          <cell r="K435">
            <v>1</v>
          </cell>
          <cell r="M435">
            <v>2.2000000000000002</v>
          </cell>
          <cell r="N435">
            <v>2.2000000000000002</v>
          </cell>
          <cell r="O435">
            <v>1.3483333333333332</v>
          </cell>
          <cell r="P435">
            <v>2.6493435503023264</v>
          </cell>
          <cell r="Q435">
            <v>0</v>
          </cell>
          <cell r="R435">
            <v>0</v>
          </cell>
          <cell r="S435">
            <v>2.2000000000000002</v>
          </cell>
          <cell r="T435" t="str">
            <v>DEF</v>
          </cell>
          <cell r="U435" t="str">
            <v/>
          </cell>
          <cell r="V435" t="str">
            <v>LIV</v>
          </cell>
          <cell r="W435" t="str">
            <v>Liverpool</v>
          </cell>
          <cell r="X435">
            <v>5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 t="e">
            <v>#DIV/0!</v>
          </cell>
          <cell r="AH435" t="e">
            <v>#DIV/0!</v>
          </cell>
          <cell r="AI435" t="e">
            <v>#DIV/0!</v>
          </cell>
          <cell r="AJ435">
            <v>1.8000000000000016E-2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362</v>
          </cell>
          <cell r="AP435" t="str">
            <v>Jacquet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75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0.9</v>
          </cell>
          <cell r="BH435">
            <v>1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 t="e">
            <v>#DIV/0!</v>
          </cell>
          <cell r="BO435">
            <v>38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38</v>
          </cell>
          <cell r="BY435">
            <v>1.4176315789473684</v>
          </cell>
          <cell r="BZ435">
            <v>1.2253684210526314</v>
          </cell>
        </row>
        <row r="436">
          <cell r="A436" t="str">
            <v>Kostas Tsimikas</v>
          </cell>
          <cell r="B436" t="str">
            <v/>
          </cell>
          <cell r="C436" t="str">
            <v>Tsimikas</v>
          </cell>
          <cell r="D436" t="str">
            <v/>
          </cell>
          <cell r="H436" t="str">
            <v/>
          </cell>
          <cell r="I436">
            <v>0.9</v>
          </cell>
          <cell r="J436">
            <v>3.6666666666666665</v>
          </cell>
          <cell r="K436">
            <v>5.6</v>
          </cell>
          <cell r="M436">
            <v>2.2000000000000002</v>
          </cell>
          <cell r="N436">
            <v>2.2000000000000002</v>
          </cell>
          <cell r="O436">
            <v>1.3483333333333332</v>
          </cell>
          <cell r="P436">
            <v>2.6493435503023264</v>
          </cell>
          <cell r="Q436">
            <v>0</v>
          </cell>
          <cell r="R436">
            <v>0</v>
          </cell>
          <cell r="S436">
            <v>2.2000000000000002</v>
          </cell>
          <cell r="T436" t="str">
            <v>DEF</v>
          </cell>
          <cell r="U436" t="str">
            <v/>
          </cell>
          <cell r="V436" t="str">
            <v>LIV</v>
          </cell>
          <cell r="W436" t="str">
            <v>Liverpool</v>
          </cell>
          <cell r="X436">
            <v>5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 t="e">
            <v>#DIV/0!</v>
          </cell>
          <cell r="AH436" t="e">
            <v>#DIV/0!</v>
          </cell>
          <cell r="AI436" t="e">
            <v>#DIV/0!</v>
          </cell>
          <cell r="AJ436">
            <v>9.9999999999988987E-4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364</v>
          </cell>
          <cell r="AP436" t="str">
            <v>Tsimikas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 t="str">
            <v/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0.9</v>
          </cell>
          <cell r="BH436">
            <v>1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 t="e">
            <v>#DIV/0!</v>
          </cell>
          <cell r="BO436">
            <v>38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38</v>
          </cell>
          <cell r="BY436">
            <v>1.4176315789473684</v>
          </cell>
          <cell r="BZ436">
            <v>1.2253684210526314</v>
          </cell>
        </row>
        <row r="437">
          <cell r="A437" t="str">
            <v>Lewis Koumas</v>
          </cell>
          <cell r="B437" t="str">
            <v/>
          </cell>
          <cell r="C437" t="str">
            <v>Koumas</v>
          </cell>
          <cell r="D437" t="str">
            <v/>
          </cell>
          <cell r="H437" t="str">
            <v/>
          </cell>
          <cell r="I437" t="e">
            <v>#N/A</v>
          </cell>
          <cell r="J437" t="e">
            <v>#N/A</v>
          </cell>
          <cell r="K437" t="e">
            <v>#N/A</v>
          </cell>
          <cell r="M437">
            <v>2.2000000000000002</v>
          </cell>
          <cell r="N437">
            <v>2.2000000000000002</v>
          </cell>
          <cell r="O437">
            <v>2</v>
          </cell>
          <cell r="P437">
            <v>2.2770398349440026</v>
          </cell>
          <cell r="Q437">
            <v>0</v>
          </cell>
          <cell r="R437">
            <v>0</v>
          </cell>
          <cell r="S437">
            <v>2.2000000000000002</v>
          </cell>
          <cell r="T437" t="str">
            <v>MID</v>
          </cell>
          <cell r="U437" t="str">
            <v/>
          </cell>
          <cell r="V437" t="str">
            <v>LIV</v>
          </cell>
          <cell r="W437" t="str">
            <v>Liverpool</v>
          </cell>
          <cell r="X437">
            <v>5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 t="e">
            <v>#DIV/0!</v>
          </cell>
          <cell r="AH437" t="e">
            <v>#DIV/0!</v>
          </cell>
          <cell r="AI437" t="e">
            <v>#DIV/0!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381</v>
          </cell>
          <cell r="AP437" t="str">
            <v>Koumas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 t="str">
            <v/>
          </cell>
          <cell r="BC437">
            <v>0</v>
          </cell>
          <cell r="BD437">
            <v>0</v>
          </cell>
          <cell r="BE437">
            <v>0</v>
          </cell>
          <cell r="BF437">
            <v>85</v>
          </cell>
          <cell r="BG437">
            <v>0.9</v>
          </cell>
          <cell r="BH437">
            <v>1</v>
          </cell>
          <cell r="BI437">
            <v>13</v>
          </cell>
          <cell r="BJ437">
            <v>22</v>
          </cell>
          <cell r="BK437">
            <v>0</v>
          </cell>
          <cell r="BL437">
            <v>0</v>
          </cell>
          <cell r="BM437">
            <v>1</v>
          </cell>
          <cell r="BN437">
            <v>0.25882352941176473</v>
          </cell>
          <cell r="BO437">
            <v>38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38</v>
          </cell>
          <cell r="BY437">
            <v>1.4176315789473684</v>
          </cell>
          <cell r="BZ437">
            <v>1.2253684210526314</v>
          </cell>
        </row>
        <row r="438">
          <cell r="A438" t="str">
            <v>Jayden Danns</v>
          </cell>
          <cell r="B438" t="str">
            <v/>
          </cell>
          <cell r="C438" t="str">
            <v>Danns</v>
          </cell>
          <cell r="D438" t="str">
            <v/>
          </cell>
          <cell r="F438" t="str">
            <v/>
          </cell>
          <cell r="H438" t="str">
            <v/>
          </cell>
          <cell r="I438">
            <v>0.5</v>
          </cell>
          <cell r="J438">
            <v>0.75</v>
          </cell>
          <cell r="K438">
            <v>1</v>
          </cell>
          <cell r="M438">
            <v>2.2000000000000002</v>
          </cell>
          <cell r="N438">
            <v>2.2000000000000002</v>
          </cell>
          <cell r="O438">
            <v>2</v>
          </cell>
          <cell r="P438">
            <v>2</v>
          </cell>
          <cell r="Q438">
            <v>0</v>
          </cell>
          <cell r="R438">
            <v>0</v>
          </cell>
          <cell r="S438">
            <v>2.2000000000000002</v>
          </cell>
          <cell r="T438" t="str">
            <v>FWD</v>
          </cell>
          <cell r="U438" t="str">
            <v/>
          </cell>
          <cell r="V438" t="str">
            <v>LIV</v>
          </cell>
          <cell r="W438" t="str">
            <v>Liverpool</v>
          </cell>
          <cell r="X438">
            <v>4.5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 t="e">
            <v>#DIV/0!</v>
          </cell>
          <cell r="AH438" t="e">
            <v>#DIV/0!</v>
          </cell>
          <cell r="AI438" t="e">
            <v>#DIV/0!</v>
          </cell>
          <cell r="AJ438">
            <v>9.9999999999988987E-4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382</v>
          </cell>
          <cell r="AP438" t="str">
            <v>Danns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75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0.9</v>
          </cell>
          <cell r="BH438">
            <v>1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 t="e">
            <v>#DIV/0!</v>
          </cell>
          <cell r="BO438">
            <v>38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38</v>
          </cell>
          <cell r="BY438">
            <v>1.4176315789473684</v>
          </cell>
          <cell r="BZ438">
            <v>1.2253684210526314</v>
          </cell>
        </row>
        <row r="439">
          <cell r="A439" t="str">
            <v>Giovanni Leoni</v>
          </cell>
          <cell r="B439" t="str">
            <v/>
          </cell>
          <cell r="C439" t="str">
            <v>Leoni</v>
          </cell>
          <cell r="D439" t="str">
            <v/>
          </cell>
          <cell r="F439" t="str">
            <v/>
          </cell>
          <cell r="H439" t="str">
            <v/>
          </cell>
          <cell r="I439" t="e">
            <v>#N/A</v>
          </cell>
          <cell r="J439" t="e">
            <v>#N/A</v>
          </cell>
          <cell r="K439" t="e">
            <v>#N/A</v>
          </cell>
          <cell r="M439">
            <v>2.2000000000000002</v>
          </cell>
          <cell r="N439">
            <v>2.2000000000000002</v>
          </cell>
          <cell r="O439">
            <v>1.3483333333333332</v>
          </cell>
          <cell r="P439">
            <v>2.6493435503023264</v>
          </cell>
          <cell r="Q439">
            <v>0</v>
          </cell>
          <cell r="R439">
            <v>0</v>
          </cell>
          <cell r="S439">
            <v>2.2000000000000002</v>
          </cell>
          <cell r="T439" t="str">
            <v>DEF</v>
          </cell>
          <cell r="U439" t="str">
            <v>CB</v>
          </cell>
          <cell r="V439" t="str">
            <v>LIV</v>
          </cell>
          <cell r="W439" t="str">
            <v>Liverpool</v>
          </cell>
          <cell r="X439">
            <v>4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 t="e">
            <v>#DIV/0!</v>
          </cell>
          <cell r="AH439" t="e">
            <v>#DIV/0!</v>
          </cell>
          <cell r="AI439" t="e">
            <v>#DIV/0!</v>
          </cell>
          <cell r="AJ439">
            <v>9.9999999999988987E-4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363</v>
          </cell>
          <cell r="AP439" t="str">
            <v>Leoni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0.9</v>
          </cell>
          <cell r="BH439">
            <v>1</v>
          </cell>
          <cell r="BI439">
            <v>0</v>
          </cell>
          <cell r="BJ439">
            <v>0</v>
          </cell>
          <cell r="BK439">
            <v>1</v>
          </cell>
          <cell r="BL439">
            <v>0</v>
          </cell>
          <cell r="BM439">
            <v>0</v>
          </cell>
          <cell r="BN439" t="e">
            <v>#DIV/0!</v>
          </cell>
          <cell r="BO439">
            <v>38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38</v>
          </cell>
          <cell r="BY439">
            <v>1.4176315789473684</v>
          </cell>
          <cell r="BZ439">
            <v>1.2253684210526314</v>
          </cell>
        </row>
        <row r="440">
          <cell r="A440" t="str">
            <v>Calvin Ramsay</v>
          </cell>
          <cell r="B440" t="str">
            <v/>
          </cell>
          <cell r="C440" t="str">
            <v>Ramsay</v>
          </cell>
          <cell r="D440" t="str">
            <v/>
          </cell>
          <cell r="F440" t="str">
            <v/>
          </cell>
          <cell r="H440" t="str">
            <v/>
          </cell>
          <cell r="I440" t="e">
            <v>#N/A</v>
          </cell>
          <cell r="J440" t="e">
            <v>#N/A</v>
          </cell>
          <cell r="K440" t="e">
            <v>#N/A</v>
          </cell>
          <cell r="M440">
            <v>2.2000000000000002</v>
          </cell>
          <cell r="N440">
            <v>2.2000000000000002</v>
          </cell>
          <cell r="O440">
            <v>1.3483333333333332</v>
          </cell>
          <cell r="P440">
            <v>2.6493435503023264</v>
          </cell>
          <cell r="Q440">
            <v>0</v>
          </cell>
          <cell r="R440">
            <v>0</v>
          </cell>
          <cell r="S440">
            <v>2.2000000000000002</v>
          </cell>
          <cell r="T440" t="str">
            <v>DEF</v>
          </cell>
          <cell r="U440" t="str">
            <v>RB</v>
          </cell>
          <cell r="V440" t="str">
            <v>LIV</v>
          </cell>
          <cell r="W440" t="str">
            <v>Liverpool</v>
          </cell>
          <cell r="X440">
            <v>4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 t="e">
            <v>#DIV/0!</v>
          </cell>
          <cell r="AH440" t="e">
            <v>#DIV/0!</v>
          </cell>
          <cell r="AI440" t="e">
            <v>#DIV/0!</v>
          </cell>
          <cell r="AJ440">
            <v>2.0000000000000018E-3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365</v>
          </cell>
          <cell r="AP440" t="str">
            <v>Ramsay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 t="str">
            <v/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0.9</v>
          </cell>
          <cell r="BH440">
            <v>1</v>
          </cell>
          <cell r="BI440">
            <v>0</v>
          </cell>
          <cell r="BJ440">
            <v>0</v>
          </cell>
          <cell r="BK440">
            <v>17</v>
          </cell>
          <cell r="BL440">
            <v>0</v>
          </cell>
          <cell r="BM440">
            <v>0</v>
          </cell>
          <cell r="BN440" t="e">
            <v>#DIV/0!</v>
          </cell>
          <cell r="BO440">
            <v>38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38</v>
          </cell>
          <cell r="BY440">
            <v>1.4176315789473684</v>
          </cell>
          <cell r="BZ440">
            <v>1.2253684210526314</v>
          </cell>
        </row>
        <row r="441">
          <cell r="A441" t="str">
            <v>Wellity Lucky</v>
          </cell>
          <cell r="B441" t="str">
            <v/>
          </cell>
          <cell r="C441" t="str">
            <v>Lucky</v>
          </cell>
          <cell r="D441" t="str">
            <v/>
          </cell>
          <cell r="F441" t="str">
            <v/>
          </cell>
          <cell r="H441" t="str">
            <v/>
          </cell>
          <cell r="I441" t="e">
            <v>#N/A</v>
          </cell>
          <cell r="J441" t="e">
            <v>#N/A</v>
          </cell>
          <cell r="K441" t="e">
            <v>#N/A</v>
          </cell>
          <cell r="M441">
            <v>2.2000000000000002</v>
          </cell>
          <cell r="N441">
            <v>2.2000000000000002</v>
          </cell>
          <cell r="O441">
            <v>1.3483333333333332</v>
          </cell>
          <cell r="P441">
            <v>2.6493435503023264</v>
          </cell>
          <cell r="Q441">
            <v>0</v>
          </cell>
          <cell r="R441">
            <v>0</v>
          </cell>
          <cell r="S441">
            <v>2.2000000000000002</v>
          </cell>
          <cell r="T441" t="str">
            <v>DEF</v>
          </cell>
          <cell r="U441" t="str">
            <v/>
          </cell>
          <cell r="V441" t="str">
            <v>LIV</v>
          </cell>
          <cell r="W441" t="str">
            <v>Liverpool</v>
          </cell>
          <cell r="X441">
            <v>4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 t="e">
            <v>#DIV/0!</v>
          </cell>
          <cell r="AH441" t="e">
            <v>#DIV/0!</v>
          </cell>
          <cell r="AI441" t="e">
            <v>#DIV/0!</v>
          </cell>
          <cell r="AJ441">
            <v>2.0000000000000018E-3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361</v>
          </cell>
          <cell r="AP441" t="str">
            <v>Lucky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 t="str">
            <v/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0.9</v>
          </cell>
          <cell r="BH441">
            <v>1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 t="e">
            <v>#DIV/0!</v>
          </cell>
          <cell r="BO441">
            <v>38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38</v>
          </cell>
          <cell r="BY441">
            <v>1.4176315789473684</v>
          </cell>
          <cell r="BZ441">
            <v>1.2253684210526314</v>
          </cell>
        </row>
        <row r="442">
          <cell r="A442" t="str">
            <v>Armin Pecsi</v>
          </cell>
          <cell r="B442" t="str">
            <v/>
          </cell>
          <cell r="C442" t="str">
            <v>Pecsi</v>
          </cell>
          <cell r="D442" t="str">
            <v/>
          </cell>
          <cell r="H442" t="str">
            <v/>
          </cell>
          <cell r="I442" t="e">
            <v>#N/A</v>
          </cell>
          <cell r="J442" t="e">
            <v>#N/A</v>
          </cell>
          <cell r="K442" t="e">
            <v>#N/A</v>
          </cell>
          <cell r="M442">
            <v>2.2000000000000002</v>
          </cell>
          <cell r="N442">
            <v>2.2000000000000002</v>
          </cell>
          <cell r="O442">
            <v>1.3483333333333332</v>
          </cell>
          <cell r="P442">
            <v>2.6493435503023264</v>
          </cell>
          <cell r="Q442">
            <v>0</v>
          </cell>
          <cell r="R442">
            <v>0</v>
          </cell>
          <cell r="S442">
            <v>2.2000000000000002</v>
          </cell>
          <cell r="T442" t="str">
            <v>GK</v>
          </cell>
          <cell r="U442" t="str">
            <v/>
          </cell>
          <cell r="V442" t="str">
            <v>LIV</v>
          </cell>
          <cell r="W442" t="str">
            <v>Liverpool</v>
          </cell>
          <cell r="X442">
            <v>4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 t="e">
            <v>#DIV/0!</v>
          </cell>
          <cell r="AH442" t="e">
            <v>#DIV/0!</v>
          </cell>
          <cell r="AI442" t="e">
            <v>#DIV/0!</v>
          </cell>
          <cell r="AJ442">
            <v>9.9999999999988987E-4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353</v>
          </cell>
          <cell r="AP442" t="str">
            <v>Pecsi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 t="str">
            <v/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0.9</v>
          </cell>
          <cell r="BH442">
            <v>1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 t="e">
            <v>#DIV/0!</v>
          </cell>
          <cell r="BO442">
            <v>38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38</v>
          </cell>
          <cell r="BY442">
            <v>1.4176315789473684</v>
          </cell>
          <cell r="BZ442">
            <v>1.2253684210526314</v>
          </cell>
        </row>
        <row r="443">
          <cell r="A443" t="str">
            <v>Vitezslav Jaros</v>
          </cell>
          <cell r="B443" t="str">
            <v/>
          </cell>
          <cell r="C443" t="str">
            <v>Jaros</v>
          </cell>
          <cell r="D443" t="str">
            <v/>
          </cell>
          <cell r="H443" t="str">
            <v/>
          </cell>
          <cell r="I443">
            <v>0</v>
          </cell>
          <cell r="J443">
            <v>0</v>
          </cell>
          <cell r="K443">
            <v>0</v>
          </cell>
          <cell r="M443">
            <v>2.2000000000000002</v>
          </cell>
          <cell r="N443">
            <v>2.2000000000000002</v>
          </cell>
          <cell r="O443">
            <v>1.3483333333333332</v>
          </cell>
          <cell r="P443">
            <v>2.6493435503023264</v>
          </cell>
          <cell r="Q443">
            <v>0</v>
          </cell>
          <cell r="R443">
            <v>0</v>
          </cell>
          <cell r="S443">
            <v>2.2000000000000002</v>
          </cell>
          <cell r="T443" t="str">
            <v>GK</v>
          </cell>
          <cell r="U443" t="str">
            <v>GK</v>
          </cell>
          <cell r="V443" t="str">
            <v>LIV</v>
          </cell>
          <cell r="W443" t="str">
            <v>Liverpool</v>
          </cell>
          <cell r="X443">
            <v>4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 t="e">
            <v>#DIV/0!</v>
          </cell>
          <cell r="AH443" t="e">
            <v>#DIV/0!</v>
          </cell>
          <cell r="AI443" t="e">
            <v>#DIV/0!</v>
          </cell>
          <cell r="AJ443">
            <v>9.9999999999988987E-4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354</v>
          </cell>
          <cell r="AP443" t="str">
            <v>Jaros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 t="str">
            <v/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0.9</v>
          </cell>
          <cell r="BH443">
            <v>1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 t="e">
            <v>#DIV/0!</v>
          </cell>
          <cell r="BO443">
            <v>38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38</v>
          </cell>
          <cell r="BY443">
            <v>1.4176315789473684</v>
          </cell>
          <cell r="BZ443">
            <v>1.2253684210526314</v>
          </cell>
        </row>
        <row r="444">
          <cell r="A444" t="str">
            <v>Harvey Davies</v>
          </cell>
          <cell r="B444" t="str">
            <v/>
          </cell>
          <cell r="C444" t="str">
            <v>Davies</v>
          </cell>
          <cell r="D444" t="str">
            <v/>
          </cell>
          <cell r="H444" t="str">
            <v/>
          </cell>
          <cell r="I444">
            <v>0.5</v>
          </cell>
          <cell r="J444">
            <v>0.95</v>
          </cell>
          <cell r="K444">
            <v>1.4</v>
          </cell>
          <cell r="M444">
            <v>2.2000000000000002</v>
          </cell>
          <cell r="N444">
            <v>2.2000000000000002</v>
          </cell>
          <cell r="O444">
            <v>1.3483333333333332</v>
          </cell>
          <cell r="P444">
            <v>2.6493435503023264</v>
          </cell>
          <cell r="Q444">
            <v>0</v>
          </cell>
          <cell r="R444">
            <v>0</v>
          </cell>
          <cell r="S444">
            <v>2.2000000000000002</v>
          </cell>
          <cell r="T444" t="str">
            <v>GK</v>
          </cell>
          <cell r="U444" t="str">
            <v>GK</v>
          </cell>
          <cell r="V444" t="str">
            <v>LIV</v>
          </cell>
          <cell r="W444" t="str">
            <v>Liverpool</v>
          </cell>
          <cell r="X444">
            <v>4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 t="e">
            <v>#DIV/0!</v>
          </cell>
          <cell r="AH444" t="e">
            <v>#DIV/0!</v>
          </cell>
          <cell r="AI444" t="e">
            <v>#DIV/0!</v>
          </cell>
          <cell r="AJ444">
            <v>9.9999999999988987E-4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355</v>
          </cell>
          <cell r="AP444" t="str">
            <v>Davies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 t="str">
            <v/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0.9</v>
          </cell>
          <cell r="BH444">
            <v>1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 t="e">
            <v>#DIV/0!</v>
          </cell>
          <cell r="BO444">
            <v>38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38</v>
          </cell>
          <cell r="BY444">
            <v>1.4176315789473684</v>
          </cell>
          <cell r="BZ444">
            <v>1.2253684210526314</v>
          </cell>
        </row>
        <row r="445">
          <cell r="A445" t="str">
            <v>Tarik Muharemović</v>
          </cell>
          <cell r="B445" t="str">
            <v/>
          </cell>
          <cell r="C445" t="str">
            <v>Muharemović</v>
          </cell>
          <cell r="D445" t="str">
            <v/>
          </cell>
          <cell r="H445" t="str">
            <v/>
          </cell>
          <cell r="I445">
            <v>0</v>
          </cell>
          <cell r="J445">
            <v>0</v>
          </cell>
          <cell r="K445">
            <v>0</v>
          </cell>
          <cell r="M445">
            <v>2.2000000000000002</v>
          </cell>
          <cell r="N445">
            <v>2.2000000000000002</v>
          </cell>
          <cell r="O445">
            <v>1.4691666666666667</v>
          </cell>
          <cell r="P445">
            <v>2.5584305030180783</v>
          </cell>
          <cell r="Q445">
            <v>0</v>
          </cell>
          <cell r="R445">
            <v>0</v>
          </cell>
          <cell r="S445">
            <v>2.2000000000000002</v>
          </cell>
          <cell r="T445" t="str">
            <v>DEF</v>
          </cell>
          <cell r="U445" t="str">
            <v>CB</v>
          </cell>
          <cell r="V445" t="str">
            <v>LEE</v>
          </cell>
          <cell r="W445" t="str">
            <v>Leeds</v>
          </cell>
          <cell r="X445">
            <v>5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 t="e">
            <v>#DIV/0!</v>
          </cell>
          <cell r="AH445" t="e">
            <v>#DIV/0!</v>
          </cell>
          <cell r="AI445" t="e">
            <v>#DIV/0!</v>
          </cell>
          <cell r="AJ445">
            <v>6.9999999999998952E-3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334</v>
          </cell>
          <cell r="AP445" t="str">
            <v>Muharemović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 t="str">
            <v/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0.9</v>
          </cell>
          <cell r="BH445">
            <v>1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 t="e">
            <v>#DIV/0!</v>
          </cell>
          <cell r="BO445">
            <v>38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38</v>
          </cell>
          <cell r="BY445">
            <v>1.4823684210526316</v>
          </cell>
          <cell r="BZ445">
            <v>1.1606315789473682</v>
          </cell>
        </row>
        <row r="446">
          <cell r="A446" t="str">
            <v>Mateo Joseph Fernández-Regatillo</v>
          </cell>
          <cell r="B446" t="str">
            <v/>
          </cell>
          <cell r="C446" t="str">
            <v>Mateo Joseph</v>
          </cell>
          <cell r="D446" t="str">
            <v/>
          </cell>
          <cell r="F446" t="str">
            <v/>
          </cell>
          <cell r="H446" t="str">
            <v/>
          </cell>
          <cell r="I446" t="e">
            <v>#N/A</v>
          </cell>
          <cell r="J446" t="e">
            <v>#N/A</v>
          </cell>
          <cell r="K446" t="e">
            <v>#N/A</v>
          </cell>
          <cell r="M446">
            <v>2.2000000000000002</v>
          </cell>
          <cell r="N446">
            <v>2.2000000000000002</v>
          </cell>
          <cell r="O446">
            <v>2</v>
          </cell>
          <cell r="P446">
            <v>2</v>
          </cell>
          <cell r="Q446">
            <v>0</v>
          </cell>
          <cell r="R446">
            <v>0</v>
          </cell>
          <cell r="S446">
            <v>2.2000000000000002</v>
          </cell>
          <cell r="T446" t="str">
            <v>FWD</v>
          </cell>
          <cell r="U446" t="str">
            <v>CF</v>
          </cell>
          <cell r="V446" t="str">
            <v>LEE</v>
          </cell>
          <cell r="W446" t="str">
            <v>Leeds</v>
          </cell>
          <cell r="X446">
            <v>4.5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 t="e">
            <v>#DIV/0!</v>
          </cell>
          <cell r="AH446" t="e">
            <v>#DIV/0!</v>
          </cell>
          <cell r="AI446" t="e">
            <v>#DIV/0!</v>
          </cell>
          <cell r="AJ446">
            <v>6.0000000000000053E-3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349</v>
          </cell>
          <cell r="AP446" t="str">
            <v>Mateo Joseph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 t="str">
            <v/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0.9</v>
          </cell>
          <cell r="BH446">
            <v>1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 t="e">
            <v>#DIV/0!</v>
          </cell>
          <cell r="BO446">
            <v>38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38</v>
          </cell>
          <cell r="BY446">
            <v>1.4823684210526316</v>
          </cell>
          <cell r="BZ446">
            <v>1.1606315789473682</v>
          </cell>
        </row>
        <row r="447">
          <cell r="A447" t="str">
            <v>Jack Clarke</v>
          </cell>
          <cell r="B447" t="str">
            <v/>
          </cell>
          <cell r="C447" t="str">
            <v>Clarke</v>
          </cell>
          <cell r="D447" t="str">
            <v/>
          </cell>
          <cell r="H447" t="str">
            <v/>
          </cell>
          <cell r="I447" t="e">
            <v>#N/A</v>
          </cell>
          <cell r="J447" t="e">
            <v>#N/A</v>
          </cell>
          <cell r="K447" t="e">
            <v>#N/A</v>
          </cell>
          <cell r="M447">
            <v>2.2000000000000002</v>
          </cell>
          <cell r="N447">
            <v>2.2000000000000002</v>
          </cell>
          <cell r="O447">
            <v>2</v>
          </cell>
          <cell r="P447">
            <v>2.1062251785304147</v>
          </cell>
          <cell r="Q447">
            <v>0</v>
          </cell>
          <cell r="R447">
            <v>0</v>
          </cell>
          <cell r="S447">
            <v>2.2000000000000002</v>
          </cell>
          <cell r="T447" t="str">
            <v>MID</v>
          </cell>
          <cell r="U447" t="str">
            <v>LW</v>
          </cell>
          <cell r="V447" t="str">
            <v>IPS</v>
          </cell>
          <cell r="W447" t="str">
            <v>Ipswich Town</v>
          </cell>
          <cell r="X447">
            <v>5.5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 t="e">
            <v>#DIV/0!</v>
          </cell>
          <cell r="AH447" t="e">
            <v>#DIV/0!</v>
          </cell>
          <cell r="AI447" t="e">
            <v>#DIV/0!</v>
          </cell>
          <cell r="AJ447">
            <v>4.0000000000000036E-3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313</v>
          </cell>
          <cell r="AP447" t="str">
            <v>Clarke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 t="str">
            <v/>
          </cell>
          <cell r="BC447">
            <v>23</v>
          </cell>
          <cell r="BD447">
            <v>8</v>
          </cell>
          <cell r="BE447">
            <v>0.34782608695652173</v>
          </cell>
          <cell r="BF447">
            <v>81</v>
          </cell>
          <cell r="BG447">
            <v>0.9</v>
          </cell>
          <cell r="BH447">
            <v>1</v>
          </cell>
          <cell r="BI447">
            <v>23</v>
          </cell>
          <cell r="BJ447">
            <v>23</v>
          </cell>
          <cell r="BK447">
            <v>0</v>
          </cell>
          <cell r="BL447">
            <v>0.5</v>
          </cell>
          <cell r="BM447">
            <v>0.5</v>
          </cell>
          <cell r="BN447">
            <v>0.64197530864197527</v>
          </cell>
          <cell r="BO447">
            <v>38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38</v>
          </cell>
          <cell r="BY447">
            <v>2.1731578947368422</v>
          </cell>
          <cell r="BZ447">
            <v>0.46984210526315762</v>
          </cell>
        </row>
        <row r="448">
          <cell r="A448" t="str">
            <v>Abdul Fatawu</v>
          </cell>
          <cell r="B448" t="str">
            <v/>
          </cell>
          <cell r="C448" t="str">
            <v>Fatawu</v>
          </cell>
          <cell r="D448" t="str">
            <v/>
          </cell>
          <cell r="H448" t="str">
            <v/>
          </cell>
          <cell r="I448">
            <v>0</v>
          </cell>
          <cell r="J448">
            <v>0.95</v>
          </cell>
          <cell r="K448">
            <v>1.9</v>
          </cell>
          <cell r="M448">
            <v>2.2000000000000002</v>
          </cell>
          <cell r="N448">
            <v>2.2000000000000002</v>
          </cell>
          <cell r="O448">
            <v>2</v>
          </cell>
          <cell r="P448">
            <v>2.1062251785304147</v>
          </cell>
          <cell r="Q448">
            <v>0</v>
          </cell>
          <cell r="R448">
            <v>0</v>
          </cell>
          <cell r="S448">
            <v>2.2000000000000002</v>
          </cell>
          <cell r="T448" t="str">
            <v>MID</v>
          </cell>
          <cell r="U448" t="str">
            <v>RW</v>
          </cell>
          <cell r="V448" t="str">
            <v>IPS</v>
          </cell>
          <cell r="W448" t="str">
            <v>Ipswich Town</v>
          </cell>
          <cell r="X448">
            <v>5.5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 t="e">
            <v>#DIV/0!</v>
          </cell>
          <cell r="AH448" t="e">
            <v>#DIV/0!</v>
          </cell>
          <cell r="AI448" t="e">
            <v>#DIV/0!</v>
          </cell>
          <cell r="AJ448">
            <v>4.0000000000000036E-3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315</v>
          </cell>
          <cell r="AP448" t="str">
            <v>Fatawu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 t="str">
            <v/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0.9</v>
          </cell>
          <cell r="BH448">
            <v>1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 t="e">
            <v>#DIV/0!</v>
          </cell>
          <cell r="BO448">
            <v>38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38</v>
          </cell>
          <cell r="BY448">
            <v>2.1731578947368422</v>
          </cell>
          <cell r="BZ448">
            <v>0.46984210526315762</v>
          </cell>
        </row>
        <row r="449">
          <cell r="A449" t="str">
            <v>Emersonn Correia da Silva</v>
          </cell>
          <cell r="B449" t="str">
            <v/>
          </cell>
          <cell r="C449" t="str">
            <v>Emersonn</v>
          </cell>
          <cell r="D449" t="str">
            <v/>
          </cell>
          <cell r="H449" t="str">
            <v/>
          </cell>
          <cell r="I449">
            <v>2</v>
          </cell>
          <cell r="J449">
            <v>2</v>
          </cell>
          <cell r="K449">
            <v>2</v>
          </cell>
          <cell r="M449">
            <v>2.2000000000000002</v>
          </cell>
          <cell r="N449">
            <v>2.2000000000000002</v>
          </cell>
          <cell r="O449">
            <v>2</v>
          </cell>
          <cell r="P449">
            <v>2</v>
          </cell>
          <cell r="Q449">
            <v>0</v>
          </cell>
          <cell r="R449">
            <v>0</v>
          </cell>
          <cell r="S449">
            <v>2.2000000000000002</v>
          </cell>
          <cell r="T449" t="str">
            <v>FWD</v>
          </cell>
          <cell r="U449" t="str">
            <v>CF</v>
          </cell>
          <cell r="V449" t="str">
            <v>IPS</v>
          </cell>
          <cell r="W449" t="str">
            <v>Ipswich Town</v>
          </cell>
          <cell r="X449">
            <v>5.5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 t="e">
            <v>#DIV/0!</v>
          </cell>
          <cell r="AH449" t="e">
            <v>#DIV/0!</v>
          </cell>
          <cell r="AI449" t="e">
            <v>#DIV/0!</v>
          </cell>
          <cell r="AJ449">
            <v>4.0000000000000036E-3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316</v>
          </cell>
          <cell r="AP449" t="str">
            <v>Emersonn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 t="str">
            <v/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0.9</v>
          </cell>
          <cell r="BH449">
            <v>1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 t="e">
            <v>#DIV/0!</v>
          </cell>
          <cell r="BO449">
            <v>38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38</v>
          </cell>
          <cell r="BY449">
            <v>2.1731578947368422</v>
          </cell>
          <cell r="BZ449">
            <v>0.46984210526315762</v>
          </cell>
        </row>
        <row r="450">
          <cell r="A450" t="str">
            <v>Jaden Philogene</v>
          </cell>
          <cell r="B450" t="str">
            <v/>
          </cell>
          <cell r="C450" t="str">
            <v>Philogene</v>
          </cell>
          <cell r="D450" t="str">
            <v/>
          </cell>
          <cell r="H450" t="str">
            <v/>
          </cell>
          <cell r="I450" t="e">
            <v>#N/A</v>
          </cell>
          <cell r="J450" t="e">
            <v>#N/A</v>
          </cell>
          <cell r="K450" t="e">
            <v>#N/A</v>
          </cell>
          <cell r="M450">
            <v>2.2000000000000002</v>
          </cell>
          <cell r="N450">
            <v>2.2000000000000002</v>
          </cell>
          <cell r="O450">
            <v>2</v>
          </cell>
          <cell r="P450">
            <v>2.1062251785304147</v>
          </cell>
          <cell r="Q450">
            <v>0</v>
          </cell>
          <cell r="R450">
            <v>0</v>
          </cell>
          <cell r="S450">
            <v>2.2000000000000002</v>
          </cell>
          <cell r="T450" t="str">
            <v>MID</v>
          </cell>
          <cell r="U450" t="str">
            <v>LW</v>
          </cell>
          <cell r="V450" t="str">
            <v>IPS</v>
          </cell>
          <cell r="W450" t="str">
            <v>Ipswich Town</v>
          </cell>
          <cell r="X450">
            <v>5.5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 t="e">
            <v>#DIV/0!</v>
          </cell>
          <cell r="AH450" t="e">
            <v>#DIV/0!</v>
          </cell>
          <cell r="AI450" t="e">
            <v>#DIV/0!</v>
          </cell>
          <cell r="AJ450">
            <v>2.9999999999998916E-3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318</v>
          </cell>
          <cell r="AP450" t="str">
            <v>Philogene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 t="str">
            <v/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0.9</v>
          </cell>
          <cell r="BH450">
            <v>1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 t="e">
            <v>#DIV/0!</v>
          </cell>
          <cell r="BO450">
            <v>38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38</v>
          </cell>
          <cell r="BY450">
            <v>2.1731578947368422</v>
          </cell>
          <cell r="BZ450">
            <v>0.46984210526315762</v>
          </cell>
        </row>
        <row r="451">
          <cell r="A451" t="str">
            <v>Ali Al-Hamadi</v>
          </cell>
          <cell r="B451" t="str">
            <v/>
          </cell>
          <cell r="C451" t="str">
            <v>Al-Hamadi</v>
          </cell>
          <cell r="D451" t="str">
            <v/>
          </cell>
          <cell r="E451" t="str">
            <v>Ali Al Hamadi</v>
          </cell>
          <cell r="F451" t="str">
            <v/>
          </cell>
          <cell r="H451" t="str">
            <v/>
          </cell>
          <cell r="I451" t="e">
            <v>#N/A</v>
          </cell>
          <cell r="J451" t="e">
            <v>#N/A</v>
          </cell>
          <cell r="K451" t="e">
            <v>#N/A</v>
          </cell>
          <cell r="M451">
            <v>2.2000000000000002</v>
          </cell>
          <cell r="N451">
            <v>2.2000000000000002</v>
          </cell>
          <cell r="O451">
            <v>2</v>
          </cell>
          <cell r="P451">
            <v>2</v>
          </cell>
          <cell r="Q451">
            <v>0</v>
          </cell>
          <cell r="R451">
            <v>0</v>
          </cell>
          <cell r="S451">
            <v>2.2000000000000002</v>
          </cell>
          <cell r="T451" t="str">
            <v>FWD</v>
          </cell>
          <cell r="U451" t="str">
            <v>CF</v>
          </cell>
          <cell r="V451" t="str">
            <v>IPS</v>
          </cell>
          <cell r="W451" t="str">
            <v>Ipswich Town</v>
          </cell>
          <cell r="X451">
            <v>5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 t="e">
            <v>#DIV/0!</v>
          </cell>
          <cell r="AH451" t="e">
            <v>#DIV/0!</v>
          </cell>
          <cell r="AI451" t="e">
            <v>#DIV/0!</v>
          </cell>
          <cell r="AJ451">
            <v>2.0000000000000018E-3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322</v>
          </cell>
          <cell r="AP451" t="str">
            <v>Al-Hamadi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 t="str">
            <v/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0.9</v>
          </cell>
          <cell r="BH451">
            <v>1</v>
          </cell>
          <cell r="BI451">
            <v>1</v>
          </cell>
          <cell r="BJ451">
            <v>12</v>
          </cell>
          <cell r="BK451">
            <v>0</v>
          </cell>
          <cell r="BL451">
            <v>0</v>
          </cell>
          <cell r="BM451">
            <v>1</v>
          </cell>
          <cell r="BN451" t="e">
            <v>#DIV/0!</v>
          </cell>
          <cell r="BO451">
            <v>38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38</v>
          </cell>
          <cell r="BY451">
            <v>2.1731578947368422</v>
          </cell>
          <cell r="BZ451">
            <v>0.46984210526315762</v>
          </cell>
        </row>
        <row r="452">
          <cell r="A452" t="str">
            <v>Marcelino Núñez</v>
          </cell>
          <cell r="B452" t="str">
            <v/>
          </cell>
          <cell r="C452" t="str">
            <v>Núñez</v>
          </cell>
          <cell r="D452" t="str">
            <v/>
          </cell>
          <cell r="H452" t="str">
            <v/>
          </cell>
          <cell r="I452" t="e">
            <v>#N/A</v>
          </cell>
          <cell r="J452" t="e">
            <v>#N/A</v>
          </cell>
          <cell r="K452" t="e">
            <v>#N/A</v>
          </cell>
          <cell r="M452">
            <v>2.2000000000000002</v>
          </cell>
          <cell r="N452">
            <v>2.2000000000000002</v>
          </cell>
          <cell r="O452">
            <v>2</v>
          </cell>
          <cell r="P452">
            <v>2.1062251785304147</v>
          </cell>
          <cell r="Q452">
            <v>0</v>
          </cell>
          <cell r="R452">
            <v>0</v>
          </cell>
          <cell r="S452">
            <v>2.2000000000000002</v>
          </cell>
          <cell r="T452" t="str">
            <v>MID</v>
          </cell>
          <cell r="U452" t="str">
            <v>CM</v>
          </cell>
          <cell r="V452" t="str">
            <v>IPS</v>
          </cell>
          <cell r="W452" t="str">
            <v>Ipswich Town</v>
          </cell>
          <cell r="X452">
            <v>5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e">
            <v>#DIV/0!</v>
          </cell>
          <cell r="AH452" t="e">
            <v>#DIV/0!</v>
          </cell>
          <cell r="AI452" t="e">
            <v>#DIV/0!</v>
          </cell>
          <cell r="AJ452">
            <v>2.0000000000000018E-3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309</v>
          </cell>
          <cell r="AP452" t="str">
            <v>Núñez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 t="str">
            <v/>
          </cell>
          <cell r="BC452">
            <v>24</v>
          </cell>
          <cell r="BD452">
            <v>3</v>
          </cell>
          <cell r="BE452">
            <v>0.125</v>
          </cell>
          <cell r="BF452">
            <v>78</v>
          </cell>
          <cell r="BG452">
            <v>0.8666666666666667</v>
          </cell>
          <cell r="BH452">
            <v>1</v>
          </cell>
          <cell r="BI452">
            <v>12</v>
          </cell>
          <cell r="BJ452">
            <v>23</v>
          </cell>
          <cell r="BK452">
            <v>0</v>
          </cell>
          <cell r="BL452">
            <v>0.66666666666666663</v>
          </cell>
          <cell r="BM452">
            <v>0.33333333333333337</v>
          </cell>
          <cell r="BN452">
            <v>0.76495726495726502</v>
          </cell>
          <cell r="BO452">
            <v>38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38</v>
          </cell>
          <cell r="BY452">
            <v>2.1731578947368422</v>
          </cell>
          <cell r="BZ452">
            <v>0.46984210526315762</v>
          </cell>
        </row>
        <row r="453">
          <cell r="A453" t="str">
            <v>Azor Matusiwa</v>
          </cell>
          <cell r="B453" t="str">
            <v/>
          </cell>
          <cell r="C453" t="str">
            <v>Matusiwa</v>
          </cell>
          <cell r="D453" t="str">
            <v/>
          </cell>
          <cell r="H453" t="str">
            <v/>
          </cell>
          <cell r="I453">
            <v>1.2</v>
          </cell>
          <cell r="J453">
            <v>1.5333333333333332</v>
          </cell>
          <cell r="K453">
            <v>1.8</v>
          </cell>
          <cell r="M453">
            <v>2.2000000000000002</v>
          </cell>
          <cell r="N453">
            <v>2.2000000000000002</v>
          </cell>
          <cell r="O453">
            <v>2</v>
          </cell>
          <cell r="P453">
            <v>2.1062251785304147</v>
          </cell>
          <cell r="Q453">
            <v>0</v>
          </cell>
          <cell r="R453">
            <v>0</v>
          </cell>
          <cell r="S453">
            <v>2.2000000000000002</v>
          </cell>
          <cell r="T453" t="str">
            <v>MID</v>
          </cell>
          <cell r="U453" t="str">
            <v>DM</v>
          </cell>
          <cell r="V453" t="str">
            <v>IPS</v>
          </cell>
          <cell r="W453" t="str">
            <v>Ipswich Town</v>
          </cell>
          <cell r="X453">
            <v>5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 t="e">
            <v>#DIV/0!</v>
          </cell>
          <cell r="AH453" t="e">
            <v>#DIV/0!</v>
          </cell>
          <cell r="AI453" t="e">
            <v>#DIV/0!</v>
          </cell>
          <cell r="AJ453">
            <v>9.9999999999988987E-4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310</v>
          </cell>
          <cell r="AP453" t="str">
            <v>Matusiwa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11.8</v>
          </cell>
          <cell r="AW453">
            <v>11.8</v>
          </cell>
          <cell r="AX453">
            <v>0.51140000000000008</v>
          </cell>
          <cell r="AY453">
            <v>0</v>
          </cell>
          <cell r="AZ453">
            <v>0</v>
          </cell>
          <cell r="BA453">
            <v>0</v>
          </cell>
          <cell r="BB453" t="str">
            <v/>
          </cell>
          <cell r="BC453">
            <v>45</v>
          </cell>
          <cell r="BD453">
            <v>31</v>
          </cell>
          <cell r="BE453">
            <v>0.68888888888888888</v>
          </cell>
          <cell r="BF453">
            <v>85</v>
          </cell>
          <cell r="BG453">
            <v>0.94444444444444442</v>
          </cell>
          <cell r="BH453">
            <v>1</v>
          </cell>
          <cell r="BI453">
            <v>0</v>
          </cell>
          <cell r="BJ453">
            <v>0</v>
          </cell>
          <cell r="BK453">
            <v>0</v>
          </cell>
          <cell r="BL453">
            <v>1</v>
          </cell>
          <cell r="BM453">
            <v>0</v>
          </cell>
          <cell r="BN453">
            <v>1</v>
          </cell>
          <cell r="BO453">
            <v>38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38</v>
          </cell>
          <cell r="BY453">
            <v>2.1731578947368422</v>
          </cell>
          <cell r="BZ453">
            <v>0.46984210526315762</v>
          </cell>
        </row>
        <row r="454">
          <cell r="A454" t="str">
            <v>Wes Burns</v>
          </cell>
          <cell r="B454" t="str">
            <v/>
          </cell>
          <cell r="C454" t="str">
            <v>Burns</v>
          </cell>
          <cell r="D454" t="str">
            <v/>
          </cell>
          <cell r="H454" t="str">
            <v/>
          </cell>
          <cell r="I454">
            <v>0</v>
          </cell>
          <cell r="J454">
            <v>0</v>
          </cell>
          <cell r="K454">
            <v>0</v>
          </cell>
          <cell r="M454">
            <v>2.2000000000000002</v>
          </cell>
          <cell r="N454">
            <v>2.2000000000000002</v>
          </cell>
          <cell r="O454">
            <v>2</v>
          </cell>
          <cell r="P454">
            <v>2.1062251785304147</v>
          </cell>
          <cell r="Q454">
            <v>0</v>
          </cell>
          <cell r="R454">
            <v>0</v>
          </cell>
          <cell r="S454">
            <v>2.2000000000000002</v>
          </cell>
          <cell r="T454" t="str">
            <v>MID</v>
          </cell>
          <cell r="U454" t="str">
            <v>RM</v>
          </cell>
          <cell r="V454" t="str">
            <v>IPS</v>
          </cell>
          <cell r="W454" t="str">
            <v>Ipswich Town</v>
          </cell>
          <cell r="X454">
            <v>5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 t="e">
            <v>#DIV/0!</v>
          </cell>
          <cell r="AH454" t="e">
            <v>#DIV/0!</v>
          </cell>
          <cell r="AI454" t="e">
            <v>#DIV/0!</v>
          </cell>
          <cell r="AJ454">
            <v>9.9999999999988987E-4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311</v>
          </cell>
          <cell r="AP454" t="str">
            <v>Burns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 t="str">
            <v/>
          </cell>
          <cell r="BC454">
            <v>9</v>
          </cell>
          <cell r="BD454">
            <v>0</v>
          </cell>
          <cell r="BE454">
            <v>0</v>
          </cell>
          <cell r="BF454">
            <v>66</v>
          </cell>
          <cell r="BG454">
            <v>0.73333333333333328</v>
          </cell>
          <cell r="BH454">
            <v>1</v>
          </cell>
          <cell r="BI454">
            <v>9</v>
          </cell>
          <cell r="BJ454">
            <v>22</v>
          </cell>
          <cell r="BK454">
            <v>0</v>
          </cell>
          <cell r="BL454">
            <v>0.5</v>
          </cell>
          <cell r="BM454">
            <v>0.5</v>
          </cell>
          <cell r="BN454">
            <v>0.66666666666666663</v>
          </cell>
          <cell r="BO454">
            <v>38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38</v>
          </cell>
          <cell r="BY454">
            <v>2.1731578947368422</v>
          </cell>
          <cell r="BZ454">
            <v>0.46984210526315762</v>
          </cell>
        </row>
        <row r="455">
          <cell r="A455" t="str">
            <v>Chiedozie Ogbene</v>
          </cell>
          <cell r="B455" t="str">
            <v/>
          </cell>
          <cell r="C455" t="str">
            <v>Ogbene</v>
          </cell>
          <cell r="D455" t="str">
            <v/>
          </cell>
          <cell r="H455" t="str">
            <v/>
          </cell>
          <cell r="I455">
            <v>2.1</v>
          </cell>
          <cell r="J455">
            <v>2.9666666666666663</v>
          </cell>
          <cell r="K455">
            <v>3.5</v>
          </cell>
          <cell r="M455">
            <v>2.2000000000000002</v>
          </cell>
          <cell r="N455">
            <v>2.2000000000000002</v>
          </cell>
          <cell r="O455">
            <v>2</v>
          </cell>
          <cell r="P455">
            <v>2.1062251785304147</v>
          </cell>
          <cell r="Q455">
            <v>0</v>
          </cell>
          <cell r="R455">
            <v>0</v>
          </cell>
          <cell r="S455">
            <v>2.2000000000000002</v>
          </cell>
          <cell r="T455" t="str">
            <v>MID</v>
          </cell>
          <cell r="U455" t="str">
            <v>RW</v>
          </cell>
          <cell r="V455" t="str">
            <v>IPS</v>
          </cell>
          <cell r="W455" t="str">
            <v>Ipswich Town</v>
          </cell>
          <cell r="X455">
            <v>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 t="e">
            <v>#DIV/0!</v>
          </cell>
          <cell r="AH455" t="e">
            <v>#DIV/0!</v>
          </cell>
          <cell r="AI455" t="e">
            <v>#DIV/0!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314</v>
          </cell>
          <cell r="AP455" t="str">
            <v>Ogbene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 t="str">
            <v/>
          </cell>
          <cell r="BC455">
            <v>1</v>
          </cell>
          <cell r="BD455">
            <v>0</v>
          </cell>
          <cell r="BE455">
            <v>0</v>
          </cell>
          <cell r="BF455">
            <v>67</v>
          </cell>
          <cell r="BG455">
            <v>0.74444444444444446</v>
          </cell>
          <cell r="BH455">
            <v>1</v>
          </cell>
          <cell r="BI455">
            <v>1</v>
          </cell>
          <cell r="BJ455">
            <v>20</v>
          </cell>
          <cell r="BK455">
            <v>1</v>
          </cell>
          <cell r="BL455">
            <v>0.33333333333333331</v>
          </cell>
          <cell r="BM455">
            <v>0.33333333333333337</v>
          </cell>
          <cell r="BN455">
            <v>0.53233830845771146</v>
          </cell>
          <cell r="BO455">
            <v>38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38</v>
          </cell>
          <cell r="BY455">
            <v>2.1731578947368422</v>
          </cell>
          <cell r="BZ455">
            <v>0.46984210526315762</v>
          </cell>
        </row>
        <row r="456">
          <cell r="A456" t="str">
            <v>George Hirst</v>
          </cell>
          <cell r="B456" t="str">
            <v/>
          </cell>
          <cell r="C456" t="str">
            <v>Hirst</v>
          </cell>
          <cell r="D456" t="str">
            <v/>
          </cell>
          <cell r="H456" t="str">
            <v/>
          </cell>
          <cell r="I456">
            <v>2.2000000000000002</v>
          </cell>
          <cell r="J456">
            <v>2.4333333333333331</v>
          </cell>
          <cell r="K456">
            <v>2.9</v>
          </cell>
          <cell r="M456">
            <v>2.2000000000000002</v>
          </cell>
          <cell r="N456">
            <v>2.2000000000000002</v>
          </cell>
          <cell r="O456">
            <v>2</v>
          </cell>
          <cell r="P456">
            <v>2</v>
          </cell>
          <cell r="Q456">
            <v>0</v>
          </cell>
          <cell r="R456">
            <v>0</v>
          </cell>
          <cell r="S456">
            <v>2.2000000000000002</v>
          </cell>
          <cell r="T456" t="str">
            <v>FWD</v>
          </cell>
          <cell r="U456" t="str">
            <v>CF</v>
          </cell>
          <cell r="V456" t="str">
            <v>IPS</v>
          </cell>
          <cell r="W456" t="str">
            <v>Ipswich Town</v>
          </cell>
          <cell r="X456">
            <v>5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 t="e">
            <v>#DIV/0!</v>
          </cell>
          <cell r="AH456" t="e">
            <v>#DIV/0!</v>
          </cell>
          <cell r="AI456" t="e">
            <v>#DIV/0!</v>
          </cell>
          <cell r="AJ456">
            <v>6.0000000000000053E-3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317</v>
          </cell>
          <cell r="AP456" t="str">
            <v>Hirst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 t="str">
            <v/>
          </cell>
          <cell r="BC456">
            <v>25</v>
          </cell>
          <cell r="BD456">
            <v>5</v>
          </cell>
          <cell r="BE456">
            <v>0.2</v>
          </cell>
          <cell r="BF456">
            <v>70</v>
          </cell>
          <cell r="BG456">
            <v>0.77777777777777779</v>
          </cell>
          <cell r="BH456">
            <v>1</v>
          </cell>
          <cell r="BI456">
            <v>17</v>
          </cell>
          <cell r="BJ456">
            <v>20</v>
          </cell>
          <cell r="BK456">
            <v>0</v>
          </cell>
          <cell r="BL456">
            <v>0.59523809523809523</v>
          </cell>
          <cell r="BM456">
            <v>0.40476190476190477</v>
          </cell>
          <cell r="BN456">
            <v>0.71088435374149661</v>
          </cell>
          <cell r="BO456">
            <v>38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38</v>
          </cell>
          <cell r="BY456">
            <v>2.1731578947368422</v>
          </cell>
          <cell r="BZ456">
            <v>0.46984210526315762</v>
          </cell>
        </row>
        <row r="457">
          <cell r="A457" t="str">
            <v>Sam Szmodics</v>
          </cell>
          <cell r="B457" t="str">
            <v/>
          </cell>
          <cell r="C457" t="str">
            <v>Szmodics</v>
          </cell>
          <cell r="D457" t="str">
            <v/>
          </cell>
          <cell r="H457" t="str">
            <v/>
          </cell>
          <cell r="I457" t="e">
            <v>#N/A</v>
          </cell>
          <cell r="J457" t="e">
            <v>#N/A</v>
          </cell>
          <cell r="K457" t="e">
            <v>#N/A</v>
          </cell>
          <cell r="M457">
            <v>2.2000000000000002</v>
          </cell>
          <cell r="N457">
            <v>2.2000000000000002</v>
          </cell>
          <cell r="O457">
            <v>2</v>
          </cell>
          <cell r="P457">
            <v>2.1062251785304147</v>
          </cell>
          <cell r="Q457">
            <v>0</v>
          </cell>
          <cell r="R457">
            <v>0</v>
          </cell>
          <cell r="S457">
            <v>2.2000000000000002</v>
          </cell>
          <cell r="T457" t="str">
            <v>MID</v>
          </cell>
          <cell r="U457" t="str">
            <v/>
          </cell>
          <cell r="V457" t="str">
            <v>IPS</v>
          </cell>
          <cell r="W457" t="str">
            <v>Ipswich Town</v>
          </cell>
          <cell r="X457">
            <v>5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e">
            <v>#DIV/0!</v>
          </cell>
          <cell r="AH457" t="e">
            <v>#DIV/0!</v>
          </cell>
          <cell r="AI457" t="e">
            <v>#DIV/0!</v>
          </cell>
          <cell r="AJ457">
            <v>9.9999999999988987E-4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319</v>
          </cell>
          <cell r="AP457" t="str">
            <v>Szmodics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 t="str">
            <v/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0.9</v>
          </cell>
          <cell r="BH457">
            <v>1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 t="e">
            <v>#DIV/0!</v>
          </cell>
          <cell r="BO457">
            <v>38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38</v>
          </cell>
          <cell r="BY457">
            <v>2.1731578947368422</v>
          </cell>
          <cell r="BZ457">
            <v>0.46984210526315762</v>
          </cell>
        </row>
        <row r="458">
          <cell r="A458" t="str">
            <v>Chuba Akpom</v>
          </cell>
          <cell r="B458" t="str">
            <v/>
          </cell>
          <cell r="C458" t="str">
            <v>Akpom</v>
          </cell>
          <cell r="D458" t="str">
            <v/>
          </cell>
          <cell r="H458" t="str">
            <v/>
          </cell>
          <cell r="I458" t="e">
            <v>#N/A</v>
          </cell>
          <cell r="J458" t="e">
            <v>#N/A</v>
          </cell>
          <cell r="K458" t="e">
            <v>#N/A</v>
          </cell>
          <cell r="M458">
            <v>2.2000000000000002</v>
          </cell>
          <cell r="N458">
            <v>2.2000000000000002</v>
          </cell>
          <cell r="O458">
            <v>2</v>
          </cell>
          <cell r="P458">
            <v>2</v>
          </cell>
          <cell r="Q458">
            <v>0</v>
          </cell>
          <cell r="R458">
            <v>0</v>
          </cell>
          <cell r="S458">
            <v>2.2000000000000002</v>
          </cell>
          <cell r="T458" t="str">
            <v>FWD</v>
          </cell>
          <cell r="U458" t="str">
            <v>CF</v>
          </cell>
          <cell r="V458" t="str">
            <v>IPS</v>
          </cell>
          <cell r="W458" t="str">
            <v>Ipswich Town</v>
          </cell>
          <cell r="X458">
            <v>5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 t="e">
            <v>#DIV/0!</v>
          </cell>
          <cell r="AH458" t="e">
            <v>#DIV/0!</v>
          </cell>
          <cell r="AI458" t="e">
            <v>#DIV/0!</v>
          </cell>
          <cell r="AJ458">
            <v>4.9999999999998934E-3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320</v>
          </cell>
          <cell r="AP458" t="str">
            <v>Akpom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 t="str">
            <v/>
          </cell>
          <cell r="BC458">
            <v>7</v>
          </cell>
          <cell r="BD458">
            <v>1</v>
          </cell>
          <cell r="BE458">
            <v>0.14285714285714285</v>
          </cell>
          <cell r="BF458">
            <v>75</v>
          </cell>
          <cell r="BG458">
            <v>0.83333333333333337</v>
          </cell>
          <cell r="BH458">
            <v>1</v>
          </cell>
          <cell r="BI458">
            <v>22</v>
          </cell>
          <cell r="BJ458">
            <v>17</v>
          </cell>
          <cell r="BK458">
            <v>12</v>
          </cell>
          <cell r="BL458">
            <v>0.17073170731707318</v>
          </cell>
          <cell r="BM458">
            <v>0.53658536585365857</v>
          </cell>
          <cell r="BN458">
            <v>0.35869918699186998</v>
          </cell>
          <cell r="BO458">
            <v>38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38</v>
          </cell>
          <cell r="BY458">
            <v>2.1731578947368422</v>
          </cell>
          <cell r="BZ458">
            <v>0.46984210526315762</v>
          </cell>
        </row>
        <row r="459">
          <cell r="A459" t="str">
            <v>Anis Mehmeti</v>
          </cell>
          <cell r="B459" t="str">
            <v/>
          </cell>
          <cell r="C459" t="str">
            <v>Mehmeti</v>
          </cell>
          <cell r="D459" t="str">
            <v/>
          </cell>
          <cell r="H459" t="str">
            <v/>
          </cell>
          <cell r="I459">
            <v>1.4</v>
          </cell>
          <cell r="J459">
            <v>2.2666666666666666</v>
          </cell>
          <cell r="K459">
            <v>2.9</v>
          </cell>
          <cell r="M459">
            <v>2.2000000000000002</v>
          </cell>
          <cell r="N459">
            <v>2.2000000000000002</v>
          </cell>
          <cell r="O459">
            <v>2</v>
          </cell>
          <cell r="P459">
            <v>2.1062251785304147</v>
          </cell>
          <cell r="Q459">
            <v>0</v>
          </cell>
          <cell r="R459">
            <v>0</v>
          </cell>
          <cell r="S459">
            <v>2.2000000000000002</v>
          </cell>
          <cell r="T459" t="str">
            <v>MID</v>
          </cell>
          <cell r="U459" t="str">
            <v>AM</v>
          </cell>
          <cell r="V459" t="str">
            <v>IPS</v>
          </cell>
          <cell r="W459" t="str">
            <v>Ipswich Town</v>
          </cell>
          <cell r="X459">
            <v>5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 t="e">
            <v>#DIV/0!</v>
          </cell>
          <cell r="AH459" t="e">
            <v>#DIV/0!</v>
          </cell>
          <cell r="AI459" t="e">
            <v>#DIV/0!</v>
          </cell>
          <cell r="AJ459">
            <v>9.9999999999988987E-4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324</v>
          </cell>
          <cell r="AP459" t="str">
            <v>Mehmeti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 t="str">
            <v/>
          </cell>
          <cell r="BC459">
            <v>11</v>
          </cell>
          <cell r="BD459">
            <v>3</v>
          </cell>
          <cell r="BE459">
            <v>0.27272727272727271</v>
          </cell>
          <cell r="BF459">
            <v>76</v>
          </cell>
          <cell r="BG459">
            <v>0.84444444444444444</v>
          </cell>
          <cell r="BH459">
            <v>1</v>
          </cell>
          <cell r="BI459">
            <v>7</v>
          </cell>
          <cell r="BJ459">
            <v>27</v>
          </cell>
          <cell r="BK459">
            <v>1</v>
          </cell>
          <cell r="BL459">
            <v>0.57894736842105265</v>
          </cell>
          <cell r="BM459">
            <v>0.36842105263157893</v>
          </cell>
          <cell r="BN459">
            <v>0.7285318559556786</v>
          </cell>
          <cell r="BO459">
            <v>38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38</v>
          </cell>
          <cell r="BY459">
            <v>2.1731578947368422</v>
          </cell>
          <cell r="BZ459">
            <v>0.46984210526315762</v>
          </cell>
        </row>
        <row r="460">
          <cell r="A460" t="str">
            <v>Christian Walton</v>
          </cell>
          <cell r="B460" t="str">
            <v/>
          </cell>
          <cell r="C460" t="str">
            <v>Walton</v>
          </cell>
          <cell r="D460" t="str">
            <v/>
          </cell>
          <cell r="H460" t="str">
            <v/>
          </cell>
          <cell r="I460" t="e">
            <v>#N/A</v>
          </cell>
          <cell r="J460" t="e">
            <v>#N/A</v>
          </cell>
          <cell r="K460" t="e">
            <v>#N/A</v>
          </cell>
          <cell r="M460">
            <v>2.2000000000000002</v>
          </cell>
          <cell r="N460">
            <v>2.2000000000000002</v>
          </cell>
          <cell r="O460">
            <v>2</v>
          </cell>
          <cell r="P460">
            <v>1.5883217667532368</v>
          </cell>
          <cell r="Q460">
            <v>0</v>
          </cell>
          <cell r="R460">
            <v>0</v>
          </cell>
          <cell r="S460">
            <v>2.2000000000000002</v>
          </cell>
          <cell r="T460" t="str">
            <v>GK</v>
          </cell>
          <cell r="U460" t="str">
            <v>GK</v>
          </cell>
          <cell r="V460" t="str">
            <v>IPS</v>
          </cell>
          <cell r="W460" t="str">
            <v>Ipswich Town</v>
          </cell>
          <cell r="X460">
            <v>4.5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e">
            <v>#DIV/0!</v>
          </cell>
          <cell r="AH460" t="e">
            <v>#DIV/0!</v>
          </cell>
          <cell r="AI460" t="e">
            <v>#DIV/0!</v>
          </cell>
          <cell r="AJ460">
            <v>8.999999999999897E-3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300</v>
          </cell>
          <cell r="AP460" t="str">
            <v>Walton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 t="str">
            <v/>
          </cell>
          <cell r="BC460">
            <v>36</v>
          </cell>
          <cell r="BD460">
            <v>36</v>
          </cell>
          <cell r="BE460">
            <v>1</v>
          </cell>
          <cell r="BF460">
            <v>90</v>
          </cell>
          <cell r="BG460">
            <v>1</v>
          </cell>
          <cell r="BH460">
            <v>1</v>
          </cell>
          <cell r="BI460">
            <v>1</v>
          </cell>
          <cell r="BJ460">
            <v>67</v>
          </cell>
          <cell r="BK460">
            <v>9</v>
          </cell>
          <cell r="BL460">
            <v>0.78260869565217395</v>
          </cell>
          <cell r="BM460">
            <v>9.9999999999999978E-2</v>
          </cell>
          <cell r="BN460">
            <v>0.94444444444444442</v>
          </cell>
          <cell r="BO460">
            <v>38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38</v>
          </cell>
          <cell r="BY460">
            <v>2.1731578947368422</v>
          </cell>
          <cell r="BZ460">
            <v>0.46984210526315762</v>
          </cell>
        </row>
        <row r="461">
          <cell r="A461" t="str">
            <v>Jack Taylor</v>
          </cell>
          <cell r="B461" t="str">
            <v/>
          </cell>
          <cell r="C461" t="str">
            <v>Taylor</v>
          </cell>
          <cell r="D461" t="str">
            <v/>
          </cell>
          <cell r="H461" t="str">
            <v/>
          </cell>
          <cell r="I461">
            <v>2.8</v>
          </cell>
          <cell r="J461">
            <v>2.8</v>
          </cell>
          <cell r="K461">
            <v>2.8</v>
          </cell>
          <cell r="M461">
            <v>2.2000000000000002</v>
          </cell>
          <cell r="N461">
            <v>2.2000000000000002</v>
          </cell>
          <cell r="O461">
            <v>2</v>
          </cell>
          <cell r="P461">
            <v>2.1062251785304147</v>
          </cell>
          <cell r="Q461">
            <v>0</v>
          </cell>
          <cell r="R461">
            <v>0</v>
          </cell>
          <cell r="S461">
            <v>2.2000000000000002</v>
          </cell>
          <cell r="T461" t="str">
            <v>MID</v>
          </cell>
          <cell r="U461" t="str">
            <v>CM</v>
          </cell>
          <cell r="V461" t="str">
            <v>IPS</v>
          </cell>
          <cell r="W461" t="str">
            <v>Ipswich Town</v>
          </cell>
          <cell r="X461">
            <v>4.5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e">
            <v>#DIV/0!</v>
          </cell>
          <cell r="AH461" t="e">
            <v>#DIV/0!</v>
          </cell>
          <cell r="AI461" t="e">
            <v>#DIV/0!</v>
          </cell>
          <cell r="AJ461">
            <v>4.9999999999998934E-3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312</v>
          </cell>
          <cell r="AP461" t="str">
            <v>Taylor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8.6</v>
          </cell>
          <cell r="AW461">
            <v>8.6</v>
          </cell>
          <cell r="AX461">
            <v>0.16819999999999999</v>
          </cell>
          <cell r="AY461">
            <v>0</v>
          </cell>
          <cell r="AZ461">
            <v>0</v>
          </cell>
          <cell r="BA461">
            <v>0</v>
          </cell>
          <cell r="BB461" t="str">
            <v/>
          </cell>
          <cell r="BC461">
            <v>24</v>
          </cell>
          <cell r="BD461">
            <v>7</v>
          </cell>
          <cell r="BE461">
            <v>0.29166666666666669</v>
          </cell>
          <cell r="BF461">
            <v>77</v>
          </cell>
          <cell r="BG461">
            <v>0.85555555555555551</v>
          </cell>
          <cell r="BH461">
            <v>1</v>
          </cell>
          <cell r="BI461">
            <v>15</v>
          </cell>
          <cell r="BJ461">
            <v>21</v>
          </cell>
          <cell r="BK461">
            <v>6</v>
          </cell>
          <cell r="BL461">
            <v>0.53333333333333333</v>
          </cell>
          <cell r="BM461">
            <v>0.33333333333333337</v>
          </cell>
          <cell r="BN461">
            <v>0.66060606060606053</v>
          </cell>
          <cell r="BO461">
            <v>38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38</v>
          </cell>
          <cell r="BY461">
            <v>2.1731578947368422</v>
          </cell>
          <cell r="BZ461">
            <v>0.46984210526315762</v>
          </cell>
        </row>
        <row r="462">
          <cell r="A462" t="str">
            <v>Sindre Walle Egeli</v>
          </cell>
          <cell r="B462" t="str">
            <v/>
          </cell>
          <cell r="C462" t="str">
            <v>Walle Egeli</v>
          </cell>
          <cell r="D462" t="str">
            <v/>
          </cell>
          <cell r="H462" t="str">
            <v/>
          </cell>
          <cell r="I462">
            <v>1.2</v>
          </cell>
          <cell r="J462">
            <v>1.2</v>
          </cell>
          <cell r="K462">
            <v>1.2</v>
          </cell>
          <cell r="M462">
            <v>2.2000000000000002</v>
          </cell>
          <cell r="N462">
            <v>2.2000000000000002</v>
          </cell>
          <cell r="O462">
            <v>2</v>
          </cell>
          <cell r="P462">
            <v>2</v>
          </cell>
          <cell r="Q462">
            <v>0</v>
          </cell>
          <cell r="R462">
            <v>0</v>
          </cell>
          <cell r="S462">
            <v>2.2000000000000002</v>
          </cell>
          <cell r="T462" t="str">
            <v>FWD</v>
          </cell>
          <cell r="U462" t="str">
            <v>RW</v>
          </cell>
          <cell r="V462" t="str">
            <v>IPS</v>
          </cell>
          <cell r="W462" t="str">
            <v>Ipswich Town</v>
          </cell>
          <cell r="X462">
            <v>4.5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 t="e">
            <v>#DIV/0!</v>
          </cell>
          <cell r="AH462" t="e">
            <v>#DIV/0!</v>
          </cell>
          <cell r="AI462" t="e">
            <v>#DIV/0!</v>
          </cell>
          <cell r="AJ462">
            <v>2.4000000000000021E-2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321</v>
          </cell>
          <cell r="AP462" t="str">
            <v>Walle Egeli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 t="str">
            <v/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0.9</v>
          </cell>
          <cell r="BH462">
            <v>1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 t="e">
            <v>#DIV/0!</v>
          </cell>
          <cell r="BO462">
            <v>38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38</v>
          </cell>
          <cell r="BY462">
            <v>2.1731578947368422</v>
          </cell>
          <cell r="BZ462">
            <v>0.46984210526315762</v>
          </cell>
        </row>
        <row r="463">
          <cell r="A463" t="str">
            <v>Kasey McAteer</v>
          </cell>
          <cell r="B463" t="str">
            <v/>
          </cell>
          <cell r="C463" t="str">
            <v>McAteer</v>
          </cell>
          <cell r="D463" t="str">
            <v/>
          </cell>
          <cell r="H463" t="str">
            <v/>
          </cell>
          <cell r="I463">
            <v>0</v>
          </cell>
          <cell r="J463">
            <v>1.3</v>
          </cell>
          <cell r="K463">
            <v>2</v>
          </cell>
          <cell r="M463">
            <v>2.2000000000000002</v>
          </cell>
          <cell r="N463">
            <v>2.2000000000000002</v>
          </cell>
          <cell r="O463">
            <v>2</v>
          </cell>
          <cell r="P463">
            <v>2.1062251785304147</v>
          </cell>
          <cell r="Q463">
            <v>0</v>
          </cell>
          <cell r="R463">
            <v>0</v>
          </cell>
          <cell r="S463">
            <v>2.2000000000000002</v>
          </cell>
          <cell r="T463" t="str">
            <v>MID</v>
          </cell>
          <cell r="U463" t="str">
            <v>RM</v>
          </cell>
          <cell r="V463" t="str">
            <v>IPS</v>
          </cell>
          <cell r="W463" t="str">
            <v>Ipswich Town</v>
          </cell>
          <cell r="X463">
            <v>4.5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 t="e">
            <v>#DIV/0!</v>
          </cell>
          <cell r="AH463" t="e">
            <v>#DIV/0!</v>
          </cell>
          <cell r="AI463" t="e">
            <v>#DIV/0!</v>
          </cell>
          <cell r="AJ463">
            <v>2.200000000000002E-2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323</v>
          </cell>
          <cell r="AP463" t="str">
            <v>McAteer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 t="str">
            <v/>
          </cell>
          <cell r="BC463">
            <v>14</v>
          </cell>
          <cell r="BD463">
            <v>0</v>
          </cell>
          <cell r="BE463">
            <v>0</v>
          </cell>
          <cell r="BF463">
            <v>70</v>
          </cell>
          <cell r="BG463">
            <v>0.77777777777777779</v>
          </cell>
          <cell r="BH463">
            <v>1</v>
          </cell>
          <cell r="BI463">
            <v>14</v>
          </cell>
          <cell r="BJ463">
            <v>19</v>
          </cell>
          <cell r="BK463">
            <v>15</v>
          </cell>
          <cell r="BL463">
            <v>0.32558139534883723</v>
          </cell>
          <cell r="BM463">
            <v>0.32558139534883718</v>
          </cell>
          <cell r="BN463">
            <v>0.50863787375415292</v>
          </cell>
          <cell r="BO463">
            <v>38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38</v>
          </cell>
          <cell r="BY463">
            <v>2.1731578947368422</v>
          </cell>
          <cell r="BZ463">
            <v>0.46984210526315762</v>
          </cell>
        </row>
        <row r="464">
          <cell r="A464" t="str">
            <v>Kayne van Oevelen</v>
          </cell>
          <cell r="B464" t="str">
            <v/>
          </cell>
          <cell r="C464" t="str">
            <v>Van Oevelen</v>
          </cell>
          <cell r="D464" t="str">
            <v/>
          </cell>
          <cell r="H464" t="str">
            <v/>
          </cell>
          <cell r="I464">
            <v>0.9</v>
          </cell>
          <cell r="J464">
            <v>2.4333333333333336</v>
          </cell>
          <cell r="K464">
            <v>3.8</v>
          </cell>
          <cell r="M464">
            <v>2.2000000000000002</v>
          </cell>
          <cell r="N464">
            <v>2.2000000000000002</v>
          </cell>
          <cell r="O464">
            <v>2</v>
          </cell>
          <cell r="P464">
            <v>1.5883217667532368</v>
          </cell>
          <cell r="Q464">
            <v>0</v>
          </cell>
          <cell r="R464">
            <v>0</v>
          </cell>
          <cell r="S464">
            <v>2.2000000000000002</v>
          </cell>
          <cell r="T464" t="str">
            <v>GK</v>
          </cell>
          <cell r="U464" t="str">
            <v>GK</v>
          </cell>
          <cell r="V464" t="str">
            <v>IPS</v>
          </cell>
          <cell r="W464" t="str">
            <v>Ipswich Town</v>
          </cell>
          <cell r="X464">
            <v>4.5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 t="e">
            <v>#DIV/0!</v>
          </cell>
          <cell r="AH464" t="e">
            <v>#DIV/0!</v>
          </cell>
          <cell r="AI464" t="e">
            <v>#DIV/0!</v>
          </cell>
          <cell r="AJ464">
            <v>2.0000000000000018E-3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554</v>
          </cell>
          <cell r="AP464" t="str">
            <v>Van Oevelen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 t="str">
            <v/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0.9</v>
          </cell>
          <cell r="BH464">
            <v>1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 t="e">
            <v>#DIV/0!</v>
          </cell>
          <cell r="BO464">
            <v>38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38</v>
          </cell>
          <cell r="BY464">
            <v>2.1731578947368422</v>
          </cell>
          <cell r="BZ464">
            <v>0.46984210526315762</v>
          </cell>
        </row>
        <row r="465">
          <cell r="A465" t="str">
            <v>Alex Palmer</v>
          </cell>
          <cell r="B465" t="str">
            <v/>
          </cell>
          <cell r="C465" t="str">
            <v>Palmer</v>
          </cell>
          <cell r="D465" t="str">
            <v/>
          </cell>
          <cell r="H465" t="str">
            <v/>
          </cell>
          <cell r="I465">
            <v>2.7</v>
          </cell>
          <cell r="J465">
            <v>3.4333333333333336</v>
          </cell>
          <cell r="K465">
            <v>3.9</v>
          </cell>
          <cell r="M465">
            <v>2.2000000000000002</v>
          </cell>
          <cell r="N465">
            <v>2.2000000000000002</v>
          </cell>
          <cell r="O465">
            <v>2</v>
          </cell>
          <cell r="P465">
            <v>1.5883217667532368</v>
          </cell>
          <cell r="Q465">
            <v>0</v>
          </cell>
          <cell r="R465">
            <v>0</v>
          </cell>
          <cell r="S465">
            <v>2.2000000000000002</v>
          </cell>
          <cell r="T465" t="str">
            <v>GK</v>
          </cell>
          <cell r="U465" t="str">
            <v>GK</v>
          </cell>
          <cell r="V465" t="str">
            <v>IPS</v>
          </cell>
          <cell r="W465" t="str">
            <v>Ipswich Town</v>
          </cell>
          <cell r="X465">
            <v>4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 t="e">
            <v>#DIV/0!</v>
          </cell>
          <cell r="AH465" t="e">
            <v>#DIV/0!</v>
          </cell>
          <cell r="AI465" t="e">
            <v>#DIV/0!</v>
          </cell>
          <cell r="AJ465">
            <v>7.0000000000000062E-2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301</v>
          </cell>
          <cell r="AP465" t="str">
            <v>Palmer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 t="str">
            <v/>
          </cell>
          <cell r="BC465">
            <v>10</v>
          </cell>
          <cell r="BD465">
            <v>9</v>
          </cell>
          <cell r="BE465">
            <v>0.9</v>
          </cell>
          <cell r="BF465">
            <v>83</v>
          </cell>
          <cell r="BG465">
            <v>0.92222222222222228</v>
          </cell>
          <cell r="BH465">
            <v>1</v>
          </cell>
          <cell r="BI465">
            <v>0</v>
          </cell>
          <cell r="BJ465">
            <v>0</v>
          </cell>
          <cell r="BK465">
            <v>27</v>
          </cell>
          <cell r="BL465">
            <v>0.27027027027027029</v>
          </cell>
          <cell r="BM465">
            <v>0</v>
          </cell>
          <cell r="BN465">
            <v>0.27027027027027029</v>
          </cell>
          <cell r="BO465">
            <v>38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38</v>
          </cell>
          <cell r="BY465">
            <v>2.1731578947368422</v>
          </cell>
          <cell r="BZ465">
            <v>0.46984210526315762</v>
          </cell>
        </row>
        <row r="466">
          <cell r="A466" t="str">
            <v>David Button</v>
          </cell>
          <cell r="B466" t="str">
            <v/>
          </cell>
          <cell r="C466" t="str">
            <v>Button</v>
          </cell>
          <cell r="D466" t="str">
            <v/>
          </cell>
          <cell r="H466" t="str">
            <v/>
          </cell>
          <cell r="I466">
            <v>1.8</v>
          </cell>
          <cell r="J466">
            <v>2.1999999999999997</v>
          </cell>
          <cell r="K466">
            <v>2.5</v>
          </cell>
          <cell r="M466">
            <v>2.2000000000000002</v>
          </cell>
          <cell r="N466">
            <v>2.2000000000000002</v>
          </cell>
          <cell r="O466">
            <v>2</v>
          </cell>
          <cell r="P466">
            <v>1.5883217667532368</v>
          </cell>
          <cell r="Q466">
            <v>0</v>
          </cell>
          <cell r="R466">
            <v>0</v>
          </cell>
          <cell r="S466">
            <v>2.2000000000000002</v>
          </cell>
          <cell r="T466" t="str">
            <v>GK</v>
          </cell>
          <cell r="U466" t="str">
            <v>GK</v>
          </cell>
          <cell r="V466" t="str">
            <v>IPS</v>
          </cell>
          <cell r="W466" t="str">
            <v>Ipswich Town</v>
          </cell>
          <cell r="X466">
            <v>4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 t="e">
            <v>#DIV/0!</v>
          </cell>
          <cell r="AH466" t="e">
            <v>#DIV/0!</v>
          </cell>
          <cell r="AI466" t="e">
            <v>#DIV/0!</v>
          </cell>
          <cell r="AJ466">
            <v>6.9999999999998952E-3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302</v>
          </cell>
          <cell r="AP466" t="str">
            <v>Button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 t="str">
            <v/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0.9</v>
          </cell>
          <cell r="BH466">
            <v>1</v>
          </cell>
          <cell r="BI466">
            <v>0</v>
          </cell>
          <cell r="BJ466">
            <v>0</v>
          </cell>
          <cell r="BK466">
            <v>9</v>
          </cell>
          <cell r="BL466">
            <v>0</v>
          </cell>
          <cell r="BM466">
            <v>0</v>
          </cell>
          <cell r="BN466" t="e">
            <v>#DIV/0!</v>
          </cell>
          <cell r="BO466">
            <v>38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38</v>
          </cell>
          <cell r="BY466">
            <v>2.1731578947368422</v>
          </cell>
          <cell r="BZ466">
            <v>0.46984210526315762</v>
          </cell>
        </row>
        <row r="467">
          <cell r="A467" t="str">
            <v>Cédric Kipré</v>
          </cell>
          <cell r="B467" t="str">
            <v/>
          </cell>
          <cell r="C467" t="str">
            <v>Kipré</v>
          </cell>
          <cell r="D467" t="str">
            <v/>
          </cell>
          <cell r="H467" t="str">
            <v/>
          </cell>
          <cell r="I467">
            <v>2.2999999999999998</v>
          </cell>
          <cell r="J467">
            <v>2.4333333333333331</v>
          </cell>
          <cell r="K467">
            <v>2.5</v>
          </cell>
          <cell r="M467">
            <v>2.2000000000000002</v>
          </cell>
          <cell r="N467">
            <v>2.2000000000000002</v>
          </cell>
          <cell r="O467">
            <v>2</v>
          </cell>
          <cell r="P467">
            <v>1.5883217667532368</v>
          </cell>
          <cell r="Q467">
            <v>0</v>
          </cell>
          <cell r="R467">
            <v>0</v>
          </cell>
          <cell r="S467">
            <v>2.2000000000000002</v>
          </cell>
          <cell r="T467" t="str">
            <v>DEF</v>
          </cell>
          <cell r="U467" t="str">
            <v>CB</v>
          </cell>
          <cell r="V467" t="str">
            <v>IPS</v>
          </cell>
          <cell r="W467" t="str">
            <v>Ipswich Town</v>
          </cell>
          <cell r="X467">
            <v>4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 t="e">
            <v>#DIV/0!</v>
          </cell>
          <cell r="AH467" t="e">
            <v>#DIV/0!</v>
          </cell>
          <cell r="AI467" t="e">
            <v>#DIV/0!</v>
          </cell>
          <cell r="AJ467">
            <v>4.0000000000000036E-3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303</v>
          </cell>
          <cell r="AP467" t="str">
            <v>Kipré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8.5</v>
          </cell>
          <cell r="AW467">
            <v>8.5</v>
          </cell>
          <cell r="AX467">
            <v>0.35149999999999998</v>
          </cell>
          <cell r="AY467">
            <v>0</v>
          </cell>
          <cell r="AZ467">
            <v>0</v>
          </cell>
          <cell r="BA467">
            <v>0</v>
          </cell>
          <cell r="BB467" t="str">
            <v/>
          </cell>
          <cell r="BC467">
            <v>29</v>
          </cell>
          <cell r="BD467">
            <v>28</v>
          </cell>
          <cell r="BE467">
            <v>0.96551724137931039</v>
          </cell>
          <cell r="BF467">
            <v>89</v>
          </cell>
          <cell r="BG467">
            <v>0.98888888888888893</v>
          </cell>
          <cell r="BH467">
            <v>1</v>
          </cell>
          <cell r="BI467">
            <v>3</v>
          </cell>
          <cell r="BJ467">
            <v>5</v>
          </cell>
          <cell r="BK467">
            <v>12</v>
          </cell>
          <cell r="BL467">
            <v>0.65909090909090906</v>
          </cell>
          <cell r="BM467">
            <v>6.8181818181818177E-2</v>
          </cell>
          <cell r="BN467">
            <v>0.67824310520939735</v>
          </cell>
          <cell r="BO467">
            <v>38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38</v>
          </cell>
          <cell r="BY467">
            <v>2.1731578947368422</v>
          </cell>
          <cell r="BZ467">
            <v>0.46984210526315762</v>
          </cell>
        </row>
        <row r="468">
          <cell r="A468" t="str">
            <v>Dara O'Shea</v>
          </cell>
          <cell r="B468" t="str">
            <v/>
          </cell>
          <cell r="C468" t="str">
            <v>O'Shea</v>
          </cell>
          <cell r="D468" t="str">
            <v/>
          </cell>
          <cell r="H468" t="str">
            <v/>
          </cell>
          <cell r="I468">
            <v>1.8</v>
          </cell>
          <cell r="J468">
            <v>1.8</v>
          </cell>
          <cell r="K468">
            <v>1.8</v>
          </cell>
          <cell r="M468">
            <v>2.2000000000000002</v>
          </cell>
          <cell r="N468">
            <v>2.2000000000000002</v>
          </cell>
          <cell r="O468">
            <v>2</v>
          </cell>
          <cell r="P468">
            <v>1.5883217667532368</v>
          </cell>
          <cell r="Q468">
            <v>0</v>
          </cell>
          <cell r="R468">
            <v>0</v>
          </cell>
          <cell r="S468">
            <v>2.2000000000000002</v>
          </cell>
          <cell r="T468" t="str">
            <v>DEF</v>
          </cell>
          <cell r="U468" t="str">
            <v>CB</v>
          </cell>
          <cell r="V468" t="str">
            <v>IPS</v>
          </cell>
          <cell r="W468" t="str">
            <v>Ipswich Town</v>
          </cell>
          <cell r="X468">
            <v>4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 t="e">
            <v>#DIV/0!</v>
          </cell>
          <cell r="AH468" t="e">
            <v>#DIV/0!</v>
          </cell>
          <cell r="AI468" t="e">
            <v>#DIV/0!</v>
          </cell>
          <cell r="AJ468">
            <v>1.2999999999999901E-2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304</v>
          </cell>
          <cell r="AP468" t="str">
            <v>O'Shea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8.6999999999999993</v>
          </cell>
          <cell r="AW468">
            <v>8.6999999999999993</v>
          </cell>
          <cell r="AX468">
            <v>0.37569999999999992</v>
          </cell>
          <cell r="AY468">
            <v>0</v>
          </cell>
          <cell r="AZ468">
            <v>0</v>
          </cell>
          <cell r="BA468">
            <v>0</v>
          </cell>
          <cell r="BB468" t="str">
            <v/>
          </cell>
          <cell r="BC468">
            <v>46</v>
          </cell>
          <cell r="BD468">
            <v>46</v>
          </cell>
          <cell r="BE468">
            <v>1</v>
          </cell>
          <cell r="BF468">
            <v>90</v>
          </cell>
          <cell r="BG468">
            <v>1</v>
          </cell>
          <cell r="BH468">
            <v>1</v>
          </cell>
          <cell r="BI468">
            <v>0</v>
          </cell>
          <cell r="BJ468">
            <v>0</v>
          </cell>
          <cell r="BK468">
            <v>0</v>
          </cell>
          <cell r="BL468">
            <v>1</v>
          </cell>
          <cell r="BM468">
            <v>0</v>
          </cell>
          <cell r="BN468">
            <v>1</v>
          </cell>
          <cell r="BO468">
            <v>38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38</v>
          </cell>
          <cell r="BY468">
            <v>2.1731578947368422</v>
          </cell>
          <cell r="BZ468">
            <v>0.46984210526315762</v>
          </cell>
        </row>
        <row r="469">
          <cell r="A469" t="str">
            <v>Leif Davis</v>
          </cell>
          <cell r="B469" t="str">
            <v/>
          </cell>
          <cell r="C469" t="str">
            <v>Davis</v>
          </cell>
          <cell r="D469" t="str">
            <v/>
          </cell>
          <cell r="H469" t="str">
            <v/>
          </cell>
          <cell r="I469" t="e">
            <v>#N/A</v>
          </cell>
          <cell r="J469" t="e">
            <v>#N/A</v>
          </cell>
          <cell r="K469" t="e">
            <v>#N/A</v>
          </cell>
          <cell r="M469">
            <v>2.2000000000000002</v>
          </cell>
          <cell r="N469">
            <v>2.2000000000000002</v>
          </cell>
          <cell r="O469">
            <v>2</v>
          </cell>
          <cell r="P469">
            <v>1.5883217667532368</v>
          </cell>
          <cell r="Q469">
            <v>0</v>
          </cell>
          <cell r="R469">
            <v>0</v>
          </cell>
          <cell r="S469">
            <v>2.2000000000000002</v>
          </cell>
          <cell r="T469" t="str">
            <v>DEF</v>
          </cell>
          <cell r="U469" t="str">
            <v>LB</v>
          </cell>
          <cell r="V469" t="str">
            <v>IPS</v>
          </cell>
          <cell r="W469" t="str">
            <v>Ipswich Town</v>
          </cell>
          <cell r="X469">
            <v>4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 t="e">
            <v>#DIV/0!</v>
          </cell>
          <cell r="AH469" t="e">
            <v>#DIV/0!</v>
          </cell>
          <cell r="AI469" t="e">
            <v>#DIV/0!</v>
          </cell>
          <cell r="AJ469">
            <v>4.8000000000000043E-2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305</v>
          </cell>
          <cell r="AP469" t="str">
            <v>Davis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4.3</v>
          </cell>
          <cell r="AW469">
            <v>4.3</v>
          </cell>
          <cell r="AX469">
            <v>2.7519999999999999E-2</v>
          </cell>
          <cell r="AY469">
            <v>0</v>
          </cell>
          <cell r="AZ469">
            <v>0</v>
          </cell>
          <cell r="BA469">
            <v>0</v>
          </cell>
          <cell r="BB469" t="str">
            <v/>
          </cell>
          <cell r="BC469">
            <v>35</v>
          </cell>
          <cell r="BD469">
            <v>30</v>
          </cell>
          <cell r="BE469">
            <v>0.8571428571428571</v>
          </cell>
          <cell r="BF469">
            <v>88</v>
          </cell>
          <cell r="BG469">
            <v>0.97777777777777775</v>
          </cell>
          <cell r="BH469">
            <v>1</v>
          </cell>
          <cell r="BI469">
            <v>2</v>
          </cell>
          <cell r="BJ469">
            <v>35</v>
          </cell>
          <cell r="BK469">
            <v>0</v>
          </cell>
          <cell r="BL469">
            <v>0.94594594594594594</v>
          </cell>
          <cell r="BM469">
            <v>5.4054054054054057E-2</v>
          </cell>
          <cell r="BN469">
            <v>0.96744471744471738</v>
          </cell>
          <cell r="BO469">
            <v>38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38</v>
          </cell>
          <cell r="BY469">
            <v>2.1731578947368422</v>
          </cell>
          <cell r="BZ469">
            <v>0.46984210526315762</v>
          </cell>
        </row>
        <row r="470">
          <cell r="A470" t="str">
            <v>Jacob Greaves</v>
          </cell>
          <cell r="B470" t="str">
            <v/>
          </cell>
          <cell r="C470" t="str">
            <v>Greaves</v>
          </cell>
          <cell r="D470" t="str">
            <v/>
          </cell>
          <cell r="H470" t="str">
            <v/>
          </cell>
          <cell r="I470" t="e">
            <v>#N/A</v>
          </cell>
          <cell r="J470" t="e">
            <v>#N/A</v>
          </cell>
          <cell r="K470" t="e">
            <v>#N/A</v>
          </cell>
          <cell r="M470">
            <v>2.2000000000000002</v>
          </cell>
          <cell r="N470">
            <v>2.2000000000000002</v>
          </cell>
          <cell r="O470">
            <v>2</v>
          </cell>
          <cell r="P470">
            <v>1.5883217667532368</v>
          </cell>
          <cell r="Q470">
            <v>0</v>
          </cell>
          <cell r="R470">
            <v>0</v>
          </cell>
          <cell r="S470">
            <v>2.2000000000000002</v>
          </cell>
          <cell r="T470" t="str">
            <v>DEF</v>
          </cell>
          <cell r="U470" t="str">
            <v>CB</v>
          </cell>
          <cell r="V470" t="str">
            <v>IPS</v>
          </cell>
          <cell r="W470" t="str">
            <v>Ipswich Town</v>
          </cell>
          <cell r="X470">
            <v>4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 t="e">
            <v>#DIV/0!</v>
          </cell>
          <cell r="AH470" t="e">
            <v>#DIV/0!</v>
          </cell>
          <cell r="AI470" t="e">
            <v>#DIV/0!</v>
          </cell>
          <cell r="AJ470">
            <v>6.9999999999998952E-3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306</v>
          </cell>
          <cell r="AP470" t="str">
            <v>Greaves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9.6</v>
          </cell>
          <cell r="AW470">
            <v>9.6</v>
          </cell>
          <cell r="AX470">
            <v>0.48609999999999998</v>
          </cell>
          <cell r="AY470">
            <v>0</v>
          </cell>
          <cell r="AZ470">
            <v>0</v>
          </cell>
          <cell r="BA470">
            <v>0</v>
          </cell>
          <cell r="BB470" t="str">
            <v/>
          </cell>
          <cell r="BC470">
            <v>23</v>
          </cell>
          <cell r="BD470">
            <v>22</v>
          </cell>
          <cell r="BE470">
            <v>0.95652173913043481</v>
          </cell>
          <cell r="BF470">
            <v>89</v>
          </cell>
          <cell r="BG470">
            <v>0.98888888888888893</v>
          </cell>
          <cell r="BH470">
            <v>1</v>
          </cell>
          <cell r="BI470">
            <v>1</v>
          </cell>
          <cell r="BJ470">
            <v>12</v>
          </cell>
          <cell r="BK470">
            <v>21</v>
          </cell>
          <cell r="BL470">
            <v>0.51111111111111107</v>
          </cell>
          <cell r="BM470">
            <v>2.2222222222222199E-2</v>
          </cell>
          <cell r="BN470">
            <v>0.57702871410736578</v>
          </cell>
          <cell r="BO470">
            <v>38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38</v>
          </cell>
          <cell r="BY470">
            <v>2.1731578947368422</v>
          </cell>
          <cell r="BZ470">
            <v>0.46984210526315762</v>
          </cell>
        </row>
        <row r="471">
          <cell r="A471" t="str">
            <v>Ben Johnson</v>
          </cell>
          <cell r="B471" t="str">
            <v/>
          </cell>
          <cell r="C471" t="str">
            <v>Johnson</v>
          </cell>
          <cell r="D471" t="str">
            <v/>
          </cell>
          <cell r="H471" t="str">
            <v/>
          </cell>
          <cell r="I471" t="e">
            <v>#N/A</v>
          </cell>
          <cell r="J471" t="e">
            <v>#N/A</v>
          </cell>
          <cell r="K471" t="e">
            <v>#N/A</v>
          </cell>
          <cell r="M471">
            <v>2.2000000000000002</v>
          </cell>
          <cell r="N471">
            <v>2.2000000000000002</v>
          </cell>
          <cell r="O471">
            <v>2</v>
          </cell>
          <cell r="P471">
            <v>1.5883217667532368</v>
          </cell>
          <cell r="Q471">
            <v>0</v>
          </cell>
          <cell r="R471">
            <v>0</v>
          </cell>
          <cell r="S471">
            <v>2.2000000000000002</v>
          </cell>
          <cell r="T471" t="str">
            <v>DEF</v>
          </cell>
          <cell r="U471" t="str">
            <v>RB</v>
          </cell>
          <cell r="V471" t="str">
            <v>IPS</v>
          </cell>
          <cell r="W471" t="str">
            <v>Ipswich Town</v>
          </cell>
          <cell r="X471">
            <v>4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 t="e">
            <v>#DIV/0!</v>
          </cell>
          <cell r="AH471" t="e">
            <v>#DIV/0!</v>
          </cell>
          <cell r="AI471" t="e">
            <v>#DIV/0!</v>
          </cell>
          <cell r="AJ471">
            <v>2.0000000000000018E-3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307</v>
          </cell>
          <cell r="AP471" t="str">
            <v>Johnson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 t="str">
            <v/>
          </cell>
          <cell r="BC471">
            <v>9</v>
          </cell>
          <cell r="BD471">
            <v>5</v>
          </cell>
          <cell r="BE471">
            <v>0.55555555555555558</v>
          </cell>
          <cell r="BF471">
            <v>83</v>
          </cell>
          <cell r="BG471">
            <v>0.92222222222222228</v>
          </cell>
          <cell r="BH471">
            <v>1</v>
          </cell>
          <cell r="BI471">
            <v>8</v>
          </cell>
          <cell r="BJ471">
            <v>13</v>
          </cell>
          <cell r="BK471">
            <v>20</v>
          </cell>
          <cell r="BL471">
            <v>0.24324324324324326</v>
          </cell>
          <cell r="BM471">
            <v>0.21621621621621623</v>
          </cell>
          <cell r="BN471">
            <v>0.36177140996418106</v>
          </cell>
          <cell r="BO471">
            <v>38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38</v>
          </cell>
          <cell r="BY471">
            <v>2.1731578947368422</v>
          </cell>
          <cell r="BZ471">
            <v>0.46984210526315762</v>
          </cell>
        </row>
        <row r="472">
          <cell r="A472" t="str">
            <v>Darnell Furlong</v>
          </cell>
          <cell r="B472" t="str">
            <v/>
          </cell>
          <cell r="C472" t="str">
            <v>Furlong</v>
          </cell>
          <cell r="D472" t="str">
            <v/>
          </cell>
          <cell r="H472" t="str">
            <v/>
          </cell>
          <cell r="I472" t="e">
            <v>#N/A</v>
          </cell>
          <cell r="J472" t="e">
            <v>#N/A</v>
          </cell>
          <cell r="K472" t="e">
            <v>#N/A</v>
          </cell>
          <cell r="M472">
            <v>2.2000000000000002</v>
          </cell>
          <cell r="N472">
            <v>2.2000000000000002</v>
          </cell>
          <cell r="O472">
            <v>2</v>
          </cell>
          <cell r="P472">
            <v>1.5883217667532368</v>
          </cell>
          <cell r="Q472">
            <v>0</v>
          </cell>
          <cell r="R472">
            <v>0</v>
          </cell>
          <cell r="S472">
            <v>2.2000000000000002</v>
          </cell>
          <cell r="T472" t="str">
            <v>DEF</v>
          </cell>
          <cell r="U472" t="str">
            <v>RB</v>
          </cell>
          <cell r="V472" t="str">
            <v>IPS</v>
          </cell>
          <cell r="W472" t="str">
            <v>Ipswich Town</v>
          </cell>
          <cell r="X472">
            <v>4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e">
            <v>#DIV/0!</v>
          </cell>
          <cell r="AH472" t="e">
            <v>#DIV/0!</v>
          </cell>
          <cell r="AI472" t="e">
            <v>#DIV/0!</v>
          </cell>
          <cell r="AJ472">
            <v>4.0000000000000036E-3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308</v>
          </cell>
          <cell r="AP472" t="str">
            <v>Furlong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6.1</v>
          </cell>
          <cell r="AW472">
            <v>6.1</v>
          </cell>
          <cell r="AX472">
            <v>0.10789999999999998</v>
          </cell>
          <cell r="AY472">
            <v>0</v>
          </cell>
          <cell r="AZ472">
            <v>0</v>
          </cell>
          <cell r="BA472">
            <v>0</v>
          </cell>
          <cell r="BB472" t="str">
            <v/>
          </cell>
          <cell r="BC472">
            <v>40</v>
          </cell>
          <cell r="BD472">
            <v>36</v>
          </cell>
          <cell r="BE472">
            <v>0.9</v>
          </cell>
          <cell r="BF472">
            <v>88</v>
          </cell>
          <cell r="BG472">
            <v>0.97777777777777775</v>
          </cell>
          <cell r="BH472">
            <v>1</v>
          </cell>
          <cell r="BI472">
            <v>0</v>
          </cell>
          <cell r="BJ472">
            <v>0</v>
          </cell>
          <cell r="BK472">
            <v>3</v>
          </cell>
          <cell r="BL472">
            <v>0.93023255813953487</v>
          </cell>
          <cell r="BM472">
            <v>0</v>
          </cell>
          <cell r="BN472">
            <v>0.93023255813953487</v>
          </cell>
          <cell r="BO472">
            <v>38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38</v>
          </cell>
          <cell r="BY472">
            <v>2.1731578947368422</v>
          </cell>
          <cell r="BZ472">
            <v>0.46984210526315762</v>
          </cell>
        </row>
        <row r="473">
          <cell r="A473" t="str">
            <v>Oli McBurnie</v>
          </cell>
          <cell r="B473" t="str">
            <v/>
          </cell>
          <cell r="C473" t="str">
            <v>McBurnie</v>
          </cell>
          <cell r="D473" t="str">
            <v/>
          </cell>
          <cell r="E473" t="str">
            <v>Oliver McBurnie</v>
          </cell>
          <cell r="H473" t="str">
            <v/>
          </cell>
          <cell r="I473">
            <v>2.5</v>
          </cell>
          <cell r="J473">
            <v>2.8666666666666667</v>
          </cell>
          <cell r="K473">
            <v>3.4</v>
          </cell>
          <cell r="M473">
            <v>2.2000000000000002</v>
          </cell>
          <cell r="N473">
            <v>2.2000000000000002</v>
          </cell>
          <cell r="O473">
            <v>2</v>
          </cell>
          <cell r="P473">
            <v>2</v>
          </cell>
          <cell r="Q473">
            <v>0</v>
          </cell>
          <cell r="R473">
            <v>0</v>
          </cell>
          <cell r="S473">
            <v>2.2000000000000002</v>
          </cell>
          <cell r="T473" t="str">
            <v>FWD</v>
          </cell>
          <cell r="U473" t="str">
            <v>CF</v>
          </cell>
          <cell r="V473" t="str">
            <v>HUL</v>
          </cell>
          <cell r="W473" t="str">
            <v>Hull City</v>
          </cell>
          <cell r="X473">
            <v>5.5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 t="e">
            <v>#DIV/0!</v>
          </cell>
          <cell r="AH473" t="e">
            <v>#DIV/0!</v>
          </cell>
          <cell r="AI473" t="e">
            <v>#DIV/0!</v>
          </cell>
          <cell r="AJ473">
            <v>2.4999999999999911E-2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295</v>
          </cell>
          <cell r="AP473" t="str">
            <v>McBurnie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 t="str">
            <v/>
          </cell>
          <cell r="BC473">
            <v>32</v>
          </cell>
          <cell r="BD473">
            <v>22</v>
          </cell>
          <cell r="BE473">
            <v>0.6875</v>
          </cell>
          <cell r="BF473">
            <v>87</v>
          </cell>
          <cell r="BG473">
            <v>0.96666666666666667</v>
          </cell>
          <cell r="BH473">
            <v>1</v>
          </cell>
          <cell r="BI473">
            <v>5</v>
          </cell>
          <cell r="BJ473">
            <v>27</v>
          </cell>
          <cell r="BK473">
            <v>1</v>
          </cell>
          <cell r="BL473">
            <v>0.84210526315789469</v>
          </cell>
          <cell r="BM473">
            <v>0.1315789473684211</v>
          </cell>
          <cell r="BN473">
            <v>0.89110707803992739</v>
          </cell>
          <cell r="BO473">
            <v>38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38</v>
          </cell>
          <cell r="BY473">
            <v>2.3684210526315788</v>
          </cell>
          <cell r="BZ473">
            <v>0.27457894736842103</v>
          </cell>
        </row>
        <row r="474">
          <cell r="A474" t="str">
            <v>Mohamed Belloumi</v>
          </cell>
          <cell r="B474" t="str">
            <v/>
          </cell>
          <cell r="C474" t="str">
            <v>Belloumi</v>
          </cell>
          <cell r="D474" t="str">
            <v/>
          </cell>
          <cell r="H474" t="str">
            <v/>
          </cell>
          <cell r="I474">
            <v>0</v>
          </cell>
          <cell r="J474">
            <v>0.19999999999999998</v>
          </cell>
          <cell r="K474">
            <v>0.6</v>
          </cell>
          <cell r="M474">
            <v>2.2000000000000002</v>
          </cell>
          <cell r="N474">
            <v>2.2000000000000002</v>
          </cell>
          <cell r="O474">
            <v>2</v>
          </cell>
          <cell r="P474">
            <v>2.0620787225712078</v>
          </cell>
          <cell r="Q474">
            <v>0</v>
          </cell>
          <cell r="R474">
            <v>0</v>
          </cell>
          <cell r="S474">
            <v>2.2000000000000002</v>
          </cell>
          <cell r="T474" t="str">
            <v>MID</v>
          </cell>
          <cell r="U474" t="str">
            <v>RW</v>
          </cell>
          <cell r="V474" t="str">
            <v>HUL</v>
          </cell>
          <cell r="W474" t="str">
            <v>Hull City</v>
          </cell>
          <cell r="X474">
            <v>5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 t="e">
            <v>#DIV/0!</v>
          </cell>
          <cell r="AH474" t="e">
            <v>#DIV/0!</v>
          </cell>
          <cell r="AI474" t="e">
            <v>#DIV/0!</v>
          </cell>
          <cell r="AJ474">
            <v>6.9999999999998952E-3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286</v>
          </cell>
          <cell r="AP474" t="str">
            <v>Belloumi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 t="str">
            <v/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0.9</v>
          </cell>
          <cell r="BH474">
            <v>1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 t="e">
            <v>#DIV/0!</v>
          </cell>
          <cell r="BO474">
            <v>38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38</v>
          </cell>
          <cell r="BY474">
            <v>2.3684210526315788</v>
          </cell>
          <cell r="BZ474">
            <v>0.27457894736842103</v>
          </cell>
        </row>
        <row r="475">
          <cell r="A475" t="str">
            <v>Liam Millar</v>
          </cell>
          <cell r="B475" t="str">
            <v/>
          </cell>
          <cell r="C475" t="str">
            <v>Millar</v>
          </cell>
          <cell r="D475" t="str">
            <v/>
          </cell>
          <cell r="H475" t="str">
            <v/>
          </cell>
          <cell r="I475" t="e">
            <v>#N/A</v>
          </cell>
          <cell r="J475" t="e">
            <v>#N/A</v>
          </cell>
          <cell r="K475" t="e">
            <v>#N/A</v>
          </cell>
          <cell r="M475">
            <v>2.2000000000000002</v>
          </cell>
          <cell r="N475">
            <v>2.2000000000000002</v>
          </cell>
          <cell r="O475">
            <v>2</v>
          </cell>
          <cell r="P475">
            <v>2.0620787225712078</v>
          </cell>
          <cell r="Q475">
            <v>0</v>
          </cell>
          <cell r="R475">
            <v>0</v>
          </cell>
          <cell r="S475">
            <v>2.2000000000000002</v>
          </cell>
          <cell r="T475" t="str">
            <v>MID</v>
          </cell>
          <cell r="U475" t="str">
            <v>LW</v>
          </cell>
          <cell r="V475" t="str">
            <v>HUL</v>
          </cell>
          <cell r="W475" t="str">
            <v>Hull City</v>
          </cell>
          <cell r="X475">
            <v>5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 t="e">
            <v>#DIV/0!</v>
          </cell>
          <cell r="AH475" t="e">
            <v>#DIV/0!</v>
          </cell>
          <cell r="AI475" t="e">
            <v>#DIV/0!</v>
          </cell>
          <cell r="AJ475">
            <v>9.9999999999988987E-4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287</v>
          </cell>
          <cell r="AP475" t="str">
            <v>Millar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 t="str">
            <v/>
          </cell>
          <cell r="BC475">
            <v>22</v>
          </cell>
          <cell r="BD475">
            <v>1</v>
          </cell>
          <cell r="BE475">
            <v>4.5454545454545456E-2</v>
          </cell>
          <cell r="BF475">
            <v>71</v>
          </cell>
          <cell r="BG475">
            <v>0.78888888888888886</v>
          </cell>
          <cell r="BH475">
            <v>1</v>
          </cell>
          <cell r="BI475">
            <v>11</v>
          </cell>
          <cell r="BJ475">
            <v>24</v>
          </cell>
          <cell r="BK475">
            <v>1</v>
          </cell>
          <cell r="BL475">
            <v>0.6470588235294118</v>
          </cell>
          <cell r="BM475">
            <v>0.32352941176470584</v>
          </cell>
          <cell r="BN475">
            <v>0.76636288318144163</v>
          </cell>
          <cell r="BO475">
            <v>38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38</v>
          </cell>
          <cell r="BY475">
            <v>2.3684210526315788</v>
          </cell>
          <cell r="BZ475">
            <v>0.27457894736842103</v>
          </cell>
        </row>
        <row r="476">
          <cell r="A476" t="str">
            <v>Abdülkadir Ömür</v>
          </cell>
          <cell r="B476" t="str">
            <v/>
          </cell>
          <cell r="C476" t="str">
            <v>Ömür</v>
          </cell>
          <cell r="D476" t="str">
            <v/>
          </cell>
          <cell r="H476" t="str">
            <v/>
          </cell>
          <cell r="I476">
            <v>2</v>
          </cell>
          <cell r="J476">
            <v>2.2999999999999998</v>
          </cell>
          <cell r="K476">
            <v>2.6</v>
          </cell>
          <cell r="M476">
            <v>2.2000000000000002</v>
          </cell>
          <cell r="N476">
            <v>2.2000000000000002</v>
          </cell>
          <cell r="O476">
            <v>2</v>
          </cell>
          <cell r="P476">
            <v>2.0620787225712078</v>
          </cell>
          <cell r="Q476">
            <v>0</v>
          </cell>
          <cell r="R476">
            <v>0</v>
          </cell>
          <cell r="S476">
            <v>2.2000000000000002</v>
          </cell>
          <cell r="T476" t="str">
            <v>MID</v>
          </cell>
          <cell r="U476" t="str">
            <v>RM</v>
          </cell>
          <cell r="V476" t="str">
            <v>HUL</v>
          </cell>
          <cell r="W476" t="str">
            <v>Hull City</v>
          </cell>
          <cell r="X476">
            <v>5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 t="e">
            <v>#DIV/0!</v>
          </cell>
          <cell r="AH476" t="e">
            <v>#DIV/0!</v>
          </cell>
          <cell r="AI476" t="e">
            <v>#DIV/0!</v>
          </cell>
          <cell r="AJ476">
            <v>9.9999999999988987E-4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292</v>
          </cell>
          <cell r="AP476" t="str">
            <v>Ömür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 t="str">
            <v/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0.9</v>
          </cell>
          <cell r="BH476">
            <v>1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 t="e">
            <v>#DIV/0!</v>
          </cell>
          <cell r="BO476">
            <v>38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38</v>
          </cell>
          <cell r="BY476">
            <v>2.3684210526315788</v>
          </cell>
          <cell r="BZ476">
            <v>0.27457894736842103</v>
          </cell>
        </row>
        <row r="477">
          <cell r="A477" t="str">
            <v>Abu Kamara</v>
          </cell>
          <cell r="B477" t="str">
            <v/>
          </cell>
          <cell r="C477" t="str">
            <v>Kamara</v>
          </cell>
          <cell r="D477" t="str">
            <v/>
          </cell>
          <cell r="H477" t="str">
            <v/>
          </cell>
          <cell r="I477" t="e">
            <v>#N/A</v>
          </cell>
          <cell r="J477" t="e">
            <v>#N/A</v>
          </cell>
          <cell r="K477" t="e">
            <v>#N/A</v>
          </cell>
          <cell r="M477">
            <v>2.2000000000000002</v>
          </cell>
          <cell r="N477">
            <v>2.2000000000000002</v>
          </cell>
          <cell r="O477">
            <v>2</v>
          </cell>
          <cell r="P477">
            <v>2.0620787225712078</v>
          </cell>
          <cell r="Q477">
            <v>0</v>
          </cell>
          <cell r="R477">
            <v>0</v>
          </cell>
          <cell r="S477">
            <v>2.2000000000000002</v>
          </cell>
          <cell r="T477" t="str">
            <v>MID</v>
          </cell>
          <cell r="U477" t="str">
            <v>RW</v>
          </cell>
          <cell r="V477" t="str">
            <v>HUL</v>
          </cell>
          <cell r="W477" t="str">
            <v>Hull City</v>
          </cell>
          <cell r="X477">
            <v>5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 t="e">
            <v>#DIV/0!</v>
          </cell>
          <cell r="AH477" t="e">
            <v>#DIV/0!</v>
          </cell>
          <cell r="AI477" t="e">
            <v>#DIV/0!</v>
          </cell>
          <cell r="AJ477">
            <v>9.9999999999988987E-4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293</v>
          </cell>
          <cell r="AP477" t="str">
            <v>Kamara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 t="str">
            <v/>
          </cell>
          <cell r="BC477">
            <v>0</v>
          </cell>
          <cell r="BD477">
            <v>0</v>
          </cell>
          <cell r="BE477">
            <v>0</v>
          </cell>
          <cell r="BF477">
            <v>79</v>
          </cell>
          <cell r="BG477">
            <v>0.9</v>
          </cell>
          <cell r="BH477">
            <v>1</v>
          </cell>
          <cell r="BI477">
            <v>1</v>
          </cell>
          <cell r="BJ477">
            <v>24</v>
          </cell>
          <cell r="BK477">
            <v>0</v>
          </cell>
          <cell r="BL477">
            <v>0</v>
          </cell>
          <cell r="BM477">
            <v>1</v>
          </cell>
          <cell r="BN477">
            <v>0.30379746835443039</v>
          </cell>
          <cell r="BO477">
            <v>38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38</v>
          </cell>
          <cell r="BY477">
            <v>2.3684210526315788</v>
          </cell>
          <cell r="BZ477">
            <v>0.27457894736842103</v>
          </cell>
        </row>
        <row r="478">
          <cell r="A478" t="str">
            <v>David Akintola</v>
          </cell>
          <cell r="B478" t="str">
            <v/>
          </cell>
          <cell r="C478" t="str">
            <v>Akintola</v>
          </cell>
          <cell r="D478" t="str">
            <v/>
          </cell>
          <cell r="H478" t="str">
            <v/>
          </cell>
          <cell r="I478" t="e">
            <v>#N/A</v>
          </cell>
          <cell r="J478" t="e">
            <v>#N/A</v>
          </cell>
          <cell r="K478" t="e">
            <v>#N/A</v>
          </cell>
          <cell r="M478">
            <v>2.2000000000000002</v>
          </cell>
          <cell r="N478">
            <v>2.2000000000000002</v>
          </cell>
          <cell r="O478">
            <v>2</v>
          </cell>
          <cell r="P478">
            <v>2.0620787225712078</v>
          </cell>
          <cell r="Q478">
            <v>0</v>
          </cell>
          <cell r="R478">
            <v>0</v>
          </cell>
          <cell r="S478">
            <v>2.2000000000000002</v>
          </cell>
          <cell r="T478" t="str">
            <v>MID</v>
          </cell>
          <cell r="U478" t="str">
            <v>RW</v>
          </cell>
          <cell r="V478" t="str">
            <v>HUL</v>
          </cell>
          <cell r="W478" t="str">
            <v>Hull City</v>
          </cell>
          <cell r="X478">
            <v>5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 t="e">
            <v>#DIV/0!</v>
          </cell>
          <cell r="AH478" t="e">
            <v>#DIV/0!</v>
          </cell>
          <cell r="AI478" t="e">
            <v>#DIV/0!</v>
          </cell>
          <cell r="AJ478">
            <v>9.9999999999988987E-4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296</v>
          </cell>
          <cell r="AP478" t="str">
            <v>Akintola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 t="str">
            <v/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0.9</v>
          </cell>
          <cell r="BH478">
            <v>1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 t="e">
            <v>#DIV/0!</v>
          </cell>
          <cell r="BO478">
            <v>38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38</v>
          </cell>
          <cell r="BY478">
            <v>2.3684210526315788</v>
          </cell>
          <cell r="BZ478">
            <v>0.27457894736842103</v>
          </cell>
        </row>
        <row r="479">
          <cell r="A479" t="str">
            <v>Jack Butland</v>
          </cell>
          <cell r="B479" t="str">
            <v/>
          </cell>
          <cell r="C479" t="str">
            <v>Butland</v>
          </cell>
          <cell r="D479" t="str">
            <v/>
          </cell>
          <cell r="H479" t="str">
            <v/>
          </cell>
          <cell r="I479">
            <v>1.1000000000000001</v>
          </cell>
          <cell r="J479">
            <v>1.4500000000000002</v>
          </cell>
          <cell r="K479">
            <v>1.8</v>
          </cell>
          <cell r="M479">
            <v>2.2000000000000002</v>
          </cell>
          <cell r="N479">
            <v>2.2000000000000002</v>
          </cell>
          <cell r="O479">
            <v>2</v>
          </cell>
          <cell r="P479">
            <v>1.314104363969042</v>
          </cell>
          <cell r="Q479">
            <v>0</v>
          </cell>
          <cell r="R479">
            <v>0</v>
          </cell>
          <cell r="S479">
            <v>2.2000000000000002</v>
          </cell>
          <cell r="T479" t="str">
            <v>GK</v>
          </cell>
          <cell r="U479" t="str">
            <v>GK</v>
          </cell>
          <cell r="V479" t="str">
            <v>HUL</v>
          </cell>
          <cell r="W479" t="str">
            <v>Hull City</v>
          </cell>
          <cell r="X479">
            <v>4.5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 t="e">
            <v>#DIV/0!</v>
          </cell>
          <cell r="AH479" t="e">
            <v>#DIV/0!</v>
          </cell>
          <cell r="AI479" t="e">
            <v>#DIV/0!</v>
          </cell>
          <cell r="AJ479">
            <v>1.2999999999999901E-2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274</v>
          </cell>
          <cell r="AP479" t="str">
            <v>Butland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 t="str">
            <v/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0.9</v>
          </cell>
          <cell r="BH479">
            <v>1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 t="e">
            <v>#DIV/0!</v>
          </cell>
          <cell r="BO479">
            <v>38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38</v>
          </cell>
          <cell r="BY479">
            <v>2.3684210526315788</v>
          </cell>
          <cell r="BZ479">
            <v>0.27457894736842103</v>
          </cell>
        </row>
        <row r="480">
          <cell r="A480" t="str">
            <v>Kieran Dowell</v>
          </cell>
          <cell r="B480" t="str">
            <v/>
          </cell>
          <cell r="C480" t="str">
            <v>Dowell</v>
          </cell>
          <cell r="D480" t="str">
            <v/>
          </cell>
          <cell r="H480" t="str">
            <v/>
          </cell>
          <cell r="I480">
            <v>2.6</v>
          </cell>
          <cell r="J480">
            <v>2.6</v>
          </cell>
          <cell r="K480">
            <v>2.6</v>
          </cell>
          <cell r="M480">
            <v>2.2000000000000002</v>
          </cell>
          <cell r="N480">
            <v>2.2000000000000002</v>
          </cell>
          <cell r="O480">
            <v>2</v>
          </cell>
          <cell r="P480">
            <v>2.0620787225712078</v>
          </cell>
          <cell r="Q480">
            <v>0</v>
          </cell>
          <cell r="R480">
            <v>0</v>
          </cell>
          <cell r="S480">
            <v>2.2000000000000002</v>
          </cell>
          <cell r="T480" t="str">
            <v>MID</v>
          </cell>
          <cell r="U480" t="str">
            <v>AM</v>
          </cell>
          <cell r="V480" t="str">
            <v>HUL</v>
          </cell>
          <cell r="W480" t="str">
            <v>Hull City</v>
          </cell>
          <cell r="X480">
            <v>4.5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 t="e">
            <v>#DIV/0!</v>
          </cell>
          <cell r="AH480" t="e">
            <v>#DIV/0!</v>
          </cell>
          <cell r="AI480" t="e">
            <v>#DIV/0!</v>
          </cell>
          <cell r="AJ480">
            <v>8.0000000000000071E-3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288</v>
          </cell>
          <cell r="AP480" t="str">
            <v>Dowell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 t="str">
            <v/>
          </cell>
          <cell r="BC480">
            <v>0</v>
          </cell>
          <cell r="BD480">
            <v>0</v>
          </cell>
          <cell r="BE480">
            <v>0</v>
          </cell>
          <cell r="BF480">
            <v>60</v>
          </cell>
          <cell r="BG480">
            <v>0.9</v>
          </cell>
          <cell r="BH480">
            <v>1</v>
          </cell>
          <cell r="BI480">
            <v>12</v>
          </cell>
          <cell r="BJ480">
            <v>17</v>
          </cell>
          <cell r="BK480">
            <v>0</v>
          </cell>
          <cell r="BL480">
            <v>0</v>
          </cell>
          <cell r="BM480">
            <v>1</v>
          </cell>
          <cell r="BN480">
            <v>0.28333333333333333</v>
          </cell>
          <cell r="BO480">
            <v>38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38</v>
          </cell>
          <cell r="BY480">
            <v>2.3684210526315788</v>
          </cell>
          <cell r="BZ480">
            <v>0.27457894736842103</v>
          </cell>
        </row>
        <row r="481">
          <cell r="A481" t="str">
            <v>Matt Crooks</v>
          </cell>
          <cell r="B481" t="str">
            <v/>
          </cell>
          <cell r="C481" t="str">
            <v>Crooks</v>
          </cell>
          <cell r="D481" t="str">
            <v/>
          </cell>
          <cell r="H481" t="str">
            <v/>
          </cell>
          <cell r="I481">
            <v>1.5</v>
          </cell>
          <cell r="J481">
            <v>1.5</v>
          </cell>
          <cell r="K481">
            <v>1.5</v>
          </cell>
          <cell r="M481">
            <v>2.2000000000000002</v>
          </cell>
          <cell r="N481">
            <v>2.2000000000000002</v>
          </cell>
          <cell r="O481">
            <v>2</v>
          </cell>
          <cell r="P481">
            <v>2.0620787225712078</v>
          </cell>
          <cell r="Q481">
            <v>0</v>
          </cell>
          <cell r="R481">
            <v>0</v>
          </cell>
          <cell r="S481">
            <v>2.2000000000000002</v>
          </cell>
          <cell r="T481" t="str">
            <v>MID</v>
          </cell>
          <cell r="U481" t="str">
            <v>CM</v>
          </cell>
          <cell r="V481" t="str">
            <v>HUL</v>
          </cell>
          <cell r="W481" t="str">
            <v>Hull City</v>
          </cell>
          <cell r="X481">
            <v>4.5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 t="e">
            <v>#DIV/0!</v>
          </cell>
          <cell r="AH481" t="e">
            <v>#DIV/0!</v>
          </cell>
          <cell r="AI481" t="e">
            <v>#DIV/0!</v>
          </cell>
          <cell r="AJ481">
            <v>6.9999999999998952E-3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289</v>
          </cell>
          <cell r="AP481" t="str">
            <v>Crooks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9.1999999999999993</v>
          </cell>
          <cell r="AW481">
            <v>9.1999999999999993</v>
          </cell>
          <cell r="AX481">
            <v>0.21940000001119991</v>
          </cell>
          <cell r="AY481">
            <v>0</v>
          </cell>
          <cell r="AZ481">
            <v>0</v>
          </cell>
          <cell r="BA481">
            <v>0</v>
          </cell>
          <cell r="BB481" t="str">
            <v/>
          </cell>
          <cell r="BC481">
            <v>28</v>
          </cell>
          <cell r="BD481">
            <v>19</v>
          </cell>
          <cell r="BE481">
            <v>0.6785714285714286</v>
          </cell>
          <cell r="BF481">
            <v>86</v>
          </cell>
          <cell r="BG481">
            <v>0.9555555555555556</v>
          </cell>
          <cell r="BH481">
            <v>1</v>
          </cell>
          <cell r="BI481">
            <v>3</v>
          </cell>
          <cell r="BJ481">
            <v>34</v>
          </cell>
          <cell r="BK481">
            <v>2</v>
          </cell>
          <cell r="BL481">
            <v>0.84848484848484851</v>
          </cell>
          <cell r="BM481">
            <v>9.0909090909090884E-2</v>
          </cell>
          <cell r="BN481">
            <v>0.9083861874559549</v>
          </cell>
          <cell r="BO481">
            <v>38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38</v>
          </cell>
          <cell r="BY481">
            <v>2.3684210526315788</v>
          </cell>
          <cell r="BZ481">
            <v>0.27457894736842103</v>
          </cell>
        </row>
        <row r="482">
          <cell r="A482" t="str">
            <v>Regan Slater</v>
          </cell>
          <cell r="B482" t="str">
            <v/>
          </cell>
          <cell r="C482" t="str">
            <v>Slater</v>
          </cell>
          <cell r="D482" t="str">
            <v/>
          </cell>
          <cell r="H482" t="str">
            <v/>
          </cell>
          <cell r="I482">
            <v>1.4</v>
          </cell>
          <cell r="J482">
            <v>1.75</v>
          </cell>
          <cell r="K482">
            <v>2.1</v>
          </cell>
          <cell r="M482">
            <v>2.2000000000000002</v>
          </cell>
          <cell r="N482">
            <v>2.2000000000000002</v>
          </cell>
          <cell r="O482">
            <v>2</v>
          </cell>
          <cell r="P482">
            <v>2.0620787225712078</v>
          </cell>
          <cell r="Q482">
            <v>0</v>
          </cell>
          <cell r="R482">
            <v>0</v>
          </cell>
          <cell r="S482">
            <v>2.2000000000000002</v>
          </cell>
          <cell r="T482" t="str">
            <v>MID</v>
          </cell>
          <cell r="U482" t="str">
            <v>DM</v>
          </cell>
          <cell r="V482" t="str">
            <v>HUL</v>
          </cell>
          <cell r="W482" t="str">
            <v>Hull City</v>
          </cell>
          <cell r="X482">
            <v>4.5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 t="e">
            <v>#DIV/0!</v>
          </cell>
          <cell r="AH482" t="e">
            <v>#DIV/0!</v>
          </cell>
          <cell r="AI482" t="e">
            <v>#DIV/0!</v>
          </cell>
          <cell r="AJ482">
            <v>4.0000000000000036E-3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290</v>
          </cell>
          <cell r="AP482" t="str">
            <v>Slater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10.199999999999999</v>
          </cell>
          <cell r="AW482">
            <v>10.199999999999999</v>
          </cell>
          <cell r="AX482">
            <v>0.33140000006719994</v>
          </cell>
          <cell r="AY482">
            <v>0</v>
          </cell>
          <cell r="AZ482">
            <v>0</v>
          </cell>
          <cell r="BA482">
            <v>0</v>
          </cell>
          <cell r="BB482" t="str">
            <v/>
          </cell>
          <cell r="BC482">
            <v>35</v>
          </cell>
          <cell r="BD482">
            <v>21</v>
          </cell>
          <cell r="BE482">
            <v>0.6</v>
          </cell>
          <cell r="BF482">
            <v>85</v>
          </cell>
          <cell r="BG482">
            <v>0.94444444444444442</v>
          </cell>
          <cell r="BH482">
            <v>1</v>
          </cell>
          <cell r="BI482">
            <v>7</v>
          </cell>
          <cell r="BJ482">
            <v>23</v>
          </cell>
          <cell r="BK482">
            <v>0</v>
          </cell>
          <cell r="BL482">
            <v>0.83333333333333337</v>
          </cell>
          <cell r="BM482">
            <v>0.16666666666666663</v>
          </cell>
          <cell r="BN482">
            <v>0.87843137254901971</v>
          </cell>
          <cell r="BO482">
            <v>38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38</v>
          </cell>
          <cell r="BY482">
            <v>2.3684210526315788</v>
          </cell>
          <cell r="BZ482">
            <v>0.27457894736842103</v>
          </cell>
        </row>
        <row r="483">
          <cell r="A483" t="str">
            <v>Eliot Matazo</v>
          </cell>
          <cell r="B483" t="str">
            <v/>
          </cell>
          <cell r="C483" t="str">
            <v>Matazo</v>
          </cell>
          <cell r="D483" t="str">
            <v/>
          </cell>
          <cell r="H483" t="str">
            <v/>
          </cell>
          <cell r="I483" t="e">
            <v>#N/A</v>
          </cell>
          <cell r="J483" t="e">
            <v>#N/A</v>
          </cell>
          <cell r="K483" t="e">
            <v>#N/A</v>
          </cell>
          <cell r="M483">
            <v>2.2000000000000002</v>
          </cell>
          <cell r="N483">
            <v>2.2000000000000002</v>
          </cell>
          <cell r="O483">
            <v>2</v>
          </cell>
          <cell r="P483">
            <v>2.0620787225712078</v>
          </cell>
          <cell r="Q483">
            <v>0</v>
          </cell>
          <cell r="R483">
            <v>0</v>
          </cell>
          <cell r="S483">
            <v>2.2000000000000002</v>
          </cell>
          <cell r="T483" t="str">
            <v>MID</v>
          </cell>
          <cell r="U483" t="str">
            <v>CM</v>
          </cell>
          <cell r="V483" t="str">
            <v>HUL</v>
          </cell>
          <cell r="W483" t="str">
            <v>Hull City</v>
          </cell>
          <cell r="X483">
            <v>4.5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 t="e">
            <v>#DIV/0!</v>
          </cell>
          <cell r="AH483" t="e">
            <v>#DIV/0!</v>
          </cell>
          <cell r="AI483" t="e">
            <v>#DIV/0!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291</v>
          </cell>
          <cell r="AP483" t="str">
            <v>Matazo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10</v>
          </cell>
          <cell r="BG483">
            <v>0.9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38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38</v>
          </cell>
          <cell r="BY483">
            <v>2.3684210526315788</v>
          </cell>
          <cell r="BZ483">
            <v>0.27457894736842103</v>
          </cell>
        </row>
        <row r="484">
          <cell r="A484" t="str">
            <v>Óscar Zambrano</v>
          </cell>
          <cell r="B484" t="str">
            <v/>
          </cell>
          <cell r="C484" t="str">
            <v>Zambrano</v>
          </cell>
          <cell r="D484" t="str">
            <v/>
          </cell>
          <cell r="H484" t="str">
            <v/>
          </cell>
          <cell r="I484">
            <v>2.9</v>
          </cell>
          <cell r="J484">
            <v>4.0333333333333332</v>
          </cell>
          <cell r="K484">
            <v>5.2</v>
          </cell>
          <cell r="M484">
            <v>2.2000000000000002</v>
          </cell>
          <cell r="N484">
            <v>2.2000000000000002</v>
          </cell>
          <cell r="O484">
            <v>2</v>
          </cell>
          <cell r="P484">
            <v>2.0620787225712078</v>
          </cell>
          <cell r="Q484">
            <v>0</v>
          </cell>
          <cell r="R484">
            <v>0</v>
          </cell>
          <cell r="S484">
            <v>2.2000000000000002</v>
          </cell>
          <cell r="T484" t="str">
            <v>MID</v>
          </cell>
          <cell r="U484" t="str">
            <v>DM</v>
          </cell>
          <cell r="V484" t="str">
            <v>HUL</v>
          </cell>
          <cell r="W484" t="str">
            <v>Hull City</v>
          </cell>
          <cell r="X484">
            <v>4.5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 t="e">
            <v>#DIV/0!</v>
          </cell>
          <cell r="AH484" t="e">
            <v>#DIV/0!</v>
          </cell>
          <cell r="AI484" t="e">
            <v>#DIV/0!</v>
          </cell>
          <cell r="AJ484">
            <v>6.0000000000000053E-3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294</v>
          </cell>
          <cell r="AP484" t="str">
            <v>Zambrano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 t="str">
            <v/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0.9</v>
          </cell>
          <cell r="BH484">
            <v>1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 t="e">
            <v>#DIV/0!</v>
          </cell>
          <cell r="BO484">
            <v>38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38</v>
          </cell>
          <cell r="BY484">
            <v>2.3684210526315788</v>
          </cell>
          <cell r="BZ484">
            <v>0.27457894736842103</v>
          </cell>
        </row>
        <row r="485">
          <cell r="A485" t="str">
            <v>Enis Destan</v>
          </cell>
          <cell r="B485" t="str">
            <v/>
          </cell>
          <cell r="C485" t="str">
            <v>Destan</v>
          </cell>
          <cell r="D485" t="str">
            <v/>
          </cell>
          <cell r="H485" t="str">
            <v/>
          </cell>
          <cell r="I485">
            <v>1.4</v>
          </cell>
          <cell r="J485">
            <v>2.0333333333333332</v>
          </cell>
          <cell r="K485">
            <v>2.7</v>
          </cell>
          <cell r="M485">
            <v>2.2000000000000002</v>
          </cell>
          <cell r="N485">
            <v>2.2000000000000002</v>
          </cell>
          <cell r="O485">
            <v>2</v>
          </cell>
          <cell r="P485">
            <v>2</v>
          </cell>
          <cell r="Q485">
            <v>0</v>
          </cell>
          <cell r="R485">
            <v>0</v>
          </cell>
          <cell r="S485">
            <v>2.2000000000000002</v>
          </cell>
          <cell r="T485" t="str">
            <v>FWD</v>
          </cell>
          <cell r="U485" t="str">
            <v>CF</v>
          </cell>
          <cell r="V485" t="str">
            <v>HUL</v>
          </cell>
          <cell r="W485" t="str">
            <v>Hull City</v>
          </cell>
          <cell r="X485">
            <v>4.5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 t="e">
            <v>#DIV/0!</v>
          </cell>
          <cell r="AH485" t="e">
            <v>#DIV/0!</v>
          </cell>
          <cell r="AI485" t="e">
            <v>#DIV/0!</v>
          </cell>
          <cell r="AJ485">
            <v>2.8999999999999915E-2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298</v>
          </cell>
          <cell r="AP485" t="str">
            <v>Destan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 t="str">
            <v/>
          </cell>
          <cell r="BC485">
            <v>0</v>
          </cell>
          <cell r="BD485">
            <v>0</v>
          </cell>
          <cell r="BE485">
            <v>0</v>
          </cell>
          <cell r="BF485">
            <v>70</v>
          </cell>
          <cell r="BG485">
            <v>0.9</v>
          </cell>
          <cell r="BH485">
            <v>1</v>
          </cell>
          <cell r="BI485">
            <v>14</v>
          </cell>
          <cell r="BJ485">
            <v>12</v>
          </cell>
          <cell r="BK485">
            <v>0</v>
          </cell>
          <cell r="BL485">
            <v>0</v>
          </cell>
          <cell r="BM485">
            <v>1</v>
          </cell>
          <cell r="BN485">
            <v>0.17142857142857143</v>
          </cell>
          <cell r="BO485">
            <v>38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38</v>
          </cell>
          <cell r="BY485">
            <v>2.3684210526315788</v>
          </cell>
          <cell r="BZ485">
            <v>0.27457894736842103</v>
          </cell>
        </row>
        <row r="486">
          <cell r="A486" t="str">
            <v>Mason Burstow</v>
          </cell>
          <cell r="B486" t="str">
            <v/>
          </cell>
          <cell r="C486" t="str">
            <v>Burstow</v>
          </cell>
          <cell r="D486" t="str">
            <v/>
          </cell>
          <cell r="H486" t="str">
            <v/>
          </cell>
          <cell r="I486">
            <v>4</v>
          </cell>
          <cell r="J486">
            <v>4.05</v>
          </cell>
          <cell r="K486">
            <v>4.0999999999999996</v>
          </cell>
          <cell r="M486">
            <v>2.2000000000000002</v>
          </cell>
          <cell r="N486">
            <v>2.2000000000000002</v>
          </cell>
          <cell r="O486">
            <v>2</v>
          </cell>
          <cell r="P486">
            <v>2</v>
          </cell>
          <cell r="Q486">
            <v>0</v>
          </cell>
          <cell r="R486">
            <v>0</v>
          </cell>
          <cell r="S486">
            <v>2.2000000000000002</v>
          </cell>
          <cell r="T486" t="str">
            <v>FWD</v>
          </cell>
          <cell r="U486" t="str">
            <v>CF</v>
          </cell>
          <cell r="V486" t="str">
            <v>HUL</v>
          </cell>
          <cell r="W486" t="str">
            <v>Hull City</v>
          </cell>
          <cell r="X486">
            <v>4.5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 t="e">
            <v>#DIV/0!</v>
          </cell>
          <cell r="AH486" t="e">
            <v>#DIV/0!</v>
          </cell>
          <cell r="AI486" t="e">
            <v>#DIV/0!</v>
          </cell>
          <cell r="AJ486">
            <v>1.2000000000000011E-2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299</v>
          </cell>
          <cell r="AP486" t="str">
            <v>Burstow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 t="str">
            <v/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0.9</v>
          </cell>
          <cell r="BH486">
            <v>1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 t="e">
            <v>#DIV/0!</v>
          </cell>
          <cell r="BO486">
            <v>38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38</v>
          </cell>
          <cell r="BY486">
            <v>2.3684210526315788</v>
          </cell>
          <cell r="BZ486">
            <v>0.27457894736842103</v>
          </cell>
        </row>
        <row r="487">
          <cell r="A487" t="str">
            <v>Dillon Phillips</v>
          </cell>
          <cell r="B487" t="str">
            <v/>
          </cell>
          <cell r="C487" t="str">
            <v>Phillips</v>
          </cell>
          <cell r="D487" t="str">
            <v/>
          </cell>
          <cell r="H487" t="str">
            <v/>
          </cell>
          <cell r="I487">
            <v>1.9</v>
          </cell>
          <cell r="J487">
            <v>2.1999999999999997</v>
          </cell>
          <cell r="K487">
            <v>2.6</v>
          </cell>
          <cell r="M487">
            <v>2.2000000000000002</v>
          </cell>
          <cell r="N487">
            <v>2.2000000000000002</v>
          </cell>
          <cell r="O487">
            <v>2</v>
          </cell>
          <cell r="P487">
            <v>1.314104363969042</v>
          </cell>
          <cell r="Q487">
            <v>0</v>
          </cell>
          <cell r="R487">
            <v>0</v>
          </cell>
          <cell r="S487">
            <v>2.2000000000000002</v>
          </cell>
          <cell r="T487" t="str">
            <v>GK</v>
          </cell>
          <cell r="U487" t="str">
            <v>GK</v>
          </cell>
          <cell r="V487" t="str">
            <v>HUL</v>
          </cell>
          <cell r="W487" t="str">
            <v>Hull City</v>
          </cell>
          <cell r="X487">
            <v>4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 t="e">
            <v>#DIV/0!</v>
          </cell>
          <cell r="AH487" t="e">
            <v>#DIV/0!</v>
          </cell>
          <cell r="AI487" t="e">
            <v>#DIV/0!</v>
          </cell>
          <cell r="AJ487">
            <v>2.8999999999999915E-2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273</v>
          </cell>
          <cell r="AP487" t="str">
            <v>Phillips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 t="str">
            <v/>
          </cell>
          <cell r="BC487">
            <v>0</v>
          </cell>
          <cell r="BD487">
            <v>0</v>
          </cell>
          <cell r="BE487">
            <v>0</v>
          </cell>
          <cell r="BF487">
            <v>90</v>
          </cell>
          <cell r="BG487">
            <v>0.9</v>
          </cell>
          <cell r="BH487">
            <v>1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38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38</v>
          </cell>
          <cell r="BY487">
            <v>2.3684210526315788</v>
          </cell>
          <cell r="BZ487">
            <v>0.27457894736842103</v>
          </cell>
        </row>
        <row r="488">
          <cell r="A488" t="str">
            <v>Harvey Cartwright</v>
          </cell>
          <cell r="B488" t="str">
            <v/>
          </cell>
          <cell r="C488" t="str">
            <v>Cartwright</v>
          </cell>
          <cell r="D488" t="str">
            <v/>
          </cell>
          <cell r="H488" t="str">
            <v/>
          </cell>
          <cell r="I488" t="e">
            <v>#N/A</v>
          </cell>
          <cell r="J488" t="e">
            <v>#N/A</v>
          </cell>
          <cell r="K488" t="e">
            <v>#N/A</v>
          </cell>
          <cell r="M488">
            <v>2.2000000000000002</v>
          </cell>
          <cell r="N488">
            <v>2.2000000000000002</v>
          </cell>
          <cell r="O488">
            <v>2</v>
          </cell>
          <cell r="P488">
            <v>1.314104363969042</v>
          </cell>
          <cell r="Q488">
            <v>0</v>
          </cell>
          <cell r="R488">
            <v>0</v>
          </cell>
          <cell r="S488">
            <v>2.2000000000000002</v>
          </cell>
          <cell r="T488" t="str">
            <v>GK</v>
          </cell>
          <cell r="U488" t="str">
            <v/>
          </cell>
          <cell r="V488" t="str">
            <v>HUL</v>
          </cell>
          <cell r="W488" t="str">
            <v>Hull City</v>
          </cell>
          <cell r="X488">
            <v>4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 t="e">
            <v>#DIV/0!</v>
          </cell>
          <cell r="AH488" t="e">
            <v>#DIV/0!</v>
          </cell>
          <cell r="AI488" t="e">
            <v>#DIV/0!</v>
          </cell>
          <cell r="AJ488">
            <v>2.9999999999998916E-3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275</v>
          </cell>
          <cell r="AP488" t="str">
            <v>Cartwright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 t="str">
            <v/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0.9</v>
          </cell>
          <cell r="BH488">
            <v>1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 t="e">
            <v>#DIV/0!</v>
          </cell>
          <cell r="BO488">
            <v>38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38</v>
          </cell>
          <cell r="BY488">
            <v>2.3684210526315788</v>
          </cell>
          <cell r="BZ488">
            <v>0.27457894736842103</v>
          </cell>
        </row>
        <row r="489">
          <cell r="A489" t="str">
            <v>Thimothée Lo-Tutala</v>
          </cell>
          <cell r="B489" t="str">
            <v/>
          </cell>
          <cell r="C489" t="str">
            <v>Lo-Tutala</v>
          </cell>
          <cell r="D489" t="str">
            <v/>
          </cell>
          <cell r="H489" t="str">
            <v/>
          </cell>
          <cell r="I489">
            <v>3.6</v>
          </cell>
          <cell r="J489">
            <v>3.6</v>
          </cell>
          <cell r="K489">
            <v>3.6</v>
          </cell>
          <cell r="M489">
            <v>2.2000000000000002</v>
          </cell>
          <cell r="N489">
            <v>2.2000000000000002</v>
          </cell>
          <cell r="O489">
            <v>2</v>
          </cell>
          <cell r="P489">
            <v>1.314104363969042</v>
          </cell>
          <cell r="Q489">
            <v>0</v>
          </cell>
          <cell r="R489">
            <v>0</v>
          </cell>
          <cell r="S489">
            <v>2.2000000000000002</v>
          </cell>
          <cell r="T489" t="str">
            <v>GK</v>
          </cell>
          <cell r="U489" t="str">
            <v>GK</v>
          </cell>
          <cell r="V489" t="str">
            <v>HUL</v>
          </cell>
          <cell r="W489" t="str">
            <v>Hull City</v>
          </cell>
          <cell r="X489">
            <v>4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 t="e">
            <v>#DIV/0!</v>
          </cell>
          <cell r="AH489" t="e">
            <v>#DIV/0!</v>
          </cell>
          <cell r="AI489" t="e">
            <v>#DIV/0!</v>
          </cell>
          <cell r="AJ489">
            <v>2.9999999999998916E-3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276</v>
          </cell>
          <cell r="AP489" t="str">
            <v>Lo-Tutala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 t="str">
            <v/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0.9</v>
          </cell>
          <cell r="BH489">
            <v>1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 t="e">
            <v>#DIV/0!</v>
          </cell>
          <cell r="BO489">
            <v>38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38</v>
          </cell>
          <cell r="BY489">
            <v>2.3684210526315788</v>
          </cell>
          <cell r="BZ489">
            <v>0.27457894736842103</v>
          </cell>
        </row>
        <row r="490">
          <cell r="A490" t="str">
            <v>John Egan</v>
          </cell>
          <cell r="B490" t="str">
            <v/>
          </cell>
          <cell r="C490" t="str">
            <v>Egan</v>
          </cell>
          <cell r="D490" t="str">
            <v/>
          </cell>
          <cell r="H490" t="str">
            <v/>
          </cell>
          <cell r="I490" t="e">
            <v>#N/A</v>
          </cell>
          <cell r="J490" t="e">
            <v>#N/A</v>
          </cell>
          <cell r="K490" t="e">
            <v>#N/A</v>
          </cell>
          <cell r="M490">
            <v>2.2000000000000002</v>
          </cell>
          <cell r="N490">
            <v>2.2000000000000002</v>
          </cell>
          <cell r="O490">
            <v>2</v>
          </cell>
          <cell r="P490">
            <v>1.314104363969042</v>
          </cell>
          <cell r="Q490">
            <v>0</v>
          </cell>
          <cell r="R490">
            <v>0</v>
          </cell>
          <cell r="S490">
            <v>2.2000000000000002</v>
          </cell>
          <cell r="T490" t="str">
            <v>DEF</v>
          </cell>
          <cell r="U490" t="str">
            <v>CB</v>
          </cell>
          <cell r="V490" t="str">
            <v>HUL</v>
          </cell>
          <cell r="W490" t="str">
            <v>Hull City</v>
          </cell>
          <cell r="X490">
            <v>4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 t="e">
            <v>#DIV/0!</v>
          </cell>
          <cell r="AH490" t="e">
            <v>#DIV/0!</v>
          </cell>
          <cell r="AI490" t="e">
            <v>#DIV/0!</v>
          </cell>
          <cell r="AJ490">
            <v>1.0999999999999899E-2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277</v>
          </cell>
          <cell r="AP490" t="str">
            <v>Egan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10.1</v>
          </cell>
          <cell r="AW490">
            <v>10.1</v>
          </cell>
          <cell r="AX490">
            <v>0.54784999999999995</v>
          </cell>
          <cell r="AY490">
            <v>0</v>
          </cell>
          <cell r="AZ490">
            <v>0</v>
          </cell>
          <cell r="BA490">
            <v>0</v>
          </cell>
          <cell r="BB490" t="str">
            <v/>
          </cell>
          <cell r="BC490">
            <v>39</v>
          </cell>
          <cell r="BD490">
            <v>33</v>
          </cell>
          <cell r="BE490">
            <v>0.84615384615384615</v>
          </cell>
          <cell r="BF490">
            <v>86</v>
          </cell>
          <cell r="BG490">
            <v>0.9555555555555556</v>
          </cell>
          <cell r="BH490">
            <v>1</v>
          </cell>
          <cell r="BI490">
            <v>3</v>
          </cell>
          <cell r="BJ490">
            <v>18</v>
          </cell>
          <cell r="BK490">
            <v>4</v>
          </cell>
          <cell r="BL490">
            <v>0.84782608695652173</v>
          </cell>
          <cell r="BM490">
            <v>6.5217391304347838E-2</v>
          </cell>
          <cell r="BN490">
            <v>0.87967644084934282</v>
          </cell>
          <cell r="BO490">
            <v>38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38</v>
          </cell>
          <cell r="BY490">
            <v>2.3684210526315788</v>
          </cell>
          <cell r="BZ490">
            <v>0.27457894736842103</v>
          </cell>
        </row>
        <row r="491">
          <cell r="A491" t="str">
            <v>Charlie Hughes</v>
          </cell>
          <cell r="B491" t="str">
            <v/>
          </cell>
          <cell r="C491" t="str">
            <v>Hughes</v>
          </cell>
          <cell r="D491" t="str">
            <v/>
          </cell>
          <cell r="H491" t="str">
            <v/>
          </cell>
          <cell r="I491" t="e">
            <v>#N/A</v>
          </cell>
          <cell r="J491" t="e">
            <v>#N/A</v>
          </cell>
          <cell r="K491" t="e">
            <v>#N/A</v>
          </cell>
          <cell r="M491">
            <v>2.2000000000000002</v>
          </cell>
          <cell r="N491">
            <v>2.2000000000000002</v>
          </cell>
          <cell r="O491">
            <v>2</v>
          </cell>
          <cell r="P491">
            <v>1.314104363969042</v>
          </cell>
          <cell r="Q491">
            <v>0</v>
          </cell>
          <cell r="R491">
            <v>0</v>
          </cell>
          <cell r="S491">
            <v>2.2000000000000002</v>
          </cell>
          <cell r="T491" t="str">
            <v>DEF</v>
          </cell>
          <cell r="U491" t="str">
            <v>CB</v>
          </cell>
          <cell r="V491" t="str">
            <v>HUL</v>
          </cell>
          <cell r="W491" t="str">
            <v>Hull City</v>
          </cell>
          <cell r="X491">
            <v>4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 t="e">
            <v>#DIV/0!</v>
          </cell>
          <cell r="AH491" t="e">
            <v>#DIV/0!</v>
          </cell>
          <cell r="AI491" t="e">
            <v>#DIV/0!</v>
          </cell>
          <cell r="AJ491">
            <v>1.6000000000000014E-2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278</v>
          </cell>
          <cell r="AP491" t="str">
            <v>Hughes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11.8</v>
          </cell>
          <cell r="AW491">
            <v>11.8</v>
          </cell>
          <cell r="AX491">
            <v>0.71320000000000006</v>
          </cell>
          <cell r="AY491">
            <v>0</v>
          </cell>
          <cell r="AZ491">
            <v>0</v>
          </cell>
          <cell r="BA491">
            <v>0</v>
          </cell>
          <cell r="BB491" t="str">
            <v/>
          </cell>
          <cell r="BC491">
            <v>36</v>
          </cell>
          <cell r="BD491">
            <v>34</v>
          </cell>
          <cell r="BE491">
            <v>0.94444444444444442</v>
          </cell>
          <cell r="BF491">
            <v>87</v>
          </cell>
          <cell r="BG491">
            <v>0.96666666666666667</v>
          </cell>
          <cell r="BH491">
            <v>1</v>
          </cell>
          <cell r="BI491">
            <v>2</v>
          </cell>
          <cell r="BJ491">
            <v>25</v>
          </cell>
          <cell r="BK491">
            <v>6</v>
          </cell>
          <cell r="BL491">
            <v>0.81818181818181823</v>
          </cell>
          <cell r="BM491">
            <v>4.5454545454545442E-2</v>
          </cell>
          <cell r="BN491">
            <v>0.87042842215256011</v>
          </cell>
          <cell r="BO491">
            <v>38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38</v>
          </cell>
          <cell r="BY491">
            <v>2.3684210526315788</v>
          </cell>
          <cell r="BZ491">
            <v>0.27457894736842103</v>
          </cell>
        </row>
        <row r="492">
          <cell r="A492" t="str">
            <v>Semi Ajayi</v>
          </cell>
          <cell r="B492" t="str">
            <v/>
          </cell>
          <cell r="C492" t="str">
            <v>Ajayi</v>
          </cell>
          <cell r="D492" t="str">
            <v/>
          </cell>
          <cell r="H492" t="str">
            <v/>
          </cell>
          <cell r="I492">
            <v>1.4</v>
          </cell>
          <cell r="J492">
            <v>1.5999999999999999</v>
          </cell>
          <cell r="K492">
            <v>1.9</v>
          </cell>
          <cell r="M492">
            <v>2.2000000000000002</v>
          </cell>
          <cell r="N492">
            <v>2.2000000000000002</v>
          </cell>
          <cell r="O492">
            <v>2</v>
          </cell>
          <cell r="P492">
            <v>1.314104363969042</v>
          </cell>
          <cell r="Q492">
            <v>0</v>
          </cell>
          <cell r="R492">
            <v>0</v>
          </cell>
          <cell r="S492">
            <v>2.2000000000000002</v>
          </cell>
          <cell r="T492" t="str">
            <v>DEF</v>
          </cell>
          <cell r="U492" t="str">
            <v>CB</v>
          </cell>
          <cell r="V492" t="str">
            <v>HUL</v>
          </cell>
          <cell r="W492" t="str">
            <v>Hull City</v>
          </cell>
          <cell r="X492">
            <v>4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 t="e">
            <v>#DIV/0!</v>
          </cell>
          <cell r="AH492" t="e">
            <v>#DIV/0!</v>
          </cell>
          <cell r="AI492" t="e">
            <v>#DIV/0!</v>
          </cell>
          <cell r="AJ492">
            <v>8.0000000000000071E-3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279</v>
          </cell>
          <cell r="AP492" t="str">
            <v>Ajayi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 t="str">
            <v/>
          </cell>
          <cell r="BC492">
            <v>18</v>
          </cell>
          <cell r="BD492">
            <v>0</v>
          </cell>
          <cell r="BE492">
            <v>0</v>
          </cell>
          <cell r="BF492">
            <v>88</v>
          </cell>
          <cell r="BG492">
            <v>0.97777777777777775</v>
          </cell>
          <cell r="BH492">
            <v>1</v>
          </cell>
          <cell r="BI492">
            <v>4</v>
          </cell>
          <cell r="BJ492">
            <v>20</v>
          </cell>
          <cell r="BK492">
            <v>0</v>
          </cell>
          <cell r="BL492">
            <v>0.81818181818181823</v>
          </cell>
          <cell r="BM492">
            <v>0.18181818181818177</v>
          </cell>
          <cell r="BN492">
            <v>0.85950413223140498</v>
          </cell>
          <cell r="BO492">
            <v>38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38</v>
          </cell>
          <cell r="BY492">
            <v>2.3684210526315788</v>
          </cell>
          <cell r="BZ492">
            <v>0.27457894736842103</v>
          </cell>
        </row>
        <row r="493">
          <cell r="A493" t="str">
            <v>Lewie Coyle</v>
          </cell>
          <cell r="B493" t="str">
            <v/>
          </cell>
          <cell r="C493" t="str">
            <v>Coyle</v>
          </cell>
          <cell r="D493" t="str">
            <v/>
          </cell>
          <cell r="H493" t="str">
            <v/>
          </cell>
          <cell r="I493" t="e">
            <v>#N/A</v>
          </cell>
          <cell r="J493" t="e">
            <v>#N/A</v>
          </cell>
          <cell r="K493" t="e">
            <v>#N/A</v>
          </cell>
          <cell r="M493">
            <v>2.2000000000000002</v>
          </cell>
          <cell r="N493">
            <v>2.2000000000000002</v>
          </cell>
          <cell r="O493">
            <v>2</v>
          </cell>
          <cell r="P493">
            <v>1.314104363969042</v>
          </cell>
          <cell r="Q493">
            <v>0</v>
          </cell>
          <cell r="R493">
            <v>0</v>
          </cell>
          <cell r="S493">
            <v>2.2000000000000002</v>
          </cell>
          <cell r="T493" t="str">
            <v>DEF</v>
          </cell>
          <cell r="U493" t="str">
            <v>RB</v>
          </cell>
          <cell r="V493" t="str">
            <v>HUL</v>
          </cell>
          <cell r="W493" t="str">
            <v>Hull City</v>
          </cell>
          <cell r="X493">
            <v>4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 t="e">
            <v>#DIV/0!</v>
          </cell>
          <cell r="AH493" t="e">
            <v>#DIV/0!</v>
          </cell>
          <cell r="AI493" t="e">
            <v>#DIV/0!</v>
          </cell>
          <cell r="AJ493">
            <v>4.0000000000000036E-3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280</v>
          </cell>
          <cell r="AP493" t="str">
            <v>Coyle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6.2</v>
          </cell>
          <cell r="AW493">
            <v>6.2</v>
          </cell>
          <cell r="AX493">
            <v>0.11480000000000001</v>
          </cell>
          <cell r="AY493">
            <v>0</v>
          </cell>
          <cell r="AZ493">
            <v>0</v>
          </cell>
          <cell r="BA493">
            <v>0</v>
          </cell>
          <cell r="BB493" t="str">
            <v/>
          </cell>
          <cell r="BC493">
            <v>37</v>
          </cell>
          <cell r="BD493">
            <v>29</v>
          </cell>
          <cell r="BE493">
            <v>0.78378378378378377</v>
          </cell>
          <cell r="BF493">
            <v>85</v>
          </cell>
          <cell r="BG493">
            <v>0.94444444444444442</v>
          </cell>
          <cell r="BH493">
            <v>1</v>
          </cell>
          <cell r="BI493">
            <v>2</v>
          </cell>
          <cell r="BJ493">
            <v>23</v>
          </cell>
          <cell r="BK493">
            <v>4</v>
          </cell>
          <cell r="BL493">
            <v>0.86046511627906974</v>
          </cell>
          <cell r="BM493">
            <v>4.6511627906976757E-2</v>
          </cell>
          <cell r="BN493">
            <v>0.89822161422708613</v>
          </cell>
          <cell r="BO493">
            <v>38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38</v>
          </cell>
          <cell r="BY493">
            <v>2.3684210526315788</v>
          </cell>
          <cell r="BZ493">
            <v>0.27457894736842103</v>
          </cell>
        </row>
        <row r="494">
          <cell r="A494" t="str">
            <v>Cody Drameh</v>
          </cell>
          <cell r="B494" t="str">
            <v/>
          </cell>
          <cell r="C494" t="str">
            <v>Drameh</v>
          </cell>
          <cell r="D494" t="str">
            <v/>
          </cell>
          <cell r="H494" t="str">
            <v/>
          </cell>
          <cell r="I494">
            <v>1.8</v>
          </cell>
          <cell r="J494">
            <v>2.5666666666666669</v>
          </cell>
          <cell r="K494">
            <v>3.1</v>
          </cell>
          <cell r="M494">
            <v>2.2000000000000002</v>
          </cell>
          <cell r="N494">
            <v>2.2000000000000002</v>
          </cell>
          <cell r="O494">
            <v>2</v>
          </cell>
          <cell r="P494">
            <v>1.314104363969042</v>
          </cell>
          <cell r="Q494">
            <v>0</v>
          </cell>
          <cell r="R494">
            <v>0</v>
          </cell>
          <cell r="S494">
            <v>2.2000000000000002</v>
          </cell>
          <cell r="T494" t="str">
            <v>DEF</v>
          </cell>
          <cell r="U494" t="str">
            <v>RB</v>
          </cell>
          <cell r="V494" t="str">
            <v>HUL</v>
          </cell>
          <cell r="W494" t="str">
            <v>Hull City</v>
          </cell>
          <cell r="X494">
            <v>4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 t="e">
            <v>#DIV/0!</v>
          </cell>
          <cell r="AH494" t="e">
            <v>#DIV/0!</v>
          </cell>
          <cell r="AI494" t="e">
            <v>#DIV/0!</v>
          </cell>
          <cell r="AJ494">
            <v>9.9999999999988987E-4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281</v>
          </cell>
          <cell r="AP494" t="str">
            <v>Drameh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 t="str">
            <v/>
          </cell>
          <cell r="BC494">
            <v>0</v>
          </cell>
          <cell r="BD494">
            <v>0</v>
          </cell>
          <cell r="BE494">
            <v>0</v>
          </cell>
          <cell r="BF494">
            <v>79</v>
          </cell>
          <cell r="BG494">
            <v>0.9</v>
          </cell>
          <cell r="BH494">
            <v>1</v>
          </cell>
          <cell r="BI494">
            <v>6</v>
          </cell>
          <cell r="BJ494">
            <v>27</v>
          </cell>
          <cell r="BK494">
            <v>0</v>
          </cell>
          <cell r="BL494">
            <v>0</v>
          </cell>
          <cell r="BM494">
            <v>1</v>
          </cell>
          <cell r="BN494">
            <v>0.34177215189873417</v>
          </cell>
          <cell r="BO494">
            <v>38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38</v>
          </cell>
          <cell r="BY494">
            <v>2.3684210526315788</v>
          </cell>
          <cell r="BZ494">
            <v>0.27457894736842103</v>
          </cell>
        </row>
        <row r="495">
          <cell r="A495" t="str">
            <v>Ryan Giles</v>
          </cell>
          <cell r="B495" t="str">
            <v/>
          </cell>
          <cell r="C495" t="str">
            <v>Giles</v>
          </cell>
          <cell r="D495" t="str">
            <v/>
          </cell>
          <cell r="H495" t="str">
            <v/>
          </cell>
          <cell r="I495">
            <v>2.1</v>
          </cell>
          <cell r="J495">
            <v>2.8333333333333335</v>
          </cell>
          <cell r="K495">
            <v>3.7</v>
          </cell>
          <cell r="M495">
            <v>2.2000000000000002</v>
          </cell>
          <cell r="N495">
            <v>2.2000000000000002</v>
          </cell>
          <cell r="O495">
            <v>2</v>
          </cell>
          <cell r="P495">
            <v>1.314104363969042</v>
          </cell>
          <cell r="Q495">
            <v>0</v>
          </cell>
          <cell r="R495">
            <v>0</v>
          </cell>
          <cell r="S495">
            <v>2.2000000000000002</v>
          </cell>
          <cell r="T495" t="str">
            <v>DEF</v>
          </cell>
          <cell r="U495" t="str">
            <v>LB</v>
          </cell>
          <cell r="V495" t="str">
            <v>HUL</v>
          </cell>
          <cell r="W495" t="str">
            <v>Hull City</v>
          </cell>
          <cell r="X495">
            <v>4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 t="e">
            <v>#DIV/0!</v>
          </cell>
          <cell r="AH495" t="e">
            <v>#DIV/0!</v>
          </cell>
          <cell r="AI495" t="e">
            <v>#DIV/0!</v>
          </cell>
          <cell r="AJ495">
            <v>6.9999999999998952E-3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282</v>
          </cell>
          <cell r="AP495" t="str">
            <v>Giles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4.9000000000000004</v>
          </cell>
          <cell r="AW495">
            <v>4.9000000000000004</v>
          </cell>
          <cell r="AX495">
            <v>3.1360000000000006E-2</v>
          </cell>
          <cell r="AY495">
            <v>0</v>
          </cell>
          <cell r="AZ495">
            <v>0</v>
          </cell>
          <cell r="BA495">
            <v>0</v>
          </cell>
          <cell r="BB495" t="str">
            <v/>
          </cell>
          <cell r="BC495">
            <v>30</v>
          </cell>
          <cell r="BD495">
            <v>22</v>
          </cell>
          <cell r="BE495">
            <v>0.73333333333333328</v>
          </cell>
          <cell r="BF495">
            <v>82</v>
          </cell>
          <cell r="BG495">
            <v>0.91111111111111109</v>
          </cell>
          <cell r="BH495">
            <v>1</v>
          </cell>
          <cell r="BI495">
            <v>2</v>
          </cell>
          <cell r="BJ495">
            <v>12</v>
          </cell>
          <cell r="BK495">
            <v>0</v>
          </cell>
          <cell r="BL495">
            <v>0.9375</v>
          </cell>
          <cell r="BM495">
            <v>6.25E-2</v>
          </cell>
          <cell r="BN495">
            <v>0.94664634146341464</v>
          </cell>
          <cell r="BO495">
            <v>38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38</v>
          </cell>
          <cell r="BY495">
            <v>2.3684210526315788</v>
          </cell>
          <cell r="BZ495">
            <v>0.27457894736842103</v>
          </cell>
        </row>
        <row r="496">
          <cell r="A496" t="str">
            <v>Matty Jacob</v>
          </cell>
          <cell r="B496" t="str">
            <v/>
          </cell>
          <cell r="C496" t="str">
            <v>Jacob</v>
          </cell>
          <cell r="D496" t="str">
            <v/>
          </cell>
          <cell r="H496" t="str">
            <v/>
          </cell>
          <cell r="I496">
            <v>2.2999999999999998</v>
          </cell>
          <cell r="J496">
            <v>2.2999999999999998</v>
          </cell>
          <cell r="K496">
            <v>2.2999999999999998</v>
          </cell>
          <cell r="M496">
            <v>2.2000000000000002</v>
          </cell>
          <cell r="N496">
            <v>2.2000000000000002</v>
          </cell>
          <cell r="O496">
            <v>2</v>
          </cell>
          <cell r="P496">
            <v>1.314104363969042</v>
          </cell>
          <cell r="Q496">
            <v>0</v>
          </cell>
          <cell r="R496">
            <v>0</v>
          </cell>
          <cell r="S496">
            <v>2.2000000000000002</v>
          </cell>
          <cell r="T496" t="str">
            <v>DEF</v>
          </cell>
          <cell r="U496" t="str">
            <v>LB</v>
          </cell>
          <cell r="V496" t="str">
            <v>HUL</v>
          </cell>
          <cell r="W496" t="str">
            <v>Hull City</v>
          </cell>
          <cell r="X496">
            <v>4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 t="e">
            <v>#DIV/0!</v>
          </cell>
          <cell r="AH496" t="e">
            <v>#DIV/0!</v>
          </cell>
          <cell r="AI496" t="e">
            <v>#DIV/0!</v>
          </cell>
          <cell r="AJ496">
            <v>9.9999999999988987E-4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283</v>
          </cell>
          <cell r="AP496" t="str">
            <v>Jacob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 t="str">
            <v/>
          </cell>
          <cell r="BC496">
            <v>0</v>
          </cell>
          <cell r="BD496">
            <v>0</v>
          </cell>
          <cell r="BE496">
            <v>0</v>
          </cell>
          <cell r="BF496">
            <v>74</v>
          </cell>
          <cell r="BG496">
            <v>0.9</v>
          </cell>
          <cell r="BH496">
            <v>1</v>
          </cell>
          <cell r="BI496">
            <v>4</v>
          </cell>
          <cell r="BJ496">
            <v>26</v>
          </cell>
          <cell r="BK496">
            <v>0</v>
          </cell>
          <cell r="BL496">
            <v>0</v>
          </cell>
          <cell r="BM496">
            <v>1</v>
          </cell>
          <cell r="BN496">
            <v>0.35135135135135137</v>
          </cell>
          <cell r="BO496">
            <v>38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38</v>
          </cell>
          <cell r="BY496">
            <v>2.3684210526315788</v>
          </cell>
          <cell r="BZ496">
            <v>0.27457894736842103</v>
          </cell>
        </row>
        <row r="497">
          <cell r="A497" t="str">
            <v>Cathal McCarthy</v>
          </cell>
          <cell r="B497" t="str">
            <v/>
          </cell>
          <cell r="C497" t="str">
            <v>McCarthy</v>
          </cell>
          <cell r="D497" t="str">
            <v/>
          </cell>
          <cell r="H497" t="str">
            <v/>
          </cell>
          <cell r="I497" t="e">
            <v>#N/A</v>
          </cell>
          <cell r="J497" t="e">
            <v>#N/A</v>
          </cell>
          <cell r="K497" t="e">
            <v>#N/A</v>
          </cell>
          <cell r="M497">
            <v>2.2000000000000002</v>
          </cell>
          <cell r="N497">
            <v>2.2000000000000002</v>
          </cell>
          <cell r="O497">
            <v>2</v>
          </cell>
          <cell r="P497">
            <v>1.314104363969042</v>
          </cell>
          <cell r="Q497">
            <v>0</v>
          </cell>
          <cell r="R497">
            <v>0</v>
          </cell>
          <cell r="S497">
            <v>2.2000000000000002</v>
          </cell>
          <cell r="T497" t="str">
            <v>DEF</v>
          </cell>
          <cell r="U497" t="str">
            <v/>
          </cell>
          <cell r="V497" t="str">
            <v>HUL</v>
          </cell>
          <cell r="W497" t="str">
            <v>Hull City</v>
          </cell>
          <cell r="X497">
            <v>4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 t="e">
            <v>#DIV/0!</v>
          </cell>
          <cell r="AH497" t="e">
            <v>#DIV/0!</v>
          </cell>
          <cell r="AI497" t="e">
            <v>#DIV/0!</v>
          </cell>
          <cell r="AJ497">
            <v>2.0000000000000018E-3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284</v>
          </cell>
          <cell r="AP497" t="str">
            <v>McCarthy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 t="str">
            <v/>
          </cell>
          <cell r="BC497">
            <v>0</v>
          </cell>
          <cell r="BD497">
            <v>0</v>
          </cell>
          <cell r="BE497">
            <v>0</v>
          </cell>
          <cell r="BF497">
            <v>90</v>
          </cell>
          <cell r="BG497">
            <v>0.9</v>
          </cell>
          <cell r="BH497">
            <v>1</v>
          </cell>
          <cell r="BI497">
            <v>5</v>
          </cell>
          <cell r="BJ497">
            <v>28</v>
          </cell>
          <cell r="BK497">
            <v>0</v>
          </cell>
          <cell r="BL497">
            <v>0</v>
          </cell>
          <cell r="BM497">
            <v>1</v>
          </cell>
          <cell r="BN497">
            <v>0.31111111111111112</v>
          </cell>
          <cell r="BO497">
            <v>38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38</v>
          </cell>
          <cell r="BY497">
            <v>2.3684210526315788</v>
          </cell>
          <cell r="BZ497">
            <v>0.27457894736842103</v>
          </cell>
        </row>
        <row r="498">
          <cell r="A498" t="str">
            <v>Paddy McNair</v>
          </cell>
          <cell r="B498" t="str">
            <v/>
          </cell>
          <cell r="C498" t="str">
            <v>McNair</v>
          </cell>
          <cell r="D498" t="str">
            <v/>
          </cell>
          <cell r="H498" t="str">
            <v/>
          </cell>
          <cell r="I498">
            <v>2.6</v>
          </cell>
          <cell r="J498">
            <v>3.3000000000000003</v>
          </cell>
          <cell r="K498">
            <v>4</v>
          </cell>
          <cell r="M498">
            <v>2.2000000000000002</v>
          </cell>
          <cell r="N498">
            <v>2.2000000000000002</v>
          </cell>
          <cell r="O498">
            <v>2</v>
          </cell>
          <cell r="P498">
            <v>1.314104363969042</v>
          </cell>
          <cell r="Q498">
            <v>0</v>
          </cell>
          <cell r="R498">
            <v>0</v>
          </cell>
          <cell r="S498">
            <v>2.2000000000000002</v>
          </cell>
          <cell r="T498" t="str">
            <v>DEF</v>
          </cell>
          <cell r="U498" t="str">
            <v>CB</v>
          </cell>
          <cell r="V498" t="str">
            <v>HUL</v>
          </cell>
          <cell r="W498" t="str">
            <v>Hull City</v>
          </cell>
          <cell r="X498">
            <v>4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 t="e">
            <v>#DIV/0!</v>
          </cell>
          <cell r="AH498" t="e">
            <v>#DIV/0!</v>
          </cell>
          <cell r="AI498" t="e">
            <v>#DIV/0!</v>
          </cell>
          <cell r="AJ498">
            <v>2.0000000000000018E-3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285</v>
          </cell>
          <cell r="AP498" t="str">
            <v>McNair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 t="str">
            <v/>
          </cell>
          <cell r="BC498">
            <v>0</v>
          </cell>
          <cell r="BD498">
            <v>0</v>
          </cell>
          <cell r="BE498">
            <v>0</v>
          </cell>
          <cell r="BF498">
            <v>83</v>
          </cell>
          <cell r="BG498">
            <v>0.9</v>
          </cell>
          <cell r="BH498">
            <v>1</v>
          </cell>
          <cell r="BI498">
            <v>6</v>
          </cell>
          <cell r="BJ498">
            <v>35</v>
          </cell>
          <cell r="BK498">
            <v>0</v>
          </cell>
          <cell r="BL498">
            <v>0</v>
          </cell>
          <cell r="BM498">
            <v>1</v>
          </cell>
          <cell r="BN498">
            <v>0.42168674698795183</v>
          </cell>
          <cell r="BO498">
            <v>38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38</v>
          </cell>
          <cell r="BY498">
            <v>2.3684210526315788</v>
          </cell>
          <cell r="BZ498">
            <v>0.27457894736842103</v>
          </cell>
        </row>
        <row r="499">
          <cell r="A499" t="str">
            <v>Benjamin Lecomte</v>
          </cell>
          <cell r="B499" t="str">
            <v/>
          </cell>
          <cell r="C499" t="str">
            <v>Lecomte</v>
          </cell>
          <cell r="D499" t="str">
            <v/>
          </cell>
          <cell r="F499" t="str">
            <v/>
          </cell>
          <cell r="H499" t="str">
            <v/>
          </cell>
          <cell r="I499" t="e">
            <v>#N/A</v>
          </cell>
          <cell r="J499" t="e">
            <v>#N/A</v>
          </cell>
          <cell r="K499" t="e">
            <v>#N/A</v>
          </cell>
          <cell r="M499">
            <v>2.2000000000000002</v>
          </cell>
          <cell r="N499">
            <v>2.2000000000000002</v>
          </cell>
          <cell r="O499">
            <v>1.4108333333333332</v>
          </cell>
          <cell r="P499">
            <v>2.2749739694123132</v>
          </cell>
          <cell r="Q499">
            <v>0</v>
          </cell>
          <cell r="R499">
            <v>0</v>
          </cell>
          <cell r="S499">
            <v>2.2000000000000002</v>
          </cell>
          <cell r="T499" t="str">
            <v>GK</v>
          </cell>
          <cell r="U499" t="str">
            <v>GK</v>
          </cell>
          <cell r="V499" t="str">
            <v>FUL</v>
          </cell>
          <cell r="W499" t="str">
            <v>Fulham</v>
          </cell>
          <cell r="X499">
            <v>4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 t="e">
            <v>#DIV/0!</v>
          </cell>
          <cell r="AH499" t="e">
            <v>#DIV/0!</v>
          </cell>
          <cell r="AI499" t="e">
            <v>#DIV/0!</v>
          </cell>
          <cell r="AJ499">
            <v>1.8000000000000016E-2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251</v>
          </cell>
          <cell r="AP499" t="str">
            <v>Lecomte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 t="str">
            <v/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0.9</v>
          </cell>
          <cell r="BH499">
            <v>1</v>
          </cell>
          <cell r="BI499">
            <v>0</v>
          </cell>
          <cell r="BJ499">
            <v>0</v>
          </cell>
          <cell r="BK499">
            <v>38</v>
          </cell>
          <cell r="BL499">
            <v>0</v>
          </cell>
          <cell r="BM499">
            <v>0</v>
          </cell>
          <cell r="BN499" t="e">
            <v>#DIV/0!</v>
          </cell>
          <cell r="BO499">
            <v>38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38</v>
          </cell>
          <cell r="BY499">
            <v>1.6842105263157894</v>
          </cell>
          <cell r="BZ499">
            <v>0.95878947368421041</v>
          </cell>
        </row>
        <row r="500">
          <cell r="A500" t="str">
            <v>Alfie McNally</v>
          </cell>
          <cell r="B500" t="str">
            <v/>
          </cell>
          <cell r="C500" t="str">
            <v>McNally</v>
          </cell>
          <cell r="D500" t="str">
            <v/>
          </cell>
          <cell r="F500" t="str">
            <v/>
          </cell>
          <cell r="H500" t="str">
            <v/>
          </cell>
          <cell r="I500" t="e">
            <v>#N/A</v>
          </cell>
          <cell r="J500" t="e">
            <v>#N/A</v>
          </cell>
          <cell r="K500" t="e">
            <v>#N/A</v>
          </cell>
          <cell r="M500">
            <v>2.2000000000000002</v>
          </cell>
          <cell r="N500">
            <v>2.2000000000000002</v>
          </cell>
          <cell r="O500">
            <v>1.4108333333333332</v>
          </cell>
          <cell r="P500">
            <v>2.2749739694123132</v>
          </cell>
          <cell r="Q500">
            <v>0</v>
          </cell>
          <cell r="R500">
            <v>0</v>
          </cell>
          <cell r="S500">
            <v>2.2000000000000002</v>
          </cell>
          <cell r="T500" t="str">
            <v>GK</v>
          </cell>
          <cell r="U500" t="str">
            <v/>
          </cell>
          <cell r="V500" t="str">
            <v>FUL</v>
          </cell>
          <cell r="W500" t="str">
            <v>Fulham</v>
          </cell>
          <cell r="X500">
            <v>4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 t="e">
            <v>#DIV/0!</v>
          </cell>
          <cell r="AH500" t="e">
            <v>#DIV/0!</v>
          </cell>
          <cell r="AI500" t="e">
            <v>#DIV/0!</v>
          </cell>
          <cell r="AJ500">
            <v>2.0000000000000018E-3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252</v>
          </cell>
          <cell r="AP500" t="str">
            <v>McNally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 t="str">
            <v/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0.9</v>
          </cell>
          <cell r="BH500">
            <v>1</v>
          </cell>
          <cell r="BI500">
            <v>0</v>
          </cell>
          <cell r="BJ500">
            <v>0</v>
          </cell>
          <cell r="BK500">
            <v>1</v>
          </cell>
          <cell r="BL500">
            <v>0</v>
          </cell>
          <cell r="BM500">
            <v>0</v>
          </cell>
          <cell r="BN500" t="e">
            <v>#DIV/0!</v>
          </cell>
          <cell r="BO500">
            <v>38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38</v>
          </cell>
          <cell r="BY500">
            <v>1.6842105263157894</v>
          </cell>
          <cell r="BZ500">
            <v>0.95878947368421041</v>
          </cell>
        </row>
        <row r="501">
          <cell r="A501" t="str">
            <v>Hayden Hackney</v>
          </cell>
          <cell r="B501" t="str">
            <v/>
          </cell>
          <cell r="C501" t="str">
            <v>Hackney</v>
          </cell>
          <cell r="D501" t="str">
            <v/>
          </cell>
          <cell r="H501" t="str">
            <v/>
          </cell>
          <cell r="I501" t="e">
            <v>#N/A</v>
          </cell>
          <cell r="J501" t="e">
            <v>#N/A</v>
          </cell>
          <cell r="K501" t="e">
            <v>#N/A</v>
          </cell>
          <cell r="M501">
            <v>2.2000000000000002</v>
          </cell>
          <cell r="N501">
            <v>2.2000000000000002</v>
          </cell>
          <cell r="O501">
            <v>2</v>
          </cell>
          <cell r="P501">
            <v>2.240627933263363</v>
          </cell>
          <cell r="Q501">
            <v>0</v>
          </cell>
          <cell r="R501">
            <v>0</v>
          </cell>
          <cell r="S501">
            <v>2.2000000000000002</v>
          </cell>
          <cell r="T501" t="str">
            <v>MID</v>
          </cell>
          <cell r="U501" t="str">
            <v>DM</v>
          </cell>
          <cell r="V501" t="str">
            <v>EVE</v>
          </cell>
          <cell r="W501" t="str">
            <v>Everton</v>
          </cell>
          <cell r="X501">
            <v>5.5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 t="e">
            <v>#DIV/0!</v>
          </cell>
          <cell r="AH501" t="e">
            <v>#DIV/0!</v>
          </cell>
          <cell r="AI501" t="e">
            <v>#DIV/0!</v>
          </cell>
          <cell r="AJ501">
            <v>4.0000000000000036E-3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247</v>
          </cell>
          <cell r="AP501" t="str">
            <v>Hackney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 t="str">
            <v/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0.9</v>
          </cell>
          <cell r="BH501">
            <v>1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 t="e">
            <v>#DIV/0!</v>
          </cell>
          <cell r="BO501">
            <v>38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38</v>
          </cell>
          <cell r="BY501">
            <v>1.5786842105263159</v>
          </cell>
          <cell r="BZ501">
            <v>1.0643157894736839</v>
          </cell>
        </row>
        <row r="502">
          <cell r="A502" t="str">
            <v>Adam Aznou</v>
          </cell>
          <cell r="B502" t="str">
            <v/>
          </cell>
          <cell r="C502" t="str">
            <v>Aznou</v>
          </cell>
          <cell r="D502" t="str">
            <v/>
          </cell>
          <cell r="F502" t="str">
            <v/>
          </cell>
          <cell r="H502" t="str">
            <v/>
          </cell>
          <cell r="I502" t="e">
            <v>#N/A</v>
          </cell>
          <cell r="J502" t="e">
            <v>#N/A</v>
          </cell>
          <cell r="K502" t="e">
            <v>#N/A</v>
          </cell>
          <cell r="M502">
            <v>2.2000000000000002</v>
          </cell>
          <cell r="N502">
            <v>2.2000000000000002</v>
          </cell>
          <cell r="O502">
            <v>1.3658333333333332</v>
          </cell>
          <cell r="P502">
            <v>2.423169627790295</v>
          </cell>
          <cell r="Q502">
            <v>0</v>
          </cell>
          <cell r="R502">
            <v>0</v>
          </cell>
          <cell r="S502">
            <v>2.2000000000000002</v>
          </cell>
          <cell r="T502" t="str">
            <v>DEF</v>
          </cell>
          <cell r="U502" t="str">
            <v>LB</v>
          </cell>
          <cell r="V502" t="str">
            <v>EVE</v>
          </cell>
          <cell r="W502" t="str">
            <v>Everton</v>
          </cell>
          <cell r="X502">
            <v>4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 t="e">
            <v>#DIV/0!</v>
          </cell>
          <cell r="AH502" t="e">
            <v>#DIV/0!</v>
          </cell>
          <cell r="AI502" t="e">
            <v>#DIV/0!</v>
          </cell>
          <cell r="AJ502">
            <v>2.0000000000000018E-3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235</v>
          </cell>
          <cell r="AP502" t="str">
            <v>Aznou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 t="str">
            <v/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0.9</v>
          </cell>
          <cell r="BH502">
            <v>1</v>
          </cell>
          <cell r="BI502">
            <v>0</v>
          </cell>
          <cell r="BJ502">
            <v>0</v>
          </cell>
          <cell r="BK502">
            <v>22</v>
          </cell>
          <cell r="BL502">
            <v>0</v>
          </cell>
          <cell r="BM502">
            <v>0</v>
          </cell>
          <cell r="BN502" t="e">
            <v>#DIV/0!</v>
          </cell>
          <cell r="BO502">
            <v>38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38</v>
          </cell>
          <cell r="BY502">
            <v>1.5786842105263159</v>
          </cell>
          <cell r="BZ502">
            <v>1.0643157894736839</v>
          </cell>
        </row>
        <row r="503">
          <cell r="A503" t="str">
            <v>Joél Drakes-Thomas</v>
          </cell>
          <cell r="B503" t="str">
            <v/>
          </cell>
          <cell r="C503" t="str">
            <v>Drakes-Thomas</v>
          </cell>
          <cell r="D503" t="str">
            <v/>
          </cell>
          <cell r="F503" t="str">
            <v/>
          </cell>
          <cell r="H503" t="str">
            <v/>
          </cell>
          <cell r="I503" t="e">
            <v>#N/A</v>
          </cell>
          <cell r="J503" t="e">
            <v>#N/A</v>
          </cell>
          <cell r="K503" t="e">
            <v>#N/A</v>
          </cell>
          <cell r="M503">
            <v>2.2000000000000002</v>
          </cell>
          <cell r="N503">
            <v>2.2000000000000002</v>
          </cell>
          <cell r="O503">
            <v>2.7714285714285714</v>
          </cell>
          <cell r="P503">
            <v>3.0000976938458424</v>
          </cell>
          <cell r="Q503">
            <v>23.142857142857142</v>
          </cell>
          <cell r="R503">
            <v>23.142857142857142</v>
          </cell>
          <cell r="S503">
            <v>2.2000000000000002</v>
          </cell>
          <cell r="T503" t="str">
            <v>MID</v>
          </cell>
          <cell r="U503" t="str">
            <v/>
          </cell>
          <cell r="V503" t="str">
            <v>CRY</v>
          </cell>
          <cell r="W503" t="str">
            <v>Crystal Palace</v>
          </cell>
          <cell r="X503">
            <v>4.5</v>
          </cell>
          <cell r="Y503">
            <v>2</v>
          </cell>
          <cell r="Z503">
            <v>0</v>
          </cell>
          <cell r="AA503">
            <v>2</v>
          </cell>
          <cell r="AB503">
            <v>7</v>
          </cell>
          <cell r="AC503">
            <v>7</v>
          </cell>
          <cell r="AD503">
            <v>0.22222222222222221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9.9999999999988987E-4</v>
          </cell>
          <cell r="AK503">
            <v>0</v>
          </cell>
          <cell r="AL503">
            <v>6</v>
          </cell>
          <cell r="AM503">
            <v>0</v>
          </cell>
          <cell r="AN503">
            <v>0</v>
          </cell>
          <cell r="AO503">
            <v>221</v>
          </cell>
          <cell r="AP503" t="str">
            <v>Drakes-Thomas</v>
          </cell>
          <cell r="AQ503">
            <v>0</v>
          </cell>
          <cell r="AR503">
            <v>0</v>
          </cell>
          <cell r="AS503">
            <v>23.142857142857142</v>
          </cell>
          <cell r="AT503">
            <v>34.714285714285715</v>
          </cell>
          <cell r="AU503">
            <v>11.571428571428571</v>
          </cell>
          <cell r="AV503">
            <v>34.714285714285715</v>
          </cell>
          <cell r="AW503">
            <v>34.714285714285715</v>
          </cell>
          <cell r="AX503">
            <v>2.1018571428571429</v>
          </cell>
          <cell r="AY503">
            <v>0</v>
          </cell>
          <cell r="AZ503">
            <v>1</v>
          </cell>
          <cell r="BA503">
            <v>2</v>
          </cell>
          <cell r="BB503" t="str">
            <v/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0.9</v>
          </cell>
          <cell r="BH503">
            <v>1</v>
          </cell>
          <cell r="BI503">
            <v>2</v>
          </cell>
          <cell r="BJ503">
            <v>5</v>
          </cell>
          <cell r="BK503">
            <v>4</v>
          </cell>
          <cell r="BL503">
            <v>0</v>
          </cell>
          <cell r="BM503">
            <v>0.33333333333333337</v>
          </cell>
          <cell r="BN503" t="e">
            <v>#DIV/0!</v>
          </cell>
          <cell r="BO503">
            <v>38</v>
          </cell>
          <cell r="BP503">
            <v>0</v>
          </cell>
          <cell r="BQ503">
            <v>2.0467836257309943E-3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38</v>
          </cell>
          <cell r="BY503">
            <v>1.631578947368421</v>
          </cell>
          <cell r="BZ503">
            <v>1.0114210526315788</v>
          </cell>
        </row>
        <row r="504">
          <cell r="A504" t="str">
            <v>Walter Benítez</v>
          </cell>
          <cell r="B504" t="str">
            <v/>
          </cell>
          <cell r="C504" t="str">
            <v>Benitez</v>
          </cell>
          <cell r="D504" t="str">
            <v/>
          </cell>
          <cell r="F504" t="str">
            <v/>
          </cell>
          <cell r="H504" t="str">
            <v/>
          </cell>
          <cell r="I504" t="e">
            <v>#N/A</v>
          </cell>
          <cell r="J504" t="e">
            <v>#N/A</v>
          </cell>
          <cell r="K504" t="e">
            <v>#N/A</v>
          </cell>
          <cell r="M504">
            <v>2.2000000000000002</v>
          </cell>
          <cell r="N504">
            <v>2.2000000000000002</v>
          </cell>
          <cell r="O504">
            <v>2.5485714285714289</v>
          </cell>
          <cell r="P504">
            <v>3.6388870159848725</v>
          </cell>
          <cell r="Q504">
            <v>7</v>
          </cell>
          <cell r="R504">
            <v>0</v>
          </cell>
          <cell r="S504">
            <v>2.2000000000000002</v>
          </cell>
          <cell r="T504" t="str">
            <v>GK</v>
          </cell>
          <cell r="U504" t="str">
            <v>GK</v>
          </cell>
          <cell r="V504" t="str">
            <v>CRY</v>
          </cell>
          <cell r="W504" t="str">
            <v>Crystal Palace</v>
          </cell>
          <cell r="X504">
            <v>4.5</v>
          </cell>
          <cell r="Y504">
            <v>7</v>
          </cell>
          <cell r="Z504">
            <v>0</v>
          </cell>
          <cell r="AA504">
            <v>7</v>
          </cell>
          <cell r="AB504">
            <v>90</v>
          </cell>
          <cell r="AC504">
            <v>90</v>
          </cell>
          <cell r="AD504">
            <v>1.5555555555555556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9.9999999999988987E-4</v>
          </cell>
          <cell r="AK504">
            <v>0</v>
          </cell>
          <cell r="AL504">
            <v>29</v>
          </cell>
          <cell r="AM504">
            <v>0</v>
          </cell>
          <cell r="AN504">
            <v>3</v>
          </cell>
          <cell r="AO504">
            <v>199</v>
          </cell>
          <cell r="AP504" t="str">
            <v>Benitez</v>
          </cell>
          <cell r="AQ504">
            <v>1</v>
          </cell>
          <cell r="AR504">
            <v>0</v>
          </cell>
          <cell r="AS504">
            <v>9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7</v>
          </cell>
          <cell r="BA504">
            <v>7</v>
          </cell>
          <cell r="BB504" t="str">
            <v/>
          </cell>
          <cell r="BC504">
            <v>1</v>
          </cell>
          <cell r="BD504">
            <v>1</v>
          </cell>
          <cell r="BE504">
            <v>1</v>
          </cell>
          <cell r="BF504">
            <v>90</v>
          </cell>
          <cell r="BG504">
            <v>1</v>
          </cell>
          <cell r="BH504">
            <v>1</v>
          </cell>
          <cell r="BI504">
            <v>0</v>
          </cell>
          <cell r="BJ504">
            <v>0</v>
          </cell>
          <cell r="BK504">
            <v>35</v>
          </cell>
          <cell r="BL504">
            <v>2.7777777777777776E-2</v>
          </cell>
          <cell r="BM504">
            <v>0</v>
          </cell>
          <cell r="BN504">
            <v>2.7777777777777776E-2</v>
          </cell>
          <cell r="BO504">
            <v>38</v>
          </cell>
          <cell r="BP504">
            <v>0</v>
          </cell>
          <cell r="BQ504">
            <v>2.6315789473684209E-2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38</v>
          </cell>
          <cell r="BY504">
            <v>1.631578947368421</v>
          </cell>
          <cell r="BZ504">
            <v>1.0114210526315788</v>
          </cell>
        </row>
        <row r="505">
          <cell r="A505" t="str">
            <v>Oscar Mingueza</v>
          </cell>
          <cell r="B505" t="str">
            <v/>
          </cell>
          <cell r="C505" t="str">
            <v>Mingueza</v>
          </cell>
          <cell r="D505" t="str">
            <v/>
          </cell>
          <cell r="H505" t="str">
            <v/>
          </cell>
          <cell r="I505" t="e">
            <v>#N/A</v>
          </cell>
          <cell r="J505" t="e">
            <v>#N/A</v>
          </cell>
          <cell r="K505" t="e">
            <v>#N/A</v>
          </cell>
          <cell r="M505">
            <v>2.2000000000000002</v>
          </cell>
          <cell r="N505">
            <v>2.2000000000000002</v>
          </cell>
          <cell r="O505">
            <v>1.2585714285714289</v>
          </cell>
          <cell r="P505">
            <v>2.3488870159848725</v>
          </cell>
          <cell r="Q505">
            <v>0</v>
          </cell>
          <cell r="R505">
            <v>0</v>
          </cell>
          <cell r="S505">
            <v>2.2000000000000002</v>
          </cell>
          <cell r="T505" t="str">
            <v>DEF</v>
          </cell>
          <cell r="U505" t="str">
            <v/>
          </cell>
          <cell r="V505" t="str">
            <v>CRY</v>
          </cell>
          <cell r="W505" t="str">
            <v>Crystal Palace</v>
          </cell>
          <cell r="X505">
            <v>4.5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 t="e">
            <v>#DIV/0!</v>
          </cell>
          <cell r="AH505" t="e">
            <v>#DIV/0!</v>
          </cell>
          <cell r="AI505" t="e">
            <v>#DIV/0!</v>
          </cell>
          <cell r="AJ505">
            <v>9.9999999999988987E-4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207</v>
          </cell>
          <cell r="AP505" t="str">
            <v>Mingueza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 t="str">
            <v/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0.9</v>
          </cell>
          <cell r="BH505">
            <v>1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 t="e">
            <v>#DIV/0!</v>
          </cell>
          <cell r="BO505">
            <v>38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38</v>
          </cell>
          <cell r="BY505">
            <v>1.631578947368421</v>
          </cell>
          <cell r="BZ505">
            <v>1.0114210526315788</v>
          </cell>
        </row>
        <row r="506">
          <cell r="A506" t="str">
            <v>Ephron Mason-Clark</v>
          </cell>
          <cell r="B506" t="str">
            <v/>
          </cell>
          <cell r="C506" t="str">
            <v>Mason-Clark</v>
          </cell>
          <cell r="D506" t="str">
            <v/>
          </cell>
          <cell r="H506" t="str">
            <v/>
          </cell>
          <cell r="I506" t="e">
            <v>#N/A</v>
          </cell>
          <cell r="J506" t="e">
            <v>#N/A</v>
          </cell>
          <cell r="K506" t="e">
            <v>#N/A</v>
          </cell>
          <cell r="M506">
            <v>2.2000000000000002</v>
          </cell>
          <cell r="N506">
            <v>2.2000000000000002</v>
          </cell>
          <cell r="O506">
            <v>2</v>
          </cell>
          <cell r="P506">
            <v>2.1922572207366313</v>
          </cell>
          <cell r="Q506">
            <v>0</v>
          </cell>
          <cell r="R506">
            <v>0</v>
          </cell>
          <cell r="S506">
            <v>2.2000000000000002</v>
          </cell>
          <cell r="T506" t="str">
            <v>MID</v>
          </cell>
          <cell r="U506" t="str">
            <v>LM</v>
          </cell>
          <cell r="V506" t="str">
            <v>COV</v>
          </cell>
          <cell r="W506" t="str">
            <v>Coventry City</v>
          </cell>
          <cell r="X506">
            <v>5.5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 t="e">
            <v>#DIV/0!</v>
          </cell>
          <cell r="AH506" t="e">
            <v>#DIV/0!</v>
          </cell>
          <cell r="AI506" t="e">
            <v>#DIV/0!</v>
          </cell>
          <cell r="AJ506">
            <v>4.0000000000000036E-3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186</v>
          </cell>
          <cell r="AP506" t="str">
            <v>Mason-Clark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5</v>
          </cell>
          <cell r="AW506">
            <v>5</v>
          </cell>
          <cell r="AX506">
            <v>3.785714285714286E-2</v>
          </cell>
          <cell r="AY506">
            <v>0</v>
          </cell>
          <cell r="AZ506">
            <v>0</v>
          </cell>
          <cell r="BA506">
            <v>0</v>
          </cell>
          <cell r="BB506" t="str">
            <v/>
          </cell>
          <cell r="BC506">
            <v>36</v>
          </cell>
          <cell r="BD506">
            <v>12</v>
          </cell>
          <cell r="BE506">
            <v>0.33333333333333331</v>
          </cell>
          <cell r="BF506">
            <v>77</v>
          </cell>
          <cell r="BG506">
            <v>0.85555555555555551</v>
          </cell>
          <cell r="BH506">
            <v>1</v>
          </cell>
          <cell r="BI506">
            <v>6</v>
          </cell>
          <cell r="BJ506">
            <v>32</v>
          </cell>
          <cell r="BK506">
            <v>1</v>
          </cell>
          <cell r="BL506">
            <v>0.83720930232558144</v>
          </cell>
          <cell r="BM506">
            <v>0.1395348837209302</v>
          </cell>
          <cell r="BN506">
            <v>0.90486257928118397</v>
          </cell>
          <cell r="BO506">
            <v>38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38</v>
          </cell>
          <cell r="BY506">
            <v>1.7926315789473686</v>
          </cell>
          <cell r="BZ506">
            <v>0.85036842105263122</v>
          </cell>
        </row>
        <row r="507">
          <cell r="A507" t="str">
            <v>Victor Torp</v>
          </cell>
          <cell r="B507" t="str">
            <v/>
          </cell>
          <cell r="C507" t="str">
            <v>Torp</v>
          </cell>
          <cell r="D507" t="str">
            <v/>
          </cell>
          <cell r="H507" t="str">
            <v/>
          </cell>
          <cell r="I507">
            <v>2.4</v>
          </cell>
          <cell r="J507">
            <v>2.8</v>
          </cell>
          <cell r="K507">
            <v>3.2</v>
          </cell>
          <cell r="M507">
            <v>2.2000000000000002</v>
          </cell>
          <cell r="N507">
            <v>2.2000000000000002</v>
          </cell>
          <cell r="O507">
            <v>2</v>
          </cell>
          <cell r="P507">
            <v>2.1922572207366313</v>
          </cell>
          <cell r="Q507">
            <v>0</v>
          </cell>
          <cell r="R507">
            <v>0</v>
          </cell>
          <cell r="S507">
            <v>2.2000000000000002</v>
          </cell>
          <cell r="T507" t="str">
            <v>MID</v>
          </cell>
          <cell r="U507" t="str">
            <v>CM</v>
          </cell>
          <cell r="V507" t="str">
            <v>COV</v>
          </cell>
          <cell r="W507" t="str">
            <v>Coventry City</v>
          </cell>
          <cell r="X507">
            <v>5.5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 t="e">
            <v>#DIV/0!</v>
          </cell>
          <cell r="AH507" t="e">
            <v>#DIV/0!</v>
          </cell>
          <cell r="AI507" t="e">
            <v>#DIV/0!</v>
          </cell>
          <cell r="AJ507">
            <v>2.0000000000000018E-3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188</v>
          </cell>
          <cell r="AP507" t="str">
            <v>Torp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 t="str">
            <v/>
          </cell>
          <cell r="BC507">
            <v>25</v>
          </cell>
          <cell r="BD507">
            <v>7</v>
          </cell>
          <cell r="BE507">
            <v>0.28000000000000003</v>
          </cell>
          <cell r="BF507">
            <v>81</v>
          </cell>
          <cell r="BG507">
            <v>0.9</v>
          </cell>
          <cell r="BH507">
            <v>1</v>
          </cell>
          <cell r="BI507">
            <v>14</v>
          </cell>
          <cell r="BJ507">
            <v>21</v>
          </cell>
          <cell r="BK507">
            <v>3</v>
          </cell>
          <cell r="BL507">
            <v>0.59523809523809523</v>
          </cell>
          <cell r="BM507">
            <v>0.33333333333333331</v>
          </cell>
          <cell r="BN507">
            <v>0.70017636684303353</v>
          </cell>
          <cell r="BO507">
            <v>38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38</v>
          </cell>
          <cell r="BY507">
            <v>1.7926315789473686</v>
          </cell>
          <cell r="BZ507">
            <v>0.85036842105263122</v>
          </cell>
        </row>
        <row r="508">
          <cell r="A508" t="str">
            <v>Haji Wright</v>
          </cell>
          <cell r="B508" t="str">
            <v/>
          </cell>
          <cell r="C508" t="str">
            <v>Wright</v>
          </cell>
          <cell r="D508" t="str">
            <v/>
          </cell>
          <cell r="H508" t="str">
            <v/>
          </cell>
          <cell r="I508">
            <v>2.1</v>
          </cell>
          <cell r="J508">
            <v>3.2333333333333329</v>
          </cell>
          <cell r="K508">
            <v>3.9</v>
          </cell>
          <cell r="M508">
            <v>2.2000000000000002</v>
          </cell>
          <cell r="N508">
            <v>2.2000000000000002</v>
          </cell>
          <cell r="O508">
            <v>2</v>
          </cell>
          <cell r="P508">
            <v>2</v>
          </cell>
          <cell r="Q508">
            <v>0</v>
          </cell>
          <cell r="R508">
            <v>0</v>
          </cell>
          <cell r="S508">
            <v>2.2000000000000002</v>
          </cell>
          <cell r="T508" t="str">
            <v>FWD</v>
          </cell>
          <cell r="U508" t="str">
            <v>CF</v>
          </cell>
          <cell r="V508" t="str">
            <v>COV</v>
          </cell>
          <cell r="W508" t="str">
            <v>Coventry City</v>
          </cell>
          <cell r="X508">
            <v>5.5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 t="e">
            <v>#DIV/0!</v>
          </cell>
          <cell r="AH508" t="e">
            <v>#DIV/0!</v>
          </cell>
          <cell r="AI508" t="e">
            <v>#DIV/0!</v>
          </cell>
          <cell r="AJ508">
            <v>2.0999999999999908E-2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193</v>
          </cell>
          <cell r="AP508" t="str">
            <v>Wright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 t="str">
            <v/>
          </cell>
          <cell r="BC508">
            <v>31</v>
          </cell>
          <cell r="BD508">
            <v>4</v>
          </cell>
          <cell r="BE508">
            <v>0.12903225806451613</v>
          </cell>
          <cell r="BF508">
            <v>77</v>
          </cell>
          <cell r="BG508">
            <v>0.85555555555555551</v>
          </cell>
          <cell r="BH508">
            <v>1</v>
          </cell>
          <cell r="BI508">
            <v>9</v>
          </cell>
          <cell r="BJ508">
            <v>22</v>
          </cell>
          <cell r="BK508">
            <v>2</v>
          </cell>
          <cell r="BL508">
            <v>0.73809523809523814</v>
          </cell>
          <cell r="BM508">
            <v>0.21428571428571425</v>
          </cell>
          <cell r="BN508">
            <v>0.81292517006802723</v>
          </cell>
          <cell r="BO508">
            <v>38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38</v>
          </cell>
          <cell r="BY508">
            <v>1.7926315789473686</v>
          </cell>
          <cell r="BZ508">
            <v>0.85036842105263122</v>
          </cell>
        </row>
        <row r="509">
          <cell r="A509" t="str">
            <v>Jack Rudoni</v>
          </cell>
          <cell r="B509" t="str">
            <v/>
          </cell>
          <cell r="C509" t="str">
            <v>Rudoni</v>
          </cell>
          <cell r="D509" t="str">
            <v/>
          </cell>
          <cell r="H509" t="str">
            <v/>
          </cell>
          <cell r="I509">
            <v>1.8</v>
          </cell>
          <cell r="J509">
            <v>3.05</v>
          </cell>
          <cell r="K509">
            <v>4.3</v>
          </cell>
          <cell r="M509">
            <v>2.2000000000000002</v>
          </cell>
          <cell r="N509">
            <v>2.2000000000000002</v>
          </cell>
          <cell r="O509">
            <v>2</v>
          </cell>
          <cell r="P509">
            <v>2.1922572207366313</v>
          </cell>
          <cell r="Q509">
            <v>0</v>
          </cell>
          <cell r="R509">
            <v>0</v>
          </cell>
          <cell r="S509">
            <v>2.2000000000000002</v>
          </cell>
          <cell r="T509" t="str">
            <v>MID</v>
          </cell>
          <cell r="U509" t="str">
            <v>AM</v>
          </cell>
          <cell r="V509" t="str">
            <v>COV</v>
          </cell>
          <cell r="W509" t="str">
            <v>Coventry City</v>
          </cell>
          <cell r="X509">
            <v>5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 t="e">
            <v>#DIV/0!</v>
          </cell>
          <cell r="AH509" t="e">
            <v>#DIV/0!</v>
          </cell>
          <cell r="AI509" t="e">
            <v>#DIV/0!</v>
          </cell>
          <cell r="AJ509">
            <v>2.9999999999998916E-3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183</v>
          </cell>
          <cell r="AP509" t="str">
            <v>Rudoni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75</v>
          </cell>
          <cell r="BC509">
            <v>24</v>
          </cell>
          <cell r="BD509">
            <v>12</v>
          </cell>
          <cell r="BE509">
            <v>0.5</v>
          </cell>
          <cell r="BF509">
            <v>82</v>
          </cell>
          <cell r="BG509">
            <v>0.91111111111111109</v>
          </cell>
          <cell r="BH509">
            <v>1</v>
          </cell>
          <cell r="BI509">
            <v>6</v>
          </cell>
          <cell r="BJ509">
            <v>22</v>
          </cell>
          <cell r="BK509">
            <v>0</v>
          </cell>
          <cell r="BL509">
            <v>0.8</v>
          </cell>
          <cell r="BM509">
            <v>0.39999999999999991</v>
          </cell>
          <cell r="BN509">
            <v>0.85365853658536583</v>
          </cell>
          <cell r="BO509">
            <v>38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38</v>
          </cell>
          <cell r="BY509">
            <v>1.7926315789473686</v>
          </cell>
          <cell r="BZ509">
            <v>0.85036842105263122</v>
          </cell>
        </row>
        <row r="510">
          <cell r="A510" t="str">
            <v>Matt Grimes</v>
          </cell>
          <cell r="B510" t="str">
            <v/>
          </cell>
          <cell r="C510" t="str">
            <v>Grimes</v>
          </cell>
          <cell r="D510" t="str">
            <v/>
          </cell>
          <cell r="H510" t="str">
            <v/>
          </cell>
          <cell r="I510">
            <v>3.1</v>
          </cell>
          <cell r="J510">
            <v>3.1500000000000004</v>
          </cell>
          <cell r="K510">
            <v>3.2</v>
          </cell>
          <cell r="M510">
            <v>2.2000000000000002</v>
          </cell>
          <cell r="N510">
            <v>2.2000000000000002</v>
          </cell>
          <cell r="O510">
            <v>2</v>
          </cell>
          <cell r="P510">
            <v>2.1922572207366313</v>
          </cell>
          <cell r="Q510">
            <v>0</v>
          </cell>
          <cell r="R510">
            <v>0</v>
          </cell>
          <cell r="S510">
            <v>2.2000000000000002</v>
          </cell>
          <cell r="T510" t="str">
            <v>MID</v>
          </cell>
          <cell r="U510" t="str">
            <v>DM</v>
          </cell>
          <cell r="V510" t="str">
            <v>COV</v>
          </cell>
          <cell r="W510" t="str">
            <v>Coventry City</v>
          </cell>
          <cell r="X510">
            <v>5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 t="e">
            <v>#DIV/0!</v>
          </cell>
          <cell r="AH510" t="e">
            <v>#DIV/0!</v>
          </cell>
          <cell r="AI510" t="e">
            <v>#DIV/0!</v>
          </cell>
          <cell r="AJ510">
            <v>2.9999999999998916E-3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184</v>
          </cell>
          <cell r="AP510" t="str">
            <v>Grimes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 t="str">
            <v/>
          </cell>
          <cell r="BC510">
            <v>46</v>
          </cell>
          <cell r="BD510">
            <v>43</v>
          </cell>
          <cell r="BE510">
            <v>0.93478260869565222</v>
          </cell>
          <cell r="BF510">
            <v>90</v>
          </cell>
          <cell r="BG510">
            <v>1</v>
          </cell>
          <cell r="BH510">
            <v>1</v>
          </cell>
          <cell r="BI510">
            <v>0</v>
          </cell>
          <cell r="BJ510">
            <v>0</v>
          </cell>
          <cell r="BK510">
            <v>0</v>
          </cell>
          <cell r="BL510">
            <v>1</v>
          </cell>
          <cell r="BM510">
            <v>0</v>
          </cell>
          <cell r="BN510">
            <v>1</v>
          </cell>
          <cell r="BO510">
            <v>38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38</v>
          </cell>
          <cell r="BY510">
            <v>1.7926315789473686</v>
          </cell>
          <cell r="BZ510">
            <v>0.85036842105263122</v>
          </cell>
        </row>
        <row r="511">
          <cell r="A511" t="str">
            <v>Tatsuhiro Sakamoto</v>
          </cell>
          <cell r="B511" t="str">
            <v/>
          </cell>
          <cell r="C511" t="str">
            <v>Sakamoto</v>
          </cell>
          <cell r="D511" t="str">
            <v/>
          </cell>
          <cell r="H511" t="str">
            <v/>
          </cell>
          <cell r="I511" t="e">
            <v>#N/A</v>
          </cell>
          <cell r="J511" t="e">
            <v>#N/A</v>
          </cell>
          <cell r="K511" t="e">
            <v>#N/A</v>
          </cell>
          <cell r="M511">
            <v>2.2000000000000002</v>
          </cell>
          <cell r="N511">
            <v>2.2000000000000002</v>
          </cell>
          <cell r="O511">
            <v>2</v>
          </cell>
          <cell r="P511">
            <v>2.1922572207366313</v>
          </cell>
          <cell r="Q511">
            <v>0</v>
          </cell>
          <cell r="R511">
            <v>0</v>
          </cell>
          <cell r="S511">
            <v>2.2000000000000002</v>
          </cell>
          <cell r="T511" t="str">
            <v>MID</v>
          </cell>
          <cell r="U511" t="str">
            <v>RW</v>
          </cell>
          <cell r="V511" t="str">
            <v>COV</v>
          </cell>
          <cell r="W511" t="str">
            <v>Coventry City</v>
          </cell>
          <cell r="X511">
            <v>5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 t="e">
            <v>#DIV/0!</v>
          </cell>
          <cell r="AH511" t="e">
            <v>#DIV/0!</v>
          </cell>
          <cell r="AI511" t="e">
            <v>#DIV/0!</v>
          </cell>
          <cell r="AJ511">
            <v>2.0000000000000018E-3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185</v>
          </cell>
          <cell r="AP511" t="str">
            <v>Sakamoto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 t="str">
            <v/>
          </cell>
          <cell r="BC511">
            <v>29</v>
          </cell>
          <cell r="BD511">
            <v>12</v>
          </cell>
          <cell r="BE511">
            <v>0.41379310344827586</v>
          </cell>
          <cell r="BF511">
            <v>81</v>
          </cell>
          <cell r="BG511">
            <v>0.9</v>
          </cell>
          <cell r="BH511">
            <v>1</v>
          </cell>
          <cell r="BI511">
            <v>6</v>
          </cell>
          <cell r="BJ511">
            <v>22</v>
          </cell>
          <cell r="BK511">
            <v>1</v>
          </cell>
          <cell r="BL511">
            <v>0.80555555555555558</v>
          </cell>
          <cell r="BM511">
            <v>0.16666666666666666</v>
          </cell>
          <cell r="BN511">
            <v>0.85836762688614532</v>
          </cell>
          <cell r="BO511">
            <v>38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38</v>
          </cell>
          <cell r="BY511">
            <v>1.7926315789473686</v>
          </cell>
          <cell r="BZ511">
            <v>0.85036842105263122</v>
          </cell>
        </row>
        <row r="512">
          <cell r="A512" t="str">
            <v>Josh Eccles</v>
          </cell>
          <cell r="B512" t="str">
            <v/>
          </cell>
          <cell r="C512" t="str">
            <v>Eccles</v>
          </cell>
          <cell r="D512" t="str">
            <v/>
          </cell>
          <cell r="H512" t="str">
            <v/>
          </cell>
          <cell r="I512" t="e">
            <v>#N/A</v>
          </cell>
          <cell r="J512" t="e">
            <v>#N/A</v>
          </cell>
          <cell r="K512" t="e">
            <v>#N/A</v>
          </cell>
          <cell r="M512">
            <v>2.2000000000000002</v>
          </cell>
          <cell r="N512">
            <v>2.2000000000000002</v>
          </cell>
          <cell r="O512">
            <v>2</v>
          </cell>
          <cell r="P512">
            <v>2.1922572207366313</v>
          </cell>
          <cell r="Q512">
            <v>0</v>
          </cell>
          <cell r="R512">
            <v>0</v>
          </cell>
          <cell r="S512">
            <v>2.2000000000000002</v>
          </cell>
          <cell r="T512" t="str">
            <v>MID</v>
          </cell>
          <cell r="U512" t="str">
            <v>CM</v>
          </cell>
          <cell r="V512" t="str">
            <v>COV</v>
          </cell>
          <cell r="W512" t="str">
            <v>Coventry City</v>
          </cell>
          <cell r="X512">
            <v>5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 t="e">
            <v>#DIV/0!</v>
          </cell>
          <cell r="AH512" t="e">
            <v>#DIV/0!</v>
          </cell>
          <cell r="AI512" t="e">
            <v>#DIV/0!</v>
          </cell>
          <cell r="AJ512">
            <v>9.9999999999988987E-4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187</v>
          </cell>
          <cell r="AP512" t="str">
            <v>Eccles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 t="str">
            <v/>
          </cell>
          <cell r="BC512">
            <v>19</v>
          </cell>
          <cell r="BD512">
            <v>1</v>
          </cell>
          <cell r="BE512">
            <v>5.2631578947368418E-2</v>
          </cell>
          <cell r="BF512">
            <v>66</v>
          </cell>
          <cell r="BG512">
            <v>0.73333333333333328</v>
          </cell>
          <cell r="BH512">
            <v>1</v>
          </cell>
          <cell r="BI512">
            <v>15</v>
          </cell>
          <cell r="BJ512">
            <v>17</v>
          </cell>
          <cell r="BK512">
            <v>6</v>
          </cell>
          <cell r="BL512">
            <v>0.47499999999999998</v>
          </cell>
          <cell r="BM512">
            <v>0.375</v>
          </cell>
          <cell r="BN512">
            <v>0.61022727272727273</v>
          </cell>
          <cell r="BO512">
            <v>38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38</v>
          </cell>
          <cell r="BY512">
            <v>1.7926315789473686</v>
          </cell>
          <cell r="BZ512">
            <v>0.85036842105263122</v>
          </cell>
        </row>
        <row r="513">
          <cell r="A513" t="str">
            <v>Brandon Thomas-Asante</v>
          </cell>
          <cell r="B513" t="str">
            <v/>
          </cell>
          <cell r="C513" t="str">
            <v>Thomas-Asante</v>
          </cell>
          <cell r="D513" t="str">
            <v/>
          </cell>
          <cell r="H513" t="str">
            <v/>
          </cell>
          <cell r="I513">
            <v>0</v>
          </cell>
          <cell r="J513">
            <v>0.65</v>
          </cell>
          <cell r="K513">
            <v>1.3</v>
          </cell>
          <cell r="M513">
            <v>2.2000000000000002</v>
          </cell>
          <cell r="N513">
            <v>2.2000000000000002</v>
          </cell>
          <cell r="O513">
            <v>2</v>
          </cell>
          <cell r="P513">
            <v>2</v>
          </cell>
          <cell r="Q513">
            <v>0</v>
          </cell>
          <cell r="R513">
            <v>0</v>
          </cell>
          <cell r="S513">
            <v>2.2000000000000002</v>
          </cell>
          <cell r="T513" t="str">
            <v>FWD</v>
          </cell>
          <cell r="U513" t="str">
            <v>CF</v>
          </cell>
          <cell r="V513" t="str">
            <v>COV</v>
          </cell>
          <cell r="W513" t="str">
            <v>Coventry City</v>
          </cell>
          <cell r="X513">
            <v>5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 t="e">
            <v>#DIV/0!</v>
          </cell>
          <cell r="AH513" t="e">
            <v>#DIV/0!</v>
          </cell>
          <cell r="AI513" t="e">
            <v>#DIV/0!</v>
          </cell>
          <cell r="AJ513">
            <v>1.0000000000000009E-2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194</v>
          </cell>
          <cell r="AP513" t="str">
            <v>Thomas-Asante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 t="str">
            <v/>
          </cell>
          <cell r="BC513">
            <v>21</v>
          </cell>
          <cell r="BD513">
            <v>7</v>
          </cell>
          <cell r="BE513">
            <v>0.33333333333333331</v>
          </cell>
          <cell r="BF513">
            <v>79</v>
          </cell>
          <cell r="BG513">
            <v>0.87777777777777777</v>
          </cell>
          <cell r="BH513">
            <v>1</v>
          </cell>
          <cell r="BI513">
            <v>11</v>
          </cell>
          <cell r="BJ513">
            <v>19</v>
          </cell>
          <cell r="BK513">
            <v>0</v>
          </cell>
          <cell r="BL513">
            <v>0.65625</v>
          </cell>
          <cell r="BM513">
            <v>0.34375</v>
          </cell>
          <cell r="BN513">
            <v>0.73892405063291144</v>
          </cell>
          <cell r="BO513">
            <v>38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38</v>
          </cell>
          <cell r="BY513">
            <v>1.7926315789473686</v>
          </cell>
          <cell r="BZ513">
            <v>0.85036842105263122</v>
          </cell>
        </row>
        <row r="514">
          <cell r="A514" t="str">
            <v>Ellis Simms</v>
          </cell>
          <cell r="B514" t="str">
            <v/>
          </cell>
          <cell r="C514" t="str">
            <v>Simms</v>
          </cell>
          <cell r="D514" t="str">
            <v/>
          </cell>
          <cell r="H514" t="str">
            <v/>
          </cell>
          <cell r="I514">
            <v>1.7</v>
          </cell>
          <cell r="J514">
            <v>1.7</v>
          </cell>
          <cell r="K514">
            <v>1.7</v>
          </cell>
          <cell r="M514">
            <v>2.2000000000000002</v>
          </cell>
          <cell r="N514">
            <v>2.2000000000000002</v>
          </cell>
          <cell r="O514">
            <v>2</v>
          </cell>
          <cell r="P514">
            <v>2</v>
          </cell>
          <cell r="Q514">
            <v>0</v>
          </cell>
          <cell r="R514">
            <v>0</v>
          </cell>
          <cell r="S514">
            <v>2.2000000000000002</v>
          </cell>
          <cell r="T514" t="str">
            <v>FWD</v>
          </cell>
          <cell r="U514" t="str">
            <v>CF</v>
          </cell>
          <cell r="V514" t="str">
            <v>COV</v>
          </cell>
          <cell r="W514" t="str">
            <v>Coventry City</v>
          </cell>
          <cell r="X514">
            <v>5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 t="e">
            <v>#DIV/0!</v>
          </cell>
          <cell r="AH514" t="e">
            <v>#DIV/0!</v>
          </cell>
          <cell r="AI514" t="e">
            <v>#DIV/0!</v>
          </cell>
          <cell r="AJ514">
            <v>8.0000000000000071E-3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195</v>
          </cell>
          <cell r="AP514" t="str">
            <v>Simms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 t="str">
            <v/>
          </cell>
          <cell r="BC514">
            <v>15</v>
          </cell>
          <cell r="BD514">
            <v>8</v>
          </cell>
          <cell r="BE514">
            <v>0.53333333333333333</v>
          </cell>
          <cell r="BF514">
            <v>80</v>
          </cell>
          <cell r="BG514">
            <v>0.88888888888888884</v>
          </cell>
          <cell r="BH514">
            <v>1</v>
          </cell>
          <cell r="BI514">
            <v>28</v>
          </cell>
          <cell r="BJ514">
            <v>16</v>
          </cell>
          <cell r="BK514">
            <v>3</v>
          </cell>
          <cell r="BL514">
            <v>0.32608695652173914</v>
          </cell>
          <cell r="BM514">
            <v>0.60869565217391308</v>
          </cell>
          <cell r="BN514">
            <v>0.46086956521739131</v>
          </cell>
          <cell r="BO514">
            <v>38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38</v>
          </cell>
          <cell r="BY514">
            <v>1.7926315789473686</v>
          </cell>
          <cell r="BZ514">
            <v>0.85036842105263122</v>
          </cell>
        </row>
        <row r="515">
          <cell r="A515" t="str">
            <v>Jahnoah Markelo</v>
          </cell>
          <cell r="B515" t="str">
            <v/>
          </cell>
          <cell r="C515" t="str">
            <v>Markelo</v>
          </cell>
          <cell r="D515" t="str">
            <v/>
          </cell>
          <cell r="H515" t="str">
            <v/>
          </cell>
          <cell r="I515" t="e">
            <v>#N/A</v>
          </cell>
          <cell r="J515" t="e">
            <v>#N/A</v>
          </cell>
          <cell r="K515" t="e">
            <v>#N/A</v>
          </cell>
          <cell r="M515">
            <v>2.2000000000000002</v>
          </cell>
          <cell r="N515">
            <v>2.2000000000000002</v>
          </cell>
          <cell r="O515">
            <v>2</v>
          </cell>
          <cell r="P515">
            <v>2</v>
          </cell>
          <cell r="Q515">
            <v>0</v>
          </cell>
          <cell r="R515">
            <v>0</v>
          </cell>
          <cell r="S515">
            <v>2.2000000000000002</v>
          </cell>
          <cell r="T515" t="str">
            <v>FWD</v>
          </cell>
          <cell r="U515" t="str">
            <v>RW</v>
          </cell>
          <cell r="V515" t="str">
            <v>COV</v>
          </cell>
          <cell r="W515" t="str">
            <v>Coventry City</v>
          </cell>
          <cell r="X515">
            <v>5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 t="e">
            <v>#DIV/0!</v>
          </cell>
          <cell r="AH515" t="e">
            <v>#DIV/0!</v>
          </cell>
          <cell r="AI515" t="e">
            <v>#DIV/0!</v>
          </cell>
          <cell r="AJ515">
            <v>9.9999999999988987E-4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196</v>
          </cell>
          <cell r="AP515" t="str">
            <v>Markelo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 t="str">
            <v/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0.9</v>
          </cell>
          <cell r="BH515">
            <v>1</v>
          </cell>
          <cell r="BI515">
            <v>5</v>
          </cell>
          <cell r="BJ515">
            <v>9</v>
          </cell>
          <cell r="BK515">
            <v>3</v>
          </cell>
          <cell r="BL515">
            <v>0</v>
          </cell>
          <cell r="BM515">
            <v>0.625</v>
          </cell>
          <cell r="BN515" t="e">
            <v>#DIV/0!</v>
          </cell>
          <cell r="BO515">
            <v>38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38</v>
          </cell>
          <cell r="BY515">
            <v>1.7926315789473686</v>
          </cell>
          <cell r="BZ515">
            <v>0.85036842105263122</v>
          </cell>
        </row>
        <row r="516">
          <cell r="A516" t="str">
            <v>Ben Wilson</v>
          </cell>
          <cell r="B516" t="str">
            <v/>
          </cell>
          <cell r="C516" t="str">
            <v>Wilson</v>
          </cell>
          <cell r="D516" t="str">
            <v/>
          </cell>
          <cell r="H516" t="str">
            <v/>
          </cell>
          <cell r="I516">
            <v>2.4</v>
          </cell>
          <cell r="J516">
            <v>2.65</v>
          </cell>
          <cell r="K516">
            <v>2.9</v>
          </cell>
          <cell r="M516">
            <v>2.2000000000000002</v>
          </cell>
          <cell r="N516">
            <v>2.2000000000000002</v>
          </cell>
          <cell r="O516">
            <v>2</v>
          </cell>
          <cell r="P516">
            <v>2.1227130934728407</v>
          </cell>
          <cell r="Q516">
            <v>0</v>
          </cell>
          <cell r="R516">
            <v>0</v>
          </cell>
          <cell r="S516">
            <v>2.2000000000000002</v>
          </cell>
          <cell r="T516" t="str">
            <v>GK</v>
          </cell>
          <cell r="U516" t="str">
            <v>GK</v>
          </cell>
          <cell r="V516" t="str">
            <v>COV</v>
          </cell>
          <cell r="W516" t="str">
            <v>Coventry City</v>
          </cell>
          <cell r="X516">
            <v>4.5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 t="e">
            <v>#DIV/0!</v>
          </cell>
          <cell r="AH516" t="e">
            <v>#DIV/0!</v>
          </cell>
          <cell r="AI516" t="e">
            <v>#DIV/0!</v>
          </cell>
          <cell r="AJ516">
            <v>8.999999999999897E-3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172</v>
          </cell>
          <cell r="AP516" t="str">
            <v>Wilson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 t="str">
            <v/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0.9</v>
          </cell>
          <cell r="BH516">
            <v>1</v>
          </cell>
          <cell r="BI516">
            <v>0</v>
          </cell>
          <cell r="BJ516">
            <v>0</v>
          </cell>
          <cell r="BK516">
            <v>46</v>
          </cell>
          <cell r="BL516">
            <v>0</v>
          </cell>
          <cell r="BM516">
            <v>0</v>
          </cell>
          <cell r="BN516" t="e">
            <v>#DIV/0!</v>
          </cell>
          <cell r="BO516">
            <v>38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38</v>
          </cell>
          <cell r="BY516">
            <v>1.7926315789473686</v>
          </cell>
          <cell r="BZ516">
            <v>0.85036842105263122</v>
          </cell>
        </row>
        <row r="517">
          <cell r="A517" t="str">
            <v>George Shepherd</v>
          </cell>
          <cell r="B517" t="str">
            <v/>
          </cell>
          <cell r="C517" t="str">
            <v>Shepherd</v>
          </cell>
          <cell r="D517" t="str">
            <v/>
          </cell>
          <cell r="H517" t="str">
            <v/>
          </cell>
          <cell r="I517">
            <v>2.1</v>
          </cell>
          <cell r="J517">
            <v>2.1</v>
          </cell>
          <cell r="K517">
            <v>2.1</v>
          </cell>
          <cell r="M517">
            <v>2.2000000000000002</v>
          </cell>
          <cell r="N517">
            <v>2.2000000000000002</v>
          </cell>
          <cell r="O517">
            <v>2</v>
          </cell>
          <cell r="P517">
            <v>2.1922572207366313</v>
          </cell>
          <cell r="Q517">
            <v>0</v>
          </cell>
          <cell r="R517">
            <v>0</v>
          </cell>
          <cell r="S517">
            <v>2.2000000000000002</v>
          </cell>
          <cell r="T517" t="str">
            <v>MID</v>
          </cell>
          <cell r="U517" t="str">
            <v/>
          </cell>
          <cell r="V517" t="str">
            <v>COV</v>
          </cell>
          <cell r="W517" t="str">
            <v>Coventry City</v>
          </cell>
          <cell r="X517">
            <v>4.5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 t="e">
            <v>#DIV/0!</v>
          </cell>
          <cell r="AH517" t="e">
            <v>#DIV/0!</v>
          </cell>
          <cell r="AI517" t="e">
            <v>#DIV/0!</v>
          </cell>
          <cell r="AJ517">
            <v>2.9999999999998916E-3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189</v>
          </cell>
          <cell r="AP517" t="str">
            <v>Shepherd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 t="str">
            <v/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0.9</v>
          </cell>
          <cell r="BH517">
            <v>1</v>
          </cell>
          <cell r="BI517">
            <v>0</v>
          </cell>
          <cell r="BJ517">
            <v>0</v>
          </cell>
          <cell r="BK517">
            <v>4</v>
          </cell>
          <cell r="BL517">
            <v>0</v>
          </cell>
          <cell r="BM517">
            <v>0</v>
          </cell>
          <cell r="BN517" t="e">
            <v>#DIV/0!</v>
          </cell>
          <cell r="BO517">
            <v>38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38</v>
          </cell>
          <cell r="BY517">
            <v>1.7926315789473686</v>
          </cell>
          <cell r="BZ517">
            <v>0.85036842105263122</v>
          </cell>
        </row>
        <row r="518">
          <cell r="A518" t="str">
            <v>Raphael Borges Rodrigues</v>
          </cell>
          <cell r="B518" t="str">
            <v/>
          </cell>
          <cell r="C518" t="str">
            <v>Borges Rodrigues</v>
          </cell>
          <cell r="D518" t="str">
            <v/>
          </cell>
          <cell r="H518" t="str">
            <v/>
          </cell>
          <cell r="I518">
            <v>4.4000000000000004</v>
          </cell>
          <cell r="J518">
            <v>4.4000000000000004</v>
          </cell>
          <cell r="K518">
            <v>4.4000000000000004</v>
          </cell>
          <cell r="M518">
            <v>2.2000000000000002</v>
          </cell>
          <cell r="N518">
            <v>2.2000000000000002</v>
          </cell>
          <cell r="O518">
            <v>2</v>
          </cell>
          <cell r="P518">
            <v>2.1922572207366313</v>
          </cell>
          <cell r="Q518">
            <v>0</v>
          </cell>
          <cell r="R518">
            <v>0</v>
          </cell>
          <cell r="S518">
            <v>2.2000000000000002</v>
          </cell>
          <cell r="T518" t="str">
            <v>MID</v>
          </cell>
          <cell r="U518" t="str">
            <v>LW</v>
          </cell>
          <cell r="V518" t="str">
            <v>COV</v>
          </cell>
          <cell r="W518" t="str">
            <v>Coventry City</v>
          </cell>
          <cell r="X518">
            <v>4.5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 t="e">
            <v>#DIV/0!</v>
          </cell>
          <cell r="AH518" t="e">
            <v>#DIV/0!</v>
          </cell>
          <cell r="AI518" t="e">
            <v>#DIV/0!</v>
          </cell>
          <cell r="AJ518">
            <v>2.0000000000000018E-3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191</v>
          </cell>
          <cell r="AP518" t="str">
            <v>Borges Rodrigues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 t="str">
            <v/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0.9</v>
          </cell>
          <cell r="BH518">
            <v>1</v>
          </cell>
          <cell r="BI518">
            <v>2</v>
          </cell>
          <cell r="BJ518">
            <v>18</v>
          </cell>
          <cell r="BK518">
            <v>2</v>
          </cell>
          <cell r="BL518">
            <v>0</v>
          </cell>
          <cell r="BM518">
            <v>0.5</v>
          </cell>
          <cell r="BN518" t="e">
            <v>#DIV/0!</v>
          </cell>
          <cell r="BO518">
            <v>38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38</v>
          </cell>
          <cell r="BY518">
            <v>1.7926315789473686</v>
          </cell>
          <cell r="BZ518">
            <v>0.85036842105263122</v>
          </cell>
        </row>
        <row r="519">
          <cell r="A519" t="str">
            <v>Kaine Andrews</v>
          </cell>
          <cell r="B519" t="str">
            <v/>
          </cell>
          <cell r="C519" t="str">
            <v>Andrews</v>
          </cell>
          <cell r="D519" t="str">
            <v/>
          </cell>
          <cell r="H519" t="str">
            <v/>
          </cell>
          <cell r="I519">
            <v>1</v>
          </cell>
          <cell r="J519">
            <v>2.6</v>
          </cell>
          <cell r="K519">
            <v>4</v>
          </cell>
          <cell r="M519">
            <v>2.2000000000000002</v>
          </cell>
          <cell r="N519">
            <v>2.2000000000000002</v>
          </cell>
          <cell r="O519">
            <v>2</v>
          </cell>
          <cell r="P519">
            <v>2.1922572207366313</v>
          </cell>
          <cell r="Q519">
            <v>0</v>
          </cell>
          <cell r="R519">
            <v>0</v>
          </cell>
          <cell r="S519">
            <v>2.2000000000000002</v>
          </cell>
          <cell r="T519" t="str">
            <v>MID</v>
          </cell>
          <cell r="U519" t="str">
            <v/>
          </cell>
          <cell r="V519" t="str">
            <v>COV</v>
          </cell>
          <cell r="W519" t="str">
            <v>Coventry City</v>
          </cell>
          <cell r="X519">
            <v>4.5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 t="e">
            <v>#DIV/0!</v>
          </cell>
          <cell r="AH519" t="e">
            <v>#DIV/0!</v>
          </cell>
          <cell r="AI519" t="e">
            <v>#DIV/0!</v>
          </cell>
          <cell r="AJ519">
            <v>6.9999999999998952E-3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192</v>
          </cell>
          <cell r="AP519" t="str">
            <v>Andrews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 t="str">
            <v/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0.9</v>
          </cell>
          <cell r="BH519">
            <v>1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 t="e">
            <v>#DIV/0!</v>
          </cell>
          <cell r="BO519">
            <v>38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38</v>
          </cell>
          <cell r="BY519">
            <v>1.7926315789473686</v>
          </cell>
          <cell r="BZ519">
            <v>0.85036842105263122</v>
          </cell>
        </row>
        <row r="520">
          <cell r="A520" t="str">
            <v>Norman Bassette</v>
          </cell>
          <cell r="B520" t="str">
            <v/>
          </cell>
          <cell r="C520" t="str">
            <v>Bassette</v>
          </cell>
          <cell r="D520" t="str">
            <v/>
          </cell>
          <cell r="H520" t="str">
            <v/>
          </cell>
          <cell r="I520" t="e">
            <v>#N/A</v>
          </cell>
          <cell r="J520" t="e">
            <v>#N/A</v>
          </cell>
          <cell r="K520" t="e">
            <v>#N/A</v>
          </cell>
          <cell r="M520">
            <v>2.2000000000000002</v>
          </cell>
          <cell r="N520">
            <v>2.2000000000000002</v>
          </cell>
          <cell r="O520">
            <v>2</v>
          </cell>
          <cell r="P520">
            <v>2</v>
          </cell>
          <cell r="Q520">
            <v>0</v>
          </cell>
          <cell r="R520">
            <v>0</v>
          </cell>
          <cell r="S520">
            <v>2.2000000000000002</v>
          </cell>
          <cell r="T520" t="str">
            <v>FWD</v>
          </cell>
          <cell r="U520" t="str">
            <v/>
          </cell>
          <cell r="V520" t="str">
            <v>COV</v>
          </cell>
          <cell r="W520" t="str">
            <v>Coventry City</v>
          </cell>
          <cell r="X520">
            <v>4.5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 t="e">
            <v>#DIV/0!</v>
          </cell>
          <cell r="AH520" t="e">
            <v>#DIV/0!</v>
          </cell>
          <cell r="AI520" t="e">
            <v>#DIV/0!</v>
          </cell>
          <cell r="AJ520">
            <v>1.8999999999999906E-2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197</v>
          </cell>
          <cell r="AP520" t="str">
            <v>Bassette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 t="str">
            <v/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0.9</v>
          </cell>
          <cell r="BH520">
            <v>1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 t="e">
            <v>#DIV/0!</v>
          </cell>
          <cell r="BO520">
            <v>38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38</v>
          </cell>
          <cell r="BY520">
            <v>1.7926315789473686</v>
          </cell>
          <cell r="BZ520">
            <v>0.85036842105263122</v>
          </cell>
        </row>
        <row r="521">
          <cell r="A521" t="str">
            <v>Oliver Dovin</v>
          </cell>
          <cell r="B521" t="str">
            <v/>
          </cell>
          <cell r="C521" t="str">
            <v>Dovin</v>
          </cell>
          <cell r="D521" t="str">
            <v/>
          </cell>
          <cell r="H521" t="str">
            <v/>
          </cell>
          <cell r="I521">
            <v>2.5</v>
          </cell>
          <cell r="J521">
            <v>3.1333333333333333</v>
          </cell>
          <cell r="K521">
            <v>3.5</v>
          </cell>
          <cell r="M521">
            <v>2.2000000000000002</v>
          </cell>
          <cell r="N521">
            <v>2.2000000000000002</v>
          </cell>
          <cell r="O521">
            <v>2</v>
          </cell>
          <cell r="P521">
            <v>2.1227130934728407</v>
          </cell>
          <cell r="Q521">
            <v>0</v>
          </cell>
          <cell r="R521">
            <v>0</v>
          </cell>
          <cell r="S521">
            <v>2.2000000000000002</v>
          </cell>
          <cell r="T521" t="str">
            <v>GK</v>
          </cell>
          <cell r="U521" t="str">
            <v>GK</v>
          </cell>
          <cell r="V521" t="str">
            <v>COV</v>
          </cell>
          <cell r="W521" t="str">
            <v>Coventry City</v>
          </cell>
          <cell r="X521">
            <v>4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 t="e">
            <v>#DIV/0!</v>
          </cell>
          <cell r="AH521" t="e">
            <v>#DIV/0!</v>
          </cell>
          <cell r="AI521" t="e">
            <v>#DIV/0!</v>
          </cell>
          <cell r="AJ521">
            <v>4.0999999999999925E-2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171</v>
          </cell>
          <cell r="AP521" t="str">
            <v>Dovin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 t="str">
            <v/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0.9</v>
          </cell>
          <cell r="BH521">
            <v>1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 t="e">
            <v>#DIV/0!</v>
          </cell>
          <cell r="BO521">
            <v>38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38</v>
          </cell>
          <cell r="BY521">
            <v>1.7926315789473686</v>
          </cell>
          <cell r="BZ521">
            <v>0.85036842105263122</v>
          </cell>
        </row>
        <row r="522">
          <cell r="A522" t="str">
            <v>Bobby Thomas</v>
          </cell>
          <cell r="B522" t="str">
            <v/>
          </cell>
          <cell r="C522" t="str">
            <v>Thomas</v>
          </cell>
          <cell r="D522" t="str">
            <v/>
          </cell>
          <cell r="H522" t="str">
            <v/>
          </cell>
          <cell r="I522">
            <v>3</v>
          </cell>
          <cell r="J522">
            <v>3.45</v>
          </cell>
          <cell r="K522">
            <v>3.9</v>
          </cell>
          <cell r="M522">
            <v>2.2000000000000002</v>
          </cell>
          <cell r="N522">
            <v>2.2000000000000002</v>
          </cell>
          <cell r="O522">
            <v>2</v>
          </cell>
          <cell r="P522">
            <v>2.1227130934728407</v>
          </cell>
          <cell r="Q522">
            <v>0</v>
          </cell>
          <cell r="R522">
            <v>0</v>
          </cell>
          <cell r="S522">
            <v>2.2000000000000002</v>
          </cell>
          <cell r="T522" t="str">
            <v>DEF</v>
          </cell>
          <cell r="U522" t="str">
            <v>CB</v>
          </cell>
          <cell r="V522" t="str">
            <v>COV</v>
          </cell>
          <cell r="W522" t="str">
            <v>Coventry City</v>
          </cell>
          <cell r="X522">
            <v>4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 t="e">
            <v>#DIV/0!</v>
          </cell>
          <cell r="AH522" t="e">
            <v>#DIV/0!</v>
          </cell>
          <cell r="AI522" t="e">
            <v>#DIV/0!</v>
          </cell>
          <cell r="AJ522">
            <v>4.8000000000000043E-2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173</v>
          </cell>
          <cell r="AP522" t="str">
            <v>Thomas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8.6</v>
          </cell>
          <cell r="AW522">
            <v>8.6</v>
          </cell>
          <cell r="AX522">
            <v>0.36359999999999992</v>
          </cell>
          <cell r="AY522">
            <v>0</v>
          </cell>
          <cell r="AZ522">
            <v>0</v>
          </cell>
          <cell r="BA522">
            <v>0</v>
          </cell>
          <cell r="BB522" t="str">
            <v/>
          </cell>
          <cell r="BC522">
            <v>33</v>
          </cell>
          <cell r="BD522">
            <v>30</v>
          </cell>
          <cell r="BE522">
            <v>0.90909090909090906</v>
          </cell>
          <cell r="BF522">
            <v>89</v>
          </cell>
          <cell r="BG522">
            <v>0.98888888888888893</v>
          </cell>
          <cell r="BH522">
            <v>1</v>
          </cell>
          <cell r="BI522">
            <v>0</v>
          </cell>
          <cell r="BJ522">
            <v>0</v>
          </cell>
          <cell r="BK522">
            <v>3</v>
          </cell>
          <cell r="BL522">
            <v>0.91666666666666663</v>
          </cell>
          <cell r="BM522">
            <v>0</v>
          </cell>
          <cell r="BN522">
            <v>0.91666666666666663</v>
          </cell>
          <cell r="BO522">
            <v>38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38</v>
          </cell>
          <cell r="BY522">
            <v>1.7926315789473686</v>
          </cell>
          <cell r="BZ522">
            <v>0.85036842105263122</v>
          </cell>
        </row>
        <row r="523">
          <cell r="A523" t="str">
            <v>Liam Kitching</v>
          </cell>
          <cell r="B523" t="str">
            <v/>
          </cell>
          <cell r="C523" t="str">
            <v>Kitching</v>
          </cell>
          <cell r="D523" t="str">
            <v/>
          </cell>
          <cell r="H523" t="str">
            <v/>
          </cell>
          <cell r="I523">
            <v>1.4</v>
          </cell>
          <cell r="J523">
            <v>2.6</v>
          </cell>
          <cell r="K523">
            <v>3.7</v>
          </cell>
          <cell r="M523">
            <v>2.2000000000000002</v>
          </cell>
          <cell r="N523">
            <v>2.2000000000000002</v>
          </cell>
          <cell r="O523">
            <v>2</v>
          </cell>
          <cell r="P523">
            <v>2.1227130934728407</v>
          </cell>
          <cell r="Q523">
            <v>0</v>
          </cell>
          <cell r="R523">
            <v>0</v>
          </cell>
          <cell r="S523">
            <v>2.2000000000000002</v>
          </cell>
          <cell r="T523" t="str">
            <v>DEF</v>
          </cell>
          <cell r="U523" t="str">
            <v>CB</v>
          </cell>
          <cell r="V523" t="str">
            <v>COV</v>
          </cell>
          <cell r="W523" t="str">
            <v>Coventry City</v>
          </cell>
          <cell r="X523">
            <v>4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 t="e">
            <v>#DIV/0!</v>
          </cell>
          <cell r="AH523" t="e">
            <v>#DIV/0!</v>
          </cell>
          <cell r="AI523" t="e">
            <v>#DIV/0!</v>
          </cell>
          <cell r="AJ523">
            <v>4.0000000000000036E-3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174</v>
          </cell>
          <cell r="AP523" t="str">
            <v>Kitching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8.9</v>
          </cell>
          <cell r="AW523">
            <v>8.9</v>
          </cell>
          <cell r="AX523">
            <v>0.39990000000000003</v>
          </cell>
          <cell r="AY523">
            <v>0</v>
          </cell>
          <cell r="AZ523">
            <v>0</v>
          </cell>
          <cell r="BA523">
            <v>0</v>
          </cell>
          <cell r="BB523" t="str">
            <v/>
          </cell>
          <cell r="BC523">
            <v>37</v>
          </cell>
          <cell r="BD523">
            <v>36</v>
          </cell>
          <cell r="BE523">
            <v>0.97297297297297303</v>
          </cell>
          <cell r="BF523">
            <v>89</v>
          </cell>
          <cell r="BG523">
            <v>0.98888888888888893</v>
          </cell>
          <cell r="BH523">
            <v>1</v>
          </cell>
          <cell r="BI523">
            <v>1</v>
          </cell>
          <cell r="BJ523">
            <v>46</v>
          </cell>
          <cell r="BK523">
            <v>7</v>
          </cell>
          <cell r="BL523">
            <v>0.82222222222222219</v>
          </cell>
          <cell r="BM523">
            <v>2.2222222222222227E-2</v>
          </cell>
          <cell r="BN523">
            <v>0.91410736579275909</v>
          </cell>
          <cell r="BO523">
            <v>38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38</v>
          </cell>
          <cell r="BY523">
            <v>1.7926315789473686</v>
          </cell>
          <cell r="BZ523">
            <v>0.85036842105263122</v>
          </cell>
        </row>
        <row r="524">
          <cell r="A524" t="str">
            <v>Milan van Ewijk</v>
          </cell>
          <cell r="B524" t="str">
            <v/>
          </cell>
          <cell r="C524" t="str">
            <v>van Ewijk</v>
          </cell>
          <cell r="D524" t="str">
            <v/>
          </cell>
          <cell r="H524" t="str">
            <v/>
          </cell>
          <cell r="I524">
            <v>1</v>
          </cell>
          <cell r="J524">
            <v>1</v>
          </cell>
          <cell r="K524">
            <v>1</v>
          </cell>
          <cell r="M524">
            <v>2.2000000000000002</v>
          </cell>
          <cell r="N524">
            <v>2.2000000000000002</v>
          </cell>
          <cell r="O524">
            <v>2</v>
          </cell>
          <cell r="P524">
            <v>2.1227130934728407</v>
          </cell>
          <cell r="Q524">
            <v>0</v>
          </cell>
          <cell r="R524">
            <v>0</v>
          </cell>
          <cell r="S524">
            <v>2.2000000000000002</v>
          </cell>
          <cell r="T524" t="str">
            <v>DEF</v>
          </cell>
          <cell r="U524" t="str">
            <v>RB</v>
          </cell>
          <cell r="V524" t="str">
            <v>COV</v>
          </cell>
          <cell r="W524" t="str">
            <v>Coventry City</v>
          </cell>
          <cell r="X524">
            <v>4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 t="e">
            <v>#DIV/0!</v>
          </cell>
          <cell r="AH524" t="e">
            <v>#DIV/0!</v>
          </cell>
          <cell r="AI524" t="e">
            <v>#DIV/0!</v>
          </cell>
          <cell r="AJ524">
            <v>0.16199999999999992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175</v>
          </cell>
          <cell r="AP524" t="str">
            <v>van Ewijk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6.4</v>
          </cell>
          <cell r="AW524">
            <v>6.4</v>
          </cell>
          <cell r="AX524">
            <v>0.12860000000000005</v>
          </cell>
          <cell r="AY524">
            <v>0</v>
          </cell>
          <cell r="AZ524">
            <v>0</v>
          </cell>
          <cell r="BA524">
            <v>0</v>
          </cell>
          <cell r="BB524" t="str">
            <v/>
          </cell>
          <cell r="BC524">
            <v>43</v>
          </cell>
          <cell r="BD524">
            <v>35</v>
          </cell>
          <cell r="BE524">
            <v>0.81395348837209303</v>
          </cell>
          <cell r="BF524">
            <v>87</v>
          </cell>
          <cell r="BG524">
            <v>0.96666666666666667</v>
          </cell>
          <cell r="BH524">
            <v>1</v>
          </cell>
          <cell r="BI524">
            <v>1</v>
          </cell>
          <cell r="BJ524">
            <v>21</v>
          </cell>
          <cell r="BK524">
            <v>0</v>
          </cell>
          <cell r="BL524">
            <v>0.97727272727272729</v>
          </cell>
          <cell r="BM524">
            <v>2.2727272727272707E-2</v>
          </cell>
          <cell r="BN524">
            <v>0.98275862068965536</v>
          </cell>
          <cell r="BO524">
            <v>38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38</v>
          </cell>
          <cell r="BY524">
            <v>1.7926315789473686</v>
          </cell>
          <cell r="BZ524">
            <v>0.85036842105263122</v>
          </cell>
        </row>
        <row r="525">
          <cell r="A525" t="str">
            <v>Jay Dasilva</v>
          </cell>
          <cell r="B525" t="str">
            <v/>
          </cell>
          <cell r="C525" t="str">
            <v>Dasilva</v>
          </cell>
          <cell r="D525" t="str">
            <v/>
          </cell>
          <cell r="H525" t="str">
            <v/>
          </cell>
          <cell r="I525" t="e">
            <v>#N/A</v>
          </cell>
          <cell r="J525" t="e">
            <v>#N/A</v>
          </cell>
          <cell r="K525" t="e">
            <v>#N/A</v>
          </cell>
          <cell r="M525">
            <v>2.2000000000000002</v>
          </cell>
          <cell r="N525">
            <v>2.2000000000000002</v>
          </cell>
          <cell r="O525">
            <v>2</v>
          </cell>
          <cell r="P525">
            <v>2.1227130934728407</v>
          </cell>
          <cell r="Q525">
            <v>0</v>
          </cell>
          <cell r="R525">
            <v>0</v>
          </cell>
          <cell r="S525">
            <v>2.2000000000000002</v>
          </cell>
          <cell r="T525" t="str">
            <v>DEF</v>
          </cell>
          <cell r="U525" t="str">
            <v>LB</v>
          </cell>
          <cell r="V525" t="str">
            <v>COV</v>
          </cell>
          <cell r="W525" t="str">
            <v>Coventry City</v>
          </cell>
          <cell r="X525">
            <v>4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 t="e">
            <v>#DIV/0!</v>
          </cell>
          <cell r="AH525" t="e">
            <v>#DIV/0!</v>
          </cell>
          <cell r="AI525" t="e">
            <v>#DIV/0!</v>
          </cell>
          <cell r="AJ525">
            <v>6.0000000000000053E-3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176</v>
          </cell>
          <cell r="AP525" t="str">
            <v>Dasilva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5.0999999999999996</v>
          </cell>
          <cell r="AW525">
            <v>5.0999999999999996</v>
          </cell>
          <cell r="AX525">
            <v>3.8899999999999976E-2</v>
          </cell>
          <cell r="AY525">
            <v>0</v>
          </cell>
          <cell r="AZ525">
            <v>0</v>
          </cell>
          <cell r="BA525">
            <v>0</v>
          </cell>
          <cell r="BB525" t="str">
            <v/>
          </cell>
          <cell r="BC525">
            <v>41</v>
          </cell>
          <cell r="BD525">
            <v>32</v>
          </cell>
          <cell r="BE525">
            <v>0.78048780487804881</v>
          </cell>
          <cell r="BF525">
            <v>86</v>
          </cell>
          <cell r="BG525">
            <v>0.9555555555555556</v>
          </cell>
          <cell r="BH525">
            <v>1</v>
          </cell>
          <cell r="BI525">
            <v>1</v>
          </cell>
          <cell r="BJ525">
            <v>17</v>
          </cell>
          <cell r="BK525">
            <v>0</v>
          </cell>
          <cell r="BL525">
            <v>0.97619047619047616</v>
          </cell>
          <cell r="BM525">
            <v>2.3809523809523836E-2</v>
          </cell>
          <cell r="BN525">
            <v>0.98089700996677742</v>
          </cell>
          <cell r="BO525">
            <v>38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38</v>
          </cell>
          <cell r="BY525">
            <v>1.7926315789473686</v>
          </cell>
          <cell r="BZ525">
            <v>0.85036842105263122</v>
          </cell>
        </row>
        <row r="526">
          <cell r="A526" t="str">
            <v>Kaine Kesler-Hayden</v>
          </cell>
          <cell r="B526" t="str">
            <v/>
          </cell>
          <cell r="C526" t="str">
            <v>Kesler-Hayden</v>
          </cell>
          <cell r="D526" t="str">
            <v/>
          </cell>
          <cell r="H526" t="str">
            <v/>
          </cell>
          <cell r="I526" t="e">
            <v>#N/A</v>
          </cell>
          <cell r="J526" t="e">
            <v>#N/A</v>
          </cell>
          <cell r="K526" t="e">
            <v>#N/A</v>
          </cell>
          <cell r="M526">
            <v>2.2000000000000002</v>
          </cell>
          <cell r="N526">
            <v>2.2000000000000002</v>
          </cell>
          <cell r="O526">
            <v>2</v>
          </cell>
          <cell r="P526">
            <v>2.1227130934728407</v>
          </cell>
          <cell r="Q526">
            <v>0</v>
          </cell>
          <cell r="R526">
            <v>0</v>
          </cell>
          <cell r="S526">
            <v>2.2000000000000002</v>
          </cell>
          <cell r="T526" t="str">
            <v>DEF</v>
          </cell>
          <cell r="U526" t="str">
            <v>RB</v>
          </cell>
          <cell r="V526" t="str">
            <v>COV</v>
          </cell>
          <cell r="W526" t="str">
            <v>Coventry City</v>
          </cell>
          <cell r="X526">
            <v>4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 t="e">
            <v>#DIV/0!</v>
          </cell>
          <cell r="AH526" t="e">
            <v>#DIV/0!</v>
          </cell>
          <cell r="AI526" t="e">
            <v>#DIV/0!</v>
          </cell>
          <cell r="AJ526">
            <v>2.0000000000000018E-3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177</v>
          </cell>
          <cell r="AP526" t="str">
            <v>Kesler-Hayden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 t="str">
            <v/>
          </cell>
          <cell r="BC526">
            <v>5</v>
          </cell>
          <cell r="BD526">
            <v>2</v>
          </cell>
          <cell r="BE526">
            <v>0.4</v>
          </cell>
          <cell r="BF526">
            <v>77</v>
          </cell>
          <cell r="BG526">
            <v>0.85555555555555551</v>
          </cell>
          <cell r="BH526">
            <v>1</v>
          </cell>
          <cell r="BI526">
            <v>17</v>
          </cell>
          <cell r="BJ526">
            <v>12</v>
          </cell>
          <cell r="BK526">
            <v>14</v>
          </cell>
          <cell r="BL526">
            <v>0.1388888888888889</v>
          </cell>
          <cell r="BM526">
            <v>0.47222222222222227</v>
          </cell>
          <cell r="BN526">
            <v>0.2730880230880231</v>
          </cell>
          <cell r="BO526">
            <v>38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38</v>
          </cell>
          <cell r="BY526">
            <v>1.7926315789473686</v>
          </cell>
          <cell r="BZ526">
            <v>0.85036842105263122</v>
          </cell>
        </row>
        <row r="527">
          <cell r="A527" t="str">
            <v>Jake Bidwell</v>
          </cell>
          <cell r="B527" t="str">
            <v/>
          </cell>
          <cell r="C527" t="str">
            <v>Bidwell</v>
          </cell>
          <cell r="D527" t="str">
            <v/>
          </cell>
          <cell r="H527" t="str">
            <v/>
          </cell>
          <cell r="I527">
            <v>3.1</v>
          </cell>
          <cell r="J527">
            <v>3.5666666666666664</v>
          </cell>
          <cell r="K527">
            <v>4.3</v>
          </cell>
          <cell r="M527">
            <v>2.2000000000000002</v>
          </cell>
          <cell r="N527">
            <v>2.2000000000000002</v>
          </cell>
          <cell r="O527">
            <v>2</v>
          </cell>
          <cell r="P527">
            <v>2.1227130934728407</v>
          </cell>
          <cell r="Q527">
            <v>0</v>
          </cell>
          <cell r="R527">
            <v>0</v>
          </cell>
          <cell r="S527">
            <v>2.2000000000000002</v>
          </cell>
          <cell r="T527" t="str">
            <v>DEF</v>
          </cell>
          <cell r="U527" t="str">
            <v>LB</v>
          </cell>
          <cell r="V527" t="str">
            <v>COV</v>
          </cell>
          <cell r="W527" t="str">
            <v>Coventry City</v>
          </cell>
          <cell r="X527">
            <v>4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 t="e">
            <v>#DIV/0!</v>
          </cell>
          <cell r="AH527" t="e">
            <v>#DIV/0!</v>
          </cell>
          <cell r="AI527" t="e">
            <v>#DIV/0!</v>
          </cell>
          <cell r="AJ527">
            <v>2.0000000000000018E-3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178</v>
          </cell>
          <cell r="AP527" t="str">
            <v>Bidwell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 t="str">
            <v/>
          </cell>
          <cell r="BC527">
            <v>3</v>
          </cell>
          <cell r="BD527">
            <v>2</v>
          </cell>
          <cell r="BE527">
            <v>0.66666666666666663</v>
          </cell>
          <cell r="BF527">
            <v>84</v>
          </cell>
          <cell r="BG527">
            <v>0.93333333333333335</v>
          </cell>
          <cell r="BH527">
            <v>1</v>
          </cell>
          <cell r="BI527">
            <v>8</v>
          </cell>
          <cell r="BJ527">
            <v>22</v>
          </cell>
          <cell r="BK527">
            <v>35</v>
          </cell>
          <cell r="BL527">
            <v>6.5217391304347824E-2</v>
          </cell>
          <cell r="BM527">
            <v>0.17391304347826086</v>
          </cell>
          <cell r="BN527">
            <v>0.31004140786749479</v>
          </cell>
          <cell r="BO527">
            <v>38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38</v>
          </cell>
          <cell r="BY527">
            <v>1.7926315789473686</v>
          </cell>
          <cell r="BZ527">
            <v>0.85036842105263122</v>
          </cell>
        </row>
        <row r="528">
          <cell r="A528" t="str">
            <v>Joel Latibeaudiere</v>
          </cell>
          <cell r="B528" t="str">
            <v/>
          </cell>
          <cell r="C528" t="str">
            <v>Latibeaudiere</v>
          </cell>
          <cell r="D528" t="str">
            <v/>
          </cell>
          <cell r="E528" t="str">
            <v>Joël Latibeaudière</v>
          </cell>
          <cell r="H528" t="str">
            <v/>
          </cell>
          <cell r="I528" t="e">
            <v>#N/A</v>
          </cell>
          <cell r="J528" t="e">
            <v>#N/A</v>
          </cell>
          <cell r="K528" t="e">
            <v>#N/A</v>
          </cell>
          <cell r="M528">
            <v>2.2000000000000002</v>
          </cell>
          <cell r="N528">
            <v>2.2000000000000002</v>
          </cell>
          <cell r="O528">
            <v>2</v>
          </cell>
          <cell r="P528">
            <v>2.1227130934728407</v>
          </cell>
          <cell r="Q528">
            <v>0</v>
          </cell>
          <cell r="R528">
            <v>0</v>
          </cell>
          <cell r="S528">
            <v>2.2000000000000002</v>
          </cell>
          <cell r="T528" t="str">
            <v>DEF</v>
          </cell>
          <cell r="U528" t="str">
            <v>CB</v>
          </cell>
          <cell r="V528" t="str">
            <v>COV</v>
          </cell>
          <cell r="W528" t="str">
            <v>Coventry City</v>
          </cell>
          <cell r="X528">
            <v>4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 t="e">
            <v>#DIV/0!</v>
          </cell>
          <cell r="AH528" t="e">
            <v>#DIV/0!</v>
          </cell>
          <cell r="AI528" t="e">
            <v>#DIV/0!</v>
          </cell>
          <cell r="AJ528">
            <v>2.0000000000000018E-3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179</v>
          </cell>
          <cell r="AP528" t="str">
            <v>Latibeaudiere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 t="str">
            <v/>
          </cell>
          <cell r="BC528">
            <v>15</v>
          </cell>
          <cell r="BD528">
            <v>13</v>
          </cell>
          <cell r="BE528">
            <v>0.8666666666666667</v>
          </cell>
          <cell r="BF528">
            <v>85</v>
          </cell>
          <cell r="BG528">
            <v>0.94444444444444442</v>
          </cell>
          <cell r="BH528">
            <v>1</v>
          </cell>
          <cell r="BI528">
            <v>0</v>
          </cell>
          <cell r="BJ528">
            <v>0</v>
          </cell>
          <cell r="BK528">
            <v>18</v>
          </cell>
          <cell r="BL528">
            <v>0.45454545454545453</v>
          </cell>
          <cell r="BM528">
            <v>0</v>
          </cell>
          <cell r="BN528">
            <v>0.45454545454545453</v>
          </cell>
          <cell r="BO528">
            <v>38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38</v>
          </cell>
          <cell r="BY528">
            <v>1.7926315789473686</v>
          </cell>
          <cell r="BZ528">
            <v>0.85036842105263122</v>
          </cell>
        </row>
        <row r="529">
          <cell r="A529" t="str">
            <v>Luke Woolfenden</v>
          </cell>
          <cell r="B529" t="str">
            <v/>
          </cell>
          <cell r="C529" t="str">
            <v>Woolfenden</v>
          </cell>
          <cell r="D529" t="str">
            <v/>
          </cell>
          <cell r="H529" t="str">
            <v/>
          </cell>
          <cell r="I529" t="e">
            <v>#N/A</v>
          </cell>
          <cell r="J529" t="e">
            <v>#N/A</v>
          </cell>
          <cell r="K529" t="e">
            <v>#N/A</v>
          </cell>
          <cell r="M529">
            <v>2.2000000000000002</v>
          </cell>
          <cell r="N529">
            <v>2.2000000000000002</v>
          </cell>
          <cell r="O529">
            <v>2</v>
          </cell>
          <cell r="P529">
            <v>2.1227130934728407</v>
          </cell>
          <cell r="Q529">
            <v>0</v>
          </cell>
          <cell r="R529">
            <v>0</v>
          </cell>
          <cell r="S529">
            <v>2.2000000000000002</v>
          </cell>
          <cell r="T529" t="str">
            <v>DEF</v>
          </cell>
          <cell r="U529" t="str">
            <v>CB</v>
          </cell>
          <cell r="V529" t="str">
            <v>COV</v>
          </cell>
          <cell r="W529" t="str">
            <v>Coventry City</v>
          </cell>
          <cell r="X529">
            <v>4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 t="e">
            <v>#DIV/0!</v>
          </cell>
          <cell r="AH529" t="e">
            <v>#DIV/0!</v>
          </cell>
          <cell r="AI529" t="e">
            <v>#DIV/0!</v>
          </cell>
          <cell r="AJ529">
            <v>2.9999999999998916E-3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180</v>
          </cell>
          <cell r="AP529" t="str">
            <v>Woolfenden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 t="str">
            <v/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0.9</v>
          </cell>
          <cell r="BH529">
            <v>1</v>
          </cell>
          <cell r="BI529">
            <v>0</v>
          </cell>
          <cell r="BJ529">
            <v>0</v>
          </cell>
          <cell r="BK529">
            <v>3</v>
          </cell>
          <cell r="BL529">
            <v>0</v>
          </cell>
          <cell r="BM529">
            <v>0</v>
          </cell>
          <cell r="BN529" t="e">
            <v>#DIV/0!</v>
          </cell>
          <cell r="BO529">
            <v>38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38</v>
          </cell>
          <cell r="BY529">
            <v>1.7926315789473686</v>
          </cell>
          <cell r="BZ529">
            <v>0.85036842105263122</v>
          </cell>
        </row>
        <row r="530">
          <cell r="A530" t="str">
            <v>Miguel Brau</v>
          </cell>
          <cell r="B530" t="str">
            <v/>
          </cell>
          <cell r="C530" t="str">
            <v>Brau</v>
          </cell>
          <cell r="D530" t="str">
            <v/>
          </cell>
          <cell r="H530" t="str">
            <v/>
          </cell>
          <cell r="I530">
            <v>1.7</v>
          </cell>
          <cell r="J530">
            <v>3.0333333333333332</v>
          </cell>
          <cell r="K530">
            <v>4</v>
          </cell>
          <cell r="M530">
            <v>2.2000000000000002</v>
          </cell>
          <cell r="N530">
            <v>2.2000000000000002</v>
          </cell>
          <cell r="O530">
            <v>2</v>
          </cell>
          <cell r="P530">
            <v>2.1227130934728407</v>
          </cell>
          <cell r="Q530">
            <v>0</v>
          </cell>
          <cell r="R530">
            <v>0</v>
          </cell>
          <cell r="S530">
            <v>2.2000000000000002</v>
          </cell>
          <cell r="T530" t="str">
            <v>DEF</v>
          </cell>
          <cell r="U530" t="str">
            <v/>
          </cell>
          <cell r="V530" t="str">
            <v>COV</v>
          </cell>
          <cell r="W530" t="str">
            <v>Coventry City</v>
          </cell>
          <cell r="X530">
            <v>4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 t="e">
            <v>#DIV/0!</v>
          </cell>
          <cell r="AH530" t="e">
            <v>#DIV/0!</v>
          </cell>
          <cell r="AI530" t="e">
            <v>#DIV/0!</v>
          </cell>
          <cell r="AJ530">
            <v>9.9999999999988987E-4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181</v>
          </cell>
          <cell r="AP530" t="str">
            <v>Brau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 t="str">
            <v/>
          </cell>
          <cell r="BC530">
            <v>1</v>
          </cell>
          <cell r="BD530">
            <v>1</v>
          </cell>
          <cell r="BE530">
            <v>1</v>
          </cell>
          <cell r="BF530">
            <v>90</v>
          </cell>
          <cell r="BG530">
            <v>1</v>
          </cell>
          <cell r="BH530">
            <v>1</v>
          </cell>
          <cell r="BI530">
            <v>8</v>
          </cell>
          <cell r="BJ530">
            <v>14</v>
          </cell>
          <cell r="BK530">
            <v>15</v>
          </cell>
          <cell r="BL530">
            <v>4.1666666666666664E-2</v>
          </cell>
          <cell r="BM530">
            <v>0.33333333333333337</v>
          </cell>
          <cell r="BN530">
            <v>0.19074074074074077</v>
          </cell>
          <cell r="BO530">
            <v>38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38</v>
          </cell>
          <cell r="BY530">
            <v>1.7926315789473686</v>
          </cell>
          <cell r="BZ530">
            <v>0.85036842105263122</v>
          </cell>
        </row>
        <row r="531">
          <cell r="A531" t="str">
            <v>Aurèle Amenda</v>
          </cell>
          <cell r="B531" t="str">
            <v/>
          </cell>
          <cell r="C531" t="str">
            <v>Amenda</v>
          </cell>
          <cell r="D531" t="str">
            <v/>
          </cell>
          <cell r="H531" t="str">
            <v/>
          </cell>
          <cell r="I531">
            <v>0</v>
          </cell>
          <cell r="J531">
            <v>1.1000000000000001</v>
          </cell>
          <cell r="K531">
            <v>2.2000000000000002</v>
          </cell>
          <cell r="M531">
            <v>2.2000000000000002</v>
          </cell>
          <cell r="N531">
            <v>2.2000000000000002</v>
          </cell>
          <cell r="O531">
            <v>2</v>
          </cell>
          <cell r="P531">
            <v>2.1227130934728407</v>
          </cell>
          <cell r="Q531">
            <v>0</v>
          </cell>
          <cell r="R531">
            <v>0</v>
          </cell>
          <cell r="S531">
            <v>2.2000000000000002</v>
          </cell>
          <cell r="T531" t="str">
            <v>DEF</v>
          </cell>
          <cell r="U531" t="str">
            <v>CB</v>
          </cell>
          <cell r="V531" t="str">
            <v>COV</v>
          </cell>
          <cell r="W531" t="str">
            <v>Coventry City</v>
          </cell>
          <cell r="X531">
            <v>4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 t="e">
            <v>#DIV/0!</v>
          </cell>
          <cell r="AH531" t="e">
            <v>#DIV/0!</v>
          </cell>
          <cell r="AI531" t="e">
            <v>#DIV/0!</v>
          </cell>
          <cell r="AJ531">
            <v>6.0000000000000053E-3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182</v>
          </cell>
          <cell r="AP531" t="str">
            <v>Amenda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 t="str">
            <v/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0.9</v>
          </cell>
          <cell r="BH531">
            <v>1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 t="e">
            <v>#DIV/0!</v>
          </cell>
          <cell r="BO531">
            <v>38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38</v>
          </cell>
          <cell r="BY531">
            <v>1.7926315789473686</v>
          </cell>
          <cell r="BZ531">
            <v>0.85036842105263122</v>
          </cell>
        </row>
        <row r="532">
          <cell r="A532" t="str">
            <v>Nicolas Jackson</v>
          </cell>
          <cell r="B532" t="str">
            <v/>
          </cell>
          <cell r="C532" t="str">
            <v>N.Jackson</v>
          </cell>
          <cell r="D532" t="str">
            <v/>
          </cell>
          <cell r="H532" t="str">
            <v/>
          </cell>
          <cell r="I532">
            <v>3.1</v>
          </cell>
          <cell r="J532">
            <v>3.35</v>
          </cell>
          <cell r="K532">
            <v>3.6</v>
          </cell>
          <cell r="M532">
            <v>2.2000000000000002</v>
          </cell>
          <cell r="N532">
            <v>2.2000000000000002</v>
          </cell>
          <cell r="O532">
            <v>2</v>
          </cell>
          <cell r="P532">
            <v>2</v>
          </cell>
          <cell r="Q532">
            <v>0</v>
          </cell>
          <cell r="R532">
            <v>0</v>
          </cell>
          <cell r="S532">
            <v>2.2000000000000002</v>
          </cell>
          <cell r="T532" t="str">
            <v>FWD</v>
          </cell>
          <cell r="U532" t="str">
            <v>CF</v>
          </cell>
          <cell r="V532" t="str">
            <v>CHE</v>
          </cell>
          <cell r="W532" t="str">
            <v>Chelsea</v>
          </cell>
          <cell r="X532">
            <v>6.5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 t="e">
            <v>#DIV/0!</v>
          </cell>
          <cell r="AH532" t="e">
            <v>#DIV/0!</v>
          </cell>
          <cell r="AI532" t="e">
            <v>#DIV/0!</v>
          </cell>
          <cell r="AJ532">
            <v>4.0000000000000036E-3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166</v>
          </cell>
          <cell r="AP532" t="str">
            <v>N.Jackson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 t="str">
            <v/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0.9</v>
          </cell>
          <cell r="BH532">
            <v>1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 t="e">
            <v>#DIV/0!</v>
          </cell>
          <cell r="BO532">
            <v>38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38</v>
          </cell>
          <cell r="BY532">
            <v>1.4473684210526316</v>
          </cell>
          <cell r="BZ532">
            <v>1.1956315789473682</v>
          </cell>
        </row>
        <row r="533">
          <cell r="A533" t="str">
            <v>Marco Palestra</v>
          </cell>
          <cell r="B533" t="str">
            <v/>
          </cell>
          <cell r="C533" t="str">
            <v>Palestra</v>
          </cell>
          <cell r="D533" t="str">
            <v/>
          </cell>
          <cell r="H533" t="str">
            <v/>
          </cell>
          <cell r="I533" t="e">
            <v>#N/A</v>
          </cell>
          <cell r="J533" t="e">
            <v>#N/A</v>
          </cell>
          <cell r="K533" t="e">
            <v>#N/A</v>
          </cell>
          <cell r="M533">
            <v>2.2000000000000002</v>
          </cell>
          <cell r="N533">
            <v>2.2000000000000002</v>
          </cell>
          <cell r="O533">
            <v>1.3858333333333337</v>
          </cell>
          <cell r="P533">
            <v>2.6075826789888303</v>
          </cell>
          <cell r="Q533">
            <v>0</v>
          </cell>
          <cell r="R533">
            <v>0</v>
          </cell>
          <cell r="S533">
            <v>2.2000000000000002</v>
          </cell>
          <cell r="T533" t="str">
            <v>DEF</v>
          </cell>
          <cell r="U533" t="str">
            <v>RB</v>
          </cell>
          <cell r="V533" t="str">
            <v>CHE</v>
          </cell>
          <cell r="W533" t="str">
            <v>Chelsea</v>
          </cell>
          <cell r="X533">
            <v>5.5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 t="e">
            <v>#DIV/0!</v>
          </cell>
          <cell r="AH533" t="e">
            <v>#DIV/0!</v>
          </cell>
          <cell r="AI533" t="e">
            <v>#DIV/0!</v>
          </cell>
          <cell r="AJ533">
            <v>1.8000000000000016E-2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152</v>
          </cell>
          <cell r="AP533" t="str">
            <v>Palestra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 t="str">
            <v/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0.9</v>
          </cell>
          <cell r="BH533">
            <v>1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 t="e">
            <v>#DIV/0!</v>
          </cell>
          <cell r="BO533">
            <v>38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38</v>
          </cell>
          <cell r="BY533">
            <v>1.4473684210526316</v>
          </cell>
          <cell r="BZ533">
            <v>1.1956315789473682</v>
          </cell>
        </row>
        <row r="534">
          <cell r="A534" t="str">
            <v>Geovany Quenda</v>
          </cell>
          <cell r="B534" t="str">
            <v/>
          </cell>
          <cell r="C534" t="str">
            <v>Quenda</v>
          </cell>
          <cell r="D534" t="str">
            <v/>
          </cell>
          <cell r="H534" t="str">
            <v/>
          </cell>
          <cell r="I534" t="e">
            <v>#N/A</v>
          </cell>
          <cell r="J534" t="e">
            <v>#N/A</v>
          </cell>
          <cell r="K534" t="e">
            <v>#N/A</v>
          </cell>
          <cell r="M534">
            <v>2.2000000000000002</v>
          </cell>
          <cell r="N534">
            <v>2.2000000000000002</v>
          </cell>
          <cell r="O534">
            <v>2</v>
          </cell>
          <cell r="P534">
            <v>2.2703167223787863</v>
          </cell>
          <cell r="Q534">
            <v>0</v>
          </cell>
          <cell r="R534">
            <v>0</v>
          </cell>
          <cell r="S534">
            <v>2.2000000000000002</v>
          </cell>
          <cell r="T534" t="str">
            <v>MID</v>
          </cell>
          <cell r="U534" t="str">
            <v>RW</v>
          </cell>
          <cell r="V534" t="str">
            <v>CHE</v>
          </cell>
          <cell r="W534" t="str">
            <v>Chelsea</v>
          </cell>
          <cell r="X534">
            <v>5.5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 t="e">
            <v>#DIV/0!</v>
          </cell>
          <cell r="AH534" t="e">
            <v>#DIV/0!</v>
          </cell>
          <cell r="AI534" t="e">
            <v>#DIV/0!</v>
          </cell>
          <cell r="AJ534">
            <v>9.9999999999988987E-4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164</v>
          </cell>
          <cell r="AP534" t="str">
            <v>Quenda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 t="str">
            <v/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0.9</v>
          </cell>
          <cell r="BH534">
            <v>1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 t="e">
            <v>#DIV/0!</v>
          </cell>
          <cell r="BO534">
            <v>38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38</v>
          </cell>
          <cell r="BY534">
            <v>1.4473684210526316</v>
          </cell>
          <cell r="BZ534">
            <v>1.1956315789473682</v>
          </cell>
        </row>
        <row r="535">
          <cell r="A535" t="str">
            <v>Emmanuel Emegha</v>
          </cell>
          <cell r="B535" t="str">
            <v/>
          </cell>
          <cell r="C535" t="str">
            <v>Emegha</v>
          </cell>
          <cell r="D535" t="str">
            <v/>
          </cell>
          <cell r="H535" t="str">
            <v/>
          </cell>
          <cell r="I535">
            <v>2</v>
          </cell>
          <cell r="J535">
            <v>2.4666666666666668</v>
          </cell>
          <cell r="K535">
            <v>3.1</v>
          </cell>
          <cell r="M535">
            <v>2.2000000000000002</v>
          </cell>
          <cell r="N535">
            <v>2.2000000000000002</v>
          </cell>
          <cell r="O535">
            <v>2</v>
          </cell>
          <cell r="P535">
            <v>2</v>
          </cell>
          <cell r="Q535">
            <v>0</v>
          </cell>
          <cell r="R535">
            <v>0</v>
          </cell>
          <cell r="S535">
            <v>2.2000000000000002</v>
          </cell>
          <cell r="T535" t="str">
            <v>FWD</v>
          </cell>
          <cell r="U535" t="str">
            <v>CF</v>
          </cell>
          <cell r="V535" t="str">
            <v>CHE</v>
          </cell>
          <cell r="W535" t="str">
            <v>Chelsea</v>
          </cell>
          <cell r="X535">
            <v>5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 t="e">
            <v>#DIV/0!</v>
          </cell>
          <cell r="AH535" t="e">
            <v>#DIV/0!</v>
          </cell>
          <cell r="AI535" t="e">
            <v>#DIV/0!</v>
          </cell>
          <cell r="AJ535">
            <v>6.0000000000000053E-3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170</v>
          </cell>
          <cell r="AP535" t="str">
            <v>Emegha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 t="str">
            <v/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0.9</v>
          </cell>
          <cell r="BH535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 t="e">
            <v>#DIV/0!</v>
          </cell>
          <cell r="BO535">
            <v>38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38</v>
          </cell>
          <cell r="BY535">
            <v>1.4473684210526316</v>
          </cell>
          <cell r="BZ535">
            <v>1.1956315789473682</v>
          </cell>
        </row>
        <row r="536">
          <cell r="A536" t="str">
            <v>Dário Luís Essugo</v>
          </cell>
          <cell r="B536" t="str">
            <v/>
          </cell>
          <cell r="C536" t="str">
            <v>D.Essugo</v>
          </cell>
          <cell r="D536" t="str">
            <v/>
          </cell>
          <cell r="F536" t="str">
            <v/>
          </cell>
          <cell r="H536" t="str">
            <v/>
          </cell>
          <cell r="I536" t="e">
            <v>#N/A</v>
          </cell>
          <cell r="J536" t="e">
            <v>#N/A</v>
          </cell>
          <cell r="K536" t="e">
            <v>#N/A</v>
          </cell>
          <cell r="M536">
            <v>2.2000000000000002</v>
          </cell>
          <cell r="N536">
            <v>2.2000000000000002</v>
          </cell>
          <cell r="O536">
            <v>-3.7994615384615384</v>
          </cell>
          <cell r="P536">
            <v>-3.5872986622365981</v>
          </cell>
          <cell r="Q536">
            <v>3.1153846153846154</v>
          </cell>
          <cell r="R536">
            <v>4.5</v>
          </cell>
          <cell r="S536">
            <v>2.2000000000000002</v>
          </cell>
          <cell r="T536" t="str">
            <v>MID</v>
          </cell>
          <cell r="U536" t="str">
            <v/>
          </cell>
          <cell r="V536" t="str">
            <v>CHE</v>
          </cell>
          <cell r="W536" t="str">
            <v>Chelsea</v>
          </cell>
          <cell r="X536">
            <v>4.5</v>
          </cell>
          <cell r="Y536">
            <v>1</v>
          </cell>
          <cell r="Z536">
            <v>0</v>
          </cell>
          <cell r="AA536">
            <v>1</v>
          </cell>
          <cell r="AB536">
            <v>26</v>
          </cell>
          <cell r="AC536">
            <v>26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-3.4615384615384617E-2</v>
          </cell>
          <cell r="AI536">
            <v>-3.4615384615384617E-2</v>
          </cell>
          <cell r="AJ536">
            <v>2.0000000000000018E-3</v>
          </cell>
          <cell r="AK536">
            <v>0</v>
          </cell>
          <cell r="AL536">
            <v>7</v>
          </cell>
          <cell r="AM536">
            <v>2</v>
          </cell>
          <cell r="AN536">
            <v>0</v>
          </cell>
          <cell r="AO536">
            <v>163</v>
          </cell>
          <cell r="AP536" t="str">
            <v>D.Essugo</v>
          </cell>
          <cell r="AQ536">
            <v>3.1153846153846154</v>
          </cell>
          <cell r="AR536">
            <v>0</v>
          </cell>
          <cell r="AS536">
            <v>3.1153846153846154</v>
          </cell>
          <cell r="AT536">
            <v>24.923076923076923</v>
          </cell>
          <cell r="AU536">
            <v>18.692307692307693</v>
          </cell>
          <cell r="AV536">
            <v>24.923076923076923</v>
          </cell>
          <cell r="AW536">
            <v>24.923076923076923</v>
          </cell>
          <cell r="AX536">
            <v>1.445846153846154</v>
          </cell>
          <cell r="AY536">
            <v>0</v>
          </cell>
          <cell r="AZ536">
            <v>0.3</v>
          </cell>
          <cell r="BA536">
            <v>1</v>
          </cell>
          <cell r="BB536" t="str">
            <v/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0.9</v>
          </cell>
          <cell r="BH536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 t="e">
            <v>#DIV/0!</v>
          </cell>
          <cell r="BO536">
            <v>38</v>
          </cell>
          <cell r="BP536">
            <v>0</v>
          </cell>
          <cell r="BQ536">
            <v>7.6023391812865496E-3</v>
          </cell>
          <cell r="BR536">
            <v>0</v>
          </cell>
          <cell r="BS536">
            <v>0</v>
          </cell>
          <cell r="BT536">
            <v>0.01</v>
          </cell>
          <cell r="BU536">
            <v>3.4615384615384617E-2</v>
          </cell>
          <cell r="BV536">
            <v>3.4615384615384617E-2</v>
          </cell>
          <cell r="BW536">
            <v>0</v>
          </cell>
          <cell r="BX536">
            <v>38</v>
          </cell>
          <cell r="BY536">
            <v>1.4473684210526316</v>
          </cell>
          <cell r="BZ536">
            <v>1.1956315789473682</v>
          </cell>
        </row>
        <row r="537">
          <cell r="A537" t="str">
            <v>Shumaira Mheuka</v>
          </cell>
          <cell r="B537" t="str">
            <v/>
          </cell>
          <cell r="C537" t="str">
            <v>Mheuka</v>
          </cell>
          <cell r="D537" t="str">
            <v/>
          </cell>
          <cell r="H537" t="str">
            <v/>
          </cell>
          <cell r="I537" t="e">
            <v>#N/A</v>
          </cell>
          <cell r="J537" t="e">
            <v>#N/A</v>
          </cell>
          <cell r="K537" t="e">
            <v>#N/A</v>
          </cell>
          <cell r="M537">
            <v>2.2000000000000002</v>
          </cell>
          <cell r="N537">
            <v>2.2000000000000002</v>
          </cell>
          <cell r="O537">
            <v>4.7</v>
          </cell>
          <cell r="P537">
            <v>4.7</v>
          </cell>
          <cell r="Q537">
            <v>81</v>
          </cell>
          <cell r="R537">
            <v>0</v>
          </cell>
          <cell r="S537">
            <v>2.2000000000000002</v>
          </cell>
          <cell r="T537" t="str">
            <v>FWD</v>
          </cell>
          <cell r="U537" t="str">
            <v/>
          </cell>
          <cell r="V537" t="str">
            <v>CHE</v>
          </cell>
          <cell r="W537" t="str">
            <v>Chelsea</v>
          </cell>
          <cell r="X537">
            <v>4.5</v>
          </cell>
          <cell r="Y537">
            <v>1</v>
          </cell>
          <cell r="Z537">
            <v>0</v>
          </cell>
          <cell r="AA537">
            <v>1</v>
          </cell>
          <cell r="AB537">
            <v>1</v>
          </cell>
          <cell r="AC537">
            <v>1</v>
          </cell>
          <cell r="AD537">
            <v>0.22222222222222221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4.0000000000000036E-3</v>
          </cell>
          <cell r="AK537">
            <v>0</v>
          </cell>
          <cell r="AL537">
            <v>3</v>
          </cell>
          <cell r="AM537">
            <v>0</v>
          </cell>
          <cell r="AN537">
            <v>0</v>
          </cell>
          <cell r="AO537">
            <v>169</v>
          </cell>
          <cell r="AP537" t="str">
            <v>Mheuka</v>
          </cell>
          <cell r="AQ537">
            <v>81</v>
          </cell>
          <cell r="AR537">
            <v>0</v>
          </cell>
          <cell r="AS537">
            <v>0</v>
          </cell>
          <cell r="AT537">
            <v>81</v>
          </cell>
          <cell r="AU537">
            <v>0</v>
          </cell>
          <cell r="AV537">
            <v>81</v>
          </cell>
          <cell r="AW537">
            <v>81</v>
          </cell>
          <cell r="AX537">
            <v>5.2030000000000003</v>
          </cell>
          <cell r="AY537">
            <v>0</v>
          </cell>
          <cell r="AZ537">
            <v>1</v>
          </cell>
          <cell r="BA537">
            <v>1</v>
          </cell>
          <cell r="BB537" t="str">
            <v/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0.9</v>
          </cell>
          <cell r="BH537">
            <v>1</v>
          </cell>
          <cell r="BI537">
            <v>1</v>
          </cell>
          <cell r="BJ537">
            <v>2</v>
          </cell>
          <cell r="BK537">
            <v>0</v>
          </cell>
          <cell r="BL537">
            <v>0</v>
          </cell>
          <cell r="BM537">
            <v>1</v>
          </cell>
          <cell r="BN537" t="e">
            <v>#DIV/0!</v>
          </cell>
          <cell r="BO537">
            <v>38</v>
          </cell>
          <cell r="BP537">
            <v>0</v>
          </cell>
          <cell r="BQ537">
            <v>2.9239766081871346E-4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38</v>
          </cell>
          <cell r="BY537">
            <v>1.4473684210526316</v>
          </cell>
          <cell r="BZ537">
            <v>1.1956315789473682</v>
          </cell>
        </row>
        <row r="538">
          <cell r="A538" t="str">
            <v>Kaye Furo</v>
          </cell>
          <cell r="B538" t="str">
            <v/>
          </cell>
          <cell r="C538" t="str">
            <v>Furo</v>
          </cell>
          <cell r="D538" t="str">
            <v/>
          </cell>
          <cell r="F538" t="str">
            <v/>
          </cell>
          <cell r="H538" t="str">
            <v/>
          </cell>
          <cell r="I538" t="e">
            <v>#N/A</v>
          </cell>
          <cell r="J538" t="e">
            <v>#N/A</v>
          </cell>
          <cell r="K538" t="e">
            <v>#N/A</v>
          </cell>
          <cell r="M538">
            <v>2.2000000000000002</v>
          </cell>
          <cell r="N538">
            <v>2.2000000000000002</v>
          </cell>
          <cell r="O538">
            <v>3.8</v>
          </cell>
          <cell r="P538">
            <v>3.8</v>
          </cell>
          <cell r="Q538">
            <v>81</v>
          </cell>
          <cell r="R538">
            <v>0</v>
          </cell>
          <cell r="S538">
            <v>2.2000000000000002</v>
          </cell>
          <cell r="T538" t="str">
            <v>FWD</v>
          </cell>
          <cell r="U538" t="str">
            <v>CF</v>
          </cell>
          <cell r="V538" t="str">
            <v>BRE</v>
          </cell>
          <cell r="W538" t="str">
            <v>Brentford</v>
          </cell>
          <cell r="X538">
            <v>4.5</v>
          </cell>
          <cell r="Y538">
            <v>1</v>
          </cell>
          <cell r="Z538">
            <v>0</v>
          </cell>
          <cell r="AA538">
            <v>1</v>
          </cell>
          <cell r="AB538">
            <v>1</v>
          </cell>
          <cell r="AC538">
            <v>1</v>
          </cell>
          <cell r="AD538">
            <v>0.22222222222222221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1.0000000000000009E-2</v>
          </cell>
          <cell r="AK538">
            <v>0</v>
          </cell>
          <cell r="AL538">
            <v>2</v>
          </cell>
          <cell r="AM538">
            <v>0</v>
          </cell>
          <cell r="AN538">
            <v>0</v>
          </cell>
          <cell r="AO538">
            <v>107</v>
          </cell>
          <cell r="AP538" t="str">
            <v>Furo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1</v>
          </cell>
          <cell r="BA538">
            <v>1</v>
          </cell>
          <cell r="BB538" t="str">
            <v/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0.9</v>
          </cell>
          <cell r="BH538">
            <v>1</v>
          </cell>
          <cell r="BI538">
            <v>1</v>
          </cell>
          <cell r="BJ538">
            <v>1</v>
          </cell>
          <cell r="BK538">
            <v>12</v>
          </cell>
          <cell r="BL538">
            <v>0</v>
          </cell>
          <cell r="BM538">
            <v>7.6923076923076872E-2</v>
          </cell>
          <cell r="BN538" t="e">
            <v>#DIV/0!</v>
          </cell>
          <cell r="BO538">
            <v>38</v>
          </cell>
          <cell r="BP538">
            <v>0</v>
          </cell>
          <cell r="BQ538">
            <v>2.9239766081871346E-4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38</v>
          </cell>
          <cell r="BY538">
            <v>1.5555263157894736</v>
          </cell>
          <cell r="BZ538">
            <v>1.0874736842105261</v>
          </cell>
        </row>
        <row r="539">
          <cell r="A539" t="str">
            <v>Jannik Schuster</v>
          </cell>
          <cell r="B539" t="str">
            <v/>
          </cell>
          <cell r="C539" t="str">
            <v>Schuster</v>
          </cell>
          <cell r="D539" t="str">
            <v/>
          </cell>
          <cell r="F539" t="str">
            <v/>
          </cell>
          <cell r="H539" t="str">
            <v/>
          </cell>
          <cell r="I539">
            <v>3.8</v>
          </cell>
          <cell r="J539">
            <v>4.9666666666666659</v>
          </cell>
          <cell r="K539">
            <v>5.7</v>
          </cell>
          <cell r="M539">
            <v>2.2000000000000002</v>
          </cell>
          <cell r="N539">
            <v>2.2000000000000002</v>
          </cell>
          <cell r="O539">
            <v>1.2016666666666669</v>
          </cell>
          <cell r="P539">
            <v>2.4556913682822206</v>
          </cell>
          <cell r="Q539">
            <v>0</v>
          </cell>
          <cell r="R539">
            <v>0</v>
          </cell>
          <cell r="S539">
            <v>2.2000000000000002</v>
          </cell>
          <cell r="T539" t="str">
            <v>DEF</v>
          </cell>
          <cell r="U539" t="str">
            <v>CB</v>
          </cell>
          <cell r="V539" t="str">
            <v>BRE</v>
          </cell>
          <cell r="W539" t="str">
            <v>Brentford</v>
          </cell>
          <cell r="X539">
            <v>4.5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 t="e">
            <v>#DIV/0!</v>
          </cell>
          <cell r="AH539" t="e">
            <v>#DIV/0!</v>
          </cell>
          <cell r="AI539" t="e">
            <v>#DIV/0!</v>
          </cell>
          <cell r="AJ539">
            <v>9.9999999999988987E-4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93</v>
          </cell>
          <cell r="AP539" t="str">
            <v>Schuster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 t="str">
            <v/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0.9</v>
          </cell>
          <cell r="BH539">
            <v>1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 t="e">
            <v>#DIV/0!</v>
          </cell>
          <cell r="BO539">
            <v>38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38</v>
          </cell>
          <cell r="BY539">
            <v>1.5555263157894736</v>
          </cell>
          <cell r="BZ539">
            <v>1.0874736842105261</v>
          </cell>
        </row>
        <row r="540">
          <cell r="A540" t="str">
            <v>Álvaro Rodríguez</v>
          </cell>
          <cell r="B540" t="str">
            <v/>
          </cell>
          <cell r="C540" t="str">
            <v>Rodríguez</v>
          </cell>
          <cell r="D540" t="str">
            <v/>
          </cell>
          <cell r="F540" t="str">
            <v/>
          </cell>
          <cell r="H540" t="str">
            <v/>
          </cell>
          <cell r="I540">
            <v>2.4</v>
          </cell>
          <cell r="J540">
            <v>2.4</v>
          </cell>
          <cell r="K540">
            <v>2.4</v>
          </cell>
          <cell r="M540">
            <v>2.2000000000000002</v>
          </cell>
          <cell r="N540">
            <v>2.2000000000000002</v>
          </cell>
          <cell r="O540">
            <v>2</v>
          </cell>
          <cell r="P540">
            <v>2</v>
          </cell>
          <cell r="Q540">
            <v>0</v>
          </cell>
          <cell r="R540">
            <v>0</v>
          </cell>
          <cell r="S540">
            <v>2.2000000000000002</v>
          </cell>
          <cell r="T540" t="str">
            <v>FWD</v>
          </cell>
          <cell r="U540" t="str">
            <v>CF</v>
          </cell>
          <cell r="V540" t="str">
            <v>BOU</v>
          </cell>
          <cell r="W540" t="str">
            <v>Bournemouth</v>
          </cell>
          <cell r="X540">
            <v>6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 t="e">
            <v>#DIV/0!</v>
          </cell>
          <cell r="AH540" t="e">
            <v>#DIV/0!</v>
          </cell>
          <cell r="AI540" t="e">
            <v>#DIV/0!</v>
          </cell>
          <cell r="AJ540">
            <v>2.9999999999998916E-3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81</v>
          </cell>
          <cell r="AP540" t="str">
            <v>Rodríguez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 t="str">
            <v/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0.9</v>
          </cell>
          <cell r="BH540">
            <v>1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 t="e">
            <v>#DIV/0!</v>
          </cell>
          <cell r="BO540">
            <v>38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38</v>
          </cell>
          <cell r="BY540">
            <v>1.4939473684210527</v>
          </cell>
          <cell r="BZ540">
            <v>1.1490526315789471</v>
          </cell>
        </row>
        <row r="541">
          <cell r="A541" t="str">
            <v>Will Dennis</v>
          </cell>
          <cell r="B541" t="str">
            <v/>
          </cell>
          <cell r="C541" t="str">
            <v>Dennis</v>
          </cell>
          <cell r="D541" t="str">
            <v/>
          </cell>
          <cell r="F541" t="str">
            <v/>
          </cell>
          <cell r="H541" t="str">
            <v/>
          </cell>
          <cell r="I541">
            <v>0</v>
          </cell>
          <cell r="J541">
            <v>0</v>
          </cell>
          <cell r="K541">
            <v>0</v>
          </cell>
          <cell r="M541">
            <v>2.2000000000000002</v>
          </cell>
          <cell r="N541">
            <v>2.2000000000000002</v>
          </cell>
          <cell r="O541">
            <v>1.5766666666666662</v>
          </cell>
          <cell r="P541">
            <v>2.5421696327721151</v>
          </cell>
          <cell r="Q541">
            <v>0</v>
          </cell>
          <cell r="R541">
            <v>0</v>
          </cell>
          <cell r="S541">
            <v>2.2000000000000002</v>
          </cell>
          <cell r="T541" t="str">
            <v>GK</v>
          </cell>
          <cell r="U541" t="str">
            <v>GK</v>
          </cell>
          <cell r="V541" t="str">
            <v>BOU</v>
          </cell>
          <cell r="W541" t="str">
            <v>Bournemouth</v>
          </cell>
          <cell r="X541">
            <v>4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 t="e">
            <v>#DIV/0!</v>
          </cell>
          <cell r="AH541" t="e">
            <v>#DIV/0!</v>
          </cell>
          <cell r="AI541" t="e">
            <v>#DIV/0!</v>
          </cell>
          <cell r="AJ541">
            <v>2.0000000000000018E-3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59</v>
          </cell>
          <cell r="AP541" t="str">
            <v>Dennis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 t="str">
            <v/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0.9</v>
          </cell>
          <cell r="BH541">
            <v>1</v>
          </cell>
          <cell r="BI541">
            <v>0</v>
          </cell>
          <cell r="BJ541">
            <v>0</v>
          </cell>
          <cell r="BK541">
            <v>19</v>
          </cell>
          <cell r="BL541">
            <v>0</v>
          </cell>
          <cell r="BM541">
            <v>0</v>
          </cell>
          <cell r="BN541" t="e">
            <v>#DIV/0!</v>
          </cell>
          <cell r="BO541">
            <v>38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38</v>
          </cell>
          <cell r="BY541">
            <v>1.4939473684210527</v>
          </cell>
          <cell r="BZ541">
            <v>1.1490526315789471</v>
          </cell>
        </row>
        <row r="542">
          <cell r="A542" t="str">
            <v>Fraser Forster</v>
          </cell>
          <cell r="B542" t="str">
            <v/>
          </cell>
          <cell r="C542" t="str">
            <v>Forster</v>
          </cell>
          <cell r="D542" t="str">
            <v/>
          </cell>
          <cell r="F542" t="str">
            <v/>
          </cell>
          <cell r="H542" t="str">
            <v/>
          </cell>
          <cell r="I542" t="e">
            <v>#N/A</v>
          </cell>
          <cell r="J542" t="e">
            <v>#N/A</v>
          </cell>
          <cell r="K542" t="e">
            <v>#N/A</v>
          </cell>
          <cell r="M542">
            <v>2.2000000000000002</v>
          </cell>
          <cell r="N542">
            <v>2.2000000000000002</v>
          </cell>
          <cell r="O542">
            <v>1.5766666666666662</v>
          </cell>
          <cell r="P542">
            <v>2.5421696327721151</v>
          </cell>
          <cell r="Q542">
            <v>0</v>
          </cell>
          <cell r="R542">
            <v>0</v>
          </cell>
          <cell r="S542">
            <v>2.2000000000000002</v>
          </cell>
          <cell r="T542" t="str">
            <v>GK</v>
          </cell>
          <cell r="U542" t="str">
            <v>GK</v>
          </cell>
          <cell r="V542" t="str">
            <v>BOU</v>
          </cell>
          <cell r="W542" t="str">
            <v>Bournemouth</v>
          </cell>
          <cell r="X542">
            <v>4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 t="e">
            <v>#DIV/0!</v>
          </cell>
          <cell r="AH542" t="e">
            <v>#DIV/0!</v>
          </cell>
          <cell r="AI542" t="e">
            <v>#DIV/0!</v>
          </cell>
          <cell r="AJ542">
            <v>3.400000000000003E-2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58</v>
          </cell>
          <cell r="AP542" t="str">
            <v>Forster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 t="str">
            <v/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0.9</v>
          </cell>
          <cell r="BH542">
            <v>1</v>
          </cell>
          <cell r="BI542">
            <v>0</v>
          </cell>
          <cell r="BJ542">
            <v>0</v>
          </cell>
          <cell r="BK542">
            <v>4</v>
          </cell>
          <cell r="BL542">
            <v>0</v>
          </cell>
          <cell r="BM542">
            <v>0</v>
          </cell>
          <cell r="BN542" t="e">
            <v>#DIV/0!</v>
          </cell>
          <cell r="BO542">
            <v>38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38</v>
          </cell>
          <cell r="BY542">
            <v>1.4939473684210527</v>
          </cell>
          <cell r="BZ542">
            <v>1.1490526315789471</v>
          </cell>
        </row>
        <row r="543">
          <cell r="A543" t="str">
            <v>Evan Ferguson</v>
          </cell>
          <cell r="B543" t="str">
            <v/>
          </cell>
          <cell r="C543" t="str">
            <v>Ferguson</v>
          </cell>
          <cell r="D543" t="str">
            <v/>
          </cell>
          <cell r="F543" t="str">
            <v/>
          </cell>
          <cell r="H543" t="str">
            <v/>
          </cell>
          <cell r="I543">
            <v>1.3</v>
          </cell>
          <cell r="J543">
            <v>2.4333333333333331</v>
          </cell>
          <cell r="K543">
            <v>3.4</v>
          </cell>
          <cell r="M543">
            <v>2.2000000000000002</v>
          </cell>
          <cell r="N543">
            <v>2.2000000000000002</v>
          </cell>
          <cell r="O543">
            <v>2</v>
          </cell>
          <cell r="P543">
            <v>2</v>
          </cell>
          <cell r="Q543">
            <v>0</v>
          </cell>
          <cell r="R543">
            <v>0</v>
          </cell>
          <cell r="S543">
            <v>2.2000000000000002</v>
          </cell>
          <cell r="T543" t="str">
            <v>FWD</v>
          </cell>
          <cell r="U543" t="str">
            <v>CF</v>
          </cell>
          <cell r="V543" t="str">
            <v>BHA</v>
          </cell>
          <cell r="W543" t="str">
            <v>Brighton</v>
          </cell>
          <cell r="X543">
            <v>5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 t="e">
            <v>#DIV/0!</v>
          </cell>
          <cell r="AH543" t="e">
            <v>#DIV/0!</v>
          </cell>
          <cell r="AI543" t="e">
            <v>#DIV/0!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139</v>
          </cell>
          <cell r="AP543" t="str">
            <v>Ferguson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0.9</v>
          </cell>
          <cell r="BH543">
            <v>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 t="e">
            <v>#DIV/0!</v>
          </cell>
          <cell r="BO543">
            <v>38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38</v>
          </cell>
          <cell r="BY543">
            <v>1.4144736842105263</v>
          </cell>
          <cell r="BZ543">
            <v>1.2285263157894735</v>
          </cell>
        </row>
        <row r="544">
          <cell r="A544" t="str">
            <v>Tom Watson</v>
          </cell>
          <cell r="B544" t="str">
            <v/>
          </cell>
          <cell r="C544" t="str">
            <v>Watson</v>
          </cell>
          <cell r="D544" t="str">
            <v/>
          </cell>
          <cell r="F544" t="str">
            <v/>
          </cell>
          <cell r="H544" t="str">
            <v/>
          </cell>
          <cell r="I544" t="e">
            <v>#N/A</v>
          </cell>
          <cell r="J544" t="e">
            <v>#N/A</v>
          </cell>
          <cell r="K544" t="e">
            <v>#N/A</v>
          </cell>
          <cell r="M544">
            <v>2.2000000000000002</v>
          </cell>
          <cell r="N544">
            <v>2.2000000000000002</v>
          </cell>
          <cell r="O544">
            <v>0.81578947368421062</v>
          </cell>
          <cell r="P544">
            <v>1.5568064253794329</v>
          </cell>
          <cell r="Q544">
            <v>7.1052631578947363</v>
          </cell>
          <cell r="R544">
            <v>0</v>
          </cell>
          <cell r="S544">
            <v>2.2000000000000002</v>
          </cell>
          <cell r="T544" t="str">
            <v>MID</v>
          </cell>
          <cell r="U544" t="str">
            <v>LW</v>
          </cell>
          <cell r="V544" t="str">
            <v>BHA</v>
          </cell>
          <cell r="W544" t="str">
            <v>Brighton</v>
          </cell>
          <cell r="X544">
            <v>5</v>
          </cell>
          <cell r="Y544">
            <v>5</v>
          </cell>
          <cell r="Z544">
            <v>0</v>
          </cell>
          <cell r="AA544">
            <v>5</v>
          </cell>
          <cell r="AB544">
            <v>57</v>
          </cell>
          <cell r="AC544">
            <v>57</v>
          </cell>
          <cell r="AD544">
            <v>0.16666666666666669</v>
          </cell>
          <cell r="AE544">
            <v>0</v>
          </cell>
          <cell r="AF544">
            <v>0</v>
          </cell>
          <cell r="AG544">
            <v>-6.3157894736842107E-2</v>
          </cell>
          <cell r="AH544">
            <v>-4.736842105263158E-2</v>
          </cell>
          <cell r="AI544">
            <v>-0.11052631578947369</v>
          </cell>
          <cell r="AJ544">
            <v>0</v>
          </cell>
          <cell r="AK544">
            <v>0</v>
          </cell>
          <cell r="AL544">
            <v>15</v>
          </cell>
          <cell r="AM544">
            <v>1</v>
          </cell>
          <cell r="AN544">
            <v>0</v>
          </cell>
          <cell r="AO544">
            <v>133</v>
          </cell>
          <cell r="AP544" t="str">
            <v>Watson</v>
          </cell>
          <cell r="AQ544">
            <v>0</v>
          </cell>
          <cell r="AR544">
            <v>0</v>
          </cell>
          <cell r="AS544">
            <v>5.6842105263157894</v>
          </cell>
          <cell r="AT544">
            <v>7.1052631578947363</v>
          </cell>
          <cell r="AU544">
            <v>1.4210526315789473</v>
          </cell>
          <cell r="AV544">
            <v>7.1052631578947363</v>
          </cell>
          <cell r="AW544">
            <v>7.1052631578947363</v>
          </cell>
          <cell r="AX544">
            <v>6.057894736842101E-2</v>
          </cell>
          <cell r="AY544">
            <v>0</v>
          </cell>
          <cell r="AZ544">
            <v>0.8</v>
          </cell>
          <cell r="BA544">
            <v>5</v>
          </cell>
          <cell r="BB544" t="str">
            <v/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0.9</v>
          </cell>
          <cell r="BH544">
            <v>1</v>
          </cell>
          <cell r="BI544">
            <v>6</v>
          </cell>
          <cell r="BJ544">
            <v>10</v>
          </cell>
          <cell r="BK544">
            <v>5</v>
          </cell>
          <cell r="BL544">
            <v>0</v>
          </cell>
          <cell r="BM544">
            <v>0.54545454545454541</v>
          </cell>
          <cell r="BN544" t="e">
            <v>#DIV/0!</v>
          </cell>
          <cell r="BO544">
            <v>38</v>
          </cell>
          <cell r="BP544">
            <v>0</v>
          </cell>
          <cell r="BQ544">
            <v>1.6666666666666666E-2</v>
          </cell>
          <cell r="BR544">
            <v>0.04</v>
          </cell>
          <cell r="BS544">
            <v>6.3157894736842107E-2</v>
          </cell>
          <cell r="BT544">
            <v>0.03</v>
          </cell>
          <cell r="BU544">
            <v>4.736842105263158E-2</v>
          </cell>
          <cell r="BV544">
            <v>0.11052631578947369</v>
          </cell>
          <cell r="BW544">
            <v>0</v>
          </cell>
          <cell r="BX544">
            <v>38</v>
          </cell>
          <cell r="BY544">
            <v>1.4144736842105263</v>
          </cell>
          <cell r="BZ544">
            <v>1.2285263157894735</v>
          </cell>
        </row>
        <row r="545">
          <cell r="A545" t="str">
            <v>Luka Vušković</v>
          </cell>
          <cell r="B545" t="str">
            <v/>
          </cell>
          <cell r="C545" t="str">
            <v>Vuskovic</v>
          </cell>
          <cell r="D545" t="str">
            <v/>
          </cell>
          <cell r="F545" t="str">
            <v/>
          </cell>
          <cell r="H545" t="str">
            <v/>
          </cell>
          <cell r="I545" t="e">
            <v>#N/A</v>
          </cell>
          <cell r="J545" t="e">
            <v>#N/A</v>
          </cell>
          <cell r="K545" t="e">
            <v>#N/A</v>
          </cell>
          <cell r="M545">
            <v>2.2000000000000002</v>
          </cell>
          <cell r="N545">
            <v>2.2000000000000002</v>
          </cell>
          <cell r="O545">
            <v>1.5350000000000001</v>
          </cell>
          <cell r="P545">
            <v>2.6537783330966795</v>
          </cell>
          <cell r="Q545">
            <v>0</v>
          </cell>
          <cell r="R545">
            <v>0</v>
          </cell>
          <cell r="S545">
            <v>2.2000000000000002</v>
          </cell>
          <cell r="T545" t="str">
            <v>DEF</v>
          </cell>
          <cell r="U545" t="str">
            <v/>
          </cell>
          <cell r="V545" t="str">
            <v>BHA</v>
          </cell>
          <cell r="W545" t="str">
            <v>Brighton</v>
          </cell>
          <cell r="X545">
            <v>5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 t="e">
            <v>#DIV/0!</v>
          </cell>
          <cell r="AH545" t="e">
            <v>#DIV/0!</v>
          </cell>
          <cell r="AI545" t="e">
            <v>#DIV/0!</v>
          </cell>
          <cell r="AJ545">
            <v>2.200000000000002E-2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504</v>
          </cell>
          <cell r="AP545" t="str">
            <v>Vuskovic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 t="str">
            <v/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0.9</v>
          </cell>
          <cell r="BH545">
            <v>1</v>
          </cell>
          <cell r="BI545">
            <v>0</v>
          </cell>
          <cell r="BJ545">
            <v>0</v>
          </cell>
          <cell r="BK545">
            <v>2</v>
          </cell>
          <cell r="BL545">
            <v>0</v>
          </cell>
          <cell r="BM545">
            <v>0</v>
          </cell>
          <cell r="BN545" t="e">
            <v>#DIV/0!</v>
          </cell>
          <cell r="BO545">
            <v>38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38</v>
          </cell>
          <cell r="BY545">
            <v>1.4144736842105263</v>
          </cell>
          <cell r="BZ545">
            <v>1.2285263157894735</v>
          </cell>
        </row>
        <row r="546">
          <cell r="A546" t="str">
            <v>Michael Svoboda</v>
          </cell>
          <cell r="B546" t="str">
            <v/>
          </cell>
          <cell r="C546" t="str">
            <v>Svoboda</v>
          </cell>
          <cell r="D546" t="str">
            <v/>
          </cell>
          <cell r="H546" t="str">
            <v/>
          </cell>
          <cell r="I546">
            <v>2.1</v>
          </cell>
          <cell r="J546">
            <v>3.6333333333333333</v>
          </cell>
          <cell r="K546">
            <v>5.2</v>
          </cell>
          <cell r="M546">
            <v>2.2000000000000002</v>
          </cell>
          <cell r="N546">
            <v>2.2000000000000002</v>
          </cell>
          <cell r="O546">
            <v>1.5350000000000001</v>
          </cell>
          <cell r="P546">
            <v>2.6537783330966795</v>
          </cell>
          <cell r="Q546">
            <v>0</v>
          </cell>
          <cell r="R546">
            <v>0</v>
          </cell>
          <cell r="S546">
            <v>2.2000000000000002</v>
          </cell>
          <cell r="T546" t="str">
            <v>DEF</v>
          </cell>
          <cell r="U546" t="str">
            <v>CB</v>
          </cell>
          <cell r="V546" t="str">
            <v>BHA</v>
          </cell>
          <cell r="W546" t="str">
            <v>Brighton</v>
          </cell>
          <cell r="X546">
            <v>5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 t="e">
            <v>#DIV/0!</v>
          </cell>
          <cell r="AH546" t="e">
            <v>#DIV/0!</v>
          </cell>
          <cell r="AI546" t="e">
            <v>#DIV/0!</v>
          </cell>
          <cell r="AJ546">
            <v>9.9999999999988987E-4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120</v>
          </cell>
          <cell r="AP546" t="str">
            <v>Svoboda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 t="str">
            <v/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0.9</v>
          </cell>
          <cell r="BH546">
            <v>1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 t="e">
            <v>#DIV/0!</v>
          </cell>
          <cell r="BO546">
            <v>38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38</v>
          </cell>
          <cell r="BY546">
            <v>1.4144736842105263</v>
          </cell>
          <cell r="BZ546">
            <v>1.2285263157894735</v>
          </cell>
        </row>
        <row r="547">
          <cell r="A547" t="str">
            <v>Zadok Yohanna</v>
          </cell>
          <cell r="B547" t="str">
            <v/>
          </cell>
          <cell r="C547" t="str">
            <v>Yohanna</v>
          </cell>
          <cell r="D547" t="str">
            <v/>
          </cell>
          <cell r="H547" t="str">
            <v/>
          </cell>
          <cell r="I547">
            <v>1.7</v>
          </cell>
          <cell r="J547">
            <v>2.15</v>
          </cell>
          <cell r="K547">
            <v>2.6</v>
          </cell>
          <cell r="M547">
            <v>2.2000000000000002</v>
          </cell>
          <cell r="N547">
            <v>2.2000000000000002</v>
          </cell>
          <cell r="O547">
            <v>2</v>
          </cell>
          <cell r="P547">
            <v>2.2777537938004855</v>
          </cell>
          <cell r="Q547">
            <v>0</v>
          </cell>
          <cell r="R547">
            <v>0</v>
          </cell>
          <cell r="S547">
            <v>2.2000000000000002</v>
          </cell>
          <cell r="T547" t="str">
            <v>MID</v>
          </cell>
          <cell r="U547" t="str">
            <v>RW</v>
          </cell>
          <cell r="V547" t="str">
            <v>BHA</v>
          </cell>
          <cell r="W547" t="str">
            <v>Brighton</v>
          </cell>
          <cell r="X547">
            <v>5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 t="e">
            <v>#DIV/0!</v>
          </cell>
          <cell r="AH547" t="e">
            <v>#DIV/0!</v>
          </cell>
          <cell r="AI547" t="e">
            <v>#DIV/0!</v>
          </cell>
          <cell r="AJ547">
            <v>9.9999999999988987E-4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135</v>
          </cell>
          <cell r="AP547" t="str">
            <v>Yohanna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 t="str">
            <v/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0.9</v>
          </cell>
          <cell r="BH547">
            <v>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 t="e">
            <v>#DIV/0!</v>
          </cell>
          <cell r="BO547">
            <v>38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38</v>
          </cell>
          <cell r="BY547">
            <v>1.4144736842105263</v>
          </cell>
          <cell r="BZ547">
            <v>1.2285263157894735</v>
          </cell>
        </row>
        <row r="548">
          <cell r="A548" t="str">
            <v>Nehemiah Oriola</v>
          </cell>
          <cell r="B548" t="str">
            <v/>
          </cell>
          <cell r="C548" t="str">
            <v>Oriola</v>
          </cell>
          <cell r="D548" t="str">
            <v/>
          </cell>
          <cell r="F548" t="str">
            <v/>
          </cell>
          <cell r="H548" t="str">
            <v/>
          </cell>
          <cell r="I548" t="e">
            <v>#N/A</v>
          </cell>
          <cell r="J548" t="e">
            <v>#N/A</v>
          </cell>
          <cell r="K548" t="e">
            <v>#N/A</v>
          </cell>
          <cell r="M548">
            <v>2.2000000000000002</v>
          </cell>
          <cell r="N548">
            <v>2.2000000000000002</v>
          </cell>
          <cell r="O548">
            <v>4.7</v>
          </cell>
          <cell r="P548">
            <v>4.9777537938004857</v>
          </cell>
          <cell r="Q548">
            <v>81</v>
          </cell>
          <cell r="R548">
            <v>81</v>
          </cell>
          <cell r="S548">
            <v>2.2000000000000002</v>
          </cell>
          <cell r="T548" t="str">
            <v>MID</v>
          </cell>
          <cell r="U548" t="str">
            <v/>
          </cell>
          <cell r="V548" t="str">
            <v>BHA</v>
          </cell>
          <cell r="W548" t="str">
            <v>Brighton</v>
          </cell>
          <cell r="X548">
            <v>4.5</v>
          </cell>
          <cell r="Y548">
            <v>1</v>
          </cell>
          <cell r="Z548">
            <v>0</v>
          </cell>
          <cell r="AA548">
            <v>1</v>
          </cell>
          <cell r="AB548">
            <v>1</v>
          </cell>
          <cell r="AC548">
            <v>1</v>
          </cell>
          <cell r="AD548">
            <v>0.22222222222222221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2.0000000000000018E-3</v>
          </cell>
          <cell r="AK548">
            <v>0</v>
          </cell>
          <cell r="AL548">
            <v>3</v>
          </cell>
          <cell r="AM548">
            <v>0</v>
          </cell>
          <cell r="AN548">
            <v>0</v>
          </cell>
          <cell r="AO548">
            <v>134</v>
          </cell>
          <cell r="AP548" t="str">
            <v>Oriola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1</v>
          </cell>
          <cell r="BA548">
            <v>1</v>
          </cell>
          <cell r="BB548" t="str">
            <v/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0.9</v>
          </cell>
          <cell r="BH548">
            <v>1</v>
          </cell>
          <cell r="BI548">
            <v>1</v>
          </cell>
          <cell r="BJ548">
            <v>1</v>
          </cell>
          <cell r="BK548">
            <v>6</v>
          </cell>
          <cell r="BL548">
            <v>0</v>
          </cell>
          <cell r="BM548">
            <v>0.1428571428571429</v>
          </cell>
          <cell r="BN548" t="e">
            <v>#DIV/0!</v>
          </cell>
          <cell r="BO548">
            <v>38</v>
          </cell>
          <cell r="BP548">
            <v>0</v>
          </cell>
          <cell r="BQ548">
            <v>2.9239766081871346E-4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38</v>
          </cell>
          <cell r="BY548">
            <v>1.4144736842105263</v>
          </cell>
          <cell r="BZ548">
            <v>1.2285263157894735</v>
          </cell>
        </row>
        <row r="549">
          <cell r="A549" t="str">
            <v>Harry Howell</v>
          </cell>
          <cell r="B549" t="str">
            <v/>
          </cell>
          <cell r="C549" t="str">
            <v>Howell</v>
          </cell>
          <cell r="D549" t="str">
            <v/>
          </cell>
          <cell r="F549" t="str">
            <v/>
          </cell>
          <cell r="H549" t="str">
            <v/>
          </cell>
          <cell r="I549" t="e">
            <v>#N/A</v>
          </cell>
          <cell r="J549" t="e">
            <v>#N/A</v>
          </cell>
          <cell r="K549" t="e">
            <v>#N/A</v>
          </cell>
          <cell r="M549">
            <v>2.2000000000000002</v>
          </cell>
          <cell r="N549">
            <v>2.2000000000000002</v>
          </cell>
          <cell r="O549">
            <v>2.2034782608695651</v>
          </cell>
          <cell r="P549">
            <v>2.481232054670051</v>
          </cell>
          <cell r="Q549">
            <v>3.0434782608695654</v>
          </cell>
          <cell r="R549">
            <v>3.0434782608695654</v>
          </cell>
          <cell r="S549">
            <v>2.2000000000000002</v>
          </cell>
          <cell r="T549" t="str">
            <v>MID</v>
          </cell>
          <cell r="U549" t="str">
            <v/>
          </cell>
          <cell r="V549" t="str">
            <v>BHA</v>
          </cell>
          <cell r="W549" t="str">
            <v>Brighton</v>
          </cell>
          <cell r="X549">
            <v>4.5</v>
          </cell>
          <cell r="Y549">
            <v>4</v>
          </cell>
          <cell r="Z549">
            <v>0</v>
          </cell>
          <cell r="AA549">
            <v>4</v>
          </cell>
          <cell r="AB549">
            <v>92</v>
          </cell>
          <cell r="AC549">
            <v>92</v>
          </cell>
          <cell r="AD549">
            <v>0.29629629629629628</v>
          </cell>
          <cell r="AE549">
            <v>0</v>
          </cell>
          <cell r="AF549">
            <v>0</v>
          </cell>
          <cell r="AG549">
            <v>0</v>
          </cell>
          <cell r="AH549">
            <v>-2.9347826086956519E-2</v>
          </cell>
          <cell r="AI549">
            <v>-2.9347826086956519E-2</v>
          </cell>
          <cell r="AJ549">
            <v>2.9999999999998916E-3</v>
          </cell>
          <cell r="AK549">
            <v>0</v>
          </cell>
          <cell r="AL549">
            <v>11</v>
          </cell>
          <cell r="AM549">
            <v>0</v>
          </cell>
          <cell r="AN549">
            <v>0</v>
          </cell>
          <cell r="AO549">
            <v>132</v>
          </cell>
          <cell r="AP549" t="str">
            <v>Howell</v>
          </cell>
          <cell r="AQ549">
            <v>2.2826086956521738</v>
          </cell>
          <cell r="AR549">
            <v>0</v>
          </cell>
          <cell r="AS549">
            <v>2.2826086956521738</v>
          </cell>
          <cell r="AT549">
            <v>5.3260869565217401</v>
          </cell>
          <cell r="AU549">
            <v>0.76086956521739135</v>
          </cell>
          <cell r="AV549">
            <v>5.3260869565217401</v>
          </cell>
          <cell r="AW549">
            <v>5.3260869565217401</v>
          </cell>
          <cell r="AX549">
            <v>4.0326086956521748E-2</v>
          </cell>
          <cell r="AY549">
            <v>0</v>
          </cell>
          <cell r="AZ549">
            <v>1.3</v>
          </cell>
          <cell r="BA549">
            <v>4</v>
          </cell>
          <cell r="BB549" t="str">
            <v/>
          </cell>
          <cell r="BC549">
            <v>1</v>
          </cell>
          <cell r="BD549">
            <v>0</v>
          </cell>
          <cell r="BE549">
            <v>0</v>
          </cell>
          <cell r="BF549">
            <v>70</v>
          </cell>
          <cell r="BG549">
            <v>0.77777777777777779</v>
          </cell>
          <cell r="BH549">
            <v>1</v>
          </cell>
          <cell r="BI549">
            <v>2</v>
          </cell>
          <cell r="BJ549">
            <v>12</v>
          </cell>
          <cell r="BK549">
            <v>4</v>
          </cell>
          <cell r="BL549">
            <v>0.14285714285714285</v>
          </cell>
          <cell r="BM549">
            <v>0.28571428571428581</v>
          </cell>
          <cell r="BN549">
            <v>0.28979591836734692</v>
          </cell>
          <cell r="BO549">
            <v>38</v>
          </cell>
          <cell r="BP549">
            <v>0</v>
          </cell>
          <cell r="BQ549">
            <v>2.6900584795321637E-2</v>
          </cell>
          <cell r="BR549">
            <v>0</v>
          </cell>
          <cell r="BS549">
            <v>0</v>
          </cell>
          <cell r="BT549">
            <v>0.03</v>
          </cell>
          <cell r="BU549">
            <v>2.9347826086956519E-2</v>
          </cell>
          <cell r="BV549">
            <v>2.9347826086956519E-2</v>
          </cell>
          <cell r="BW549">
            <v>0</v>
          </cell>
          <cell r="BX549">
            <v>38</v>
          </cell>
          <cell r="BY549">
            <v>1.4144736842105263</v>
          </cell>
          <cell r="BZ549">
            <v>1.2285263157894735</v>
          </cell>
        </row>
        <row r="550">
          <cell r="A550" t="str">
            <v>João Pedro Loureiro da Costa</v>
          </cell>
          <cell r="B550" t="str">
            <v/>
          </cell>
          <cell r="C550" t="str">
            <v>Costinha</v>
          </cell>
          <cell r="D550" t="str">
            <v/>
          </cell>
          <cell r="H550" t="str">
            <v/>
          </cell>
          <cell r="I550" t="e">
            <v>#N/A</v>
          </cell>
          <cell r="J550" t="e">
            <v>#N/A</v>
          </cell>
          <cell r="K550" t="e">
            <v>#N/A</v>
          </cell>
          <cell r="M550">
            <v>2.2000000000000002</v>
          </cell>
          <cell r="N550">
            <v>2.2000000000000002</v>
          </cell>
          <cell r="O550">
            <v>1.5350000000000001</v>
          </cell>
          <cell r="P550">
            <v>2.6537783330966795</v>
          </cell>
          <cell r="Q550">
            <v>0</v>
          </cell>
          <cell r="R550">
            <v>0</v>
          </cell>
          <cell r="S550">
            <v>2.2000000000000002</v>
          </cell>
          <cell r="T550" t="str">
            <v>DEF</v>
          </cell>
          <cell r="U550" t="str">
            <v>RB</v>
          </cell>
          <cell r="V550" t="str">
            <v>BHA</v>
          </cell>
          <cell r="W550" t="str">
            <v>Brighton</v>
          </cell>
          <cell r="X550">
            <v>4.5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 t="e">
            <v>#DIV/0!</v>
          </cell>
          <cell r="AH550" t="e">
            <v>#DIV/0!</v>
          </cell>
          <cell r="AI550" t="e">
            <v>#DIV/0!</v>
          </cell>
          <cell r="AJ550">
            <v>9.9999999999988987E-4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119</v>
          </cell>
          <cell r="AP550" t="str">
            <v>Costinha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 t="str">
            <v/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0.9</v>
          </cell>
          <cell r="BH550">
            <v>1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 t="e">
            <v>#DIV/0!</v>
          </cell>
          <cell r="BO550">
            <v>38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38</v>
          </cell>
          <cell r="BY550">
            <v>1.4144736842105263</v>
          </cell>
          <cell r="BZ550">
            <v>1.2285263157894735</v>
          </cell>
        </row>
        <row r="551">
          <cell r="A551" t="str">
            <v>Johan Manzambi</v>
          </cell>
          <cell r="B551" t="str">
            <v/>
          </cell>
          <cell r="C551" t="str">
            <v>Manzambi</v>
          </cell>
          <cell r="D551" t="str">
            <v/>
          </cell>
          <cell r="F551" t="str">
            <v/>
          </cell>
          <cell r="H551" t="str">
            <v/>
          </cell>
          <cell r="I551" t="e">
            <v>#N/A</v>
          </cell>
          <cell r="J551" t="e">
            <v>#N/A</v>
          </cell>
          <cell r="K551" t="e">
            <v>#N/A</v>
          </cell>
          <cell r="M551">
            <v>2.2000000000000002</v>
          </cell>
          <cell r="N551">
            <v>2.2000000000000002</v>
          </cell>
          <cell r="O551">
            <v>2</v>
          </cell>
          <cell r="P551">
            <v>2.2603212983880225</v>
          </cell>
          <cell r="Q551">
            <v>0</v>
          </cell>
          <cell r="R551">
            <v>0</v>
          </cell>
          <cell r="S551">
            <v>2.2000000000000002</v>
          </cell>
          <cell r="T551" t="str">
            <v>MID</v>
          </cell>
          <cell r="U551" t="str">
            <v>AM</v>
          </cell>
          <cell r="V551" t="str">
            <v>AVL</v>
          </cell>
          <cell r="W551" t="str">
            <v>Aston Villa</v>
          </cell>
          <cell r="X551">
            <v>6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 t="e">
            <v>#DIV/0!</v>
          </cell>
          <cell r="AH551" t="e">
            <v>#DIV/0!</v>
          </cell>
          <cell r="AI551" t="e">
            <v>#DIV/0!</v>
          </cell>
          <cell r="AJ551">
            <v>3.8999999999999924E-2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53</v>
          </cell>
          <cell r="AP551" t="str">
            <v>Manzambi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 t="str">
            <v/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0.9</v>
          </cell>
          <cell r="BH551">
            <v>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 t="e">
            <v>#DIV/0!</v>
          </cell>
          <cell r="BO551">
            <v>38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38</v>
          </cell>
          <cell r="BY551">
            <v>1.4915789473684211</v>
          </cell>
          <cell r="BZ551">
            <v>1.1514210526315787</v>
          </cell>
        </row>
        <row r="552">
          <cell r="A552" t="str">
            <v>Alysson Edward Franco da Rocha dos Santos</v>
          </cell>
          <cell r="B552" t="str">
            <v/>
          </cell>
          <cell r="C552" t="str">
            <v>Alysson</v>
          </cell>
          <cell r="D552" t="str">
            <v/>
          </cell>
          <cell r="F552" t="str">
            <v/>
          </cell>
          <cell r="H552" t="str">
            <v/>
          </cell>
          <cell r="I552" t="e">
            <v>#N/A</v>
          </cell>
          <cell r="J552" t="e">
            <v>#N/A</v>
          </cell>
          <cell r="K552" t="e">
            <v>#N/A</v>
          </cell>
          <cell r="M552">
            <v>2.2000000000000002</v>
          </cell>
          <cell r="N552">
            <v>2.2000000000000002</v>
          </cell>
          <cell r="O552">
            <v>3.0034042553191491</v>
          </cell>
          <cell r="P552">
            <v>3.2637255537071717</v>
          </cell>
          <cell r="Q552">
            <v>5.1702127659574462</v>
          </cell>
          <cell r="R552">
            <v>5.1702127659574462</v>
          </cell>
          <cell r="S552">
            <v>2.2000000000000002</v>
          </cell>
          <cell r="T552" t="str">
            <v>MID</v>
          </cell>
          <cell r="U552" t="str">
            <v>RW</v>
          </cell>
          <cell r="V552" t="str">
            <v>AVL</v>
          </cell>
          <cell r="W552" t="str">
            <v>Aston Villa</v>
          </cell>
          <cell r="X552">
            <v>5</v>
          </cell>
          <cell r="Y552">
            <v>3</v>
          </cell>
          <cell r="Z552">
            <v>0</v>
          </cell>
          <cell r="AA552">
            <v>3</v>
          </cell>
          <cell r="AB552">
            <v>47</v>
          </cell>
          <cell r="AC552">
            <v>47</v>
          </cell>
          <cell r="AD552">
            <v>0</v>
          </cell>
          <cell r="AE552">
            <v>0</v>
          </cell>
          <cell r="AF552">
            <v>0</v>
          </cell>
          <cell r="AG552">
            <v>-9.5744680851063829E-2</v>
          </cell>
          <cell r="AH552">
            <v>-9.5744680851063829E-2</v>
          </cell>
          <cell r="AI552">
            <v>-0.19148936170212766</v>
          </cell>
          <cell r="AJ552">
            <v>9.9999999999988987E-4</v>
          </cell>
          <cell r="AK552">
            <v>0</v>
          </cell>
          <cell r="AL552">
            <v>11</v>
          </cell>
          <cell r="AM552">
            <v>0</v>
          </cell>
          <cell r="AN552">
            <v>0</v>
          </cell>
          <cell r="AO552">
            <v>52</v>
          </cell>
          <cell r="AP552" t="str">
            <v>Alysson</v>
          </cell>
          <cell r="AQ552">
            <v>1.7234042553191489</v>
          </cell>
          <cell r="AR552">
            <v>0</v>
          </cell>
          <cell r="AS552">
            <v>5.1702127659574462</v>
          </cell>
          <cell r="AT552">
            <v>6.8936170212765955</v>
          </cell>
          <cell r="AU552">
            <v>0</v>
          </cell>
          <cell r="AV552">
            <v>6.8936170212765955</v>
          </cell>
          <cell r="AW552">
            <v>6.8936170212765955</v>
          </cell>
          <cell r="AX552">
            <v>5.2194528875379932E-2</v>
          </cell>
          <cell r="AY552">
            <v>0</v>
          </cell>
          <cell r="AZ552">
            <v>1</v>
          </cell>
          <cell r="BA552">
            <v>3</v>
          </cell>
          <cell r="BB552" t="str">
            <v/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0.9</v>
          </cell>
          <cell r="BH552">
            <v>1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 t="e">
            <v>#DIV/0!</v>
          </cell>
          <cell r="BO552">
            <v>38</v>
          </cell>
          <cell r="BP552">
            <v>0</v>
          </cell>
          <cell r="BQ552">
            <v>1.3742690058479532E-2</v>
          </cell>
          <cell r="BR552">
            <v>0.05</v>
          </cell>
          <cell r="BS552">
            <v>9.5744680851063829E-2</v>
          </cell>
          <cell r="BT552">
            <v>0.05</v>
          </cell>
          <cell r="BU552">
            <v>9.5744680851063829E-2</v>
          </cell>
          <cell r="BV552">
            <v>0.19148936170212766</v>
          </cell>
          <cell r="BW552">
            <v>0</v>
          </cell>
          <cell r="BX552">
            <v>38</v>
          </cell>
          <cell r="BY552">
            <v>1.4915789473684211</v>
          </cell>
          <cell r="BZ552">
            <v>1.1514210526315787</v>
          </cell>
        </row>
        <row r="553">
          <cell r="A553" t="str">
            <v>George Hemmings</v>
          </cell>
          <cell r="B553" t="str">
            <v/>
          </cell>
          <cell r="C553" t="str">
            <v>George Hemmings</v>
          </cell>
          <cell r="D553" t="str">
            <v/>
          </cell>
          <cell r="F553" t="str">
            <v/>
          </cell>
          <cell r="H553" t="str">
            <v/>
          </cell>
          <cell r="I553" t="e">
            <v>#N/A</v>
          </cell>
          <cell r="J553" t="e">
            <v>#N/A</v>
          </cell>
          <cell r="K553" t="e">
            <v>#N/A</v>
          </cell>
          <cell r="M553">
            <v>2.2000000000000002</v>
          </cell>
          <cell r="N553">
            <v>2.2000000000000002</v>
          </cell>
          <cell r="O553">
            <v>2.9640800000000005</v>
          </cell>
          <cell r="P553">
            <v>3.224401298388023</v>
          </cell>
          <cell r="Q553">
            <v>6.48</v>
          </cell>
          <cell r="R553">
            <v>6.48</v>
          </cell>
          <cell r="S553">
            <v>2.2000000000000002</v>
          </cell>
          <cell r="T553" t="str">
            <v>MID</v>
          </cell>
          <cell r="U553" t="str">
            <v/>
          </cell>
          <cell r="V553" t="str">
            <v>AVL</v>
          </cell>
          <cell r="W553" t="str">
            <v>Aston Villa</v>
          </cell>
          <cell r="X553">
            <v>4.5</v>
          </cell>
          <cell r="Y553">
            <v>2</v>
          </cell>
          <cell r="Z553">
            <v>0</v>
          </cell>
          <cell r="AA553">
            <v>2</v>
          </cell>
          <cell r="AB553">
            <v>25</v>
          </cell>
          <cell r="AC553">
            <v>25</v>
          </cell>
          <cell r="AD553">
            <v>0.22222222222222221</v>
          </cell>
          <cell r="AE553">
            <v>0</v>
          </cell>
          <cell r="AF553">
            <v>0</v>
          </cell>
          <cell r="AG553">
            <v>-0.14400000000000002</v>
          </cell>
          <cell r="AH553">
            <v>-3.6000000000000004E-2</v>
          </cell>
          <cell r="AI553">
            <v>-0.18000000000000002</v>
          </cell>
          <cell r="AJ553">
            <v>2.0000000000000018E-3</v>
          </cell>
          <cell r="AK553">
            <v>0</v>
          </cell>
          <cell r="AL553">
            <v>5</v>
          </cell>
          <cell r="AM553">
            <v>0</v>
          </cell>
          <cell r="AN553">
            <v>0</v>
          </cell>
          <cell r="AO553">
            <v>51</v>
          </cell>
          <cell r="AP553" t="str">
            <v>George Hemmings</v>
          </cell>
          <cell r="AQ553">
            <v>0</v>
          </cell>
          <cell r="AR553">
            <v>0</v>
          </cell>
          <cell r="AS553">
            <v>3.24</v>
          </cell>
          <cell r="AT553">
            <v>3.24</v>
          </cell>
          <cell r="AU553">
            <v>0</v>
          </cell>
          <cell r="AV553">
            <v>3.24</v>
          </cell>
          <cell r="AW553">
            <v>3.24</v>
          </cell>
          <cell r="AX553">
            <v>2.4531428571428572E-2</v>
          </cell>
          <cell r="AY553">
            <v>0</v>
          </cell>
          <cell r="AZ553">
            <v>1</v>
          </cell>
          <cell r="BA553">
            <v>2</v>
          </cell>
          <cell r="BB553" t="str">
            <v/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0.9</v>
          </cell>
          <cell r="BH553">
            <v>1</v>
          </cell>
          <cell r="BI553">
            <v>2</v>
          </cell>
          <cell r="BJ553">
            <v>14</v>
          </cell>
          <cell r="BK553">
            <v>10</v>
          </cell>
          <cell r="BL553">
            <v>0</v>
          </cell>
          <cell r="BM553">
            <v>0.16666666666666663</v>
          </cell>
          <cell r="BN553" t="e">
            <v>#DIV/0!</v>
          </cell>
          <cell r="BO553">
            <v>38</v>
          </cell>
          <cell r="BP553">
            <v>0</v>
          </cell>
          <cell r="BQ553">
            <v>7.3099415204678359E-3</v>
          </cell>
          <cell r="BR553">
            <v>0.04</v>
          </cell>
          <cell r="BS553">
            <v>0.14400000000000002</v>
          </cell>
          <cell r="BT553">
            <v>0.01</v>
          </cell>
          <cell r="BU553">
            <v>3.6000000000000004E-2</v>
          </cell>
          <cell r="BV553">
            <v>0.18000000000000002</v>
          </cell>
          <cell r="BW553">
            <v>0</v>
          </cell>
          <cell r="BX553">
            <v>38</v>
          </cell>
          <cell r="BY553">
            <v>1.4915789473684211</v>
          </cell>
          <cell r="BZ553">
            <v>1.1514210526315787</v>
          </cell>
        </row>
        <row r="554">
          <cell r="A554" t="str">
            <v>Bradley Burrowes</v>
          </cell>
          <cell r="B554" t="str">
            <v/>
          </cell>
          <cell r="C554" t="str">
            <v>Burrowes</v>
          </cell>
          <cell r="D554" t="str">
            <v/>
          </cell>
          <cell r="F554" t="str">
            <v/>
          </cell>
          <cell r="H554" t="str">
            <v/>
          </cell>
          <cell r="I554" t="e">
            <v>#N/A</v>
          </cell>
          <cell r="J554" t="e">
            <v>#N/A</v>
          </cell>
          <cell r="K554" t="e">
            <v>#N/A</v>
          </cell>
          <cell r="M554">
            <v>2.2000000000000002</v>
          </cell>
          <cell r="N554">
            <v>2.2000000000000002</v>
          </cell>
          <cell r="O554">
            <v>2.1687500000000002</v>
          </cell>
          <cell r="P554">
            <v>2.4290712983880227</v>
          </cell>
          <cell r="Q554">
            <v>5.0625</v>
          </cell>
          <cell r="R554">
            <v>0</v>
          </cell>
          <cell r="S554">
            <v>2.2000000000000002</v>
          </cell>
          <cell r="T554" t="str">
            <v>MID</v>
          </cell>
          <cell r="U554" t="str">
            <v/>
          </cell>
          <cell r="V554" t="str">
            <v>AVL</v>
          </cell>
          <cell r="W554" t="str">
            <v>Aston Villa</v>
          </cell>
          <cell r="X554">
            <v>4.5</v>
          </cell>
          <cell r="Y554">
            <v>1</v>
          </cell>
          <cell r="Z554">
            <v>0</v>
          </cell>
          <cell r="AA554">
            <v>1</v>
          </cell>
          <cell r="AB554">
            <v>16</v>
          </cell>
          <cell r="AC554">
            <v>16</v>
          </cell>
          <cell r="AD554">
            <v>0.22222222222222221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1.2000000000000011E-2</v>
          </cell>
          <cell r="AK554">
            <v>0</v>
          </cell>
          <cell r="AL554">
            <v>3</v>
          </cell>
          <cell r="AM554">
            <v>0</v>
          </cell>
          <cell r="AN554">
            <v>0</v>
          </cell>
          <cell r="AO554">
            <v>50</v>
          </cell>
          <cell r="AP554" t="str">
            <v>Burrowes</v>
          </cell>
          <cell r="AQ554">
            <v>0</v>
          </cell>
          <cell r="AR554">
            <v>0</v>
          </cell>
          <cell r="AS554">
            <v>5.0625</v>
          </cell>
          <cell r="AT554">
            <v>5.0625</v>
          </cell>
          <cell r="AU554">
            <v>0</v>
          </cell>
          <cell r="AV554">
            <v>5.0625</v>
          </cell>
          <cell r="AW554">
            <v>5.0625</v>
          </cell>
          <cell r="AX554">
            <v>3.8330357142857138E-2</v>
          </cell>
          <cell r="AY554">
            <v>0</v>
          </cell>
          <cell r="AZ554">
            <v>1</v>
          </cell>
          <cell r="BA554">
            <v>1</v>
          </cell>
          <cell r="BB554" t="str">
            <v/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0.9</v>
          </cell>
          <cell r="BH554">
            <v>1</v>
          </cell>
          <cell r="BI554">
            <v>1</v>
          </cell>
          <cell r="BJ554">
            <v>17</v>
          </cell>
          <cell r="BK554">
            <v>3</v>
          </cell>
          <cell r="BL554">
            <v>0</v>
          </cell>
          <cell r="BM554">
            <v>0.25</v>
          </cell>
          <cell r="BN554" t="e">
            <v>#DIV/0!</v>
          </cell>
          <cell r="BO554">
            <v>38</v>
          </cell>
          <cell r="BP554">
            <v>0</v>
          </cell>
          <cell r="BQ554">
            <v>4.6783625730994153E-3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38</v>
          </cell>
          <cell r="BY554">
            <v>1.4915789473684211</v>
          </cell>
          <cell r="BZ554">
            <v>1.1514210526315787</v>
          </cell>
        </row>
        <row r="555">
          <cell r="A555" t="str">
            <v>Kosta Nedeljkovic</v>
          </cell>
          <cell r="B555" t="str">
            <v/>
          </cell>
          <cell r="C555" t="str">
            <v>Nedeljkovic</v>
          </cell>
          <cell r="D555" t="str">
            <v/>
          </cell>
          <cell r="F555" t="str">
            <v/>
          </cell>
          <cell r="H555" t="str">
            <v/>
          </cell>
          <cell r="I555">
            <v>4</v>
          </cell>
          <cell r="J555">
            <v>4.1333333333333329</v>
          </cell>
          <cell r="K555">
            <v>4.3</v>
          </cell>
          <cell r="M555">
            <v>2.2000000000000002</v>
          </cell>
          <cell r="N555">
            <v>2.2000000000000002</v>
          </cell>
          <cell r="O555">
            <v>1.5366666666666666</v>
          </cell>
          <cell r="P555">
            <v>2.5454957198678807</v>
          </cell>
          <cell r="Q555">
            <v>0</v>
          </cell>
          <cell r="R555">
            <v>0</v>
          </cell>
          <cell r="S555">
            <v>2.2000000000000002</v>
          </cell>
          <cell r="T555" t="str">
            <v>DEF</v>
          </cell>
          <cell r="U555" t="str">
            <v>RB</v>
          </cell>
          <cell r="V555" t="str">
            <v>AVL</v>
          </cell>
          <cell r="W555" t="str">
            <v>Aston Villa</v>
          </cell>
          <cell r="X555">
            <v>4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 t="e">
            <v>#DIV/0!</v>
          </cell>
          <cell r="AH555" t="e">
            <v>#DIV/0!</v>
          </cell>
          <cell r="AI555" t="e">
            <v>#DIV/0!</v>
          </cell>
          <cell r="AJ555">
            <v>4.9999999999998934E-3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39</v>
          </cell>
          <cell r="AP555" t="str">
            <v>Nedeljkovic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 t="str">
            <v/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0.9</v>
          </cell>
          <cell r="BH555">
            <v>1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 t="e">
            <v>#DIV/0!</v>
          </cell>
          <cell r="BO555">
            <v>38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38</v>
          </cell>
          <cell r="BY555">
            <v>1.4915789473684211</v>
          </cell>
          <cell r="BZ555">
            <v>1.1514210526315787</v>
          </cell>
        </row>
        <row r="556">
          <cell r="A556" t="str">
            <v>Christos Tzolis</v>
          </cell>
          <cell r="B556" t="str">
            <v/>
          </cell>
          <cell r="C556" t="str">
            <v>Tzolis</v>
          </cell>
          <cell r="D556" t="str">
            <v/>
          </cell>
          <cell r="F556" t="str">
            <v/>
          </cell>
          <cell r="H556" t="str">
            <v/>
          </cell>
          <cell r="I556">
            <v>6.3</v>
          </cell>
          <cell r="J556">
            <v>7.333333333333333</v>
          </cell>
          <cell r="K556">
            <v>9.1</v>
          </cell>
          <cell r="M556">
            <v>2.2000000000000002</v>
          </cell>
          <cell r="N556">
            <v>2.2000000000000002</v>
          </cell>
          <cell r="O556">
            <v>2</v>
          </cell>
          <cell r="P556">
            <v>2.4004357239728362</v>
          </cell>
          <cell r="Q556">
            <v>0</v>
          </cell>
          <cell r="R556">
            <v>0</v>
          </cell>
          <cell r="S556">
            <v>2.2000000000000002</v>
          </cell>
          <cell r="T556" t="str">
            <v>MID</v>
          </cell>
          <cell r="U556" t="str">
            <v>LW</v>
          </cell>
          <cell r="V556" t="str">
            <v>ARS</v>
          </cell>
          <cell r="W556" t="str">
            <v>Arsenal</v>
          </cell>
          <cell r="X556">
            <v>6.5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 t="e">
            <v>#DIV/0!</v>
          </cell>
          <cell r="AH556" t="e">
            <v>#DIV/0!</v>
          </cell>
          <cell r="AI556" t="e">
            <v>#DIV/0!</v>
          </cell>
          <cell r="AJ556">
            <v>2.9999999999998916E-3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557</v>
          </cell>
          <cell r="AP556" t="str">
            <v>Tzolis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 t="str">
            <v/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0.9</v>
          </cell>
          <cell r="BH556">
            <v>1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 t="e">
            <v>#DIV/0!</v>
          </cell>
          <cell r="BO556">
            <v>38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38</v>
          </cell>
          <cell r="BY556">
            <v>0.87184210526315797</v>
          </cell>
          <cell r="BZ556">
            <v>1.7711578947368418</v>
          </cell>
        </row>
        <row r="557">
          <cell r="B557" t="str">
            <v/>
          </cell>
          <cell r="C557">
            <v>0</v>
          </cell>
          <cell r="D557" t="str">
            <v/>
          </cell>
          <cell r="H557" t="str">
            <v/>
          </cell>
          <cell r="I557">
            <v>0.9</v>
          </cell>
          <cell r="J557">
            <v>0.9</v>
          </cell>
          <cell r="K557">
            <v>0.9</v>
          </cell>
          <cell r="M557">
            <v>2.2000000000000002</v>
          </cell>
          <cell r="N557">
            <v>2.2000000000000002</v>
          </cell>
          <cell r="O557">
            <v>2</v>
          </cell>
          <cell r="P557">
            <v>2</v>
          </cell>
          <cell r="Q557">
            <v>0</v>
          </cell>
          <cell r="R557">
            <v>0</v>
          </cell>
          <cell r="S557">
            <v>2.2000000000000002</v>
          </cell>
          <cell r="T557">
            <v>0</v>
          </cell>
          <cell r="U557" t="str">
            <v/>
          </cell>
          <cell r="V557" t="str">
            <v>A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 t="e">
            <v>#DIV/0!</v>
          </cell>
          <cell r="AH557" t="e">
            <v>#DIV/0!</v>
          </cell>
          <cell r="AI557" t="e">
            <v>#DIV/0!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 t="e">
            <v>#N/A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0.9</v>
          </cell>
          <cell r="BH557">
            <v>1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 t="e">
            <v>#DIV/0!</v>
          </cell>
          <cell r="BO557">
            <v>38</v>
          </cell>
          <cell r="BP557">
            <v>0</v>
          </cell>
          <cell r="BQ557" t="e">
            <v>#VALUE!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 t="str">
            <v/>
          </cell>
          <cell r="BX557" t="str">
            <v/>
          </cell>
          <cell r="BY557">
            <v>1.5</v>
          </cell>
          <cell r="BZ557">
            <v>1.1429999999999998</v>
          </cell>
        </row>
        <row r="558">
          <cell r="B558" t="str">
            <v/>
          </cell>
          <cell r="C558">
            <v>0</v>
          </cell>
          <cell r="D558" t="str">
            <v/>
          </cell>
          <cell r="H558" t="str">
            <v/>
          </cell>
          <cell r="I558" t="e">
            <v>#N/A</v>
          </cell>
          <cell r="J558" t="e">
            <v>#N/A</v>
          </cell>
          <cell r="K558" t="e">
            <v>#N/A</v>
          </cell>
          <cell r="M558">
            <v>2.2000000000000002</v>
          </cell>
          <cell r="N558">
            <v>2.2000000000000002</v>
          </cell>
          <cell r="O558">
            <v>2</v>
          </cell>
          <cell r="P558">
            <v>2</v>
          </cell>
          <cell r="Q558">
            <v>0</v>
          </cell>
          <cell r="R558">
            <v>0</v>
          </cell>
          <cell r="S558">
            <v>2.2000000000000002</v>
          </cell>
          <cell r="T558">
            <v>0</v>
          </cell>
          <cell r="U558" t="str">
            <v/>
          </cell>
          <cell r="V558" t="str">
            <v>A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 t="e">
            <v>#DIV/0!</v>
          </cell>
          <cell r="AH558" t="e">
            <v>#DIV/0!</v>
          </cell>
          <cell r="AI558" t="e">
            <v>#DIV/0!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 t="e">
            <v>#N/A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0.9</v>
          </cell>
          <cell r="BH558">
            <v>1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 t="e">
            <v>#DIV/0!</v>
          </cell>
          <cell r="BO558">
            <v>38</v>
          </cell>
          <cell r="BP558">
            <v>0</v>
          </cell>
          <cell r="BQ558" t="e">
            <v>#VALUE!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 t="str">
            <v/>
          </cell>
          <cell r="BX558" t="str">
            <v/>
          </cell>
          <cell r="BY558">
            <v>1.5</v>
          </cell>
          <cell r="BZ558">
            <v>1.1429999999999998</v>
          </cell>
        </row>
        <row r="559">
          <cell r="B559" t="str">
            <v/>
          </cell>
          <cell r="C559">
            <v>0</v>
          </cell>
          <cell r="D559" t="str">
            <v/>
          </cell>
          <cell r="H559" t="str">
            <v/>
          </cell>
          <cell r="I559">
            <v>3</v>
          </cell>
          <cell r="J559">
            <v>3.6666666666666665</v>
          </cell>
          <cell r="K559">
            <v>4.0999999999999996</v>
          </cell>
          <cell r="M559">
            <v>2.2000000000000002</v>
          </cell>
          <cell r="N559">
            <v>2.2000000000000002</v>
          </cell>
          <cell r="O559">
            <v>2</v>
          </cell>
          <cell r="P559">
            <v>2</v>
          </cell>
          <cell r="Q559">
            <v>0</v>
          </cell>
          <cell r="R559">
            <v>0</v>
          </cell>
          <cell r="S559">
            <v>2.2000000000000002</v>
          </cell>
          <cell r="T559">
            <v>0</v>
          </cell>
          <cell r="U559" t="str">
            <v/>
          </cell>
          <cell r="V559" t="str">
            <v>A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 t="e">
            <v>#DIV/0!</v>
          </cell>
          <cell r="AH559" t="e">
            <v>#DIV/0!</v>
          </cell>
          <cell r="AI559" t="e">
            <v>#DIV/0!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 t="e">
            <v>#N/A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0.9</v>
          </cell>
          <cell r="BH559">
            <v>1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 t="e">
            <v>#DIV/0!</v>
          </cell>
          <cell r="BO559">
            <v>38</v>
          </cell>
          <cell r="BP559">
            <v>0</v>
          </cell>
          <cell r="BQ559" t="e">
            <v>#VALUE!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 t="str">
            <v/>
          </cell>
          <cell r="BX559" t="str">
            <v/>
          </cell>
          <cell r="BY559">
            <v>1.5</v>
          </cell>
          <cell r="BZ559">
            <v>1.1429999999999998</v>
          </cell>
        </row>
        <row r="560">
          <cell r="B560" t="str">
            <v/>
          </cell>
          <cell r="C560">
            <v>0</v>
          </cell>
          <cell r="D560" t="str">
            <v/>
          </cell>
          <cell r="H560" t="str">
            <v/>
          </cell>
          <cell r="I560">
            <v>0</v>
          </cell>
          <cell r="J560">
            <v>1.1666666666666667</v>
          </cell>
          <cell r="K560">
            <v>2.8</v>
          </cell>
          <cell r="M560">
            <v>2.2000000000000002</v>
          </cell>
          <cell r="N560">
            <v>2.2000000000000002</v>
          </cell>
          <cell r="O560">
            <v>2</v>
          </cell>
          <cell r="P560">
            <v>2</v>
          </cell>
          <cell r="Q560">
            <v>0</v>
          </cell>
          <cell r="R560">
            <v>0</v>
          </cell>
          <cell r="S560">
            <v>2.2000000000000002</v>
          </cell>
          <cell r="T560">
            <v>0</v>
          </cell>
          <cell r="U560" t="str">
            <v/>
          </cell>
          <cell r="V560" t="str">
            <v>A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 t="e">
            <v>#DIV/0!</v>
          </cell>
          <cell r="AH560" t="e">
            <v>#DIV/0!</v>
          </cell>
          <cell r="AI560" t="e">
            <v>#DIV/0!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 t="e">
            <v>#N/A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0.9</v>
          </cell>
          <cell r="BH560">
            <v>1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 t="e">
            <v>#DIV/0!</v>
          </cell>
          <cell r="BO560">
            <v>38</v>
          </cell>
          <cell r="BP560">
            <v>0</v>
          </cell>
          <cell r="BQ560" t="e">
            <v>#VALUE!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 t="str">
            <v/>
          </cell>
          <cell r="BX560" t="str">
            <v/>
          </cell>
          <cell r="BY560">
            <v>1.5</v>
          </cell>
          <cell r="BZ560">
            <v>1.1429999999999998</v>
          </cell>
        </row>
        <row r="561">
          <cell r="B561" t="str">
            <v/>
          </cell>
          <cell r="C561">
            <v>0</v>
          </cell>
          <cell r="D561" t="str">
            <v/>
          </cell>
          <cell r="H561" t="str">
            <v/>
          </cell>
          <cell r="I561" t="e">
            <v>#N/A</v>
          </cell>
          <cell r="J561" t="e">
            <v>#N/A</v>
          </cell>
          <cell r="K561" t="e">
            <v>#N/A</v>
          </cell>
          <cell r="M561">
            <v>2.2000000000000002</v>
          </cell>
          <cell r="N561">
            <v>2.2000000000000002</v>
          </cell>
          <cell r="O561">
            <v>2</v>
          </cell>
          <cell r="P561">
            <v>2</v>
          </cell>
          <cell r="Q561">
            <v>0</v>
          </cell>
          <cell r="R561">
            <v>0</v>
          </cell>
          <cell r="S561">
            <v>2.2000000000000002</v>
          </cell>
          <cell r="T561">
            <v>0</v>
          </cell>
          <cell r="U561" t="str">
            <v/>
          </cell>
          <cell r="V561" t="str">
            <v>A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 t="e">
            <v>#DIV/0!</v>
          </cell>
          <cell r="AH561" t="e">
            <v>#DIV/0!</v>
          </cell>
          <cell r="AI561" t="e">
            <v>#DIV/0!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 t="e">
            <v>#N/A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0.9</v>
          </cell>
          <cell r="BH561">
            <v>1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 t="e">
            <v>#DIV/0!</v>
          </cell>
          <cell r="BO561">
            <v>38</v>
          </cell>
          <cell r="BP561">
            <v>0</v>
          </cell>
          <cell r="BQ561" t="e">
            <v>#VALUE!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 t="str">
            <v/>
          </cell>
          <cell r="BX561" t="str">
            <v/>
          </cell>
          <cell r="BY561">
            <v>1.5</v>
          </cell>
          <cell r="BZ561">
            <v>1.1429999999999998</v>
          </cell>
        </row>
        <row r="562">
          <cell r="B562" t="str">
            <v/>
          </cell>
          <cell r="C562">
            <v>0</v>
          </cell>
          <cell r="D562" t="str">
            <v/>
          </cell>
          <cell r="H562" t="str">
            <v/>
          </cell>
          <cell r="I562" t="e">
            <v>#N/A</v>
          </cell>
          <cell r="J562" t="e">
            <v>#N/A</v>
          </cell>
          <cell r="K562" t="e">
            <v>#N/A</v>
          </cell>
          <cell r="M562">
            <v>2.2000000000000002</v>
          </cell>
          <cell r="N562">
            <v>2.2000000000000002</v>
          </cell>
          <cell r="O562">
            <v>2</v>
          </cell>
          <cell r="P562">
            <v>2</v>
          </cell>
          <cell r="Q562">
            <v>0</v>
          </cell>
          <cell r="R562">
            <v>0</v>
          </cell>
          <cell r="S562">
            <v>2.2000000000000002</v>
          </cell>
          <cell r="T562">
            <v>0</v>
          </cell>
          <cell r="U562" t="str">
            <v/>
          </cell>
          <cell r="V562" t="str">
            <v>A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 t="e">
            <v>#DIV/0!</v>
          </cell>
          <cell r="AH562" t="e">
            <v>#DIV/0!</v>
          </cell>
          <cell r="AI562" t="e">
            <v>#DIV/0!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 t="e">
            <v>#N/A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0.9</v>
          </cell>
          <cell r="BH562">
            <v>1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 t="e">
            <v>#DIV/0!</v>
          </cell>
          <cell r="BO562">
            <v>38</v>
          </cell>
          <cell r="BP562">
            <v>0</v>
          </cell>
          <cell r="BQ562" t="e">
            <v>#VALUE!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 t="str">
            <v/>
          </cell>
          <cell r="BX562" t="str">
            <v/>
          </cell>
          <cell r="BY562">
            <v>1.5</v>
          </cell>
          <cell r="BZ562">
            <v>1.1429999999999998</v>
          </cell>
        </row>
        <row r="563">
          <cell r="B563" t="str">
            <v/>
          </cell>
          <cell r="C563">
            <v>0</v>
          </cell>
          <cell r="D563" t="str">
            <v/>
          </cell>
          <cell r="H563" t="str">
            <v/>
          </cell>
          <cell r="I563" t="e">
            <v>#N/A</v>
          </cell>
          <cell r="J563" t="e">
            <v>#N/A</v>
          </cell>
          <cell r="K563" t="e">
            <v>#N/A</v>
          </cell>
          <cell r="M563">
            <v>2.2000000000000002</v>
          </cell>
          <cell r="N563">
            <v>2.2000000000000002</v>
          </cell>
          <cell r="O563">
            <v>2</v>
          </cell>
          <cell r="P563">
            <v>2</v>
          </cell>
          <cell r="Q563">
            <v>0</v>
          </cell>
          <cell r="R563">
            <v>0</v>
          </cell>
          <cell r="S563">
            <v>2.2000000000000002</v>
          </cell>
          <cell r="T563">
            <v>0</v>
          </cell>
          <cell r="U563" t="str">
            <v/>
          </cell>
          <cell r="V563" t="str">
            <v>A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 t="e">
            <v>#DIV/0!</v>
          </cell>
          <cell r="AH563" t="e">
            <v>#DIV/0!</v>
          </cell>
          <cell r="AI563" t="e">
            <v>#DIV/0!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 t="e">
            <v>#N/A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0.9</v>
          </cell>
          <cell r="BH563">
            <v>1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 t="e">
            <v>#DIV/0!</v>
          </cell>
          <cell r="BO563">
            <v>38</v>
          </cell>
          <cell r="BP563">
            <v>0</v>
          </cell>
          <cell r="BQ563" t="e">
            <v>#VALUE!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 t="str">
            <v/>
          </cell>
          <cell r="BX563" t="str">
            <v/>
          </cell>
          <cell r="BY563">
            <v>1.5</v>
          </cell>
          <cell r="BZ563">
            <v>1.1429999999999998</v>
          </cell>
        </row>
        <row r="564">
          <cell r="B564" t="str">
            <v/>
          </cell>
          <cell r="C564">
            <v>0</v>
          </cell>
          <cell r="D564" t="str">
            <v/>
          </cell>
          <cell r="H564" t="str">
            <v/>
          </cell>
          <cell r="I564">
            <v>0</v>
          </cell>
          <cell r="J564">
            <v>0.5</v>
          </cell>
          <cell r="K564">
            <v>1</v>
          </cell>
          <cell r="M564">
            <v>2.2000000000000002</v>
          </cell>
          <cell r="N564">
            <v>2.2000000000000002</v>
          </cell>
          <cell r="O564">
            <v>2</v>
          </cell>
          <cell r="P564">
            <v>2</v>
          </cell>
          <cell r="Q564">
            <v>0</v>
          </cell>
          <cell r="R564">
            <v>0</v>
          </cell>
          <cell r="S564">
            <v>2.2000000000000002</v>
          </cell>
          <cell r="T564">
            <v>0</v>
          </cell>
          <cell r="U564" t="str">
            <v/>
          </cell>
          <cell r="V564" t="str">
            <v>A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 t="e">
            <v>#DIV/0!</v>
          </cell>
          <cell r="AH564" t="e">
            <v>#DIV/0!</v>
          </cell>
          <cell r="AI564" t="e">
            <v>#DIV/0!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 t="e">
            <v>#N/A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0.9</v>
          </cell>
          <cell r="BH564">
            <v>1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 t="e">
            <v>#DIV/0!</v>
          </cell>
          <cell r="BO564">
            <v>38</v>
          </cell>
          <cell r="BP564">
            <v>0</v>
          </cell>
          <cell r="BQ564" t="e">
            <v>#VALUE!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 t="str">
            <v/>
          </cell>
          <cell r="BX564" t="str">
            <v/>
          </cell>
          <cell r="BY564">
            <v>1.5</v>
          </cell>
          <cell r="BZ564">
            <v>1.1429999999999998</v>
          </cell>
        </row>
        <row r="565">
          <cell r="B565" t="str">
            <v/>
          </cell>
          <cell r="C565">
            <v>0</v>
          </cell>
          <cell r="D565" t="str">
            <v/>
          </cell>
          <cell r="H565" t="str">
            <v/>
          </cell>
          <cell r="I565" t="e">
            <v>#N/A</v>
          </cell>
          <cell r="J565" t="e">
            <v>#N/A</v>
          </cell>
          <cell r="K565" t="e">
            <v>#N/A</v>
          </cell>
          <cell r="M565">
            <v>2.2000000000000002</v>
          </cell>
          <cell r="N565">
            <v>2.2000000000000002</v>
          </cell>
          <cell r="O565">
            <v>2</v>
          </cell>
          <cell r="P565">
            <v>2</v>
          </cell>
          <cell r="Q565">
            <v>0</v>
          </cell>
          <cell r="R565">
            <v>0</v>
          </cell>
          <cell r="S565">
            <v>2.2000000000000002</v>
          </cell>
          <cell r="T565">
            <v>0</v>
          </cell>
          <cell r="U565" t="str">
            <v/>
          </cell>
          <cell r="V565" t="str">
            <v>A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 t="e">
            <v>#DIV/0!</v>
          </cell>
          <cell r="AH565" t="e">
            <v>#DIV/0!</v>
          </cell>
          <cell r="AI565" t="e">
            <v>#DIV/0!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 t="e">
            <v>#N/A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0.9</v>
          </cell>
          <cell r="BH565">
            <v>1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 t="e">
            <v>#DIV/0!</v>
          </cell>
          <cell r="BO565">
            <v>38</v>
          </cell>
          <cell r="BP565">
            <v>0</v>
          </cell>
          <cell r="BQ565" t="e">
            <v>#VALUE!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 t="str">
            <v/>
          </cell>
          <cell r="BX565" t="str">
            <v/>
          </cell>
          <cell r="BY565">
            <v>1.5</v>
          </cell>
          <cell r="BZ565">
            <v>1.1429999999999998</v>
          </cell>
        </row>
        <row r="566">
          <cell r="B566" t="str">
            <v/>
          </cell>
          <cell r="C566">
            <v>0</v>
          </cell>
          <cell r="D566" t="str">
            <v/>
          </cell>
          <cell r="H566" t="str">
            <v/>
          </cell>
          <cell r="I566" t="e">
            <v>#N/A</v>
          </cell>
          <cell r="J566" t="e">
            <v>#N/A</v>
          </cell>
          <cell r="K566" t="e">
            <v>#N/A</v>
          </cell>
          <cell r="M566">
            <v>2.2000000000000002</v>
          </cell>
          <cell r="N566">
            <v>2.2000000000000002</v>
          </cell>
          <cell r="O566">
            <v>2</v>
          </cell>
          <cell r="P566">
            <v>2</v>
          </cell>
          <cell r="Q566">
            <v>0</v>
          </cell>
          <cell r="R566">
            <v>0</v>
          </cell>
          <cell r="S566">
            <v>2.2000000000000002</v>
          </cell>
          <cell r="T566">
            <v>0</v>
          </cell>
          <cell r="U566" t="str">
            <v/>
          </cell>
          <cell r="V566" t="str">
            <v>A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 t="e">
            <v>#DIV/0!</v>
          </cell>
          <cell r="AH566" t="e">
            <v>#DIV/0!</v>
          </cell>
          <cell r="AI566" t="e">
            <v>#DIV/0!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 t="e">
            <v>#N/A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0.9</v>
          </cell>
          <cell r="BH566">
            <v>1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 t="e">
            <v>#DIV/0!</v>
          </cell>
          <cell r="BO566">
            <v>38</v>
          </cell>
          <cell r="BP566">
            <v>0</v>
          </cell>
          <cell r="BQ566" t="e">
            <v>#VALUE!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 t="str">
            <v/>
          </cell>
          <cell r="BX566" t="str">
            <v/>
          </cell>
          <cell r="BY566">
            <v>1.5</v>
          </cell>
          <cell r="BZ566">
            <v>1.1429999999999998</v>
          </cell>
        </row>
        <row r="567">
          <cell r="B567" t="str">
            <v/>
          </cell>
          <cell r="C567">
            <v>0</v>
          </cell>
          <cell r="D567" t="str">
            <v/>
          </cell>
          <cell r="H567" t="str">
            <v/>
          </cell>
          <cell r="I567">
            <v>2.4</v>
          </cell>
          <cell r="J567">
            <v>2.5499999999999998</v>
          </cell>
          <cell r="K567">
            <v>2.7</v>
          </cell>
          <cell r="M567">
            <v>2.2000000000000002</v>
          </cell>
          <cell r="N567">
            <v>2.2000000000000002</v>
          </cell>
          <cell r="O567">
            <v>2</v>
          </cell>
          <cell r="P567">
            <v>2</v>
          </cell>
          <cell r="Q567">
            <v>0</v>
          </cell>
          <cell r="R567">
            <v>0</v>
          </cell>
          <cell r="S567">
            <v>2.2000000000000002</v>
          </cell>
          <cell r="T567">
            <v>0</v>
          </cell>
          <cell r="U567" t="str">
            <v/>
          </cell>
          <cell r="V567" t="str">
            <v>A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 t="e">
            <v>#DIV/0!</v>
          </cell>
          <cell r="AH567" t="e">
            <v>#DIV/0!</v>
          </cell>
          <cell r="AI567" t="e">
            <v>#DIV/0!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 t="e">
            <v>#N/A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0.9</v>
          </cell>
          <cell r="BH567">
            <v>1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 t="e">
            <v>#DIV/0!</v>
          </cell>
          <cell r="BO567">
            <v>38</v>
          </cell>
          <cell r="BP567">
            <v>0</v>
          </cell>
          <cell r="BQ567" t="e">
            <v>#VALUE!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 t="str">
            <v/>
          </cell>
          <cell r="BX567" t="str">
            <v/>
          </cell>
          <cell r="BY567">
            <v>1.5</v>
          </cell>
          <cell r="BZ567">
            <v>1.1429999999999998</v>
          </cell>
        </row>
        <row r="568">
          <cell r="B568" t="str">
            <v/>
          </cell>
          <cell r="C568">
            <v>0</v>
          </cell>
          <cell r="D568" t="str">
            <v/>
          </cell>
          <cell r="H568" t="str">
            <v/>
          </cell>
          <cell r="I568" t="e">
            <v>#N/A</v>
          </cell>
          <cell r="J568" t="e">
            <v>#N/A</v>
          </cell>
          <cell r="K568" t="e">
            <v>#N/A</v>
          </cell>
          <cell r="M568">
            <v>2.2000000000000002</v>
          </cell>
          <cell r="N568">
            <v>2.2000000000000002</v>
          </cell>
          <cell r="O568">
            <v>2</v>
          </cell>
          <cell r="P568">
            <v>2</v>
          </cell>
          <cell r="Q568">
            <v>0</v>
          </cell>
          <cell r="R568">
            <v>0</v>
          </cell>
          <cell r="S568">
            <v>2.2000000000000002</v>
          </cell>
          <cell r="T568">
            <v>0</v>
          </cell>
          <cell r="U568" t="str">
            <v/>
          </cell>
          <cell r="V568" t="str">
            <v>A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 t="e">
            <v>#DIV/0!</v>
          </cell>
          <cell r="AH568" t="e">
            <v>#DIV/0!</v>
          </cell>
          <cell r="AI568" t="e">
            <v>#DIV/0!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 t="e">
            <v>#N/A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0.9</v>
          </cell>
          <cell r="BH568">
            <v>1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 t="e">
            <v>#DIV/0!</v>
          </cell>
          <cell r="BO568">
            <v>38</v>
          </cell>
          <cell r="BP568">
            <v>0</v>
          </cell>
          <cell r="BQ568" t="e">
            <v>#VALUE!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 t="str">
            <v/>
          </cell>
          <cell r="BX568" t="str">
            <v/>
          </cell>
          <cell r="BY568">
            <v>1.5</v>
          </cell>
          <cell r="BZ568">
            <v>1.1429999999999998</v>
          </cell>
        </row>
        <row r="569">
          <cell r="B569" t="str">
            <v/>
          </cell>
          <cell r="C569">
            <v>0</v>
          </cell>
          <cell r="D569" t="str">
            <v/>
          </cell>
          <cell r="H569" t="str">
            <v/>
          </cell>
          <cell r="I569">
            <v>1</v>
          </cell>
          <cell r="J569">
            <v>1</v>
          </cell>
          <cell r="K569">
            <v>1</v>
          </cell>
          <cell r="M569">
            <v>2.2000000000000002</v>
          </cell>
          <cell r="N569">
            <v>2.2000000000000002</v>
          </cell>
          <cell r="O569">
            <v>2</v>
          </cell>
          <cell r="P569">
            <v>2</v>
          </cell>
          <cell r="Q569">
            <v>0</v>
          </cell>
          <cell r="R569">
            <v>0</v>
          </cell>
          <cell r="S569">
            <v>2.2000000000000002</v>
          </cell>
          <cell r="T569">
            <v>0</v>
          </cell>
          <cell r="U569" t="str">
            <v/>
          </cell>
          <cell r="V569" t="str">
            <v>A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 t="e">
            <v>#DIV/0!</v>
          </cell>
          <cell r="AH569" t="e">
            <v>#DIV/0!</v>
          </cell>
          <cell r="AI569" t="e">
            <v>#DIV/0!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 t="e">
            <v>#N/A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0.9</v>
          </cell>
          <cell r="BH569">
            <v>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 t="e">
            <v>#DIV/0!</v>
          </cell>
          <cell r="BO569">
            <v>38</v>
          </cell>
          <cell r="BP569">
            <v>0</v>
          </cell>
          <cell r="BQ569" t="e">
            <v>#VALUE!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 t="str">
            <v/>
          </cell>
          <cell r="BX569" t="str">
            <v/>
          </cell>
          <cell r="BY569">
            <v>1.5</v>
          </cell>
          <cell r="BZ569">
            <v>1.1429999999999998</v>
          </cell>
        </row>
        <row r="570">
          <cell r="B570" t="str">
            <v/>
          </cell>
          <cell r="C570">
            <v>0</v>
          </cell>
          <cell r="D570" t="str">
            <v/>
          </cell>
          <cell r="H570" t="str">
            <v/>
          </cell>
          <cell r="I570" t="e">
            <v>#N/A</v>
          </cell>
          <cell r="J570" t="e">
            <v>#N/A</v>
          </cell>
          <cell r="K570" t="e">
            <v>#N/A</v>
          </cell>
          <cell r="M570">
            <v>2.2000000000000002</v>
          </cell>
          <cell r="N570">
            <v>2.2000000000000002</v>
          </cell>
          <cell r="O570">
            <v>2</v>
          </cell>
          <cell r="P570">
            <v>2</v>
          </cell>
          <cell r="Q570">
            <v>0</v>
          </cell>
          <cell r="R570">
            <v>0</v>
          </cell>
          <cell r="S570">
            <v>2.2000000000000002</v>
          </cell>
          <cell r="T570">
            <v>0</v>
          </cell>
          <cell r="U570" t="str">
            <v/>
          </cell>
          <cell r="V570" t="str">
            <v>A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 t="e">
            <v>#DIV/0!</v>
          </cell>
          <cell r="AH570" t="e">
            <v>#DIV/0!</v>
          </cell>
          <cell r="AI570" t="e">
            <v>#DIV/0!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 t="e">
            <v>#N/A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0.9</v>
          </cell>
          <cell r="BH570">
            <v>1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 t="e">
            <v>#DIV/0!</v>
          </cell>
          <cell r="BO570">
            <v>38</v>
          </cell>
          <cell r="BP570">
            <v>0</v>
          </cell>
          <cell r="BQ570" t="e">
            <v>#VALUE!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 t="str">
            <v/>
          </cell>
          <cell r="BX570" t="str">
            <v/>
          </cell>
          <cell r="BY570">
            <v>1.5</v>
          </cell>
          <cell r="BZ570">
            <v>1.1429999999999998</v>
          </cell>
        </row>
        <row r="571">
          <cell r="B571" t="str">
            <v/>
          </cell>
          <cell r="C571">
            <v>0</v>
          </cell>
          <cell r="D571" t="str">
            <v/>
          </cell>
          <cell r="H571" t="str">
            <v/>
          </cell>
          <cell r="I571">
            <v>0</v>
          </cell>
          <cell r="J571">
            <v>1.0666666666666667</v>
          </cell>
          <cell r="K571">
            <v>2.2000000000000002</v>
          </cell>
          <cell r="M571">
            <v>2.2000000000000002</v>
          </cell>
          <cell r="N571">
            <v>2.2000000000000002</v>
          </cell>
          <cell r="O571">
            <v>2</v>
          </cell>
          <cell r="P571">
            <v>2</v>
          </cell>
          <cell r="Q571">
            <v>0</v>
          </cell>
          <cell r="R571">
            <v>0</v>
          </cell>
          <cell r="S571">
            <v>2.2000000000000002</v>
          </cell>
          <cell r="T571">
            <v>0</v>
          </cell>
          <cell r="U571" t="str">
            <v/>
          </cell>
          <cell r="V571" t="str">
            <v>A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 t="e">
            <v>#DIV/0!</v>
          </cell>
          <cell r="AH571" t="e">
            <v>#DIV/0!</v>
          </cell>
          <cell r="AI571" t="e">
            <v>#DIV/0!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 t="e">
            <v>#N/A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0.9</v>
          </cell>
          <cell r="BH571">
            <v>1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 t="e">
            <v>#DIV/0!</v>
          </cell>
          <cell r="BO571">
            <v>38</v>
          </cell>
          <cell r="BP571">
            <v>0</v>
          </cell>
          <cell r="BQ571" t="e">
            <v>#VALUE!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 t="str">
            <v/>
          </cell>
          <cell r="BX571" t="str">
            <v/>
          </cell>
          <cell r="BY571">
            <v>1.5</v>
          </cell>
          <cell r="BZ571">
            <v>1.1429999999999998</v>
          </cell>
        </row>
        <row r="572">
          <cell r="B572" t="str">
            <v/>
          </cell>
          <cell r="C572">
            <v>0</v>
          </cell>
          <cell r="D572" t="str">
            <v/>
          </cell>
          <cell r="F572" t="str">
            <v/>
          </cell>
          <cell r="H572" t="str">
            <v/>
          </cell>
          <cell r="I572">
            <v>3</v>
          </cell>
          <cell r="J572">
            <v>3.6999999999999997</v>
          </cell>
          <cell r="K572">
            <v>4.5</v>
          </cell>
          <cell r="M572">
            <v>2.2000000000000002</v>
          </cell>
          <cell r="N572">
            <v>2.2000000000000002</v>
          </cell>
          <cell r="O572">
            <v>2</v>
          </cell>
          <cell r="P572">
            <v>2</v>
          </cell>
          <cell r="Q572">
            <v>0</v>
          </cell>
          <cell r="R572">
            <v>0</v>
          </cell>
          <cell r="S572">
            <v>2.2000000000000002</v>
          </cell>
          <cell r="T572">
            <v>0</v>
          </cell>
          <cell r="U572" t="str">
            <v/>
          </cell>
          <cell r="V572" t="str">
            <v>A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 t="e">
            <v>#DIV/0!</v>
          </cell>
          <cell r="AH572" t="e">
            <v>#DIV/0!</v>
          </cell>
          <cell r="AI572" t="e">
            <v>#DIV/0!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 t="e">
            <v>#N/A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0.9</v>
          </cell>
          <cell r="BH572">
            <v>1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 t="e">
            <v>#DIV/0!</v>
          </cell>
          <cell r="BO572">
            <v>38</v>
          </cell>
          <cell r="BP572">
            <v>0</v>
          </cell>
          <cell r="BQ572" t="e">
            <v>#VALUE!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 t="str">
            <v/>
          </cell>
          <cell r="BX572" t="str">
            <v/>
          </cell>
          <cell r="BY572">
            <v>1.5</v>
          </cell>
          <cell r="BZ572">
            <v>1.1429999999999998</v>
          </cell>
        </row>
        <row r="573">
          <cell r="B573" t="str">
            <v/>
          </cell>
          <cell r="C573">
            <v>0</v>
          </cell>
          <cell r="D573" t="str">
            <v/>
          </cell>
          <cell r="F573" t="str">
            <v/>
          </cell>
          <cell r="H573" t="str">
            <v/>
          </cell>
          <cell r="I573">
            <v>0.7</v>
          </cell>
          <cell r="J573">
            <v>0.7</v>
          </cell>
          <cell r="K573">
            <v>0.7</v>
          </cell>
          <cell r="M573">
            <v>2.2000000000000002</v>
          </cell>
          <cell r="N573">
            <v>2.2000000000000002</v>
          </cell>
          <cell r="O573">
            <v>2</v>
          </cell>
          <cell r="P573">
            <v>2</v>
          </cell>
          <cell r="Q573">
            <v>0</v>
          </cell>
          <cell r="R573">
            <v>0</v>
          </cell>
          <cell r="S573">
            <v>2.2000000000000002</v>
          </cell>
          <cell r="T573">
            <v>0</v>
          </cell>
          <cell r="U573" t="str">
            <v/>
          </cell>
          <cell r="V573" t="str">
            <v>A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 t="e">
            <v>#DIV/0!</v>
          </cell>
          <cell r="AH573" t="e">
            <v>#DIV/0!</v>
          </cell>
          <cell r="AI573" t="e">
            <v>#DIV/0!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 t="e">
            <v>#N/A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0.9</v>
          </cell>
          <cell r="BH573">
            <v>1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 t="e">
            <v>#DIV/0!</v>
          </cell>
          <cell r="BO573">
            <v>38</v>
          </cell>
          <cell r="BP573">
            <v>0</v>
          </cell>
          <cell r="BQ573" t="e">
            <v>#VALUE!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 t="str">
            <v/>
          </cell>
          <cell r="BX573" t="str">
            <v/>
          </cell>
          <cell r="BY573">
            <v>1.5</v>
          </cell>
          <cell r="BZ573">
            <v>1.1429999999999998</v>
          </cell>
        </row>
        <row r="574">
          <cell r="B574" t="str">
            <v/>
          </cell>
          <cell r="C574">
            <v>0</v>
          </cell>
          <cell r="D574" t="str">
            <v/>
          </cell>
          <cell r="F574" t="str">
            <v/>
          </cell>
          <cell r="H574" t="str">
            <v/>
          </cell>
          <cell r="I574" t="e">
            <v>#N/A</v>
          </cell>
          <cell r="J574" t="e">
            <v>#N/A</v>
          </cell>
          <cell r="K574" t="e">
            <v>#N/A</v>
          </cell>
          <cell r="M574">
            <v>2.2000000000000002</v>
          </cell>
          <cell r="N574">
            <v>2.2000000000000002</v>
          </cell>
          <cell r="O574">
            <v>2</v>
          </cell>
          <cell r="P574">
            <v>2</v>
          </cell>
          <cell r="Q574">
            <v>0</v>
          </cell>
          <cell r="R574">
            <v>0</v>
          </cell>
          <cell r="S574">
            <v>2.2000000000000002</v>
          </cell>
          <cell r="T574">
            <v>0</v>
          </cell>
          <cell r="U574" t="str">
            <v/>
          </cell>
          <cell r="V574" t="str">
            <v>A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 t="e">
            <v>#DIV/0!</v>
          </cell>
          <cell r="AH574" t="e">
            <v>#DIV/0!</v>
          </cell>
          <cell r="AI574" t="e">
            <v>#DIV/0!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 t="e">
            <v>#N/A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0.9</v>
          </cell>
          <cell r="BH574">
            <v>1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 t="e">
            <v>#DIV/0!</v>
          </cell>
          <cell r="BO574">
            <v>38</v>
          </cell>
          <cell r="BP574">
            <v>0</v>
          </cell>
          <cell r="BQ574" t="e">
            <v>#VALUE!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 t="str">
            <v/>
          </cell>
          <cell r="BX574" t="str">
            <v/>
          </cell>
          <cell r="BY574">
            <v>1.5</v>
          </cell>
          <cell r="BZ574">
            <v>1.1429999999999998</v>
          </cell>
        </row>
        <row r="575">
          <cell r="B575" t="str">
            <v/>
          </cell>
          <cell r="C575">
            <v>0</v>
          </cell>
          <cell r="D575" t="str">
            <v/>
          </cell>
          <cell r="F575" t="str">
            <v/>
          </cell>
          <cell r="H575" t="str">
            <v/>
          </cell>
          <cell r="I575" t="e">
            <v>#N/A</v>
          </cell>
          <cell r="J575" t="e">
            <v>#N/A</v>
          </cell>
          <cell r="K575" t="e">
            <v>#N/A</v>
          </cell>
          <cell r="M575">
            <v>2.2000000000000002</v>
          </cell>
          <cell r="N575">
            <v>2.2000000000000002</v>
          </cell>
          <cell r="O575">
            <v>2</v>
          </cell>
          <cell r="P575">
            <v>2</v>
          </cell>
          <cell r="Q575">
            <v>0</v>
          </cell>
          <cell r="R575">
            <v>0</v>
          </cell>
          <cell r="S575">
            <v>2.2000000000000002</v>
          </cell>
          <cell r="T575">
            <v>0</v>
          </cell>
          <cell r="U575" t="str">
            <v/>
          </cell>
          <cell r="V575" t="str">
            <v>A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 t="e">
            <v>#DIV/0!</v>
          </cell>
          <cell r="AH575" t="e">
            <v>#DIV/0!</v>
          </cell>
          <cell r="AI575" t="e">
            <v>#DIV/0!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 t="e">
            <v>#N/A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0.9</v>
          </cell>
          <cell r="BH575">
            <v>1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 t="e">
            <v>#DIV/0!</v>
          </cell>
          <cell r="BO575">
            <v>38</v>
          </cell>
          <cell r="BP575">
            <v>0</v>
          </cell>
          <cell r="BQ575" t="e">
            <v>#VALUE!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 t="str">
            <v/>
          </cell>
          <cell r="BX575" t="str">
            <v/>
          </cell>
          <cell r="BY575">
            <v>1.5</v>
          </cell>
          <cell r="BZ575">
            <v>1.1429999999999998</v>
          </cell>
        </row>
        <row r="576">
          <cell r="B576" t="str">
            <v/>
          </cell>
          <cell r="C576">
            <v>0</v>
          </cell>
          <cell r="D576" t="str">
            <v/>
          </cell>
          <cell r="F576" t="str">
            <v/>
          </cell>
          <cell r="H576" t="str">
            <v/>
          </cell>
          <cell r="I576">
            <v>0</v>
          </cell>
          <cell r="J576">
            <v>1.2</v>
          </cell>
          <cell r="K576">
            <v>2.9</v>
          </cell>
          <cell r="M576">
            <v>2.2000000000000002</v>
          </cell>
          <cell r="N576">
            <v>2.2000000000000002</v>
          </cell>
          <cell r="O576">
            <v>2</v>
          </cell>
          <cell r="P576">
            <v>2</v>
          </cell>
          <cell r="Q576">
            <v>0</v>
          </cell>
          <cell r="R576">
            <v>0</v>
          </cell>
          <cell r="S576">
            <v>2.2000000000000002</v>
          </cell>
          <cell r="T576">
            <v>0</v>
          </cell>
          <cell r="U576" t="str">
            <v/>
          </cell>
          <cell r="V576" t="str">
            <v>A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 t="e">
            <v>#DIV/0!</v>
          </cell>
          <cell r="AH576" t="e">
            <v>#DIV/0!</v>
          </cell>
          <cell r="AI576" t="e">
            <v>#DIV/0!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 t="e">
            <v>#N/A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0.9</v>
          </cell>
          <cell r="BH576">
            <v>1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 t="e">
            <v>#DIV/0!</v>
          </cell>
          <cell r="BO576">
            <v>38</v>
          </cell>
          <cell r="BP576">
            <v>0</v>
          </cell>
          <cell r="BQ576" t="e">
            <v>#VALUE!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 t="str">
            <v/>
          </cell>
          <cell r="BX576" t="str">
            <v/>
          </cell>
          <cell r="BY576">
            <v>1.5</v>
          </cell>
          <cell r="BZ576">
            <v>1.1429999999999998</v>
          </cell>
        </row>
        <row r="577">
          <cell r="B577" t="str">
            <v/>
          </cell>
          <cell r="C577">
            <v>0</v>
          </cell>
          <cell r="D577" t="str">
            <v/>
          </cell>
          <cell r="F577" t="str">
            <v/>
          </cell>
          <cell r="H577" t="str">
            <v/>
          </cell>
          <cell r="I577" t="e">
            <v>#N/A</v>
          </cell>
          <cell r="J577" t="e">
            <v>#N/A</v>
          </cell>
          <cell r="K577" t="e">
            <v>#N/A</v>
          </cell>
          <cell r="M577">
            <v>2.2000000000000002</v>
          </cell>
          <cell r="N577">
            <v>2.2000000000000002</v>
          </cell>
          <cell r="O577">
            <v>2</v>
          </cell>
          <cell r="P577">
            <v>2</v>
          </cell>
          <cell r="Q577">
            <v>0</v>
          </cell>
          <cell r="R577">
            <v>0</v>
          </cell>
          <cell r="S577">
            <v>2.2000000000000002</v>
          </cell>
          <cell r="T577">
            <v>0</v>
          </cell>
          <cell r="U577" t="str">
            <v/>
          </cell>
          <cell r="V577" t="str">
            <v>A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 t="e">
            <v>#DIV/0!</v>
          </cell>
          <cell r="AH577" t="e">
            <v>#DIV/0!</v>
          </cell>
          <cell r="AI577" t="e">
            <v>#DIV/0!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 t="e">
            <v>#N/A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0.9</v>
          </cell>
          <cell r="BH577">
            <v>1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 t="e">
            <v>#DIV/0!</v>
          </cell>
          <cell r="BO577">
            <v>38</v>
          </cell>
          <cell r="BP577">
            <v>0</v>
          </cell>
          <cell r="BQ577" t="e">
            <v>#VALUE!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 t="str">
            <v/>
          </cell>
          <cell r="BX577" t="str">
            <v/>
          </cell>
          <cell r="BY577">
            <v>1.5</v>
          </cell>
          <cell r="BZ577">
            <v>1.1429999999999998</v>
          </cell>
        </row>
        <row r="578">
          <cell r="B578" t="str">
            <v/>
          </cell>
          <cell r="C578">
            <v>0</v>
          </cell>
          <cell r="D578" t="str">
            <v/>
          </cell>
          <cell r="F578" t="str">
            <v/>
          </cell>
          <cell r="H578" t="str">
            <v/>
          </cell>
          <cell r="I578" t="e">
            <v>#N/A</v>
          </cell>
          <cell r="J578" t="e">
            <v>#N/A</v>
          </cell>
          <cell r="K578" t="e">
            <v>#N/A</v>
          </cell>
          <cell r="M578">
            <v>2.2000000000000002</v>
          </cell>
          <cell r="N578">
            <v>2.2000000000000002</v>
          </cell>
          <cell r="O578">
            <v>2</v>
          </cell>
          <cell r="P578">
            <v>2</v>
          </cell>
          <cell r="Q578">
            <v>0</v>
          </cell>
          <cell r="R578">
            <v>0</v>
          </cell>
          <cell r="S578">
            <v>2.2000000000000002</v>
          </cell>
          <cell r="T578">
            <v>0</v>
          </cell>
          <cell r="U578" t="str">
            <v/>
          </cell>
          <cell r="V578" t="str">
            <v>A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 t="e">
            <v>#DIV/0!</v>
          </cell>
          <cell r="AH578" t="e">
            <v>#DIV/0!</v>
          </cell>
          <cell r="AI578" t="e">
            <v>#DIV/0!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 t="e">
            <v>#N/A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0.9</v>
          </cell>
          <cell r="BH578">
            <v>1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 t="e">
            <v>#DIV/0!</v>
          </cell>
          <cell r="BO578">
            <v>38</v>
          </cell>
          <cell r="BP578">
            <v>0</v>
          </cell>
          <cell r="BQ578" t="e">
            <v>#VALUE!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 t="str">
            <v/>
          </cell>
          <cell r="BX578" t="str">
            <v/>
          </cell>
          <cell r="BY578">
            <v>1.5</v>
          </cell>
          <cell r="BZ578">
            <v>1.1429999999999998</v>
          </cell>
        </row>
        <row r="579">
          <cell r="B579" t="str">
            <v/>
          </cell>
          <cell r="C579">
            <v>0</v>
          </cell>
          <cell r="D579" t="str">
            <v/>
          </cell>
          <cell r="F579" t="str">
            <v/>
          </cell>
          <cell r="H579" t="str">
            <v/>
          </cell>
          <cell r="I579" t="e">
            <v>#N/A</v>
          </cell>
          <cell r="J579" t="e">
            <v>#N/A</v>
          </cell>
          <cell r="K579" t="e">
            <v>#N/A</v>
          </cell>
          <cell r="M579">
            <v>2.2000000000000002</v>
          </cell>
          <cell r="N579">
            <v>2.2000000000000002</v>
          </cell>
          <cell r="O579">
            <v>2</v>
          </cell>
          <cell r="P579">
            <v>2</v>
          </cell>
          <cell r="Q579">
            <v>0</v>
          </cell>
          <cell r="R579">
            <v>0</v>
          </cell>
          <cell r="S579">
            <v>2.2000000000000002</v>
          </cell>
          <cell r="T579">
            <v>0</v>
          </cell>
          <cell r="U579" t="str">
            <v/>
          </cell>
          <cell r="V579" t="str">
            <v>A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 t="e">
            <v>#DIV/0!</v>
          </cell>
          <cell r="AH579" t="e">
            <v>#DIV/0!</v>
          </cell>
          <cell r="AI579" t="e">
            <v>#DIV/0!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 t="e">
            <v>#N/A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0.9</v>
          </cell>
          <cell r="BH579">
            <v>1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 t="e">
            <v>#DIV/0!</v>
          </cell>
          <cell r="BO579">
            <v>38</v>
          </cell>
          <cell r="BP579">
            <v>0</v>
          </cell>
          <cell r="BQ579" t="e">
            <v>#VALUE!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 t="str">
            <v/>
          </cell>
          <cell r="BX579" t="str">
            <v/>
          </cell>
          <cell r="BY579">
            <v>1.5</v>
          </cell>
          <cell r="BZ579">
            <v>1.1429999999999998</v>
          </cell>
        </row>
        <row r="580">
          <cell r="B580" t="str">
            <v/>
          </cell>
          <cell r="C580">
            <v>0</v>
          </cell>
          <cell r="D580" t="str">
            <v/>
          </cell>
          <cell r="F580" t="str">
            <v/>
          </cell>
          <cell r="H580" t="str">
            <v/>
          </cell>
          <cell r="I580">
            <v>0</v>
          </cell>
          <cell r="J580">
            <v>0</v>
          </cell>
          <cell r="K580">
            <v>0</v>
          </cell>
          <cell r="M580">
            <v>2.2000000000000002</v>
          </cell>
          <cell r="N580">
            <v>2.2000000000000002</v>
          </cell>
          <cell r="O580">
            <v>2</v>
          </cell>
          <cell r="P580">
            <v>2</v>
          </cell>
          <cell r="Q580">
            <v>0</v>
          </cell>
          <cell r="R580">
            <v>0</v>
          </cell>
          <cell r="S580">
            <v>2.2000000000000002</v>
          </cell>
          <cell r="T580">
            <v>0</v>
          </cell>
          <cell r="U580" t="str">
            <v/>
          </cell>
          <cell r="V580" t="str">
            <v>A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 t="e">
            <v>#DIV/0!</v>
          </cell>
          <cell r="AH580" t="e">
            <v>#DIV/0!</v>
          </cell>
          <cell r="AI580" t="e">
            <v>#DIV/0!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 t="e">
            <v>#N/A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0.9</v>
          </cell>
          <cell r="BH580">
            <v>1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 t="e">
            <v>#DIV/0!</v>
          </cell>
          <cell r="BO580">
            <v>38</v>
          </cell>
          <cell r="BP580">
            <v>0</v>
          </cell>
          <cell r="BQ580" t="e">
            <v>#VALUE!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 t="str">
            <v/>
          </cell>
          <cell r="BX580" t="str">
            <v/>
          </cell>
          <cell r="BY580">
            <v>1.5</v>
          </cell>
          <cell r="BZ580">
            <v>1.1429999999999998</v>
          </cell>
        </row>
        <row r="581">
          <cell r="B581" t="str">
            <v/>
          </cell>
          <cell r="C581">
            <v>0</v>
          </cell>
          <cell r="D581" t="str">
            <v/>
          </cell>
          <cell r="F581" t="str">
            <v/>
          </cell>
          <cell r="H581" t="str">
            <v/>
          </cell>
          <cell r="I581" t="e">
            <v>#N/A</v>
          </cell>
          <cell r="J581" t="e">
            <v>#N/A</v>
          </cell>
          <cell r="K581" t="e">
            <v>#N/A</v>
          </cell>
          <cell r="M581">
            <v>2.2000000000000002</v>
          </cell>
          <cell r="N581">
            <v>2.2000000000000002</v>
          </cell>
          <cell r="O581">
            <v>2</v>
          </cell>
          <cell r="P581">
            <v>2</v>
          </cell>
          <cell r="Q581">
            <v>0</v>
          </cell>
          <cell r="R581">
            <v>0</v>
          </cell>
          <cell r="S581">
            <v>2.2000000000000002</v>
          </cell>
          <cell r="T581">
            <v>0</v>
          </cell>
          <cell r="U581" t="str">
            <v/>
          </cell>
          <cell r="V581" t="str">
            <v>A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 t="e">
            <v>#DIV/0!</v>
          </cell>
          <cell r="AH581" t="e">
            <v>#DIV/0!</v>
          </cell>
          <cell r="AI581" t="e">
            <v>#DIV/0!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 t="e">
            <v>#N/A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0.9</v>
          </cell>
          <cell r="BH581">
            <v>1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 t="e">
            <v>#DIV/0!</v>
          </cell>
          <cell r="BO581">
            <v>38</v>
          </cell>
          <cell r="BP581">
            <v>0</v>
          </cell>
          <cell r="BQ581" t="e">
            <v>#VALUE!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 t="str">
            <v/>
          </cell>
          <cell r="BX581" t="str">
            <v/>
          </cell>
          <cell r="BY581">
            <v>1.5</v>
          </cell>
          <cell r="BZ581">
            <v>1.1429999999999998</v>
          </cell>
        </row>
        <row r="582">
          <cell r="B582" t="str">
            <v/>
          </cell>
          <cell r="C582">
            <v>0</v>
          </cell>
          <cell r="D582" t="str">
            <v/>
          </cell>
          <cell r="F582" t="str">
            <v/>
          </cell>
          <cell r="H582" t="str">
            <v/>
          </cell>
          <cell r="I582">
            <v>0</v>
          </cell>
          <cell r="J582">
            <v>0.56666666666666676</v>
          </cell>
          <cell r="K582">
            <v>0.9</v>
          </cell>
          <cell r="M582">
            <v>2.2000000000000002</v>
          </cell>
          <cell r="N582">
            <v>2.2000000000000002</v>
          </cell>
          <cell r="O582">
            <v>2</v>
          </cell>
          <cell r="P582">
            <v>2</v>
          </cell>
          <cell r="Q582">
            <v>0</v>
          </cell>
          <cell r="R582">
            <v>0</v>
          </cell>
          <cell r="S582">
            <v>2.2000000000000002</v>
          </cell>
          <cell r="T582">
            <v>0</v>
          </cell>
          <cell r="U582" t="str">
            <v/>
          </cell>
          <cell r="V582" t="str">
            <v>A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 t="e">
            <v>#DIV/0!</v>
          </cell>
          <cell r="AH582" t="e">
            <v>#DIV/0!</v>
          </cell>
          <cell r="AI582" t="e">
            <v>#DIV/0!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 t="e">
            <v>#N/A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0.9</v>
          </cell>
          <cell r="BH582">
            <v>1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 t="e">
            <v>#DIV/0!</v>
          </cell>
          <cell r="BO582">
            <v>38</v>
          </cell>
          <cell r="BP582">
            <v>0</v>
          </cell>
          <cell r="BQ582" t="e">
            <v>#VALUE!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 t="str">
            <v/>
          </cell>
          <cell r="BX582" t="str">
            <v/>
          </cell>
          <cell r="BY582">
            <v>1.5</v>
          </cell>
          <cell r="BZ582">
            <v>1.1429999999999998</v>
          </cell>
        </row>
        <row r="583">
          <cell r="B583" t="str">
            <v/>
          </cell>
          <cell r="C583">
            <v>0</v>
          </cell>
          <cell r="D583" t="str">
            <v/>
          </cell>
          <cell r="F583" t="str">
            <v/>
          </cell>
          <cell r="H583" t="str">
            <v/>
          </cell>
          <cell r="I583" t="e">
            <v>#N/A</v>
          </cell>
          <cell r="J583" t="e">
            <v>#N/A</v>
          </cell>
          <cell r="K583" t="e">
            <v>#N/A</v>
          </cell>
          <cell r="M583">
            <v>2.2000000000000002</v>
          </cell>
          <cell r="N583">
            <v>2.2000000000000002</v>
          </cell>
          <cell r="O583">
            <v>2</v>
          </cell>
          <cell r="P583">
            <v>2</v>
          </cell>
          <cell r="Q583">
            <v>0</v>
          </cell>
          <cell r="R583">
            <v>0</v>
          </cell>
          <cell r="S583">
            <v>2.2000000000000002</v>
          </cell>
          <cell r="T583">
            <v>0</v>
          </cell>
          <cell r="U583" t="str">
            <v/>
          </cell>
          <cell r="V583" t="str">
            <v>A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 t="e">
            <v>#DIV/0!</v>
          </cell>
          <cell r="AH583" t="e">
            <v>#DIV/0!</v>
          </cell>
          <cell r="AI583" t="e">
            <v>#DIV/0!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 t="e">
            <v>#N/A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0.9</v>
          </cell>
          <cell r="BH583">
            <v>1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 t="e">
            <v>#DIV/0!</v>
          </cell>
          <cell r="BO583">
            <v>38</v>
          </cell>
          <cell r="BP583">
            <v>0</v>
          </cell>
          <cell r="BQ583" t="e">
            <v>#VALUE!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 t="str">
            <v/>
          </cell>
          <cell r="BX583" t="str">
            <v/>
          </cell>
          <cell r="BY583">
            <v>1.5</v>
          </cell>
          <cell r="BZ583">
            <v>1.1429999999999998</v>
          </cell>
        </row>
        <row r="584">
          <cell r="B584" t="str">
            <v/>
          </cell>
          <cell r="C584">
            <v>0</v>
          </cell>
          <cell r="D584" t="str">
            <v/>
          </cell>
          <cell r="F584" t="str">
            <v/>
          </cell>
          <cell r="H584" t="str">
            <v/>
          </cell>
          <cell r="I584" t="e">
            <v>#N/A</v>
          </cell>
          <cell r="J584" t="e">
            <v>#N/A</v>
          </cell>
          <cell r="K584" t="e">
            <v>#N/A</v>
          </cell>
          <cell r="M584">
            <v>2.2000000000000002</v>
          </cell>
          <cell r="N584">
            <v>2.2000000000000002</v>
          </cell>
          <cell r="O584">
            <v>2</v>
          </cell>
          <cell r="P584">
            <v>2</v>
          </cell>
          <cell r="Q584">
            <v>0</v>
          </cell>
          <cell r="R584">
            <v>0</v>
          </cell>
          <cell r="S584">
            <v>2.2000000000000002</v>
          </cell>
          <cell r="T584">
            <v>0</v>
          </cell>
          <cell r="U584" t="str">
            <v/>
          </cell>
          <cell r="V584" t="str">
            <v>A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 t="e">
            <v>#DIV/0!</v>
          </cell>
          <cell r="AH584" t="e">
            <v>#DIV/0!</v>
          </cell>
          <cell r="AI584" t="e">
            <v>#DIV/0!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 t="e">
            <v>#N/A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0.9</v>
          </cell>
          <cell r="BH584">
            <v>1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 t="e">
            <v>#DIV/0!</v>
          </cell>
          <cell r="BO584">
            <v>38</v>
          </cell>
          <cell r="BP584">
            <v>0</v>
          </cell>
          <cell r="BQ584" t="e">
            <v>#VALUE!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 t="str">
            <v/>
          </cell>
          <cell r="BX584" t="str">
            <v/>
          </cell>
          <cell r="BY584">
            <v>1.5</v>
          </cell>
          <cell r="BZ584">
            <v>1.1429999999999998</v>
          </cell>
        </row>
        <row r="585">
          <cell r="B585" t="str">
            <v/>
          </cell>
          <cell r="C585">
            <v>0</v>
          </cell>
          <cell r="D585" t="str">
            <v/>
          </cell>
          <cell r="F585" t="str">
            <v/>
          </cell>
          <cell r="H585" t="str">
            <v/>
          </cell>
          <cell r="I585" t="e">
            <v>#N/A</v>
          </cell>
          <cell r="J585" t="e">
            <v>#N/A</v>
          </cell>
          <cell r="K585" t="e">
            <v>#N/A</v>
          </cell>
          <cell r="M585">
            <v>2.2000000000000002</v>
          </cell>
          <cell r="N585">
            <v>2.2000000000000002</v>
          </cell>
          <cell r="O585">
            <v>2</v>
          </cell>
          <cell r="P585">
            <v>2</v>
          </cell>
          <cell r="Q585">
            <v>0</v>
          </cell>
          <cell r="R585">
            <v>0</v>
          </cell>
          <cell r="S585">
            <v>2.2000000000000002</v>
          </cell>
          <cell r="T585">
            <v>0</v>
          </cell>
          <cell r="U585" t="str">
            <v/>
          </cell>
          <cell r="V585" t="str">
            <v>A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 t="e">
            <v>#DIV/0!</v>
          </cell>
          <cell r="AH585" t="e">
            <v>#DIV/0!</v>
          </cell>
          <cell r="AI585" t="e">
            <v>#DIV/0!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 t="e">
            <v>#N/A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0.9</v>
          </cell>
          <cell r="BH585">
            <v>1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 t="e">
            <v>#DIV/0!</v>
          </cell>
          <cell r="BO585">
            <v>38</v>
          </cell>
          <cell r="BP585">
            <v>0</v>
          </cell>
          <cell r="BQ585" t="e">
            <v>#VALUE!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 t="str">
            <v/>
          </cell>
          <cell r="BX585" t="str">
            <v/>
          </cell>
          <cell r="BY585">
            <v>1.5</v>
          </cell>
          <cell r="BZ585">
            <v>1.1429999999999998</v>
          </cell>
        </row>
        <row r="586">
          <cell r="B586" t="str">
            <v/>
          </cell>
          <cell r="C586">
            <v>0</v>
          </cell>
          <cell r="D586" t="str">
            <v/>
          </cell>
          <cell r="F586" t="str">
            <v/>
          </cell>
          <cell r="H586" t="str">
            <v/>
          </cell>
          <cell r="I586" t="e">
            <v>#N/A</v>
          </cell>
          <cell r="J586" t="e">
            <v>#N/A</v>
          </cell>
          <cell r="K586" t="e">
            <v>#N/A</v>
          </cell>
          <cell r="M586">
            <v>2.2000000000000002</v>
          </cell>
          <cell r="N586">
            <v>2.2000000000000002</v>
          </cell>
          <cell r="O586">
            <v>2</v>
          </cell>
          <cell r="P586">
            <v>2</v>
          </cell>
          <cell r="Q586">
            <v>0</v>
          </cell>
          <cell r="R586">
            <v>0</v>
          </cell>
          <cell r="S586">
            <v>2.2000000000000002</v>
          </cell>
          <cell r="T586">
            <v>0</v>
          </cell>
          <cell r="U586" t="str">
            <v/>
          </cell>
          <cell r="V586" t="str">
            <v>A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 t="e">
            <v>#DIV/0!</v>
          </cell>
          <cell r="AH586" t="e">
            <v>#DIV/0!</v>
          </cell>
          <cell r="AI586" t="e">
            <v>#DIV/0!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 t="e">
            <v>#N/A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0.9</v>
          </cell>
          <cell r="BH586">
            <v>1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 t="e">
            <v>#DIV/0!</v>
          </cell>
          <cell r="BO586">
            <v>38</v>
          </cell>
          <cell r="BP586">
            <v>0</v>
          </cell>
          <cell r="BQ586" t="e">
            <v>#VALUE!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 t="str">
            <v/>
          </cell>
          <cell r="BX586" t="str">
            <v/>
          </cell>
          <cell r="BY586">
            <v>1.5</v>
          </cell>
          <cell r="BZ586">
            <v>1.1429999999999998</v>
          </cell>
        </row>
        <row r="587">
          <cell r="B587" t="str">
            <v/>
          </cell>
          <cell r="C587">
            <v>0</v>
          </cell>
          <cell r="D587" t="str">
            <v/>
          </cell>
          <cell r="F587" t="str">
            <v/>
          </cell>
          <cell r="H587" t="str">
            <v/>
          </cell>
          <cell r="I587" t="e">
            <v>#N/A</v>
          </cell>
          <cell r="J587" t="e">
            <v>#N/A</v>
          </cell>
          <cell r="K587" t="e">
            <v>#N/A</v>
          </cell>
          <cell r="M587">
            <v>2.2000000000000002</v>
          </cell>
          <cell r="N587">
            <v>2.2000000000000002</v>
          </cell>
          <cell r="O587">
            <v>2</v>
          </cell>
          <cell r="P587">
            <v>2</v>
          </cell>
          <cell r="Q587">
            <v>0</v>
          </cell>
          <cell r="R587">
            <v>0</v>
          </cell>
          <cell r="S587">
            <v>2.2000000000000002</v>
          </cell>
          <cell r="T587">
            <v>0</v>
          </cell>
          <cell r="U587" t="str">
            <v/>
          </cell>
          <cell r="V587" t="str">
            <v>A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 t="e">
            <v>#DIV/0!</v>
          </cell>
          <cell r="AH587" t="e">
            <v>#DIV/0!</v>
          </cell>
          <cell r="AI587" t="e">
            <v>#DIV/0!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 t="e">
            <v>#N/A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0.9</v>
          </cell>
          <cell r="BH587">
            <v>1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 t="e">
            <v>#DIV/0!</v>
          </cell>
          <cell r="BO587">
            <v>38</v>
          </cell>
          <cell r="BP587">
            <v>0</v>
          </cell>
          <cell r="BQ587" t="e">
            <v>#VALUE!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 t="str">
            <v/>
          </cell>
          <cell r="BX587" t="str">
            <v/>
          </cell>
          <cell r="BY587">
            <v>1.5</v>
          </cell>
          <cell r="BZ587">
            <v>1.1429999999999998</v>
          </cell>
        </row>
        <row r="588">
          <cell r="B588" t="str">
            <v/>
          </cell>
          <cell r="C588">
            <v>0</v>
          </cell>
          <cell r="D588" t="str">
            <v/>
          </cell>
          <cell r="F588" t="str">
            <v/>
          </cell>
          <cell r="H588" t="str">
            <v/>
          </cell>
          <cell r="I588">
            <v>1</v>
          </cell>
          <cell r="J588">
            <v>1</v>
          </cell>
          <cell r="K588">
            <v>1</v>
          </cell>
          <cell r="M588">
            <v>2.2000000000000002</v>
          </cell>
          <cell r="N588">
            <v>2.2000000000000002</v>
          </cell>
          <cell r="O588">
            <v>2</v>
          </cell>
          <cell r="P588">
            <v>2</v>
          </cell>
          <cell r="Q588">
            <v>0</v>
          </cell>
          <cell r="R588">
            <v>0</v>
          </cell>
          <cell r="S588">
            <v>2.2000000000000002</v>
          </cell>
          <cell r="T588">
            <v>0</v>
          </cell>
          <cell r="U588" t="str">
            <v/>
          </cell>
          <cell r="V588" t="str">
            <v>A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 t="e">
            <v>#DIV/0!</v>
          </cell>
          <cell r="AH588" t="e">
            <v>#DIV/0!</v>
          </cell>
          <cell r="AI588" t="e">
            <v>#DIV/0!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 t="e">
            <v>#N/A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0.9</v>
          </cell>
          <cell r="BH588">
            <v>1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 t="e">
            <v>#DIV/0!</v>
          </cell>
          <cell r="BO588">
            <v>38</v>
          </cell>
          <cell r="BP588">
            <v>0</v>
          </cell>
          <cell r="BQ588" t="e">
            <v>#VALUE!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 t="str">
            <v/>
          </cell>
          <cell r="BX588" t="str">
            <v/>
          </cell>
          <cell r="BY588">
            <v>1.5</v>
          </cell>
          <cell r="BZ588">
            <v>1.1429999999999998</v>
          </cell>
        </row>
        <row r="589">
          <cell r="B589" t="str">
            <v/>
          </cell>
          <cell r="C589">
            <v>0</v>
          </cell>
          <cell r="D589" t="str">
            <v/>
          </cell>
          <cell r="F589" t="str">
            <v/>
          </cell>
          <cell r="H589" t="str">
            <v/>
          </cell>
          <cell r="I589">
            <v>0</v>
          </cell>
          <cell r="J589">
            <v>0.5</v>
          </cell>
          <cell r="K589">
            <v>1</v>
          </cell>
          <cell r="M589">
            <v>2.2000000000000002</v>
          </cell>
          <cell r="N589">
            <v>2.2000000000000002</v>
          </cell>
          <cell r="O589">
            <v>2</v>
          </cell>
          <cell r="P589">
            <v>2</v>
          </cell>
          <cell r="Q589">
            <v>0</v>
          </cell>
          <cell r="R589">
            <v>0</v>
          </cell>
          <cell r="S589">
            <v>2.2000000000000002</v>
          </cell>
          <cell r="T589">
            <v>0</v>
          </cell>
          <cell r="U589" t="str">
            <v/>
          </cell>
          <cell r="V589" t="str">
            <v>A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 t="e">
            <v>#DIV/0!</v>
          </cell>
          <cell r="AH589" t="e">
            <v>#DIV/0!</v>
          </cell>
          <cell r="AI589" t="e">
            <v>#DIV/0!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 t="e">
            <v>#N/A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0.9</v>
          </cell>
          <cell r="BH589">
            <v>1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 t="e">
            <v>#DIV/0!</v>
          </cell>
          <cell r="BO589">
            <v>38</v>
          </cell>
          <cell r="BP589">
            <v>0</v>
          </cell>
          <cell r="BQ589" t="e">
            <v>#VALUE!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 t="str">
            <v/>
          </cell>
          <cell r="BX589" t="str">
            <v/>
          </cell>
          <cell r="BY589">
            <v>1.5</v>
          </cell>
          <cell r="BZ589">
            <v>1.1429999999999998</v>
          </cell>
        </row>
        <row r="590">
          <cell r="B590" t="str">
            <v/>
          </cell>
          <cell r="C590">
            <v>0</v>
          </cell>
          <cell r="D590" t="str">
            <v/>
          </cell>
          <cell r="F590" t="str">
            <v/>
          </cell>
          <cell r="H590" t="str">
            <v/>
          </cell>
          <cell r="I590" t="e">
            <v>#N/A</v>
          </cell>
          <cell r="J590" t="e">
            <v>#N/A</v>
          </cell>
          <cell r="K590" t="e">
            <v>#N/A</v>
          </cell>
          <cell r="M590">
            <v>2.2000000000000002</v>
          </cell>
          <cell r="N590">
            <v>2.2000000000000002</v>
          </cell>
          <cell r="O590">
            <v>2</v>
          </cell>
          <cell r="P590">
            <v>2</v>
          </cell>
          <cell r="Q590">
            <v>0</v>
          </cell>
          <cell r="R590">
            <v>0</v>
          </cell>
          <cell r="S590">
            <v>2.2000000000000002</v>
          </cell>
          <cell r="T590">
            <v>0</v>
          </cell>
          <cell r="U590" t="str">
            <v/>
          </cell>
          <cell r="V590" t="str">
            <v>A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 t="e">
            <v>#DIV/0!</v>
          </cell>
          <cell r="AH590" t="e">
            <v>#DIV/0!</v>
          </cell>
          <cell r="AI590" t="e">
            <v>#DIV/0!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 t="e">
            <v>#N/A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0.9</v>
          </cell>
          <cell r="BH590">
            <v>1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 t="e">
            <v>#DIV/0!</v>
          </cell>
          <cell r="BO590">
            <v>38</v>
          </cell>
          <cell r="BP590">
            <v>0</v>
          </cell>
          <cell r="BQ590" t="e">
            <v>#VALUE!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 t="str">
            <v/>
          </cell>
          <cell r="BX590" t="str">
            <v/>
          </cell>
          <cell r="BY590">
            <v>1.5</v>
          </cell>
          <cell r="BZ590">
            <v>1.1429999999999998</v>
          </cell>
        </row>
        <row r="591">
          <cell r="B591" t="str">
            <v/>
          </cell>
          <cell r="C591">
            <v>0</v>
          </cell>
          <cell r="D591" t="str">
            <v/>
          </cell>
          <cell r="F591" t="str">
            <v/>
          </cell>
          <cell r="H591" t="str">
            <v/>
          </cell>
          <cell r="I591">
            <v>1</v>
          </cell>
          <cell r="J591">
            <v>1</v>
          </cell>
          <cell r="K591">
            <v>1</v>
          </cell>
          <cell r="M591">
            <v>2.2000000000000002</v>
          </cell>
          <cell r="N591">
            <v>2.2000000000000002</v>
          </cell>
          <cell r="O591">
            <v>2</v>
          </cell>
          <cell r="P591">
            <v>2</v>
          </cell>
          <cell r="Q591">
            <v>0</v>
          </cell>
          <cell r="R591">
            <v>0</v>
          </cell>
          <cell r="S591">
            <v>2.2000000000000002</v>
          </cell>
          <cell r="T591">
            <v>0</v>
          </cell>
          <cell r="U591" t="str">
            <v/>
          </cell>
          <cell r="V591" t="str">
            <v>A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 t="e">
            <v>#DIV/0!</v>
          </cell>
          <cell r="AH591" t="e">
            <v>#DIV/0!</v>
          </cell>
          <cell r="AI591" t="e">
            <v>#DIV/0!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 t="e">
            <v>#N/A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0.9</v>
          </cell>
          <cell r="BH591">
            <v>1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 t="e">
            <v>#DIV/0!</v>
          </cell>
          <cell r="BO591">
            <v>38</v>
          </cell>
          <cell r="BP591">
            <v>0</v>
          </cell>
          <cell r="BQ591" t="e">
            <v>#VALUE!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 t="str">
            <v/>
          </cell>
          <cell r="BX591" t="str">
            <v/>
          </cell>
          <cell r="BY591">
            <v>1.5</v>
          </cell>
          <cell r="BZ591">
            <v>1.1429999999999998</v>
          </cell>
        </row>
        <row r="592">
          <cell r="B592" t="str">
            <v/>
          </cell>
          <cell r="C592">
            <v>0</v>
          </cell>
          <cell r="D592" t="str">
            <v/>
          </cell>
          <cell r="F592" t="str">
            <v/>
          </cell>
          <cell r="H592" t="str">
            <v/>
          </cell>
          <cell r="I592" t="e">
            <v>#N/A</v>
          </cell>
          <cell r="J592" t="e">
            <v>#N/A</v>
          </cell>
          <cell r="K592" t="e">
            <v>#N/A</v>
          </cell>
          <cell r="M592">
            <v>2.2000000000000002</v>
          </cell>
          <cell r="N592">
            <v>2.2000000000000002</v>
          </cell>
          <cell r="O592">
            <v>2</v>
          </cell>
          <cell r="P592">
            <v>2</v>
          </cell>
          <cell r="Q592">
            <v>0</v>
          </cell>
          <cell r="R592">
            <v>0</v>
          </cell>
          <cell r="S592">
            <v>2.2000000000000002</v>
          </cell>
          <cell r="T592">
            <v>0</v>
          </cell>
          <cell r="U592" t="str">
            <v/>
          </cell>
          <cell r="V592" t="str">
            <v>A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 t="e">
            <v>#DIV/0!</v>
          </cell>
          <cell r="AH592" t="e">
            <v>#DIV/0!</v>
          </cell>
          <cell r="AI592" t="e">
            <v>#DIV/0!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 t="e">
            <v>#N/A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0.9</v>
          </cell>
          <cell r="BH592">
            <v>1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 t="e">
            <v>#DIV/0!</v>
          </cell>
          <cell r="BO592">
            <v>38</v>
          </cell>
          <cell r="BP592">
            <v>0</v>
          </cell>
          <cell r="BQ592" t="e">
            <v>#VALUE!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 t="str">
            <v/>
          </cell>
          <cell r="BX592" t="str">
            <v/>
          </cell>
          <cell r="BY592">
            <v>1.5</v>
          </cell>
          <cell r="BZ592">
            <v>1.1429999999999998</v>
          </cell>
        </row>
        <row r="593">
          <cell r="B593" t="str">
            <v/>
          </cell>
          <cell r="C593">
            <v>0</v>
          </cell>
          <cell r="D593" t="str">
            <v/>
          </cell>
          <cell r="F593" t="str">
            <v/>
          </cell>
          <cell r="H593" t="str">
            <v/>
          </cell>
          <cell r="I593" t="e">
            <v>#N/A</v>
          </cell>
          <cell r="J593" t="e">
            <v>#N/A</v>
          </cell>
          <cell r="K593" t="e">
            <v>#N/A</v>
          </cell>
          <cell r="M593">
            <v>2.2000000000000002</v>
          </cell>
          <cell r="N593">
            <v>2.2000000000000002</v>
          </cell>
          <cell r="O593">
            <v>2</v>
          </cell>
          <cell r="P593">
            <v>2</v>
          </cell>
          <cell r="Q593">
            <v>0</v>
          </cell>
          <cell r="R593">
            <v>0</v>
          </cell>
          <cell r="S593">
            <v>2.2000000000000002</v>
          </cell>
          <cell r="T593">
            <v>0</v>
          </cell>
          <cell r="U593" t="str">
            <v/>
          </cell>
          <cell r="V593" t="str">
            <v>A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 t="e">
            <v>#DIV/0!</v>
          </cell>
          <cell r="AH593" t="e">
            <v>#DIV/0!</v>
          </cell>
          <cell r="AI593" t="e">
            <v>#DIV/0!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 t="e">
            <v>#N/A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0.9</v>
          </cell>
          <cell r="BH593">
            <v>1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 t="e">
            <v>#DIV/0!</v>
          </cell>
          <cell r="BO593">
            <v>38</v>
          </cell>
          <cell r="BP593">
            <v>0</v>
          </cell>
          <cell r="BQ593" t="e">
            <v>#VALUE!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 t="str">
            <v/>
          </cell>
          <cell r="BX593" t="str">
            <v/>
          </cell>
          <cell r="BY593">
            <v>1.5</v>
          </cell>
          <cell r="BZ593">
            <v>1.1429999999999998</v>
          </cell>
        </row>
        <row r="594">
          <cell r="B594" t="str">
            <v/>
          </cell>
          <cell r="C594">
            <v>0</v>
          </cell>
          <cell r="D594" t="str">
            <v/>
          </cell>
          <cell r="F594" t="str">
            <v/>
          </cell>
          <cell r="H594" t="str">
            <v/>
          </cell>
          <cell r="I594">
            <v>0</v>
          </cell>
          <cell r="J594">
            <v>0</v>
          </cell>
          <cell r="K594">
            <v>0</v>
          </cell>
          <cell r="M594">
            <v>2.2000000000000002</v>
          </cell>
          <cell r="N594">
            <v>2.2000000000000002</v>
          </cell>
          <cell r="O594">
            <v>2</v>
          </cell>
          <cell r="P594">
            <v>2</v>
          </cell>
          <cell r="Q594">
            <v>0</v>
          </cell>
          <cell r="R594">
            <v>0</v>
          </cell>
          <cell r="S594">
            <v>2.2000000000000002</v>
          </cell>
          <cell r="T594">
            <v>0</v>
          </cell>
          <cell r="U594" t="str">
            <v/>
          </cell>
          <cell r="V594" t="str">
            <v>A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 t="e">
            <v>#DIV/0!</v>
          </cell>
          <cell r="AH594" t="e">
            <v>#DIV/0!</v>
          </cell>
          <cell r="AI594" t="e">
            <v>#DIV/0!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 t="e">
            <v>#N/A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0.9</v>
          </cell>
          <cell r="BH594">
            <v>1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 t="e">
            <v>#DIV/0!</v>
          </cell>
          <cell r="BO594">
            <v>38</v>
          </cell>
          <cell r="BP594">
            <v>0</v>
          </cell>
          <cell r="BQ594" t="e">
            <v>#VALUE!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 t="str">
            <v/>
          </cell>
          <cell r="BX594" t="str">
            <v/>
          </cell>
          <cell r="BY594">
            <v>1.5</v>
          </cell>
          <cell r="BZ594">
            <v>1.1429999999999998</v>
          </cell>
        </row>
        <row r="595">
          <cell r="B595" t="str">
            <v/>
          </cell>
          <cell r="C595">
            <v>0</v>
          </cell>
          <cell r="D595" t="str">
            <v/>
          </cell>
          <cell r="F595" t="str">
            <v/>
          </cell>
          <cell r="H595" t="str">
            <v/>
          </cell>
          <cell r="I595">
            <v>0</v>
          </cell>
          <cell r="J595">
            <v>0</v>
          </cell>
          <cell r="K595">
            <v>0</v>
          </cell>
          <cell r="M595">
            <v>2.2000000000000002</v>
          </cell>
          <cell r="N595">
            <v>2.2000000000000002</v>
          </cell>
          <cell r="O595">
            <v>2</v>
          </cell>
          <cell r="P595">
            <v>2</v>
          </cell>
          <cell r="Q595">
            <v>0</v>
          </cell>
          <cell r="R595">
            <v>0</v>
          </cell>
          <cell r="S595">
            <v>2.2000000000000002</v>
          </cell>
          <cell r="T595">
            <v>0</v>
          </cell>
          <cell r="U595" t="str">
            <v/>
          </cell>
          <cell r="V595" t="str">
            <v>A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 t="e">
            <v>#DIV/0!</v>
          </cell>
          <cell r="AH595" t="e">
            <v>#DIV/0!</v>
          </cell>
          <cell r="AI595" t="e">
            <v>#DIV/0!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 t="e">
            <v>#N/A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0.9</v>
          </cell>
          <cell r="BH595">
            <v>1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 t="e">
            <v>#DIV/0!</v>
          </cell>
          <cell r="BO595">
            <v>38</v>
          </cell>
          <cell r="BP595">
            <v>0</v>
          </cell>
          <cell r="BQ595" t="e">
            <v>#VALUE!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 t="str">
            <v/>
          </cell>
          <cell r="BX595" t="str">
            <v/>
          </cell>
          <cell r="BY595">
            <v>1.5</v>
          </cell>
          <cell r="BZ595">
            <v>1.1429999999999998</v>
          </cell>
        </row>
        <row r="596">
          <cell r="B596" t="str">
            <v/>
          </cell>
          <cell r="C596">
            <v>0</v>
          </cell>
          <cell r="D596" t="str">
            <v/>
          </cell>
          <cell r="F596" t="str">
            <v/>
          </cell>
          <cell r="H596" t="str">
            <v/>
          </cell>
          <cell r="I596">
            <v>0</v>
          </cell>
          <cell r="J596">
            <v>0.76666666666666661</v>
          </cell>
          <cell r="K596">
            <v>1.4</v>
          </cell>
          <cell r="M596">
            <v>2.2000000000000002</v>
          </cell>
          <cell r="N596">
            <v>2.2000000000000002</v>
          </cell>
          <cell r="O596">
            <v>2</v>
          </cell>
          <cell r="P596">
            <v>2</v>
          </cell>
          <cell r="Q596">
            <v>0</v>
          </cell>
          <cell r="R596">
            <v>0</v>
          </cell>
          <cell r="S596">
            <v>2.2000000000000002</v>
          </cell>
          <cell r="T596">
            <v>0</v>
          </cell>
          <cell r="U596" t="str">
            <v/>
          </cell>
          <cell r="V596" t="str">
            <v>A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 t="e">
            <v>#DIV/0!</v>
          </cell>
          <cell r="AH596" t="e">
            <v>#DIV/0!</v>
          </cell>
          <cell r="AI596" t="e">
            <v>#DIV/0!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 t="e">
            <v>#N/A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0.9</v>
          </cell>
          <cell r="BH596">
            <v>1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 t="e">
            <v>#DIV/0!</v>
          </cell>
          <cell r="BO596">
            <v>38</v>
          </cell>
          <cell r="BP596">
            <v>0</v>
          </cell>
          <cell r="BQ596" t="e">
            <v>#VALUE!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 t="str">
            <v/>
          </cell>
          <cell r="BX596" t="str">
            <v/>
          </cell>
          <cell r="BY596">
            <v>1.5</v>
          </cell>
          <cell r="BZ596">
            <v>1.1429999999999998</v>
          </cell>
        </row>
        <row r="597">
          <cell r="B597" t="str">
            <v/>
          </cell>
          <cell r="C597">
            <v>0</v>
          </cell>
          <cell r="D597" t="str">
            <v/>
          </cell>
          <cell r="F597" t="str">
            <v/>
          </cell>
          <cell r="H597" t="str">
            <v/>
          </cell>
          <cell r="I597" t="e">
            <v>#N/A</v>
          </cell>
          <cell r="J597" t="e">
            <v>#N/A</v>
          </cell>
          <cell r="K597" t="e">
            <v>#N/A</v>
          </cell>
          <cell r="M597">
            <v>2.2000000000000002</v>
          </cell>
          <cell r="N597">
            <v>2.2000000000000002</v>
          </cell>
          <cell r="O597">
            <v>2</v>
          </cell>
          <cell r="P597">
            <v>2</v>
          </cell>
          <cell r="Q597">
            <v>0</v>
          </cell>
          <cell r="R597">
            <v>0</v>
          </cell>
          <cell r="S597">
            <v>2.2000000000000002</v>
          </cell>
          <cell r="T597">
            <v>0</v>
          </cell>
          <cell r="U597" t="str">
            <v/>
          </cell>
          <cell r="V597" t="str">
            <v>A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 t="e">
            <v>#DIV/0!</v>
          </cell>
          <cell r="AH597" t="e">
            <v>#DIV/0!</v>
          </cell>
          <cell r="AI597" t="e">
            <v>#DIV/0!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 t="e">
            <v>#N/A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0.9</v>
          </cell>
          <cell r="BH597">
            <v>1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 t="e">
            <v>#DIV/0!</v>
          </cell>
          <cell r="BO597">
            <v>38</v>
          </cell>
          <cell r="BP597">
            <v>0</v>
          </cell>
          <cell r="BQ597" t="e">
            <v>#VALUE!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 t="str">
            <v/>
          </cell>
          <cell r="BX597" t="str">
            <v/>
          </cell>
          <cell r="BY597">
            <v>1.5</v>
          </cell>
          <cell r="BZ597">
            <v>1.1429999999999998</v>
          </cell>
        </row>
        <row r="598">
          <cell r="B598" t="str">
            <v/>
          </cell>
          <cell r="C598">
            <v>0</v>
          </cell>
          <cell r="D598" t="str">
            <v/>
          </cell>
          <cell r="F598" t="str">
            <v/>
          </cell>
          <cell r="H598" t="str">
            <v/>
          </cell>
          <cell r="I598">
            <v>0</v>
          </cell>
          <cell r="J598">
            <v>0</v>
          </cell>
          <cell r="K598">
            <v>0</v>
          </cell>
          <cell r="M598">
            <v>2.2000000000000002</v>
          </cell>
          <cell r="N598">
            <v>2.2000000000000002</v>
          </cell>
          <cell r="O598">
            <v>2</v>
          </cell>
          <cell r="P598">
            <v>2</v>
          </cell>
          <cell r="Q598">
            <v>0</v>
          </cell>
          <cell r="R598">
            <v>0</v>
          </cell>
          <cell r="S598">
            <v>2.2000000000000002</v>
          </cell>
          <cell r="T598">
            <v>0</v>
          </cell>
          <cell r="U598" t="str">
            <v/>
          </cell>
          <cell r="V598" t="str">
            <v>A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 t="e">
            <v>#DIV/0!</v>
          </cell>
          <cell r="AH598" t="e">
            <v>#DIV/0!</v>
          </cell>
          <cell r="AI598" t="e">
            <v>#DIV/0!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 t="e">
            <v>#N/A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0.9</v>
          </cell>
          <cell r="BH598">
            <v>1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 t="e">
            <v>#DIV/0!</v>
          </cell>
          <cell r="BO598">
            <v>38</v>
          </cell>
          <cell r="BP598">
            <v>0</v>
          </cell>
          <cell r="BQ598" t="e">
            <v>#VALUE!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 t="str">
            <v/>
          </cell>
          <cell r="BX598" t="str">
            <v/>
          </cell>
          <cell r="BY598">
            <v>1.5</v>
          </cell>
          <cell r="BZ598">
            <v>1.1429999999999998</v>
          </cell>
        </row>
        <row r="599">
          <cell r="B599" t="str">
            <v/>
          </cell>
          <cell r="C599">
            <v>0</v>
          </cell>
          <cell r="D599" t="str">
            <v/>
          </cell>
          <cell r="F599" t="str">
            <v/>
          </cell>
          <cell r="H599" t="str">
            <v/>
          </cell>
          <cell r="I599">
            <v>0</v>
          </cell>
          <cell r="J599">
            <v>1</v>
          </cell>
          <cell r="K599">
            <v>3</v>
          </cell>
          <cell r="M599">
            <v>2.2000000000000002</v>
          </cell>
          <cell r="N599">
            <v>2.2000000000000002</v>
          </cell>
          <cell r="O599">
            <v>2</v>
          </cell>
          <cell r="P599">
            <v>2</v>
          </cell>
          <cell r="Q599">
            <v>0</v>
          </cell>
          <cell r="R599">
            <v>0</v>
          </cell>
          <cell r="S599">
            <v>2.2000000000000002</v>
          </cell>
          <cell r="T599">
            <v>0</v>
          </cell>
          <cell r="U599" t="str">
            <v/>
          </cell>
          <cell r="V599" t="str">
            <v>A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 t="e">
            <v>#DIV/0!</v>
          </cell>
          <cell r="AH599" t="e">
            <v>#DIV/0!</v>
          </cell>
          <cell r="AI599" t="e">
            <v>#DIV/0!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 t="e">
            <v>#N/A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0.9</v>
          </cell>
          <cell r="BH599">
            <v>1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 t="e">
            <v>#DIV/0!</v>
          </cell>
          <cell r="BO599">
            <v>38</v>
          </cell>
          <cell r="BP599">
            <v>0</v>
          </cell>
          <cell r="BQ599" t="e">
            <v>#VALUE!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 t="str">
            <v/>
          </cell>
          <cell r="BX599" t="str">
            <v/>
          </cell>
          <cell r="BY599">
            <v>1.5</v>
          </cell>
          <cell r="BZ599">
            <v>1.1429999999999998</v>
          </cell>
        </row>
        <row r="600">
          <cell r="B600" t="str">
            <v/>
          </cell>
          <cell r="C600">
            <v>0</v>
          </cell>
          <cell r="D600" t="str">
            <v/>
          </cell>
          <cell r="F600" t="str">
            <v/>
          </cell>
          <cell r="H600" t="str">
            <v/>
          </cell>
          <cell r="I600">
            <v>0</v>
          </cell>
          <cell r="J600">
            <v>0</v>
          </cell>
          <cell r="K600">
            <v>0</v>
          </cell>
          <cell r="M600">
            <v>2.2000000000000002</v>
          </cell>
          <cell r="N600">
            <v>2.2000000000000002</v>
          </cell>
          <cell r="O600">
            <v>2</v>
          </cell>
          <cell r="P600">
            <v>2</v>
          </cell>
          <cell r="Q600">
            <v>0</v>
          </cell>
          <cell r="R600">
            <v>0</v>
          </cell>
          <cell r="S600">
            <v>2.2000000000000002</v>
          </cell>
          <cell r="T600">
            <v>0</v>
          </cell>
          <cell r="U600" t="str">
            <v/>
          </cell>
          <cell r="V600" t="str">
            <v>A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 t="e">
            <v>#DIV/0!</v>
          </cell>
          <cell r="AH600" t="e">
            <v>#DIV/0!</v>
          </cell>
          <cell r="AI600" t="e">
            <v>#DIV/0!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 t="e">
            <v>#N/A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0.9</v>
          </cell>
          <cell r="BH600">
            <v>1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 t="e">
            <v>#DIV/0!</v>
          </cell>
          <cell r="BO600">
            <v>38</v>
          </cell>
          <cell r="BP600">
            <v>0</v>
          </cell>
          <cell r="BQ600" t="e">
            <v>#VALUE!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 t="str">
            <v/>
          </cell>
          <cell r="BX600" t="str">
            <v/>
          </cell>
          <cell r="BY600">
            <v>1.5</v>
          </cell>
          <cell r="BZ600">
            <v>1.1429999999999998</v>
          </cell>
        </row>
        <row r="601">
          <cell r="B601" t="str">
            <v/>
          </cell>
          <cell r="C601">
            <v>0</v>
          </cell>
          <cell r="D601" t="str">
            <v/>
          </cell>
          <cell r="F601" t="str">
            <v/>
          </cell>
          <cell r="H601" t="str">
            <v/>
          </cell>
          <cell r="I601">
            <v>0</v>
          </cell>
          <cell r="J601">
            <v>0</v>
          </cell>
          <cell r="K601">
            <v>0</v>
          </cell>
          <cell r="M601">
            <v>2.2000000000000002</v>
          </cell>
          <cell r="N601">
            <v>2.2000000000000002</v>
          </cell>
          <cell r="O601">
            <v>2</v>
          </cell>
          <cell r="P601">
            <v>2</v>
          </cell>
          <cell r="Q601">
            <v>0</v>
          </cell>
          <cell r="R601">
            <v>0</v>
          </cell>
          <cell r="S601">
            <v>2.2000000000000002</v>
          </cell>
          <cell r="T601">
            <v>0</v>
          </cell>
          <cell r="U601" t="str">
            <v/>
          </cell>
          <cell r="V601" t="str">
            <v>A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 t="e">
            <v>#DIV/0!</v>
          </cell>
          <cell r="AH601" t="e">
            <v>#DIV/0!</v>
          </cell>
          <cell r="AI601" t="e">
            <v>#DIV/0!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 t="e">
            <v>#N/A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0.9</v>
          </cell>
          <cell r="BH601">
            <v>1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 t="e">
            <v>#DIV/0!</v>
          </cell>
          <cell r="BO601">
            <v>38</v>
          </cell>
          <cell r="BP601">
            <v>0</v>
          </cell>
          <cell r="BQ601" t="e">
            <v>#VALUE!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 t="str">
            <v/>
          </cell>
          <cell r="BX601" t="str">
            <v/>
          </cell>
          <cell r="BY601">
            <v>1.5</v>
          </cell>
          <cell r="BZ601">
            <v>1.1429999999999998</v>
          </cell>
        </row>
        <row r="602">
          <cell r="B602" t="str">
            <v/>
          </cell>
          <cell r="C602">
            <v>0</v>
          </cell>
          <cell r="D602" t="str">
            <v/>
          </cell>
          <cell r="F602" t="str">
            <v/>
          </cell>
          <cell r="H602" t="str">
            <v/>
          </cell>
          <cell r="I602" t="e">
            <v>#N/A</v>
          </cell>
          <cell r="J602" t="e">
            <v>#N/A</v>
          </cell>
          <cell r="K602" t="e">
            <v>#N/A</v>
          </cell>
          <cell r="M602">
            <v>2.2000000000000002</v>
          </cell>
          <cell r="N602">
            <v>2.2000000000000002</v>
          </cell>
          <cell r="O602">
            <v>2</v>
          </cell>
          <cell r="P602">
            <v>2</v>
          </cell>
          <cell r="Q602">
            <v>0</v>
          </cell>
          <cell r="R602">
            <v>0</v>
          </cell>
          <cell r="S602">
            <v>2.2000000000000002</v>
          </cell>
          <cell r="T602">
            <v>0</v>
          </cell>
          <cell r="U602" t="str">
            <v/>
          </cell>
          <cell r="V602" t="str">
            <v>A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 t="e">
            <v>#DIV/0!</v>
          </cell>
          <cell r="AH602" t="e">
            <v>#DIV/0!</v>
          </cell>
          <cell r="AI602" t="e">
            <v>#DIV/0!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 t="e">
            <v>#N/A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0.9</v>
          </cell>
          <cell r="BH602">
            <v>1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 t="e">
            <v>#DIV/0!</v>
          </cell>
          <cell r="BO602">
            <v>38</v>
          </cell>
          <cell r="BP602">
            <v>0</v>
          </cell>
          <cell r="BQ602" t="e">
            <v>#VALUE!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 t="str">
            <v/>
          </cell>
          <cell r="BX602" t="str">
            <v/>
          </cell>
          <cell r="BY602">
            <v>1.5</v>
          </cell>
          <cell r="BZ602">
            <v>1.1429999999999998</v>
          </cell>
        </row>
        <row r="603">
          <cell r="B603" t="str">
            <v/>
          </cell>
          <cell r="C603">
            <v>0</v>
          </cell>
          <cell r="D603" t="str">
            <v/>
          </cell>
          <cell r="F603" t="str">
            <v/>
          </cell>
          <cell r="H603" t="str">
            <v/>
          </cell>
          <cell r="I603" t="e">
            <v>#N/A</v>
          </cell>
          <cell r="J603" t="e">
            <v>#N/A</v>
          </cell>
          <cell r="K603" t="e">
            <v>#N/A</v>
          </cell>
          <cell r="M603">
            <v>2.2000000000000002</v>
          </cell>
          <cell r="N603">
            <v>2.2000000000000002</v>
          </cell>
          <cell r="O603">
            <v>2</v>
          </cell>
          <cell r="P603">
            <v>2</v>
          </cell>
          <cell r="Q603">
            <v>0</v>
          </cell>
          <cell r="R603">
            <v>0</v>
          </cell>
          <cell r="S603">
            <v>2.2000000000000002</v>
          </cell>
          <cell r="T603">
            <v>0</v>
          </cell>
          <cell r="U603" t="str">
            <v/>
          </cell>
          <cell r="V603" t="str">
            <v>A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 t="e">
            <v>#DIV/0!</v>
          </cell>
          <cell r="AH603" t="e">
            <v>#DIV/0!</v>
          </cell>
          <cell r="AI603" t="e">
            <v>#DIV/0!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 t="e">
            <v>#N/A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0.9</v>
          </cell>
          <cell r="BH603">
            <v>1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 t="e">
            <v>#DIV/0!</v>
          </cell>
          <cell r="BO603">
            <v>38</v>
          </cell>
          <cell r="BP603">
            <v>0</v>
          </cell>
          <cell r="BQ603" t="e">
            <v>#VALUE!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 t="str">
            <v/>
          </cell>
          <cell r="BX603" t="str">
            <v/>
          </cell>
          <cell r="BY603">
            <v>1.5</v>
          </cell>
          <cell r="BZ603">
            <v>1.1429999999999998</v>
          </cell>
        </row>
        <row r="604">
          <cell r="B604" t="str">
            <v/>
          </cell>
          <cell r="C604">
            <v>0</v>
          </cell>
          <cell r="D604" t="str">
            <v/>
          </cell>
          <cell r="F604" t="str">
            <v/>
          </cell>
          <cell r="H604" t="str">
            <v/>
          </cell>
          <cell r="I604">
            <v>0</v>
          </cell>
          <cell r="J604">
            <v>0</v>
          </cell>
          <cell r="K604">
            <v>0</v>
          </cell>
          <cell r="M604">
            <v>2.2000000000000002</v>
          </cell>
          <cell r="N604">
            <v>2.2000000000000002</v>
          </cell>
          <cell r="O604">
            <v>2</v>
          </cell>
          <cell r="P604">
            <v>2</v>
          </cell>
          <cell r="Q604">
            <v>0</v>
          </cell>
          <cell r="R604">
            <v>0</v>
          </cell>
          <cell r="S604">
            <v>2.2000000000000002</v>
          </cell>
          <cell r="T604">
            <v>0</v>
          </cell>
          <cell r="U604" t="str">
            <v/>
          </cell>
          <cell r="V604" t="str">
            <v>A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 t="e">
            <v>#DIV/0!</v>
          </cell>
          <cell r="AH604" t="e">
            <v>#DIV/0!</v>
          </cell>
          <cell r="AI604" t="e">
            <v>#DIV/0!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 t="e">
            <v>#N/A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0.9</v>
          </cell>
          <cell r="BH604">
            <v>1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 t="e">
            <v>#DIV/0!</v>
          </cell>
          <cell r="BO604">
            <v>38</v>
          </cell>
          <cell r="BP604">
            <v>0</v>
          </cell>
          <cell r="BQ604" t="e">
            <v>#VALUE!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 t="str">
            <v/>
          </cell>
          <cell r="BX604" t="str">
            <v/>
          </cell>
          <cell r="BY604">
            <v>1.5</v>
          </cell>
          <cell r="BZ604">
            <v>1.1429999999999998</v>
          </cell>
        </row>
        <row r="605">
          <cell r="B605" t="str">
            <v/>
          </cell>
          <cell r="C605">
            <v>0</v>
          </cell>
          <cell r="D605" t="str">
            <v/>
          </cell>
          <cell r="F605" t="str">
            <v/>
          </cell>
          <cell r="H605" t="str">
            <v/>
          </cell>
          <cell r="I605">
            <v>0.5</v>
          </cell>
          <cell r="J605">
            <v>1.1333333333333333</v>
          </cell>
          <cell r="K605">
            <v>1.9</v>
          </cell>
          <cell r="M605">
            <v>2.2000000000000002</v>
          </cell>
          <cell r="N605">
            <v>2.2000000000000002</v>
          </cell>
          <cell r="O605">
            <v>2</v>
          </cell>
          <cell r="P605">
            <v>2</v>
          </cell>
          <cell r="Q605">
            <v>0</v>
          </cell>
          <cell r="R605">
            <v>0</v>
          </cell>
          <cell r="S605">
            <v>2.2000000000000002</v>
          </cell>
          <cell r="T605">
            <v>0</v>
          </cell>
          <cell r="U605" t="str">
            <v/>
          </cell>
          <cell r="V605" t="str">
            <v>A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 t="e">
            <v>#DIV/0!</v>
          </cell>
          <cell r="AH605" t="e">
            <v>#DIV/0!</v>
          </cell>
          <cell r="AI605" t="e">
            <v>#DIV/0!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 t="e">
            <v>#N/A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0.9</v>
          </cell>
          <cell r="BH605">
            <v>1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 t="e">
            <v>#DIV/0!</v>
          </cell>
          <cell r="BO605">
            <v>38</v>
          </cell>
          <cell r="BP605">
            <v>0</v>
          </cell>
          <cell r="BQ605" t="e">
            <v>#VALUE!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 t="str">
            <v/>
          </cell>
          <cell r="BX605" t="str">
            <v/>
          </cell>
          <cell r="BY605">
            <v>1.5</v>
          </cell>
          <cell r="BZ605">
            <v>1.1429999999999998</v>
          </cell>
        </row>
        <row r="606">
          <cell r="B606" t="str">
            <v/>
          </cell>
          <cell r="C606">
            <v>0</v>
          </cell>
          <cell r="D606" t="str">
            <v/>
          </cell>
          <cell r="F606" t="str">
            <v/>
          </cell>
          <cell r="H606" t="str">
            <v/>
          </cell>
          <cell r="I606">
            <v>0</v>
          </cell>
          <cell r="J606">
            <v>1.5</v>
          </cell>
          <cell r="K606">
            <v>3.2</v>
          </cell>
          <cell r="M606">
            <v>2.2000000000000002</v>
          </cell>
          <cell r="N606">
            <v>2.2000000000000002</v>
          </cell>
          <cell r="O606">
            <v>2</v>
          </cell>
          <cell r="P606">
            <v>2</v>
          </cell>
          <cell r="Q606">
            <v>0</v>
          </cell>
          <cell r="R606">
            <v>0</v>
          </cell>
          <cell r="S606">
            <v>2.2000000000000002</v>
          </cell>
          <cell r="T606">
            <v>0</v>
          </cell>
          <cell r="U606" t="str">
            <v/>
          </cell>
          <cell r="V606" t="str">
            <v>A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 t="e">
            <v>#DIV/0!</v>
          </cell>
          <cell r="AH606" t="e">
            <v>#DIV/0!</v>
          </cell>
          <cell r="AI606" t="e">
            <v>#DIV/0!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 t="e">
            <v>#N/A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0.9</v>
          </cell>
          <cell r="BH606">
            <v>1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 t="e">
            <v>#DIV/0!</v>
          </cell>
          <cell r="BO606">
            <v>38</v>
          </cell>
          <cell r="BP606">
            <v>0</v>
          </cell>
          <cell r="BQ606" t="e">
            <v>#VALUE!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 t="str">
            <v/>
          </cell>
          <cell r="BX606" t="str">
            <v/>
          </cell>
          <cell r="BY606">
            <v>1.5</v>
          </cell>
          <cell r="BZ606">
            <v>1.1429999999999998</v>
          </cell>
        </row>
        <row r="607">
          <cell r="B607" t="str">
            <v/>
          </cell>
          <cell r="C607">
            <v>0</v>
          </cell>
          <cell r="D607" t="str">
            <v/>
          </cell>
          <cell r="F607" t="str">
            <v/>
          </cell>
          <cell r="H607" t="str">
            <v/>
          </cell>
          <cell r="I607">
            <v>0</v>
          </cell>
          <cell r="J607">
            <v>0</v>
          </cell>
          <cell r="K607">
            <v>0</v>
          </cell>
          <cell r="M607">
            <v>2.2000000000000002</v>
          </cell>
          <cell r="N607">
            <v>2.2000000000000002</v>
          </cell>
          <cell r="O607">
            <v>2</v>
          </cell>
          <cell r="P607">
            <v>2</v>
          </cell>
          <cell r="Q607">
            <v>0</v>
          </cell>
          <cell r="R607">
            <v>0</v>
          </cell>
          <cell r="S607">
            <v>2.2000000000000002</v>
          </cell>
          <cell r="T607">
            <v>0</v>
          </cell>
          <cell r="U607" t="str">
            <v/>
          </cell>
          <cell r="V607" t="str">
            <v>A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 t="e">
            <v>#DIV/0!</v>
          </cell>
          <cell r="AH607" t="e">
            <v>#DIV/0!</v>
          </cell>
          <cell r="AI607" t="e">
            <v>#DIV/0!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 t="e">
            <v>#N/A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0.9</v>
          </cell>
          <cell r="BH607">
            <v>1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 t="e">
            <v>#DIV/0!</v>
          </cell>
          <cell r="BO607">
            <v>38</v>
          </cell>
          <cell r="BP607">
            <v>0</v>
          </cell>
          <cell r="BQ607" t="e">
            <v>#VALUE!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 t="str">
            <v/>
          </cell>
          <cell r="BX607" t="str">
            <v/>
          </cell>
          <cell r="BY607">
            <v>1.5</v>
          </cell>
          <cell r="BZ607">
            <v>1.1429999999999998</v>
          </cell>
        </row>
        <row r="608">
          <cell r="B608" t="str">
            <v/>
          </cell>
          <cell r="C608">
            <v>0</v>
          </cell>
          <cell r="D608" t="str">
            <v/>
          </cell>
          <cell r="F608" t="str">
            <v/>
          </cell>
          <cell r="H608" t="str">
            <v/>
          </cell>
          <cell r="I608">
            <v>1</v>
          </cell>
          <cell r="J608">
            <v>1</v>
          </cell>
          <cell r="K608">
            <v>1</v>
          </cell>
          <cell r="M608">
            <v>2.2000000000000002</v>
          </cell>
          <cell r="N608">
            <v>2.2000000000000002</v>
          </cell>
          <cell r="O608">
            <v>2</v>
          </cell>
          <cell r="P608">
            <v>2</v>
          </cell>
          <cell r="Q608">
            <v>0</v>
          </cell>
          <cell r="R608">
            <v>0</v>
          </cell>
          <cell r="S608">
            <v>2.2000000000000002</v>
          </cell>
          <cell r="T608">
            <v>0</v>
          </cell>
          <cell r="U608" t="str">
            <v/>
          </cell>
          <cell r="V608" t="str">
            <v>A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 t="e">
            <v>#DIV/0!</v>
          </cell>
          <cell r="AH608" t="e">
            <v>#DIV/0!</v>
          </cell>
          <cell r="AI608" t="e">
            <v>#DIV/0!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 t="e">
            <v>#N/A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0.9</v>
          </cell>
          <cell r="BH608">
            <v>1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 t="e">
            <v>#DIV/0!</v>
          </cell>
          <cell r="BO608">
            <v>38</v>
          </cell>
          <cell r="BP608">
            <v>0</v>
          </cell>
          <cell r="BQ608" t="e">
            <v>#VALUE!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 t="str">
            <v/>
          </cell>
          <cell r="BX608" t="str">
            <v/>
          </cell>
          <cell r="BY608">
            <v>1.5</v>
          </cell>
          <cell r="BZ608">
            <v>1.1429999999999998</v>
          </cell>
        </row>
        <row r="609">
          <cell r="B609" t="str">
            <v/>
          </cell>
          <cell r="C609">
            <v>0</v>
          </cell>
          <cell r="D609" t="str">
            <v/>
          </cell>
          <cell r="F609" t="str">
            <v/>
          </cell>
          <cell r="H609" t="str">
            <v/>
          </cell>
          <cell r="I609" t="e">
            <v>#N/A</v>
          </cell>
          <cell r="J609" t="e">
            <v>#N/A</v>
          </cell>
          <cell r="K609" t="e">
            <v>#N/A</v>
          </cell>
          <cell r="M609">
            <v>2.2000000000000002</v>
          </cell>
          <cell r="N609">
            <v>2.2000000000000002</v>
          </cell>
          <cell r="O609">
            <v>2</v>
          </cell>
          <cell r="P609">
            <v>2</v>
          </cell>
          <cell r="Q609">
            <v>0</v>
          </cell>
          <cell r="R609">
            <v>0</v>
          </cell>
          <cell r="S609">
            <v>2.2000000000000002</v>
          </cell>
          <cell r="T609">
            <v>0</v>
          </cell>
          <cell r="U609" t="str">
            <v/>
          </cell>
          <cell r="V609" t="str">
            <v>A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 t="e">
            <v>#DIV/0!</v>
          </cell>
          <cell r="AH609" t="e">
            <v>#DIV/0!</v>
          </cell>
          <cell r="AI609" t="e">
            <v>#DIV/0!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 t="e">
            <v>#N/A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0.9</v>
          </cell>
          <cell r="BH609">
            <v>1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 t="e">
            <v>#DIV/0!</v>
          </cell>
          <cell r="BO609">
            <v>38</v>
          </cell>
          <cell r="BP609">
            <v>0</v>
          </cell>
          <cell r="BQ609" t="e">
            <v>#VALUE!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 t="str">
            <v/>
          </cell>
          <cell r="BX609" t="str">
            <v/>
          </cell>
          <cell r="BY609">
            <v>1.5</v>
          </cell>
          <cell r="BZ609">
            <v>1.1429999999999998</v>
          </cell>
        </row>
        <row r="610">
          <cell r="B610" t="str">
            <v/>
          </cell>
          <cell r="C610">
            <v>0</v>
          </cell>
          <cell r="D610" t="str">
            <v/>
          </cell>
          <cell r="F610" t="str">
            <v/>
          </cell>
          <cell r="H610" t="str">
            <v/>
          </cell>
          <cell r="I610">
            <v>1</v>
          </cell>
          <cell r="J610">
            <v>1</v>
          </cell>
          <cell r="K610">
            <v>1</v>
          </cell>
          <cell r="M610">
            <v>2.2000000000000002</v>
          </cell>
          <cell r="N610">
            <v>2.2000000000000002</v>
          </cell>
          <cell r="O610">
            <v>2</v>
          </cell>
          <cell r="P610">
            <v>2</v>
          </cell>
          <cell r="Q610">
            <v>0</v>
          </cell>
          <cell r="R610">
            <v>0</v>
          </cell>
          <cell r="S610">
            <v>2.2000000000000002</v>
          </cell>
          <cell r="T610">
            <v>0</v>
          </cell>
          <cell r="U610" t="str">
            <v/>
          </cell>
          <cell r="V610" t="str">
            <v>A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 t="e">
            <v>#DIV/0!</v>
          </cell>
          <cell r="AH610" t="e">
            <v>#DIV/0!</v>
          </cell>
          <cell r="AI610" t="e">
            <v>#DIV/0!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 t="e">
            <v>#N/A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0.9</v>
          </cell>
          <cell r="BH610">
            <v>1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 t="e">
            <v>#DIV/0!</v>
          </cell>
          <cell r="BO610">
            <v>38</v>
          </cell>
          <cell r="BP610">
            <v>0</v>
          </cell>
          <cell r="BQ610" t="e">
            <v>#VALUE!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 t="str">
            <v/>
          </cell>
          <cell r="BX610" t="str">
            <v/>
          </cell>
          <cell r="BY610">
            <v>1.5</v>
          </cell>
          <cell r="BZ610">
            <v>1.1429999999999998</v>
          </cell>
        </row>
        <row r="611">
          <cell r="B611" t="str">
            <v/>
          </cell>
          <cell r="C611">
            <v>0</v>
          </cell>
          <cell r="D611" t="str">
            <v/>
          </cell>
          <cell r="F611" t="str">
            <v/>
          </cell>
          <cell r="H611" t="str">
            <v/>
          </cell>
          <cell r="I611" t="e">
            <v>#N/A</v>
          </cell>
          <cell r="J611" t="e">
            <v>#N/A</v>
          </cell>
          <cell r="K611" t="e">
            <v>#N/A</v>
          </cell>
          <cell r="M611">
            <v>2.2000000000000002</v>
          </cell>
          <cell r="N611">
            <v>2.2000000000000002</v>
          </cell>
          <cell r="O611">
            <v>2</v>
          </cell>
          <cell r="P611">
            <v>2</v>
          </cell>
          <cell r="Q611">
            <v>0</v>
          </cell>
          <cell r="R611">
            <v>0</v>
          </cell>
          <cell r="S611">
            <v>2.2000000000000002</v>
          </cell>
          <cell r="T611">
            <v>0</v>
          </cell>
          <cell r="U611" t="str">
            <v/>
          </cell>
          <cell r="V611" t="str">
            <v>A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 t="e">
            <v>#DIV/0!</v>
          </cell>
          <cell r="AH611" t="e">
            <v>#DIV/0!</v>
          </cell>
          <cell r="AI611" t="e">
            <v>#DIV/0!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 t="e">
            <v>#N/A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0.9</v>
          </cell>
          <cell r="BH611">
            <v>1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 t="e">
            <v>#DIV/0!</v>
          </cell>
          <cell r="BO611">
            <v>38</v>
          </cell>
          <cell r="BP611">
            <v>0</v>
          </cell>
          <cell r="BQ611" t="e">
            <v>#VALUE!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 t="str">
            <v/>
          </cell>
          <cell r="BX611" t="str">
            <v/>
          </cell>
          <cell r="BY611">
            <v>1.5</v>
          </cell>
          <cell r="BZ611">
            <v>1.1429999999999998</v>
          </cell>
        </row>
        <row r="612">
          <cell r="B612" t="str">
            <v/>
          </cell>
          <cell r="C612">
            <v>0</v>
          </cell>
          <cell r="D612" t="str">
            <v/>
          </cell>
          <cell r="F612" t="str">
            <v/>
          </cell>
          <cell r="H612" t="str">
            <v/>
          </cell>
          <cell r="I612">
            <v>0</v>
          </cell>
          <cell r="J612">
            <v>0</v>
          </cell>
          <cell r="K612">
            <v>0</v>
          </cell>
          <cell r="M612">
            <v>2.2000000000000002</v>
          </cell>
          <cell r="N612">
            <v>2.2000000000000002</v>
          </cell>
          <cell r="O612">
            <v>2</v>
          </cell>
          <cell r="P612">
            <v>2</v>
          </cell>
          <cell r="Q612">
            <v>0</v>
          </cell>
          <cell r="R612">
            <v>0</v>
          </cell>
          <cell r="S612">
            <v>2.2000000000000002</v>
          </cell>
          <cell r="T612">
            <v>0</v>
          </cell>
          <cell r="U612" t="str">
            <v/>
          </cell>
          <cell r="V612" t="str">
            <v>A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 t="e">
            <v>#DIV/0!</v>
          </cell>
          <cell r="AH612" t="e">
            <v>#DIV/0!</v>
          </cell>
          <cell r="AI612" t="e">
            <v>#DIV/0!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 t="e">
            <v>#N/A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0.9</v>
          </cell>
          <cell r="BH612">
            <v>1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 t="e">
            <v>#DIV/0!</v>
          </cell>
          <cell r="BO612">
            <v>38</v>
          </cell>
          <cell r="BP612">
            <v>0</v>
          </cell>
          <cell r="BQ612" t="e">
            <v>#VALUE!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 t="str">
            <v/>
          </cell>
          <cell r="BX612" t="str">
            <v/>
          </cell>
          <cell r="BY612">
            <v>1.5</v>
          </cell>
          <cell r="BZ612">
            <v>1.1429999999999998</v>
          </cell>
        </row>
        <row r="613">
          <cell r="B613" t="str">
            <v/>
          </cell>
          <cell r="C613">
            <v>0</v>
          </cell>
          <cell r="D613" t="str">
            <v/>
          </cell>
          <cell r="F613" t="str">
            <v/>
          </cell>
          <cell r="H613" t="str">
            <v/>
          </cell>
          <cell r="I613">
            <v>0</v>
          </cell>
          <cell r="J613">
            <v>0</v>
          </cell>
          <cell r="K613">
            <v>0</v>
          </cell>
          <cell r="M613">
            <v>2.2000000000000002</v>
          </cell>
          <cell r="N613">
            <v>2.2000000000000002</v>
          </cell>
          <cell r="O613">
            <v>2</v>
          </cell>
          <cell r="P613">
            <v>2</v>
          </cell>
          <cell r="Q613">
            <v>0</v>
          </cell>
          <cell r="R613">
            <v>0</v>
          </cell>
          <cell r="S613">
            <v>2.2000000000000002</v>
          </cell>
          <cell r="T613">
            <v>0</v>
          </cell>
          <cell r="U613" t="str">
            <v/>
          </cell>
          <cell r="V613" t="str">
            <v>A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 t="e">
            <v>#DIV/0!</v>
          </cell>
          <cell r="AH613" t="e">
            <v>#DIV/0!</v>
          </cell>
          <cell r="AI613" t="e">
            <v>#DIV/0!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 t="e">
            <v>#N/A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0.9</v>
          </cell>
          <cell r="BH613">
            <v>1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 t="e">
            <v>#DIV/0!</v>
          </cell>
          <cell r="BO613">
            <v>38</v>
          </cell>
          <cell r="BP613">
            <v>0</v>
          </cell>
          <cell r="BQ613" t="e">
            <v>#VALUE!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 t="str">
            <v/>
          </cell>
          <cell r="BX613" t="str">
            <v/>
          </cell>
          <cell r="BY613">
            <v>1.5</v>
          </cell>
          <cell r="BZ613">
            <v>1.1429999999999998</v>
          </cell>
        </row>
        <row r="614">
          <cell r="B614" t="str">
            <v/>
          </cell>
          <cell r="C614">
            <v>0</v>
          </cell>
          <cell r="D614" t="str">
            <v/>
          </cell>
          <cell r="F614" t="str">
            <v/>
          </cell>
          <cell r="H614" t="str">
            <v/>
          </cell>
          <cell r="I614" t="e">
            <v>#N/A</v>
          </cell>
          <cell r="J614" t="e">
            <v>#N/A</v>
          </cell>
          <cell r="K614" t="e">
            <v>#N/A</v>
          </cell>
          <cell r="M614">
            <v>2.2000000000000002</v>
          </cell>
          <cell r="N614">
            <v>2.2000000000000002</v>
          </cell>
          <cell r="O614">
            <v>2</v>
          </cell>
          <cell r="P614">
            <v>2</v>
          </cell>
          <cell r="Q614">
            <v>0</v>
          </cell>
          <cell r="R614">
            <v>0</v>
          </cell>
          <cell r="S614">
            <v>2.2000000000000002</v>
          </cell>
          <cell r="T614">
            <v>0</v>
          </cell>
          <cell r="U614" t="str">
            <v/>
          </cell>
          <cell r="V614" t="str">
            <v>A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 t="e">
            <v>#DIV/0!</v>
          </cell>
          <cell r="AH614" t="e">
            <v>#DIV/0!</v>
          </cell>
          <cell r="AI614" t="e">
            <v>#DIV/0!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 t="e">
            <v>#N/A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0.9</v>
          </cell>
          <cell r="BH614">
            <v>1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 t="e">
            <v>#DIV/0!</v>
          </cell>
          <cell r="BO614">
            <v>38</v>
          </cell>
          <cell r="BP614">
            <v>0</v>
          </cell>
          <cell r="BQ614" t="e">
            <v>#VALUE!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 t="str">
            <v/>
          </cell>
          <cell r="BX614" t="str">
            <v/>
          </cell>
          <cell r="BY614">
            <v>1.5</v>
          </cell>
          <cell r="BZ614">
            <v>1.1429999999999998</v>
          </cell>
        </row>
        <row r="615">
          <cell r="B615" t="str">
            <v/>
          </cell>
          <cell r="C615">
            <v>0</v>
          </cell>
          <cell r="D615" t="str">
            <v/>
          </cell>
          <cell r="F615" t="str">
            <v/>
          </cell>
          <cell r="H615" t="str">
            <v/>
          </cell>
          <cell r="I615" t="e">
            <v>#N/A</v>
          </cell>
          <cell r="J615" t="e">
            <v>#N/A</v>
          </cell>
          <cell r="K615" t="e">
            <v>#N/A</v>
          </cell>
          <cell r="M615">
            <v>2.2000000000000002</v>
          </cell>
          <cell r="N615">
            <v>2.2000000000000002</v>
          </cell>
          <cell r="O615">
            <v>2</v>
          </cell>
          <cell r="P615">
            <v>2</v>
          </cell>
          <cell r="Q615">
            <v>0</v>
          </cell>
          <cell r="R615">
            <v>0</v>
          </cell>
          <cell r="S615">
            <v>2.2000000000000002</v>
          </cell>
          <cell r="T615">
            <v>0</v>
          </cell>
          <cell r="U615" t="str">
            <v/>
          </cell>
          <cell r="V615" t="str">
            <v>A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 t="e">
            <v>#DIV/0!</v>
          </cell>
          <cell r="AH615" t="e">
            <v>#DIV/0!</v>
          </cell>
          <cell r="AI615" t="e">
            <v>#DIV/0!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 t="e">
            <v>#N/A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0.9</v>
          </cell>
          <cell r="BH615">
            <v>1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 t="e">
            <v>#DIV/0!</v>
          </cell>
          <cell r="BO615">
            <v>38</v>
          </cell>
          <cell r="BP615">
            <v>0</v>
          </cell>
          <cell r="BQ615" t="e">
            <v>#VALUE!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 t="str">
            <v/>
          </cell>
          <cell r="BX615" t="str">
            <v/>
          </cell>
          <cell r="BY615">
            <v>1.5</v>
          </cell>
          <cell r="BZ615">
            <v>1.1429999999999998</v>
          </cell>
        </row>
        <row r="616">
          <cell r="B616" t="str">
            <v/>
          </cell>
          <cell r="C616">
            <v>0</v>
          </cell>
          <cell r="D616" t="str">
            <v/>
          </cell>
          <cell r="F616" t="str">
            <v/>
          </cell>
          <cell r="H616" t="str">
            <v/>
          </cell>
          <cell r="I616">
            <v>1</v>
          </cell>
          <cell r="J616">
            <v>1</v>
          </cell>
          <cell r="K616">
            <v>1</v>
          </cell>
          <cell r="M616">
            <v>2.2000000000000002</v>
          </cell>
          <cell r="N616">
            <v>2.2000000000000002</v>
          </cell>
          <cell r="O616">
            <v>2</v>
          </cell>
          <cell r="P616">
            <v>2</v>
          </cell>
          <cell r="Q616">
            <v>0</v>
          </cell>
          <cell r="R616">
            <v>0</v>
          </cell>
          <cell r="S616">
            <v>2.2000000000000002</v>
          </cell>
          <cell r="T616">
            <v>0</v>
          </cell>
          <cell r="U616" t="str">
            <v/>
          </cell>
          <cell r="V616" t="str">
            <v>A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 t="e">
            <v>#DIV/0!</v>
          </cell>
          <cell r="AH616" t="e">
            <v>#DIV/0!</v>
          </cell>
          <cell r="AI616" t="e">
            <v>#DIV/0!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 t="e">
            <v>#N/A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0.9</v>
          </cell>
          <cell r="BH616">
            <v>1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 t="e">
            <v>#DIV/0!</v>
          </cell>
          <cell r="BO616">
            <v>38</v>
          </cell>
          <cell r="BP616">
            <v>0</v>
          </cell>
          <cell r="BQ616" t="e">
            <v>#VALUE!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 t="str">
            <v/>
          </cell>
          <cell r="BX616" t="str">
            <v/>
          </cell>
          <cell r="BY616">
            <v>1.5</v>
          </cell>
          <cell r="BZ616">
            <v>1.1429999999999998</v>
          </cell>
        </row>
        <row r="617">
          <cell r="B617" t="str">
            <v/>
          </cell>
          <cell r="C617">
            <v>0</v>
          </cell>
          <cell r="D617" t="str">
            <v/>
          </cell>
          <cell r="F617" t="str">
            <v/>
          </cell>
          <cell r="H617" t="str">
            <v/>
          </cell>
          <cell r="I617" t="e">
            <v>#N/A</v>
          </cell>
          <cell r="J617" t="e">
            <v>#N/A</v>
          </cell>
          <cell r="K617" t="e">
            <v>#N/A</v>
          </cell>
          <cell r="M617">
            <v>2.2000000000000002</v>
          </cell>
          <cell r="N617">
            <v>2.2000000000000002</v>
          </cell>
          <cell r="O617">
            <v>2</v>
          </cell>
          <cell r="P617">
            <v>2</v>
          </cell>
          <cell r="Q617">
            <v>0</v>
          </cell>
          <cell r="R617">
            <v>0</v>
          </cell>
          <cell r="S617">
            <v>2.2000000000000002</v>
          </cell>
          <cell r="T617">
            <v>0</v>
          </cell>
          <cell r="U617" t="str">
            <v/>
          </cell>
          <cell r="V617" t="str">
            <v>A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 t="e">
            <v>#DIV/0!</v>
          </cell>
          <cell r="AH617" t="e">
            <v>#DIV/0!</v>
          </cell>
          <cell r="AI617" t="e">
            <v>#DIV/0!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 t="e">
            <v>#N/A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0.9</v>
          </cell>
          <cell r="BH617">
            <v>1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 t="e">
            <v>#DIV/0!</v>
          </cell>
          <cell r="BO617">
            <v>38</v>
          </cell>
          <cell r="BP617">
            <v>0</v>
          </cell>
          <cell r="BQ617" t="e">
            <v>#VALUE!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 t="str">
            <v/>
          </cell>
          <cell r="BX617" t="str">
            <v/>
          </cell>
          <cell r="BY617">
            <v>1.5</v>
          </cell>
          <cell r="BZ617">
            <v>1.1429999999999998</v>
          </cell>
        </row>
        <row r="618">
          <cell r="B618" t="str">
            <v/>
          </cell>
          <cell r="C618">
            <v>0</v>
          </cell>
          <cell r="D618" t="str">
            <v/>
          </cell>
          <cell r="F618" t="str">
            <v/>
          </cell>
          <cell r="H618" t="str">
            <v/>
          </cell>
          <cell r="I618">
            <v>2.2000000000000002</v>
          </cell>
          <cell r="J618">
            <v>2.4000000000000004</v>
          </cell>
          <cell r="K618">
            <v>2.6</v>
          </cell>
          <cell r="M618">
            <v>2.2000000000000002</v>
          </cell>
          <cell r="N618">
            <v>2.2000000000000002</v>
          </cell>
          <cell r="O618">
            <v>2</v>
          </cell>
          <cell r="P618">
            <v>2</v>
          </cell>
          <cell r="Q618">
            <v>0</v>
          </cell>
          <cell r="R618">
            <v>0</v>
          </cell>
          <cell r="S618">
            <v>2.2000000000000002</v>
          </cell>
          <cell r="T618">
            <v>0</v>
          </cell>
          <cell r="U618" t="str">
            <v/>
          </cell>
          <cell r="V618" t="str">
            <v>A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 t="e">
            <v>#DIV/0!</v>
          </cell>
          <cell r="AH618" t="e">
            <v>#DIV/0!</v>
          </cell>
          <cell r="AI618" t="e">
            <v>#DIV/0!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 t="e">
            <v>#N/A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0.9</v>
          </cell>
          <cell r="BH618">
            <v>1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 t="e">
            <v>#DIV/0!</v>
          </cell>
          <cell r="BO618">
            <v>38</v>
          </cell>
          <cell r="BP618">
            <v>0</v>
          </cell>
          <cell r="BQ618" t="e">
            <v>#VALUE!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 t="str">
            <v/>
          </cell>
          <cell r="BX618" t="str">
            <v/>
          </cell>
          <cell r="BY618">
            <v>1.5</v>
          </cell>
          <cell r="BZ618">
            <v>1.1429999999999998</v>
          </cell>
        </row>
        <row r="619">
          <cell r="B619" t="str">
            <v/>
          </cell>
          <cell r="C619">
            <v>0</v>
          </cell>
          <cell r="D619" t="str">
            <v/>
          </cell>
          <cell r="F619" t="str">
            <v/>
          </cell>
          <cell r="H619" t="str">
            <v/>
          </cell>
          <cell r="I619">
            <v>0</v>
          </cell>
          <cell r="J619">
            <v>0.5</v>
          </cell>
          <cell r="K619">
            <v>1</v>
          </cell>
          <cell r="M619">
            <v>2.2000000000000002</v>
          </cell>
          <cell r="N619">
            <v>2.2000000000000002</v>
          </cell>
          <cell r="O619">
            <v>2</v>
          </cell>
          <cell r="P619">
            <v>2</v>
          </cell>
          <cell r="Q619">
            <v>0</v>
          </cell>
          <cell r="R619">
            <v>0</v>
          </cell>
          <cell r="S619">
            <v>2.2000000000000002</v>
          </cell>
          <cell r="T619">
            <v>0</v>
          </cell>
          <cell r="U619" t="str">
            <v/>
          </cell>
          <cell r="V619" t="str">
            <v>A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 t="e">
            <v>#DIV/0!</v>
          </cell>
          <cell r="AH619" t="e">
            <v>#DIV/0!</v>
          </cell>
          <cell r="AI619" t="e">
            <v>#DIV/0!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 t="e">
            <v>#N/A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0.9</v>
          </cell>
          <cell r="BH619">
            <v>1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 t="e">
            <v>#DIV/0!</v>
          </cell>
          <cell r="BO619">
            <v>38</v>
          </cell>
          <cell r="BP619">
            <v>0</v>
          </cell>
          <cell r="BQ619" t="e">
            <v>#VALUE!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 t="str">
            <v/>
          </cell>
          <cell r="BX619" t="str">
            <v/>
          </cell>
          <cell r="BY619">
            <v>1.5</v>
          </cell>
          <cell r="BZ619">
            <v>1.1429999999999998</v>
          </cell>
        </row>
        <row r="620">
          <cell r="B620" t="str">
            <v/>
          </cell>
          <cell r="C620">
            <v>0</v>
          </cell>
          <cell r="D620" t="str">
            <v/>
          </cell>
          <cell r="F620" t="str">
            <v/>
          </cell>
          <cell r="H620" t="str">
            <v/>
          </cell>
          <cell r="I620" t="e">
            <v>#N/A</v>
          </cell>
          <cell r="J620" t="e">
            <v>#N/A</v>
          </cell>
          <cell r="K620" t="e">
            <v>#N/A</v>
          </cell>
          <cell r="M620">
            <v>2.2000000000000002</v>
          </cell>
          <cell r="N620">
            <v>2.2000000000000002</v>
          </cell>
          <cell r="O620">
            <v>2</v>
          </cell>
          <cell r="P620">
            <v>2</v>
          </cell>
          <cell r="Q620">
            <v>0</v>
          </cell>
          <cell r="R620">
            <v>0</v>
          </cell>
          <cell r="S620">
            <v>2.2000000000000002</v>
          </cell>
          <cell r="T620">
            <v>0</v>
          </cell>
          <cell r="U620" t="str">
            <v/>
          </cell>
          <cell r="V620" t="str">
            <v>A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 t="e">
            <v>#DIV/0!</v>
          </cell>
          <cell r="AH620" t="e">
            <v>#DIV/0!</v>
          </cell>
          <cell r="AI620" t="e">
            <v>#DIV/0!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 t="e">
            <v>#N/A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0.9</v>
          </cell>
          <cell r="BH620">
            <v>1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 t="e">
            <v>#DIV/0!</v>
          </cell>
          <cell r="BO620">
            <v>38</v>
          </cell>
          <cell r="BP620">
            <v>0</v>
          </cell>
          <cell r="BQ620" t="e">
            <v>#VALUE!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 t="str">
            <v/>
          </cell>
          <cell r="BX620" t="str">
            <v/>
          </cell>
          <cell r="BY620">
            <v>1.5</v>
          </cell>
          <cell r="BZ620">
            <v>1.1429999999999998</v>
          </cell>
        </row>
        <row r="621">
          <cell r="B621" t="str">
            <v/>
          </cell>
          <cell r="C621">
            <v>0</v>
          </cell>
          <cell r="D621" t="str">
            <v/>
          </cell>
          <cell r="F621" t="str">
            <v/>
          </cell>
          <cell r="H621" t="str">
            <v/>
          </cell>
          <cell r="I621" t="e">
            <v>#N/A</v>
          </cell>
          <cell r="J621" t="e">
            <v>#N/A</v>
          </cell>
          <cell r="K621" t="e">
            <v>#N/A</v>
          </cell>
          <cell r="M621">
            <v>2.2000000000000002</v>
          </cell>
          <cell r="N621">
            <v>2.2000000000000002</v>
          </cell>
          <cell r="O621">
            <v>2</v>
          </cell>
          <cell r="P621">
            <v>2</v>
          </cell>
          <cell r="Q621">
            <v>0</v>
          </cell>
          <cell r="R621">
            <v>0</v>
          </cell>
          <cell r="S621">
            <v>2.2000000000000002</v>
          </cell>
          <cell r="T621">
            <v>0</v>
          </cell>
          <cell r="U621" t="str">
            <v/>
          </cell>
          <cell r="V621" t="str">
            <v>A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 t="e">
            <v>#DIV/0!</v>
          </cell>
          <cell r="AH621" t="e">
            <v>#DIV/0!</v>
          </cell>
          <cell r="AI621" t="e">
            <v>#DIV/0!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 t="e">
            <v>#N/A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0.9</v>
          </cell>
          <cell r="BH621">
            <v>1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 t="e">
            <v>#DIV/0!</v>
          </cell>
          <cell r="BO621">
            <v>38</v>
          </cell>
          <cell r="BP621">
            <v>0</v>
          </cell>
          <cell r="BQ621" t="e">
            <v>#VALUE!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 t="str">
            <v/>
          </cell>
          <cell r="BX621" t="str">
            <v/>
          </cell>
          <cell r="BY621">
            <v>1.5</v>
          </cell>
          <cell r="BZ621">
            <v>1.1429999999999998</v>
          </cell>
        </row>
        <row r="622">
          <cell r="B622" t="str">
            <v/>
          </cell>
          <cell r="C622">
            <v>0</v>
          </cell>
          <cell r="D622" t="str">
            <v/>
          </cell>
          <cell r="F622" t="str">
            <v/>
          </cell>
          <cell r="H622" t="str">
            <v/>
          </cell>
          <cell r="I622" t="e">
            <v>#N/A</v>
          </cell>
          <cell r="J622" t="e">
            <v>#N/A</v>
          </cell>
          <cell r="K622" t="e">
            <v>#N/A</v>
          </cell>
          <cell r="M622">
            <v>2.2000000000000002</v>
          </cell>
          <cell r="N622">
            <v>2.2000000000000002</v>
          </cell>
          <cell r="O622">
            <v>2</v>
          </cell>
          <cell r="P622">
            <v>2</v>
          </cell>
          <cell r="Q622">
            <v>0</v>
          </cell>
          <cell r="R622">
            <v>0</v>
          </cell>
          <cell r="S622">
            <v>2.2000000000000002</v>
          </cell>
          <cell r="T622">
            <v>0</v>
          </cell>
          <cell r="U622" t="str">
            <v/>
          </cell>
          <cell r="V622" t="str">
            <v>A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 t="e">
            <v>#DIV/0!</v>
          </cell>
          <cell r="AH622" t="e">
            <v>#DIV/0!</v>
          </cell>
          <cell r="AI622" t="e">
            <v>#DIV/0!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 t="e">
            <v>#N/A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0.9</v>
          </cell>
          <cell r="BH622">
            <v>1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 t="e">
            <v>#DIV/0!</v>
          </cell>
          <cell r="BO622">
            <v>38</v>
          </cell>
          <cell r="BP622">
            <v>0</v>
          </cell>
          <cell r="BQ622" t="e">
            <v>#VALUE!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 t="str">
            <v/>
          </cell>
          <cell r="BX622" t="str">
            <v/>
          </cell>
          <cell r="BY622">
            <v>1.5</v>
          </cell>
          <cell r="BZ622">
            <v>1.1429999999999998</v>
          </cell>
        </row>
        <row r="623">
          <cell r="B623" t="str">
            <v/>
          </cell>
          <cell r="C623">
            <v>0</v>
          </cell>
          <cell r="D623" t="str">
            <v/>
          </cell>
          <cell r="F623" t="str">
            <v/>
          </cell>
          <cell r="H623" t="str">
            <v/>
          </cell>
          <cell r="I623">
            <v>0</v>
          </cell>
          <cell r="J623">
            <v>0.5</v>
          </cell>
          <cell r="K623">
            <v>1</v>
          </cell>
          <cell r="M623">
            <v>2.2000000000000002</v>
          </cell>
          <cell r="N623">
            <v>2.2000000000000002</v>
          </cell>
          <cell r="O623">
            <v>2</v>
          </cell>
          <cell r="P623">
            <v>2</v>
          </cell>
          <cell r="Q623">
            <v>0</v>
          </cell>
          <cell r="R623">
            <v>0</v>
          </cell>
          <cell r="S623">
            <v>2.2000000000000002</v>
          </cell>
          <cell r="T623">
            <v>0</v>
          </cell>
          <cell r="U623" t="str">
            <v/>
          </cell>
          <cell r="V623" t="str">
            <v>A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 t="e">
            <v>#DIV/0!</v>
          </cell>
          <cell r="AH623" t="e">
            <v>#DIV/0!</v>
          </cell>
          <cell r="AI623" t="e">
            <v>#DIV/0!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 t="e">
            <v>#N/A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0.9</v>
          </cell>
          <cell r="BH623">
            <v>1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 t="e">
            <v>#DIV/0!</v>
          </cell>
          <cell r="BO623">
            <v>38</v>
          </cell>
          <cell r="BP623">
            <v>0</v>
          </cell>
          <cell r="BQ623" t="e">
            <v>#VALUE!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 t="str">
            <v/>
          </cell>
          <cell r="BX623" t="str">
            <v/>
          </cell>
          <cell r="BY623">
            <v>1.5</v>
          </cell>
          <cell r="BZ623">
            <v>1.1429999999999998</v>
          </cell>
        </row>
        <row r="624">
          <cell r="B624" t="str">
            <v/>
          </cell>
          <cell r="C624">
            <v>0</v>
          </cell>
          <cell r="D624" t="str">
            <v/>
          </cell>
          <cell r="F624" t="str">
            <v/>
          </cell>
          <cell r="H624" t="str">
            <v/>
          </cell>
          <cell r="I624">
            <v>0</v>
          </cell>
          <cell r="J624">
            <v>0.93333333333333324</v>
          </cell>
          <cell r="K624">
            <v>1.8</v>
          </cell>
          <cell r="M624">
            <v>2.2000000000000002</v>
          </cell>
          <cell r="N624">
            <v>2.2000000000000002</v>
          </cell>
          <cell r="O624">
            <v>2</v>
          </cell>
          <cell r="P624">
            <v>2</v>
          </cell>
          <cell r="Q624">
            <v>0</v>
          </cell>
          <cell r="R624">
            <v>0</v>
          </cell>
          <cell r="S624">
            <v>2.2000000000000002</v>
          </cell>
          <cell r="T624">
            <v>0</v>
          </cell>
          <cell r="U624" t="str">
            <v/>
          </cell>
          <cell r="V624" t="str">
            <v>A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 t="e">
            <v>#DIV/0!</v>
          </cell>
          <cell r="AH624" t="e">
            <v>#DIV/0!</v>
          </cell>
          <cell r="AI624" t="e">
            <v>#DIV/0!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 t="e">
            <v>#N/A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0.9</v>
          </cell>
          <cell r="BH624">
            <v>1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 t="e">
            <v>#DIV/0!</v>
          </cell>
          <cell r="BO624">
            <v>38</v>
          </cell>
          <cell r="BP624">
            <v>0</v>
          </cell>
          <cell r="BQ624" t="e">
            <v>#VALUE!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 t="str">
            <v/>
          </cell>
          <cell r="BX624" t="str">
            <v/>
          </cell>
          <cell r="BY624">
            <v>1.5</v>
          </cell>
          <cell r="BZ624">
            <v>1.1429999999999998</v>
          </cell>
        </row>
        <row r="625">
          <cell r="B625" t="str">
            <v/>
          </cell>
          <cell r="C625">
            <v>0</v>
          </cell>
          <cell r="D625" t="str">
            <v/>
          </cell>
          <cell r="F625" t="str">
            <v/>
          </cell>
          <cell r="H625" t="str">
            <v/>
          </cell>
          <cell r="I625">
            <v>0</v>
          </cell>
          <cell r="J625">
            <v>0.4</v>
          </cell>
          <cell r="K625">
            <v>0.8</v>
          </cell>
          <cell r="M625">
            <v>2.2000000000000002</v>
          </cell>
          <cell r="N625">
            <v>2.2000000000000002</v>
          </cell>
          <cell r="O625">
            <v>2</v>
          </cell>
          <cell r="P625">
            <v>2</v>
          </cell>
          <cell r="Q625">
            <v>0</v>
          </cell>
          <cell r="R625">
            <v>0</v>
          </cell>
          <cell r="S625">
            <v>2.2000000000000002</v>
          </cell>
          <cell r="T625">
            <v>0</v>
          </cell>
          <cell r="U625" t="str">
            <v/>
          </cell>
          <cell r="V625" t="str">
            <v>A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 t="e">
            <v>#DIV/0!</v>
          </cell>
          <cell r="AH625" t="e">
            <v>#DIV/0!</v>
          </cell>
          <cell r="AI625" t="e">
            <v>#DIV/0!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 t="e">
            <v>#N/A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0.9</v>
          </cell>
          <cell r="BH625">
            <v>1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 t="e">
            <v>#DIV/0!</v>
          </cell>
          <cell r="BO625">
            <v>38</v>
          </cell>
          <cell r="BP625">
            <v>0</v>
          </cell>
          <cell r="BQ625" t="e">
            <v>#VALUE!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 t="str">
            <v/>
          </cell>
          <cell r="BX625" t="str">
            <v/>
          </cell>
          <cell r="BY625">
            <v>1.5</v>
          </cell>
          <cell r="BZ625">
            <v>1.1429999999999998</v>
          </cell>
        </row>
        <row r="626">
          <cell r="B626" t="str">
            <v/>
          </cell>
          <cell r="C626">
            <v>0</v>
          </cell>
          <cell r="D626" t="str">
            <v/>
          </cell>
          <cell r="F626" t="str">
            <v/>
          </cell>
          <cell r="H626" t="str">
            <v/>
          </cell>
          <cell r="I626" t="e">
            <v>#N/A</v>
          </cell>
          <cell r="J626" t="e">
            <v>#N/A</v>
          </cell>
          <cell r="K626" t="e">
            <v>#N/A</v>
          </cell>
          <cell r="M626">
            <v>2.2000000000000002</v>
          </cell>
          <cell r="N626">
            <v>2.2000000000000002</v>
          </cell>
          <cell r="O626">
            <v>2</v>
          </cell>
          <cell r="P626">
            <v>2</v>
          </cell>
          <cell r="Q626">
            <v>0</v>
          </cell>
          <cell r="R626">
            <v>0</v>
          </cell>
          <cell r="S626">
            <v>2.2000000000000002</v>
          </cell>
          <cell r="T626">
            <v>0</v>
          </cell>
          <cell r="U626" t="str">
            <v/>
          </cell>
          <cell r="V626" t="str">
            <v>A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 t="e">
            <v>#DIV/0!</v>
          </cell>
          <cell r="AH626" t="e">
            <v>#DIV/0!</v>
          </cell>
          <cell r="AI626" t="e">
            <v>#DIV/0!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 t="e">
            <v>#N/A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0.9</v>
          </cell>
          <cell r="BH626">
            <v>1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 t="e">
            <v>#DIV/0!</v>
          </cell>
          <cell r="BO626">
            <v>38</v>
          </cell>
          <cell r="BP626">
            <v>0</v>
          </cell>
          <cell r="BQ626" t="e">
            <v>#VALUE!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 t="str">
            <v/>
          </cell>
          <cell r="BX626" t="str">
            <v/>
          </cell>
          <cell r="BY626">
            <v>1.5</v>
          </cell>
          <cell r="BZ626">
            <v>1.1429999999999998</v>
          </cell>
        </row>
        <row r="627">
          <cell r="B627" t="str">
            <v/>
          </cell>
          <cell r="C627">
            <v>0</v>
          </cell>
          <cell r="D627" t="str">
            <v/>
          </cell>
          <cell r="F627" t="str">
            <v/>
          </cell>
          <cell r="H627" t="str">
            <v/>
          </cell>
          <cell r="I627" t="e">
            <v>#N/A</v>
          </cell>
          <cell r="J627" t="e">
            <v>#N/A</v>
          </cell>
          <cell r="K627" t="e">
            <v>#N/A</v>
          </cell>
          <cell r="M627">
            <v>2.2000000000000002</v>
          </cell>
          <cell r="N627">
            <v>2.2000000000000002</v>
          </cell>
          <cell r="O627">
            <v>2</v>
          </cell>
          <cell r="P627">
            <v>2</v>
          </cell>
          <cell r="Q627">
            <v>0</v>
          </cell>
          <cell r="R627">
            <v>0</v>
          </cell>
          <cell r="S627">
            <v>2.2000000000000002</v>
          </cell>
          <cell r="T627">
            <v>0</v>
          </cell>
          <cell r="U627" t="str">
            <v/>
          </cell>
          <cell r="V627" t="str">
            <v>A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 t="e">
            <v>#DIV/0!</v>
          </cell>
          <cell r="AH627" t="e">
            <v>#DIV/0!</v>
          </cell>
          <cell r="AI627" t="e">
            <v>#DIV/0!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 t="e">
            <v>#N/A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0.9</v>
          </cell>
          <cell r="BH627">
            <v>1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 t="e">
            <v>#DIV/0!</v>
          </cell>
          <cell r="BO627">
            <v>38</v>
          </cell>
          <cell r="BP627">
            <v>0</v>
          </cell>
          <cell r="BQ627" t="e">
            <v>#VALUE!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 t="str">
            <v/>
          </cell>
          <cell r="BX627" t="str">
            <v/>
          </cell>
          <cell r="BY627">
            <v>1.5</v>
          </cell>
          <cell r="BZ627">
            <v>1.1429999999999998</v>
          </cell>
        </row>
        <row r="628">
          <cell r="B628" t="str">
            <v/>
          </cell>
          <cell r="C628">
            <v>0</v>
          </cell>
          <cell r="D628" t="str">
            <v/>
          </cell>
          <cell r="F628" t="str">
            <v/>
          </cell>
          <cell r="H628" t="str">
            <v/>
          </cell>
          <cell r="I628">
            <v>0</v>
          </cell>
          <cell r="J628">
            <v>0</v>
          </cell>
          <cell r="K628">
            <v>0</v>
          </cell>
          <cell r="M628">
            <v>2.2000000000000002</v>
          </cell>
          <cell r="N628">
            <v>2.2000000000000002</v>
          </cell>
          <cell r="O628">
            <v>2</v>
          </cell>
          <cell r="P628">
            <v>2</v>
          </cell>
          <cell r="Q628">
            <v>0</v>
          </cell>
          <cell r="R628">
            <v>0</v>
          </cell>
          <cell r="S628">
            <v>2.2000000000000002</v>
          </cell>
          <cell r="T628">
            <v>0</v>
          </cell>
          <cell r="U628" t="str">
            <v/>
          </cell>
          <cell r="V628" t="str">
            <v>A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 t="e">
            <v>#DIV/0!</v>
          </cell>
          <cell r="AH628" t="e">
            <v>#DIV/0!</v>
          </cell>
          <cell r="AI628" t="e">
            <v>#DIV/0!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 t="e">
            <v>#N/A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0.9</v>
          </cell>
          <cell r="BH628">
            <v>1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 t="e">
            <v>#DIV/0!</v>
          </cell>
          <cell r="BO628">
            <v>38</v>
          </cell>
          <cell r="BP628">
            <v>0</v>
          </cell>
          <cell r="BQ628" t="e">
            <v>#VALUE!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 t="str">
            <v/>
          </cell>
          <cell r="BX628" t="str">
            <v/>
          </cell>
          <cell r="BY628">
            <v>1.5</v>
          </cell>
          <cell r="BZ628">
            <v>1.1429999999999998</v>
          </cell>
        </row>
        <row r="629">
          <cell r="B629" t="str">
            <v/>
          </cell>
          <cell r="C629">
            <v>0</v>
          </cell>
          <cell r="D629" t="str">
            <v/>
          </cell>
          <cell r="F629" t="str">
            <v/>
          </cell>
          <cell r="H629" t="str">
            <v/>
          </cell>
          <cell r="I629">
            <v>1</v>
          </cell>
          <cell r="J629">
            <v>1</v>
          </cell>
          <cell r="K629">
            <v>1</v>
          </cell>
          <cell r="M629">
            <v>2.2000000000000002</v>
          </cell>
          <cell r="N629">
            <v>2.2000000000000002</v>
          </cell>
          <cell r="O629">
            <v>2</v>
          </cell>
          <cell r="P629">
            <v>2</v>
          </cell>
          <cell r="Q629">
            <v>0</v>
          </cell>
          <cell r="R629">
            <v>0</v>
          </cell>
          <cell r="S629">
            <v>2.2000000000000002</v>
          </cell>
          <cell r="T629">
            <v>0</v>
          </cell>
          <cell r="U629" t="str">
            <v/>
          </cell>
          <cell r="V629" t="str">
            <v>A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 t="e">
            <v>#DIV/0!</v>
          </cell>
          <cell r="AH629" t="e">
            <v>#DIV/0!</v>
          </cell>
          <cell r="AI629" t="e">
            <v>#DIV/0!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 t="e">
            <v>#N/A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0.9</v>
          </cell>
          <cell r="BH629">
            <v>1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 t="e">
            <v>#DIV/0!</v>
          </cell>
          <cell r="BO629">
            <v>38</v>
          </cell>
          <cell r="BP629">
            <v>0</v>
          </cell>
          <cell r="BQ629" t="e">
            <v>#VALUE!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 t="str">
            <v/>
          </cell>
          <cell r="BX629" t="str">
            <v/>
          </cell>
          <cell r="BY629">
            <v>1.5</v>
          </cell>
          <cell r="BZ629">
            <v>1.1429999999999998</v>
          </cell>
        </row>
        <row r="630">
          <cell r="B630" t="str">
            <v/>
          </cell>
          <cell r="C630">
            <v>0</v>
          </cell>
          <cell r="D630" t="str">
            <v/>
          </cell>
          <cell r="F630" t="str">
            <v/>
          </cell>
          <cell r="H630" t="str">
            <v/>
          </cell>
          <cell r="I630">
            <v>1</v>
          </cell>
          <cell r="J630">
            <v>1.9666666666666668</v>
          </cell>
          <cell r="K630">
            <v>3.3</v>
          </cell>
          <cell r="M630">
            <v>2.2000000000000002</v>
          </cell>
          <cell r="N630">
            <v>2.2000000000000002</v>
          </cell>
          <cell r="O630">
            <v>2</v>
          </cell>
          <cell r="P630">
            <v>2</v>
          </cell>
          <cell r="Q630">
            <v>0</v>
          </cell>
          <cell r="R630">
            <v>0</v>
          </cell>
          <cell r="S630">
            <v>2.2000000000000002</v>
          </cell>
          <cell r="T630">
            <v>0</v>
          </cell>
          <cell r="U630" t="str">
            <v/>
          </cell>
          <cell r="V630" t="str">
            <v>A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 t="e">
            <v>#DIV/0!</v>
          </cell>
          <cell r="AH630" t="e">
            <v>#DIV/0!</v>
          </cell>
          <cell r="AI630" t="e">
            <v>#DIV/0!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 t="e">
            <v>#N/A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0.9</v>
          </cell>
          <cell r="BH630">
            <v>1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 t="e">
            <v>#DIV/0!</v>
          </cell>
          <cell r="BO630">
            <v>38</v>
          </cell>
          <cell r="BP630">
            <v>0</v>
          </cell>
          <cell r="BQ630" t="e">
            <v>#VALUE!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 t="str">
            <v/>
          </cell>
          <cell r="BX630" t="str">
            <v/>
          </cell>
          <cell r="BY630">
            <v>1.5</v>
          </cell>
          <cell r="BZ630">
            <v>1.1429999999999998</v>
          </cell>
        </row>
        <row r="631">
          <cell r="B631" t="str">
            <v/>
          </cell>
          <cell r="C631">
            <v>0</v>
          </cell>
          <cell r="D631" t="str">
            <v/>
          </cell>
          <cell r="F631" t="str">
            <v/>
          </cell>
          <cell r="H631" t="str">
            <v/>
          </cell>
          <cell r="I631">
            <v>4.2</v>
          </cell>
          <cell r="J631">
            <v>4.8666666666666671</v>
          </cell>
          <cell r="K631">
            <v>6.1</v>
          </cell>
          <cell r="M631">
            <v>2.2000000000000002</v>
          </cell>
          <cell r="N631">
            <v>2.2000000000000002</v>
          </cell>
          <cell r="O631">
            <v>2</v>
          </cell>
          <cell r="P631">
            <v>2</v>
          </cell>
          <cell r="Q631">
            <v>0</v>
          </cell>
          <cell r="R631">
            <v>0</v>
          </cell>
          <cell r="S631">
            <v>2.2000000000000002</v>
          </cell>
          <cell r="T631">
            <v>0</v>
          </cell>
          <cell r="U631" t="str">
            <v/>
          </cell>
          <cell r="V631" t="str">
            <v>A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 t="e">
            <v>#DIV/0!</v>
          </cell>
          <cell r="AH631" t="e">
            <v>#DIV/0!</v>
          </cell>
          <cell r="AI631" t="e">
            <v>#DIV/0!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 t="e">
            <v>#N/A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0.9</v>
          </cell>
          <cell r="BH631">
            <v>1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 t="e">
            <v>#DIV/0!</v>
          </cell>
          <cell r="BO631">
            <v>38</v>
          </cell>
          <cell r="BP631">
            <v>0</v>
          </cell>
          <cell r="BQ631" t="e">
            <v>#VALUE!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 t="str">
            <v/>
          </cell>
          <cell r="BX631" t="str">
            <v/>
          </cell>
          <cell r="BY631">
            <v>1.5</v>
          </cell>
          <cell r="BZ631">
            <v>1.1429999999999998</v>
          </cell>
        </row>
        <row r="632">
          <cell r="B632" t="str">
            <v/>
          </cell>
          <cell r="C632">
            <v>0</v>
          </cell>
          <cell r="D632" t="str">
            <v/>
          </cell>
          <cell r="F632" t="str">
            <v/>
          </cell>
          <cell r="H632" t="str">
            <v/>
          </cell>
          <cell r="I632">
            <v>0</v>
          </cell>
          <cell r="J632">
            <v>1.4333333333333336</v>
          </cell>
          <cell r="K632">
            <v>2.2000000000000002</v>
          </cell>
          <cell r="M632">
            <v>2.2000000000000002</v>
          </cell>
          <cell r="N632">
            <v>2.2000000000000002</v>
          </cell>
          <cell r="O632">
            <v>2</v>
          </cell>
          <cell r="P632">
            <v>2</v>
          </cell>
          <cell r="Q632">
            <v>0</v>
          </cell>
          <cell r="R632">
            <v>0</v>
          </cell>
          <cell r="S632">
            <v>2.2000000000000002</v>
          </cell>
          <cell r="T632">
            <v>0</v>
          </cell>
          <cell r="U632" t="str">
            <v/>
          </cell>
          <cell r="V632" t="str">
            <v>A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 t="e">
            <v>#DIV/0!</v>
          </cell>
          <cell r="AH632" t="e">
            <v>#DIV/0!</v>
          </cell>
          <cell r="AI632" t="e">
            <v>#DIV/0!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 t="e">
            <v>#N/A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0.9</v>
          </cell>
          <cell r="BH632">
            <v>1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 t="e">
            <v>#DIV/0!</v>
          </cell>
          <cell r="BO632">
            <v>38</v>
          </cell>
          <cell r="BP632">
            <v>0</v>
          </cell>
          <cell r="BQ632" t="e">
            <v>#VALUE!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 t="str">
            <v/>
          </cell>
          <cell r="BX632" t="str">
            <v/>
          </cell>
          <cell r="BY632">
            <v>1.5</v>
          </cell>
          <cell r="BZ632">
            <v>1.1429999999999998</v>
          </cell>
        </row>
        <row r="633">
          <cell r="B633" t="str">
            <v/>
          </cell>
          <cell r="C633">
            <v>0</v>
          </cell>
          <cell r="D633" t="str">
            <v/>
          </cell>
          <cell r="F633" t="str">
            <v/>
          </cell>
          <cell r="H633" t="str">
            <v/>
          </cell>
          <cell r="I633">
            <v>1</v>
          </cell>
          <cell r="J633">
            <v>1.9000000000000001</v>
          </cell>
          <cell r="K633">
            <v>3</v>
          </cell>
          <cell r="M633">
            <v>2.2000000000000002</v>
          </cell>
          <cell r="N633">
            <v>2.2000000000000002</v>
          </cell>
          <cell r="O633">
            <v>2</v>
          </cell>
          <cell r="P633">
            <v>2</v>
          </cell>
          <cell r="Q633">
            <v>0</v>
          </cell>
          <cell r="R633">
            <v>0</v>
          </cell>
          <cell r="S633">
            <v>2.2000000000000002</v>
          </cell>
          <cell r="T633">
            <v>0</v>
          </cell>
          <cell r="U633" t="str">
            <v/>
          </cell>
          <cell r="V633" t="str">
            <v>A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 t="e">
            <v>#DIV/0!</v>
          </cell>
          <cell r="AH633" t="e">
            <v>#DIV/0!</v>
          </cell>
          <cell r="AI633" t="e">
            <v>#DIV/0!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 t="e">
            <v>#N/A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0.9</v>
          </cell>
          <cell r="BH633">
            <v>1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 t="e">
            <v>#DIV/0!</v>
          </cell>
          <cell r="BO633">
            <v>38</v>
          </cell>
          <cell r="BP633">
            <v>0</v>
          </cell>
          <cell r="BQ633" t="e">
            <v>#VALUE!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 t="str">
            <v/>
          </cell>
          <cell r="BX633" t="str">
            <v/>
          </cell>
          <cell r="BY633">
            <v>1.5</v>
          </cell>
          <cell r="BZ633">
            <v>1.1429999999999998</v>
          </cell>
        </row>
        <row r="634">
          <cell r="B634" t="str">
            <v/>
          </cell>
          <cell r="C634">
            <v>0</v>
          </cell>
          <cell r="D634" t="str">
            <v/>
          </cell>
          <cell r="F634" t="str">
            <v/>
          </cell>
          <cell r="H634" t="str">
            <v/>
          </cell>
          <cell r="I634">
            <v>1.4</v>
          </cell>
          <cell r="J634">
            <v>2.2333333333333329</v>
          </cell>
          <cell r="K634">
            <v>3.3</v>
          </cell>
          <cell r="M634">
            <v>2.2000000000000002</v>
          </cell>
          <cell r="N634">
            <v>2.2000000000000002</v>
          </cell>
          <cell r="O634">
            <v>2</v>
          </cell>
          <cell r="P634">
            <v>2</v>
          </cell>
          <cell r="Q634">
            <v>0</v>
          </cell>
          <cell r="R634">
            <v>0</v>
          </cell>
          <cell r="S634">
            <v>2.2000000000000002</v>
          </cell>
          <cell r="T634">
            <v>0</v>
          </cell>
          <cell r="U634" t="str">
            <v/>
          </cell>
          <cell r="V634" t="str">
            <v>A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 t="e">
            <v>#DIV/0!</v>
          </cell>
          <cell r="AH634" t="e">
            <v>#DIV/0!</v>
          </cell>
          <cell r="AI634" t="e">
            <v>#DIV/0!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 t="e">
            <v>#N/A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0.9</v>
          </cell>
          <cell r="BH634">
            <v>1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 t="e">
            <v>#DIV/0!</v>
          </cell>
          <cell r="BO634">
            <v>38</v>
          </cell>
          <cell r="BP634">
            <v>0</v>
          </cell>
          <cell r="BQ634" t="e">
            <v>#VALUE!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 t="str">
            <v/>
          </cell>
          <cell r="BX634" t="str">
            <v/>
          </cell>
          <cell r="BY634">
            <v>1.5</v>
          </cell>
          <cell r="BZ634">
            <v>1.1429999999999998</v>
          </cell>
        </row>
        <row r="635">
          <cell r="B635" t="str">
            <v/>
          </cell>
          <cell r="C635">
            <v>0</v>
          </cell>
          <cell r="D635" t="str">
            <v/>
          </cell>
          <cell r="F635" t="str">
            <v/>
          </cell>
          <cell r="H635" t="str">
            <v/>
          </cell>
          <cell r="I635" t="e">
            <v>#N/A</v>
          </cell>
          <cell r="J635" t="e">
            <v>#N/A</v>
          </cell>
          <cell r="K635" t="e">
            <v>#N/A</v>
          </cell>
          <cell r="M635">
            <v>2.2000000000000002</v>
          </cell>
          <cell r="N635">
            <v>2.2000000000000002</v>
          </cell>
          <cell r="O635">
            <v>2</v>
          </cell>
          <cell r="P635">
            <v>2</v>
          </cell>
          <cell r="Q635">
            <v>0</v>
          </cell>
          <cell r="R635">
            <v>0</v>
          </cell>
          <cell r="S635">
            <v>2.2000000000000002</v>
          </cell>
          <cell r="T635">
            <v>0</v>
          </cell>
          <cell r="U635" t="str">
            <v/>
          </cell>
          <cell r="V635" t="str">
            <v>A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 t="e">
            <v>#DIV/0!</v>
          </cell>
          <cell r="AH635" t="e">
            <v>#DIV/0!</v>
          </cell>
          <cell r="AI635" t="e">
            <v>#DIV/0!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 t="e">
            <v>#N/A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0.9</v>
          </cell>
          <cell r="BH635">
            <v>1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 t="e">
            <v>#DIV/0!</v>
          </cell>
          <cell r="BO635">
            <v>38</v>
          </cell>
          <cell r="BP635">
            <v>0</v>
          </cell>
          <cell r="BQ635" t="e">
            <v>#VALUE!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 t="str">
            <v/>
          </cell>
          <cell r="BX635" t="str">
            <v/>
          </cell>
          <cell r="BY635">
            <v>1.5</v>
          </cell>
          <cell r="BZ635">
            <v>1.1429999999999998</v>
          </cell>
        </row>
        <row r="636">
          <cell r="B636" t="str">
            <v/>
          </cell>
          <cell r="C636">
            <v>0</v>
          </cell>
          <cell r="D636" t="str">
            <v/>
          </cell>
          <cell r="F636" t="str">
            <v/>
          </cell>
          <cell r="H636" t="str">
            <v/>
          </cell>
          <cell r="I636" t="e">
            <v>#N/A</v>
          </cell>
          <cell r="J636" t="e">
            <v>#N/A</v>
          </cell>
          <cell r="K636" t="e">
            <v>#N/A</v>
          </cell>
          <cell r="M636">
            <v>2.2000000000000002</v>
          </cell>
          <cell r="N636">
            <v>2.2000000000000002</v>
          </cell>
          <cell r="O636">
            <v>2</v>
          </cell>
          <cell r="P636">
            <v>2</v>
          </cell>
          <cell r="Q636">
            <v>0</v>
          </cell>
          <cell r="R636">
            <v>0</v>
          </cell>
          <cell r="S636">
            <v>2.2000000000000002</v>
          </cell>
          <cell r="T636">
            <v>0</v>
          </cell>
          <cell r="U636" t="str">
            <v/>
          </cell>
          <cell r="V636" t="str">
            <v>A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 t="e">
            <v>#DIV/0!</v>
          </cell>
          <cell r="AH636" t="e">
            <v>#DIV/0!</v>
          </cell>
          <cell r="AI636" t="e">
            <v>#DIV/0!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 t="e">
            <v>#N/A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0.9</v>
          </cell>
          <cell r="BH636">
            <v>1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 t="e">
            <v>#DIV/0!</v>
          </cell>
          <cell r="BO636">
            <v>38</v>
          </cell>
          <cell r="BP636">
            <v>0</v>
          </cell>
          <cell r="BQ636" t="e">
            <v>#VALUE!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 t="str">
            <v/>
          </cell>
          <cell r="BX636" t="str">
            <v/>
          </cell>
          <cell r="BY636">
            <v>1.5</v>
          </cell>
          <cell r="BZ636">
            <v>1.1429999999999998</v>
          </cell>
        </row>
        <row r="637">
          <cell r="B637" t="str">
            <v/>
          </cell>
          <cell r="C637">
            <v>0</v>
          </cell>
          <cell r="D637" t="str">
            <v/>
          </cell>
          <cell r="F637" t="str">
            <v/>
          </cell>
          <cell r="H637" t="str">
            <v/>
          </cell>
          <cell r="I637" t="e">
            <v>#N/A</v>
          </cell>
          <cell r="J637" t="e">
            <v>#N/A</v>
          </cell>
          <cell r="K637" t="e">
            <v>#N/A</v>
          </cell>
          <cell r="M637">
            <v>2.2000000000000002</v>
          </cell>
          <cell r="N637">
            <v>2.2000000000000002</v>
          </cell>
          <cell r="O637">
            <v>2</v>
          </cell>
          <cell r="P637">
            <v>2</v>
          </cell>
          <cell r="Q637">
            <v>0</v>
          </cell>
          <cell r="R637">
            <v>0</v>
          </cell>
          <cell r="S637">
            <v>2.2000000000000002</v>
          </cell>
          <cell r="T637">
            <v>0</v>
          </cell>
          <cell r="U637" t="str">
            <v/>
          </cell>
          <cell r="V637" t="str">
            <v>A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 t="e">
            <v>#DIV/0!</v>
          </cell>
          <cell r="AH637" t="e">
            <v>#DIV/0!</v>
          </cell>
          <cell r="AI637" t="e">
            <v>#DIV/0!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 t="e">
            <v>#N/A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0.9</v>
          </cell>
          <cell r="BH637">
            <v>1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 t="e">
            <v>#DIV/0!</v>
          </cell>
          <cell r="BO637">
            <v>38</v>
          </cell>
          <cell r="BP637">
            <v>0</v>
          </cell>
          <cell r="BQ637" t="e">
            <v>#VALUE!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 t="str">
            <v/>
          </cell>
          <cell r="BX637" t="str">
            <v/>
          </cell>
          <cell r="BY637">
            <v>1.5</v>
          </cell>
          <cell r="BZ637">
            <v>1.1429999999999998</v>
          </cell>
        </row>
        <row r="638">
          <cell r="B638" t="str">
            <v/>
          </cell>
          <cell r="C638">
            <v>0</v>
          </cell>
          <cell r="D638" t="str">
            <v/>
          </cell>
          <cell r="F638" t="str">
            <v/>
          </cell>
          <cell r="H638" t="str">
            <v/>
          </cell>
          <cell r="I638" t="e">
            <v>#N/A</v>
          </cell>
          <cell r="J638" t="e">
            <v>#N/A</v>
          </cell>
          <cell r="K638" t="e">
            <v>#N/A</v>
          </cell>
          <cell r="M638">
            <v>2.2000000000000002</v>
          </cell>
          <cell r="N638">
            <v>2.2000000000000002</v>
          </cell>
          <cell r="O638">
            <v>2</v>
          </cell>
          <cell r="P638">
            <v>2</v>
          </cell>
          <cell r="Q638">
            <v>0</v>
          </cell>
          <cell r="R638">
            <v>0</v>
          </cell>
          <cell r="S638">
            <v>2.2000000000000002</v>
          </cell>
          <cell r="T638">
            <v>0</v>
          </cell>
          <cell r="U638" t="str">
            <v/>
          </cell>
          <cell r="V638" t="str">
            <v>A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 t="e">
            <v>#DIV/0!</v>
          </cell>
          <cell r="AH638" t="e">
            <v>#DIV/0!</v>
          </cell>
          <cell r="AI638" t="e">
            <v>#DIV/0!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 t="e">
            <v>#N/A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0.9</v>
          </cell>
          <cell r="BH638">
            <v>1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 t="e">
            <v>#DIV/0!</v>
          </cell>
          <cell r="BO638">
            <v>38</v>
          </cell>
          <cell r="BP638">
            <v>0</v>
          </cell>
          <cell r="BQ638" t="e">
            <v>#VALUE!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 t="str">
            <v/>
          </cell>
          <cell r="BX638" t="str">
            <v/>
          </cell>
          <cell r="BY638">
            <v>1.5</v>
          </cell>
          <cell r="BZ638">
            <v>1.1429999999999998</v>
          </cell>
        </row>
        <row r="639">
          <cell r="B639" t="str">
            <v/>
          </cell>
          <cell r="C639">
            <v>0</v>
          </cell>
          <cell r="D639" t="str">
            <v/>
          </cell>
          <cell r="F639" t="str">
            <v/>
          </cell>
          <cell r="H639" t="str">
            <v/>
          </cell>
          <cell r="I639">
            <v>0</v>
          </cell>
          <cell r="J639">
            <v>0.75</v>
          </cell>
          <cell r="K639">
            <v>1.5</v>
          </cell>
          <cell r="M639">
            <v>2.2000000000000002</v>
          </cell>
          <cell r="N639">
            <v>2.2000000000000002</v>
          </cell>
          <cell r="O639">
            <v>2</v>
          </cell>
          <cell r="P639">
            <v>2</v>
          </cell>
          <cell r="Q639">
            <v>0</v>
          </cell>
          <cell r="R639">
            <v>0</v>
          </cell>
          <cell r="S639">
            <v>2.2000000000000002</v>
          </cell>
          <cell r="T639">
            <v>0</v>
          </cell>
          <cell r="U639" t="str">
            <v/>
          </cell>
          <cell r="V639" t="str">
            <v>A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 t="e">
            <v>#DIV/0!</v>
          </cell>
          <cell r="AH639" t="e">
            <v>#DIV/0!</v>
          </cell>
          <cell r="AI639" t="e">
            <v>#DIV/0!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 t="e">
            <v>#N/A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0.9</v>
          </cell>
          <cell r="BH639">
            <v>1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 t="e">
            <v>#DIV/0!</v>
          </cell>
          <cell r="BO639">
            <v>38</v>
          </cell>
          <cell r="BP639">
            <v>0</v>
          </cell>
          <cell r="BQ639" t="e">
            <v>#VALUE!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 t="str">
            <v/>
          </cell>
          <cell r="BX639" t="str">
            <v/>
          </cell>
          <cell r="BY639">
            <v>1.5</v>
          </cell>
          <cell r="BZ639">
            <v>1.1429999999999998</v>
          </cell>
        </row>
        <row r="640">
          <cell r="B640" t="str">
            <v/>
          </cell>
          <cell r="C640">
            <v>0</v>
          </cell>
          <cell r="D640" t="str">
            <v/>
          </cell>
          <cell r="F640" t="str">
            <v/>
          </cell>
          <cell r="H640" t="str">
            <v/>
          </cell>
          <cell r="I640">
            <v>0</v>
          </cell>
          <cell r="J640">
            <v>0</v>
          </cell>
          <cell r="K640">
            <v>0</v>
          </cell>
          <cell r="M640">
            <v>2.2000000000000002</v>
          </cell>
          <cell r="N640">
            <v>2.2000000000000002</v>
          </cell>
          <cell r="O640">
            <v>2</v>
          </cell>
          <cell r="P640">
            <v>2</v>
          </cell>
          <cell r="Q640">
            <v>0</v>
          </cell>
          <cell r="R640">
            <v>0</v>
          </cell>
          <cell r="S640">
            <v>2.2000000000000002</v>
          </cell>
          <cell r="T640">
            <v>0</v>
          </cell>
          <cell r="U640" t="str">
            <v/>
          </cell>
          <cell r="V640" t="str">
            <v>A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 t="e">
            <v>#DIV/0!</v>
          </cell>
          <cell r="AH640" t="e">
            <v>#DIV/0!</v>
          </cell>
          <cell r="AI640" t="e">
            <v>#DIV/0!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 t="e">
            <v>#N/A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0.9</v>
          </cell>
          <cell r="BH640">
            <v>1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 t="e">
            <v>#DIV/0!</v>
          </cell>
          <cell r="BO640">
            <v>38</v>
          </cell>
          <cell r="BP640">
            <v>0</v>
          </cell>
          <cell r="BQ640" t="e">
            <v>#VALUE!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 t="str">
            <v/>
          </cell>
          <cell r="BX640" t="str">
            <v/>
          </cell>
          <cell r="BY640">
            <v>1.5</v>
          </cell>
          <cell r="BZ640">
            <v>1.1429999999999998</v>
          </cell>
        </row>
        <row r="641">
          <cell r="B641" t="str">
            <v/>
          </cell>
          <cell r="C641">
            <v>0</v>
          </cell>
          <cell r="D641" t="str">
            <v/>
          </cell>
          <cell r="F641" t="str">
            <v/>
          </cell>
          <cell r="H641" t="str">
            <v/>
          </cell>
          <cell r="I641">
            <v>1.7</v>
          </cell>
          <cell r="J641">
            <v>2.3333333333333335</v>
          </cell>
          <cell r="K641">
            <v>2.9</v>
          </cell>
          <cell r="M641">
            <v>2.2000000000000002</v>
          </cell>
          <cell r="N641">
            <v>2.2000000000000002</v>
          </cell>
          <cell r="O641">
            <v>2</v>
          </cell>
          <cell r="P641">
            <v>2</v>
          </cell>
          <cell r="Q641">
            <v>0</v>
          </cell>
          <cell r="R641">
            <v>0</v>
          </cell>
          <cell r="S641">
            <v>2.2000000000000002</v>
          </cell>
          <cell r="T641">
            <v>0</v>
          </cell>
          <cell r="U641" t="str">
            <v/>
          </cell>
          <cell r="V641" t="str">
            <v>A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 t="e">
            <v>#DIV/0!</v>
          </cell>
          <cell r="AH641" t="e">
            <v>#DIV/0!</v>
          </cell>
          <cell r="AI641" t="e">
            <v>#DIV/0!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 t="e">
            <v>#N/A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0.9</v>
          </cell>
          <cell r="BH641">
            <v>1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 t="e">
            <v>#DIV/0!</v>
          </cell>
          <cell r="BO641">
            <v>38</v>
          </cell>
          <cell r="BP641">
            <v>0</v>
          </cell>
          <cell r="BQ641" t="e">
            <v>#VALUE!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 t="str">
            <v/>
          </cell>
          <cell r="BX641" t="str">
            <v/>
          </cell>
          <cell r="BY641">
            <v>1.5</v>
          </cell>
          <cell r="BZ641">
            <v>1.1429999999999998</v>
          </cell>
        </row>
        <row r="642">
          <cell r="B642" t="str">
            <v/>
          </cell>
          <cell r="C642">
            <v>0</v>
          </cell>
          <cell r="D642" t="str">
            <v/>
          </cell>
          <cell r="F642" t="str">
            <v/>
          </cell>
          <cell r="H642" t="str">
            <v/>
          </cell>
          <cell r="I642">
            <v>1.9</v>
          </cell>
          <cell r="J642">
            <v>2.2666666666666671</v>
          </cell>
          <cell r="K642">
            <v>2.8</v>
          </cell>
          <cell r="M642">
            <v>2.2000000000000002</v>
          </cell>
          <cell r="N642">
            <v>2.2000000000000002</v>
          </cell>
          <cell r="O642">
            <v>2</v>
          </cell>
          <cell r="P642">
            <v>2</v>
          </cell>
          <cell r="Q642">
            <v>0</v>
          </cell>
          <cell r="R642">
            <v>0</v>
          </cell>
          <cell r="S642">
            <v>2.2000000000000002</v>
          </cell>
          <cell r="T642">
            <v>0</v>
          </cell>
          <cell r="U642" t="str">
            <v/>
          </cell>
          <cell r="V642" t="str">
            <v>A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 t="e">
            <v>#DIV/0!</v>
          </cell>
          <cell r="AH642" t="e">
            <v>#DIV/0!</v>
          </cell>
          <cell r="AI642" t="e">
            <v>#DIV/0!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 t="e">
            <v>#N/A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0.9</v>
          </cell>
          <cell r="BH642">
            <v>1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 t="e">
            <v>#DIV/0!</v>
          </cell>
          <cell r="BO642">
            <v>38</v>
          </cell>
          <cell r="BP642">
            <v>0</v>
          </cell>
          <cell r="BQ642" t="e">
            <v>#VALUE!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 t="str">
            <v/>
          </cell>
          <cell r="BX642" t="str">
            <v/>
          </cell>
          <cell r="BY642">
            <v>1.5</v>
          </cell>
          <cell r="BZ642">
            <v>1.1429999999999998</v>
          </cell>
        </row>
        <row r="643">
          <cell r="B643" t="str">
            <v/>
          </cell>
          <cell r="C643">
            <v>0</v>
          </cell>
          <cell r="D643" t="str">
            <v/>
          </cell>
          <cell r="F643" t="str">
            <v/>
          </cell>
          <cell r="H643" t="str">
            <v/>
          </cell>
          <cell r="I643">
            <v>1</v>
          </cell>
          <cell r="J643">
            <v>1</v>
          </cell>
          <cell r="K643">
            <v>1</v>
          </cell>
          <cell r="M643">
            <v>2.2000000000000002</v>
          </cell>
          <cell r="N643">
            <v>2.2000000000000002</v>
          </cell>
          <cell r="O643">
            <v>2</v>
          </cell>
          <cell r="P643">
            <v>2</v>
          </cell>
          <cell r="Q643">
            <v>0</v>
          </cell>
          <cell r="R643">
            <v>0</v>
          </cell>
          <cell r="S643">
            <v>2.2000000000000002</v>
          </cell>
          <cell r="T643">
            <v>0</v>
          </cell>
          <cell r="U643" t="str">
            <v/>
          </cell>
          <cell r="V643" t="str">
            <v>A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 t="e">
            <v>#DIV/0!</v>
          </cell>
          <cell r="AH643" t="e">
            <v>#DIV/0!</v>
          </cell>
          <cell r="AI643" t="e">
            <v>#DIV/0!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 t="e">
            <v>#N/A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0.9</v>
          </cell>
          <cell r="BH643">
            <v>1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 t="e">
            <v>#DIV/0!</v>
          </cell>
          <cell r="BO643">
            <v>38</v>
          </cell>
          <cell r="BP643">
            <v>0</v>
          </cell>
          <cell r="BQ643" t="e">
            <v>#VALUE!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 t="str">
            <v/>
          </cell>
          <cell r="BX643" t="str">
            <v/>
          </cell>
          <cell r="BY643">
            <v>1.5</v>
          </cell>
          <cell r="BZ643">
            <v>1.1429999999999998</v>
          </cell>
        </row>
        <row r="644">
          <cell r="B644" t="str">
            <v/>
          </cell>
          <cell r="C644">
            <v>0</v>
          </cell>
          <cell r="D644" t="str">
            <v/>
          </cell>
          <cell r="F644" t="str">
            <v/>
          </cell>
          <cell r="H644" t="str">
            <v/>
          </cell>
          <cell r="I644">
            <v>0</v>
          </cell>
          <cell r="J644">
            <v>0.33333333333333331</v>
          </cell>
          <cell r="K644">
            <v>1</v>
          </cell>
          <cell r="M644">
            <v>2.2000000000000002</v>
          </cell>
          <cell r="N644">
            <v>2.2000000000000002</v>
          </cell>
          <cell r="O644">
            <v>2</v>
          </cell>
          <cell r="P644">
            <v>2</v>
          </cell>
          <cell r="Q644">
            <v>0</v>
          </cell>
          <cell r="R644">
            <v>0</v>
          </cell>
          <cell r="S644">
            <v>2.2000000000000002</v>
          </cell>
          <cell r="T644">
            <v>0</v>
          </cell>
          <cell r="U644" t="str">
            <v/>
          </cell>
          <cell r="V644" t="str">
            <v>A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 t="e">
            <v>#DIV/0!</v>
          </cell>
          <cell r="AH644" t="e">
            <v>#DIV/0!</v>
          </cell>
          <cell r="AI644" t="e">
            <v>#DIV/0!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 t="e">
            <v>#N/A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0.9</v>
          </cell>
          <cell r="BH644">
            <v>1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 t="e">
            <v>#DIV/0!</v>
          </cell>
          <cell r="BO644">
            <v>38</v>
          </cell>
          <cell r="BP644">
            <v>0</v>
          </cell>
          <cell r="BQ644" t="e">
            <v>#VALUE!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 t="str">
            <v/>
          </cell>
          <cell r="BX644" t="str">
            <v/>
          </cell>
          <cell r="BY644">
            <v>1.5</v>
          </cell>
          <cell r="BZ644">
            <v>1.1429999999999998</v>
          </cell>
        </row>
        <row r="645">
          <cell r="B645" t="str">
            <v/>
          </cell>
          <cell r="C645">
            <v>0</v>
          </cell>
          <cell r="D645" t="str">
            <v/>
          </cell>
          <cell r="F645" t="str">
            <v/>
          </cell>
          <cell r="H645" t="str">
            <v/>
          </cell>
          <cell r="I645" t="e">
            <v>#N/A</v>
          </cell>
          <cell r="J645" t="e">
            <v>#N/A</v>
          </cell>
          <cell r="K645" t="e">
            <v>#N/A</v>
          </cell>
          <cell r="M645">
            <v>2.2000000000000002</v>
          </cell>
          <cell r="N645">
            <v>2.2000000000000002</v>
          </cell>
          <cell r="O645">
            <v>2</v>
          </cell>
          <cell r="P645">
            <v>2</v>
          </cell>
          <cell r="Q645">
            <v>0</v>
          </cell>
          <cell r="R645">
            <v>0</v>
          </cell>
          <cell r="S645">
            <v>2.2000000000000002</v>
          </cell>
          <cell r="T645">
            <v>0</v>
          </cell>
          <cell r="U645" t="str">
            <v/>
          </cell>
          <cell r="V645" t="str">
            <v>A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 t="e">
            <v>#DIV/0!</v>
          </cell>
          <cell r="AH645" t="e">
            <v>#DIV/0!</v>
          </cell>
          <cell r="AI645" t="e">
            <v>#DIV/0!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 t="e">
            <v>#N/A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0.9</v>
          </cell>
          <cell r="BH645">
            <v>1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 t="e">
            <v>#DIV/0!</v>
          </cell>
          <cell r="BO645">
            <v>38</v>
          </cell>
          <cell r="BP645">
            <v>0</v>
          </cell>
          <cell r="BQ645" t="e">
            <v>#VALUE!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 t="str">
            <v/>
          </cell>
          <cell r="BX645" t="str">
            <v/>
          </cell>
          <cell r="BY645">
            <v>1.5</v>
          </cell>
          <cell r="BZ645">
            <v>1.1429999999999998</v>
          </cell>
        </row>
        <row r="646">
          <cell r="B646" t="str">
            <v/>
          </cell>
          <cell r="C646">
            <v>0</v>
          </cell>
          <cell r="D646" t="str">
            <v/>
          </cell>
          <cell r="F646" t="str">
            <v/>
          </cell>
          <cell r="H646" t="str">
            <v/>
          </cell>
          <cell r="I646" t="e">
            <v>#N/A</v>
          </cell>
          <cell r="J646" t="e">
            <v>#N/A</v>
          </cell>
          <cell r="K646" t="e">
            <v>#N/A</v>
          </cell>
          <cell r="M646">
            <v>2.2000000000000002</v>
          </cell>
          <cell r="N646">
            <v>2.2000000000000002</v>
          </cell>
          <cell r="O646">
            <v>2</v>
          </cell>
          <cell r="P646">
            <v>2</v>
          </cell>
          <cell r="Q646">
            <v>0</v>
          </cell>
          <cell r="R646">
            <v>0</v>
          </cell>
          <cell r="S646">
            <v>2.2000000000000002</v>
          </cell>
          <cell r="T646">
            <v>0</v>
          </cell>
          <cell r="U646" t="str">
            <v/>
          </cell>
          <cell r="V646" t="str">
            <v>A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 t="e">
            <v>#DIV/0!</v>
          </cell>
          <cell r="AH646" t="e">
            <v>#DIV/0!</v>
          </cell>
          <cell r="AI646" t="e">
            <v>#DIV/0!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 t="e">
            <v>#N/A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0.9</v>
          </cell>
          <cell r="BH646">
            <v>1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 t="e">
            <v>#DIV/0!</v>
          </cell>
          <cell r="BO646">
            <v>38</v>
          </cell>
          <cell r="BP646">
            <v>0</v>
          </cell>
          <cell r="BQ646" t="e">
            <v>#VALUE!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 t="str">
            <v/>
          </cell>
          <cell r="BX646" t="str">
            <v/>
          </cell>
          <cell r="BY646">
            <v>1.5</v>
          </cell>
          <cell r="BZ646">
            <v>1.1429999999999998</v>
          </cell>
        </row>
        <row r="647">
          <cell r="B647" t="str">
            <v/>
          </cell>
          <cell r="C647">
            <v>0</v>
          </cell>
          <cell r="D647" t="str">
            <v/>
          </cell>
          <cell r="F647" t="str">
            <v/>
          </cell>
          <cell r="H647" t="str">
            <v/>
          </cell>
          <cell r="I647">
            <v>0</v>
          </cell>
          <cell r="J647">
            <v>1.3333333333333333</v>
          </cell>
          <cell r="K647">
            <v>2.5</v>
          </cell>
          <cell r="M647">
            <v>2.2000000000000002</v>
          </cell>
          <cell r="N647">
            <v>2.2000000000000002</v>
          </cell>
          <cell r="O647">
            <v>2</v>
          </cell>
          <cell r="P647">
            <v>2</v>
          </cell>
          <cell r="Q647">
            <v>0</v>
          </cell>
          <cell r="R647">
            <v>0</v>
          </cell>
          <cell r="S647">
            <v>2.2000000000000002</v>
          </cell>
          <cell r="T647">
            <v>0</v>
          </cell>
          <cell r="U647" t="str">
            <v/>
          </cell>
          <cell r="V647" t="str">
            <v>A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 t="e">
            <v>#DIV/0!</v>
          </cell>
          <cell r="AH647" t="e">
            <v>#DIV/0!</v>
          </cell>
          <cell r="AI647" t="e">
            <v>#DIV/0!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 t="e">
            <v>#N/A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0.9</v>
          </cell>
          <cell r="BH647">
            <v>1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 t="e">
            <v>#DIV/0!</v>
          </cell>
          <cell r="BO647">
            <v>38</v>
          </cell>
          <cell r="BP647">
            <v>0</v>
          </cell>
          <cell r="BQ647" t="e">
            <v>#VALUE!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 t="str">
            <v/>
          </cell>
          <cell r="BX647" t="str">
            <v/>
          </cell>
          <cell r="BY647">
            <v>1.5</v>
          </cell>
          <cell r="BZ647">
            <v>1.1429999999999998</v>
          </cell>
        </row>
        <row r="648">
          <cell r="B648" t="str">
            <v/>
          </cell>
          <cell r="C648">
            <v>0</v>
          </cell>
          <cell r="D648" t="str">
            <v/>
          </cell>
          <cell r="F648" t="str">
            <v/>
          </cell>
          <cell r="H648" t="str">
            <v/>
          </cell>
          <cell r="I648" t="e">
            <v>#N/A</v>
          </cell>
          <cell r="J648" t="e">
            <v>#N/A</v>
          </cell>
          <cell r="K648" t="e">
            <v>#N/A</v>
          </cell>
          <cell r="M648">
            <v>2.2000000000000002</v>
          </cell>
          <cell r="N648">
            <v>2.2000000000000002</v>
          </cell>
          <cell r="O648">
            <v>2</v>
          </cell>
          <cell r="P648">
            <v>2</v>
          </cell>
          <cell r="Q648">
            <v>0</v>
          </cell>
          <cell r="R648">
            <v>0</v>
          </cell>
          <cell r="S648">
            <v>2.2000000000000002</v>
          </cell>
          <cell r="T648">
            <v>0</v>
          </cell>
          <cell r="U648" t="str">
            <v/>
          </cell>
          <cell r="V648" t="str">
            <v>A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 t="e">
            <v>#DIV/0!</v>
          </cell>
          <cell r="AH648" t="e">
            <v>#DIV/0!</v>
          </cell>
          <cell r="AI648" t="e">
            <v>#DIV/0!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 t="e">
            <v>#N/A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0.9</v>
          </cell>
          <cell r="BH648">
            <v>1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 t="e">
            <v>#DIV/0!</v>
          </cell>
          <cell r="BO648">
            <v>38</v>
          </cell>
          <cell r="BP648">
            <v>0</v>
          </cell>
          <cell r="BQ648" t="e">
            <v>#VALUE!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 t="str">
            <v/>
          </cell>
          <cell r="BX648" t="str">
            <v/>
          </cell>
          <cell r="BY648">
            <v>1.5</v>
          </cell>
          <cell r="BZ648">
            <v>1.1429999999999998</v>
          </cell>
        </row>
        <row r="649">
          <cell r="B649" t="str">
            <v/>
          </cell>
          <cell r="C649">
            <v>0</v>
          </cell>
          <cell r="D649" t="str">
            <v/>
          </cell>
          <cell r="F649" t="str">
            <v/>
          </cell>
          <cell r="H649" t="str">
            <v/>
          </cell>
          <cell r="I649" t="e">
            <v>#N/A</v>
          </cell>
          <cell r="J649" t="e">
            <v>#N/A</v>
          </cell>
          <cell r="K649" t="e">
            <v>#N/A</v>
          </cell>
          <cell r="M649">
            <v>2.2000000000000002</v>
          </cell>
          <cell r="N649">
            <v>2.2000000000000002</v>
          </cell>
          <cell r="O649">
            <v>2</v>
          </cell>
          <cell r="P649">
            <v>2</v>
          </cell>
          <cell r="Q649">
            <v>0</v>
          </cell>
          <cell r="R649">
            <v>0</v>
          </cell>
          <cell r="S649">
            <v>2.2000000000000002</v>
          </cell>
          <cell r="T649">
            <v>0</v>
          </cell>
          <cell r="U649" t="str">
            <v/>
          </cell>
          <cell r="V649" t="str">
            <v>A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 t="e">
            <v>#DIV/0!</v>
          </cell>
          <cell r="AH649" t="e">
            <v>#DIV/0!</v>
          </cell>
          <cell r="AI649" t="e">
            <v>#DIV/0!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 t="e">
            <v>#N/A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0.9</v>
          </cell>
          <cell r="BH649">
            <v>1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 t="e">
            <v>#DIV/0!</v>
          </cell>
          <cell r="BO649">
            <v>38</v>
          </cell>
          <cell r="BP649">
            <v>0</v>
          </cell>
          <cell r="BQ649" t="e">
            <v>#VALUE!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 t="str">
            <v/>
          </cell>
          <cell r="BX649" t="str">
            <v/>
          </cell>
          <cell r="BY649">
            <v>1.5</v>
          </cell>
          <cell r="BZ649">
            <v>1.1429999999999998</v>
          </cell>
        </row>
        <row r="650">
          <cell r="B650" t="str">
            <v/>
          </cell>
          <cell r="C650">
            <v>0</v>
          </cell>
          <cell r="D650" t="str">
            <v/>
          </cell>
          <cell r="F650" t="str">
            <v/>
          </cell>
          <cell r="H650" t="str">
            <v/>
          </cell>
          <cell r="I650" t="e">
            <v>#N/A</v>
          </cell>
          <cell r="J650" t="e">
            <v>#N/A</v>
          </cell>
          <cell r="K650" t="e">
            <v>#N/A</v>
          </cell>
          <cell r="M650">
            <v>2.2000000000000002</v>
          </cell>
          <cell r="N650">
            <v>2.2000000000000002</v>
          </cell>
          <cell r="O650">
            <v>2</v>
          </cell>
          <cell r="P650">
            <v>2</v>
          </cell>
          <cell r="Q650">
            <v>0</v>
          </cell>
          <cell r="R650">
            <v>0</v>
          </cell>
          <cell r="S650">
            <v>2.2000000000000002</v>
          </cell>
          <cell r="T650">
            <v>0</v>
          </cell>
          <cell r="U650" t="str">
            <v/>
          </cell>
          <cell r="V650" t="str">
            <v>A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 t="e">
            <v>#DIV/0!</v>
          </cell>
          <cell r="AH650" t="e">
            <v>#DIV/0!</v>
          </cell>
          <cell r="AI650" t="e">
            <v>#DIV/0!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 t="e">
            <v>#N/A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0.9</v>
          </cell>
          <cell r="BH650">
            <v>1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 t="e">
            <v>#DIV/0!</v>
          </cell>
          <cell r="BO650">
            <v>38</v>
          </cell>
          <cell r="BP650">
            <v>0</v>
          </cell>
          <cell r="BQ650" t="e">
            <v>#VALUE!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 t="str">
            <v/>
          </cell>
          <cell r="BX650" t="str">
            <v/>
          </cell>
          <cell r="BY650">
            <v>1.5</v>
          </cell>
          <cell r="BZ650">
            <v>1.1429999999999998</v>
          </cell>
        </row>
        <row r="651">
          <cell r="B651" t="str">
            <v/>
          </cell>
          <cell r="C651">
            <v>0</v>
          </cell>
          <cell r="D651" t="str">
            <v/>
          </cell>
          <cell r="F651" t="str">
            <v/>
          </cell>
          <cell r="H651" t="str">
            <v/>
          </cell>
          <cell r="I651" t="e">
            <v>#N/A</v>
          </cell>
          <cell r="J651" t="e">
            <v>#N/A</v>
          </cell>
          <cell r="K651" t="e">
            <v>#N/A</v>
          </cell>
          <cell r="M651">
            <v>2.2000000000000002</v>
          </cell>
          <cell r="N651">
            <v>2.2000000000000002</v>
          </cell>
          <cell r="O651">
            <v>2</v>
          </cell>
          <cell r="P651">
            <v>2</v>
          </cell>
          <cell r="Q651">
            <v>0</v>
          </cell>
          <cell r="R651">
            <v>0</v>
          </cell>
          <cell r="S651">
            <v>2.2000000000000002</v>
          </cell>
          <cell r="T651">
            <v>0</v>
          </cell>
          <cell r="U651" t="str">
            <v/>
          </cell>
          <cell r="V651" t="str">
            <v>A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 t="e">
            <v>#DIV/0!</v>
          </cell>
          <cell r="AH651" t="e">
            <v>#DIV/0!</v>
          </cell>
          <cell r="AI651" t="e">
            <v>#DIV/0!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 t="e">
            <v>#N/A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0.9</v>
          </cell>
          <cell r="BH651">
            <v>1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 t="e">
            <v>#DIV/0!</v>
          </cell>
          <cell r="BO651">
            <v>38</v>
          </cell>
          <cell r="BP651">
            <v>0</v>
          </cell>
          <cell r="BQ651" t="e">
            <v>#VALUE!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 t="str">
            <v/>
          </cell>
          <cell r="BX651" t="str">
            <v/>
          </cell>
          <cell r="BY651">
            <v>1.5</v>
          </cell>
          <cell r="BZ651">
            <v>1.1429999999999998</v>
          </cell>
        </row>
        <row r="652">
          <cell r="B652" t="str">
            <v/>
          </cell>
          <cell r="C652">
            <v>0</v>
          </cell>
          <cell r="D652" t="str">
            <v/>
          </cell>
          <cell r="F652" t="str">
            <v/>
          </cell>
          <cell r="H652" t="str">
            <v/>
          </cell>
          <cell r="I652" t="e">
            <v>#N/A</v>
          </cell>
          <cell r="J652" t="e">
            <v>#N/A</v>
          </cell>
          <cell r="K652" t="e">
            <v>#N/A</v>
          </cell>
          <cell r="M652">
            <v>2.2000000000000002</v>
          </cell>
          <cell r="N652">
            <v>2.2000000000000002</v>
          </cell>
          <cell r="O652">
            <v>2</v>
          </cell>
          <cell r="P652">
            <v>2</v>
          </cell>
          <cell r="Q652">
            <v>0</v>
          </cell>
          <cell r="R652">
            <v>0</v>
          </cell>
          <cell r="S652">
            <v>2.2000000000000002</v>
          </cell>
          <cell r="T652">
            <v>0</v>
          </cell>
          <cell r="U652" t="str">
            <v/>
          </cell>
          <cell r="V652" t="str">
            <v>A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 t="e">
            <v>#DIV/0!</v>
          </cell>
          <cell r="AH652" t="e">
            <v>#DIV/0!</v>
          </cell>
          <cell r="AI652" t="e">
            <v>#DIV/0!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 t="e">
            <v>#N/A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0.9</v>
          </cell>
          <cell r="BH652">
            <v>1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 t="e">
            <v>#DIV/0!</v>
          </cell>
          <cell r="BO652">
            <v>38</v>
          </cell>
          <cell r="BP652">
            <v>0</v>
          </cell>
          <cell r="BQ652" t="e">
            <v>#VALUE!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 t="str">
            <v/>
          </cell>
          <cell r="BX652" t="str">
            <v/>
          </cell>
          <cell r="BY652">
            <v>1.5</v>
          </cell>
          <cell r="BZ652">
            <v>1.1429999999999998</v>
          </cell>
        </row>
        <row r="653">
          <cell r="B653" t="str">
            <v/>
          </cell>
          <cell r="C653">
            <v>0</v>
          </cell>
          <cell r="D653" t="str">
            <v/>
          </cell>
          <cell r="F653" t="str">
            <v/>
          </cell>
          <cell r="H653" t="str">
            <v/>
          </cell>
          <cell r="I653" t="e">
            <v>#N/A</v>
          </cell>
          <cell r="J653" t="e">
            <v>#N/A</v>
          </cell>
          <cell r="K653" t="e">
            <v>#N/A</v>
          </cell>
          <cell r="M653">
            <v>2.2000000000000002</v>
          </cell>
          <cell r="N653">
            <v>2.2000000000000002</v>
          </cell>
          <cell r="O653">
            <v>2</v>
          </cell>
          <cell r="P653">
            <v>2</v>
          </cell>
          <cell r="Q653">
            <v>0</v>
          </cell>
          <cell r="R653">
            <v>0</v>
          </cell>
          <cell r="S653">
            <v>2.2000000000000002</v>
          </cell>
          <cell r="T653">
            <v>0</v>
          </cell>
          <cell r="U653" t="str">
            <v/>
          </cell>
          <cell r="V653" t="str">
            <v>A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 t="e">
            <v>#DIV/0!</v>
          </cell>
          <cell r="AH653" t="e">
            <v>#DIV/0!</v>
          </cell>
          <cell r="AI653" t="e">
            <v>#DIV/0!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 t="e">
            <v>#N/A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0.9</v>
          </cell>
          <cell r="BH653">
            <v>1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 t="e">
            <v>#DIV/0!</v>
          </cell>
          <cell r="BO653">
            <v>38</v>
          </cell>
          <cell r="BP653">
            <v>0</v>
          </cell>
          <cell r="BQ653" t="e">
            <v>#VALUE!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 t="str">
            <v/>
          </cell>
          <cell r="BX653" t="str">
            <v/>
          </cell>
          <cell r="BY653">
            <v>1.5</v>
          </cell>
          <cell r="BZ653">
            <v>1.1429999999999998</v>
          </cell>
        </row>
        <row r="654">
          <cell r="B654" t="str">
            <v/>
          </cell>
          <cell r="C654">
            <v>0</v>
          </cell>
          <cell r="D654" t="str">
            <v/>
          </cell>
          <cell r="F654" t="str">
            <v/>
          </cell>
          <cell r="H654" t="str">
            <v/>
          </cell>
          <cell r="I654" t="e">
            <v>#N/A</v>
          </cell>
          <cell r="J654" t="e">
            <v>#N/A</v>
          </cell>
          <cell r="K654" t="e">
            <v>#N/A</v>
          </cell>
          <cell r="M654">
            <v>2.2000000000000002</v>
          </cell>
          <cell r="N654">
            <v>2.2000000000000002</v>
          </cell>
          <cell r="O654">
            <v>2</v>
          </cell>
          <cell r="P654">
            <v>2</v>
          </cell>
          <cell r="Q654">
            <v>0</v>
          </cell>
          <cell r="R654">
            <v>0</v>
          </cell>
          <cell r="S654">
            <v>2.2000000000000002</v>
          </cell>
          <cell r="T654">
            <v>0</v>
          </cell>
          <cell r="U654" t="str">
            <v/>
          </cell>
          <cell r="V654" t="str">
            <v>A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 t="e">
            <v>#DIV/0!</v>
          </cell>
          <cell r="AH654" t="e">
            <v>#DIV/0!</v>
          </cell>
          <cell r="AI654" t="e">
            <v>#DIV/0!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 t="e">
            <v>#N/A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0.9</v>
          </cell>
          <cell r="BH654">
            <v>1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 t="e">
            <v>#DIV/0!</v>
          </cell>
          <cell r="BO654">
            <v>38</v>
          </cell>
          <cell r="BP654">
            <v>0</v>
          </cell>
          <cell r="BQ654" t="e">
            <v>#VALUE!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 t="str">
            <v/>
          </cell>
          <cell r="BX654" t="str">
            <v/>
          </cell>
          <cell r="BY654">
            <v>1.5</v>
          </cell>
          <cell r="BZ654">
            <v>1.1429999999999998</v>
          </cell>
        </row>
        <row r="655">
          <cell r="B655" t="str">
            <v/>
          </cell>
          <cell r="C655">
            <v>0</v>
          </cell>
          <cell r="D655" t="str">
            <v/>
          </cell>
          <cell r="F655" t="str">
            <v/>
          </cell>
          <cell r="H655" t="str">
            <v/>
          </cell>
          <cell r="I655">
            <v>0</v>
          </cell>
          <cell r="J655">
            <v>1</v>
          </cell>
          <cell r="K655">
            <v>2</v>
          </cell>
          <cell r="M655">
            <v>2.2000000000000002</v>
          </cell>
          <cell r="N655">
            <v>2.2000000000000002</v>
          </cell>
          <cell r="O655">
            <v>2</v>
          </cell>
          <cell r="P655">
            <v>2</v>
          </cell>
          <cell r="Q655">
            <v>0</v>
          </cell>
          <cell r="R655">
            <v>0</v>
          </cell>
          <cell r="S655">
            <v>2.2000000000000002</v>
          </cell>
          <cell r="T655">
            <v>0</v>
          </cell>
          <cell r="U655" t="str">
            <v/>
          </cell>
          <cell r="V655" t="str">
            <v>A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 t="e">
            <v>#DIV/0!</v>
          </cell>
          <cell r="AH655" t="e">
            <v>#DIV/0!</v>
          </cell>
          <cell r="AI655" t="e">
            <v>#DIV/0!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 t="e">
            <v>#N/A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0.9</v>
          </cell>
          <cell r="BH655">
            <v>1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 t="e">
            <v>#DIV/0!</v>
          </cell>
          <cell r="BO655">
            <v>38</v>
          </cell>
          <cell r="BP655">
            <v>0</v>
          </cell>
          <cell r="BQ655" t="e">
            <v>#VALUE!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 t="str">
            <v/>
          </cell>
          <cell r="BX655" t="str">
            <v/>
          </cell>
          <cell r="BY655">
            <v>1.5</v>
          </cell>
          <cell r="BZ655">
            <v>1.1429999999999998</v>
          </cell>
        </row>
        <row r="656">
          <cell r="B656" t="str">
            <v/>
          </cell>
          <cell r="C656">
            <v>0</v>
          </cell>
          <cell r="D656" t="str">
            <v/>
          </cell>
          <cell r="F656" t="str">
            <v/>
          </cell>
          <cell r="H656" t="str">
            <v/>
          </cell>
          <cell r="I656">
            <v>0</v>
          </cell>
          <cell r="J656">
            <v>1.7</v>
          </cell>
          <cell r="K656">
            <v>2.8</v>
          </cell>
          <cell r="M656">
            <v>2.2000000000000002</v>
          </cell>
          <cell r="N656">
            <v>2.2000000000000002</v>
          </cell>
          <cell r="O656">
            <v>2</v>
          </cell>
          <cell r="P656">
            <v>2</v>
          </cell>
          <cell r="Q656">
            <v>0</v>
          </cell>
          <cell r="R656">
            <v>0</v>
          </cell>
          <cell r="S656">
            <v>2.2000000000000002</v>
          </cell>
          <cell r="T656">
            <v>0</v>
          </cell>
          <cell r="U656" t="str">
            <v/>
          </cell>
          <cell r="V656" t="str">
            <v>A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 t="e">
            <v>#DIV/0!</v>
          </cell>
          <cell r="AH656" t="e">
            <v>#DIV/0!</v>
          </cell>
          <cell r="AI656" t="e">
            <v>#DIV/0!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 t="e">
            <v>#N/A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0.9</v>
          </cell>
          <cell r="BH656">
            <v>1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 t="e">
            <v>#DIV/0!</v>
          </cell>
          <cell r="BO656">
            <v>38</v>
          </cell>
          <cell r="BP656">
            <v>0</v>
          </cell>
          <cell r="BQ656" t="e">
            <v>#VALUE!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 t="str">
            <v/>
          </cell>
          <cell r="BX656" t="str">
            <v/>
          </cell>
          <cell r="BY656">
            <v>1.5</v>
          </cell>
          <cell r="BZ656">
            <v>1.1429999999999998</v>
          </cell>
        </row>
        <row r="657">
          <cell r="B657" t="str">
            <v/>
          </cell>
          <cell r="C657">
            <v>0</v>
          </cell>
          <cell r="D657" t="str">
            <v/>
          </cell>
          <cell r="F657" t="str">
            <v/>
          </cell>
          <cell r="H657" t="str">
            <v/>
          </cell>
          <cell r="I657">
            <v>0</v>
          </cell>
          <cell r="J657">
            <v>1.6333333333333335</v>
          </cell>
          <cell r="K657">
            <v>3.2</v>
          </cell>
          <cell r="M657">
            <v>2.2000000000000002</v>
          </cell>
          <cell r="N657">
            <v>2.2000000000000002</v>
          </cell>
          <cell r="O657">
            <v>2</v>
          </cell>
          <cell r="P657">
            <v>2</v>
          </cell>
          <cell r="Q657">
            <v>0</v>
          </cell>
          <cell r="R657">
            <v>0</v>
          </cell>
          <cell r="S657">
            <v>2.2000000000000002</v>
          </cell>
          <cell r="T657">
            <v>0</v>
          </cell>
          <cell r="U657" t="str">
            <v/>
          </cell>
          <cell r="V657" t="str">
            <v>A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 t="e">
            <v>#DIV/0!</v>
          </cell>
          <cell r="AH657" t="e">
            <v>#DIV/0!</v>
          </cell>
          <cell r="AI657" t="e">
            <v>#DIV/0!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 t="e">
            <v>#N/A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0.9</v>
          </cell>
          <cell r="BH657">
            <v>1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 t="e">
            <v>#DIV/0!</v>
          </cell>
          <cell r="BO657">
            <v>38</v>
          </cell>
          <cell r="BP657">
            <v>0</v>
          </cell>
          <cell r="BQ657" t="e">
            <v>#VALUE!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 t="str">
            <v/>
          </cell>
          <cell r="BX657" t="str">
            <v/>
          </cell>
          <cell r="BY657">
            <v>1.5</v>
          </cell>
          <cell r="BZ657">
            <v>1.1429999999999998</v>
          </cell>
        </row>
        <row r="658">
          <cell r="B658" t="str">
            <v/>
          </cell>
          <cell r="C658">
            <v>0</v>
          </cell>
          <cell r="D658" t="str">
            <v/>
          </cell>
          <cell r="F658" t="str">
            <v/>
          </cell>
          <cell r="H658" t="str">
            <v/>
          </cell>
          <cell r="I658">
            <v>0</v>
          </cell>
          <cell r="J658">
            <v>0</v>
          </cell>
          <cell r="K658">
            <v>0</v>
          </cell>
          <cell r="M658">
            <v>2.2000000000000002</v>
          </cell>
          <cell r="N658">
            <v>2.2000000000000002</v>
          </cell>
          <cell r="O658">
            <v>2</v>
          </cell>
          <cell r="P658">
            <v>2</v>
          </cell>
          <cell r="Q658">
            <v>0</v>
          </cell>
          <cell r="R658">
            <v>0</v>
          </cell>
          <cell r="S658">
            <v>2.2000000000000002</v>
          </cell>
          <cell r="T658">
            <v>0</v>
          </cell>
          <cell r="U658" t="str">
            <v/>
          </cell>
          <cell r="V658" t="str">
            <v>A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 t="e">
            <v>#DIV/0!</v>
          </cell>
          <cell r="AH658" t="e">
            <v>#DIV/0!</v>
          </cell>
          <cell r="AI658" t="e">
            <v>#DIV/0!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 t="e">
            <v>#N/A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0.9</v>
          </cell>
          <cell r="BH658">
            <v>1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 t="e">
            <v>#DIV/0!</v>
          </cell>
          <cell r="BO658">
            <v>38</v>
          </cell>
          <cell r="BP658">
            <v>0</v>
          </cell>
          <cell r="BQ658" t="e">
            <v>#VALUE!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 t="str">
            <v/>
          </cell>
          <cell r="BX658" t="str">
            <v/>
          </cell>
          <cell r="BY658">
            <v>1.5</v>
          </cell>
          <cell r="BZ658">
            <v>1.1429999999999998</v>
          </cell>
        </row>
        <row r="659">
          <cell r="B659" t="str">
            <v/>
          </cell>
          <cell r="C659">
            <v>0</v>
          </cell>
          <cell r="D659" t="str">
            <v/>
          </cell>
          <cell r="F659" t="str">
            <v/>
          </cell>
          <cell r="H659" t="str">
            <v/>
          </cell>
          <cell r="I659">
            <v>0</v>
          </cell>
          <cell r="J659">
            <v>0.33333333333333331</v>
          </cell>
          <cell r="K659">
            <v>1</v>
          </cell>
          <cell r="M659">
            <v>2.2000000000000002</v>
          </cell>
          <cell r="N659">
            <v>2.2000000000000002</v>
          </cell>
          <cell r="O659">
            <v>2</v>
          </cell>
          <cell r="P659">
            <v>2</v>
          </cell>
          <cell r="Q659">
            <v>0</v>
          </cell>
          <cell r="R659">
            <v>0</v>
          </cell>
          <cell r="S659">
            <v>2.2000000000000002</v>
          </cell>
          <cell r="T659">
            <v>0</v>
          </cell>
          <cell r="U659" t="str">
            <v/>
          </cell>
          <cell r="V659" t="str">
            <v>A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 t="e">
            <v>#DIV/0!</v>
          </cell>
          <cell r="AH659" t="e">
            <v>#DIV/0!</v>
          </cell>
          <cell r="AI659" t="e">
            <v>#DIV/0!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 t="e">
            <v>#N/A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0.9</v>
          </cell>
          <cell r="BH659">
            <v>1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 t="e">
            <v>#DIV/0!</v>
          </cell>
          <cell r="BO659">
            <v>38</v>
          </cell>
          <cell r="BP659">
            <v>0</v>
          </cell>
          <cell r="BQ659" t="e">
            <v>#VALUE!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 t="str">
            <v/>
          </cell>
          <cell r="BX659" t="str">
            <v/>
          </cell>
          <cell r="BY659">
            <v>1.5</v>
          </cell>
          <cell r="BZ659">
            <v>1.1429999999999998</v>
          </cell>
        </row>
        <row r="660">
          <cell r="B660" t="str">
            <v/>
          </cell>
          <cell r="C660">
            <v>0</v>
          </cell>
          <cell r="D660" t="str">
            <v/>
          </cell>
          <cell r="F660" t="str">
            <v/>
          </cell>
          <cell r="H660" t="str">
            <v/>
          </cell>
          <cell r="I660">
            <v>0</v>
          </cell>
          <cell r="J660">
            <v>0</v>
          </cell>
          <cell r="K660">
            <v>0</v>
          </cell>
          <cell r="M660">
            <v>2.2000000000000002</v>
          </cell>
          <cell r="N660">
            <v>2.2000000000000002</v>
          </cell>
          <cell r="O660">
            <v>2</v>
          </cell>
          <cell r="P660">
            <v>2</v>
          </cell>
          <cell r="Q660">
            <v>0</v>
          </cell>
          <cell r="R660">
            <v>0</v>
          </cell>
          <cell r="S660">
            <v>2.2000000000000002</v>
          </cell>
          <cell r="T660">
            <v>0</v>
          </cell>
          <cell r="U660" t="str">
            <v/>
          </cell>
          <cell r="V660" t="str">
            <v>A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 t="e">
            <v>#DIV/0!</v>
          </cell>
          <cell r="AH660" t="e">
            <v>#DIV/0!</v>
          </cell>
          <cell r="AI660" t="e">
            <v>#DIV/0!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 t="e">
            <v>#N/A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0.9</v>
          </cell>
          <cell r="BH660">
            <v>1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 t="e">
            <v>#DIV/0!</v>
          </cell>
          <cell r="BO660">
            <v>38</v>
          </cell>
          <cell r="BP660">
            <v>0</v>
          </cell>
          <cell r="BQ660" t="e">
            <v>#VALUE!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 t="str">
            <v/>
          </cell>
          <cell r="BX660" t="str">
            <v/>
          </cell>
          <cell r="BY660">
            <v>1.5</v>
          </cell>
          <cell r="BZ660">
            <v>1.1429999999999998</v>
          </cell>
        </row>
        <row r="661">
          <cell r="B661" t="str">
            <v/>
          </cell>
          <cell r="C661">
            <v>0</v>
          </cell>
          <cell r="D661" t="str">
            <v/>
          </cell>
          <cell r="F661" t="str">
            <v/>
          </cell>
          <cell r="H661" t="str">
            <v/>
          </cell>
          <cell r="I661">
            <v>0</v>
          </cell>
          <cell r="J661">
            <v>0.26666666666666666</v>
          </cell>
          <cell r="K661">
            <v>0.8</v>
          </cell>
          <cell r="M661">
            <v>2.2000000000000002</v>
          </cell>
          <cell r="N661">
            <v>2.2000000000000002</v>
          </cell>
          <cell r="O661">
            <v>2</v>
          </cell>
          <cell r="P661">
            <v>2</v>
          </cell>
          <cell r="Q661">
            <v>0</v>
          </cell>
          <cell r="R661">
            <v>0</v>
          </cell>
          <cell r="S661">
            <v>2.2000000000000002</v>
          </cell>
          <cell r="T661">
            <v>0</v>
          </cell>
          <cell r="U661" t="str">
            <v/>
          </cell>
          <cell r="V661" t="str">
            <v>A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 t="e">
            <v>#DIV/0!</v>
          </cell>
          <cell r="AH661" t="e">
            <v>#DIV/0!</v>
          </cell>
          <cell r="AI661" t="e">
            <v>#DIV/0!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 t="e">
            <v>#N/A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0.9</v>
          </cell>
          <cell r="BH661">
            <v>1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 t="e">
            <v>#DIV/0!</v>
          </cell>
          <cell r="BO661">
            <v>38</v>
          </cell>
          <cell r="BP661">
            <v>0</v>
          </cell>
          <cell r="BQ661" t="e">
            <v>#VALUE!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 t="str">
            <v/>
          </cell>
          <cell r="BX661" t="str">
            <v/>
          </cell>
          <cell r="BY661">
            <v>1.5</v>
          </cell>
          <cell r="BZ661">
            <v>1.1429999999999998</v>
          </cell>
        </row>
        <row r="662">
          <cell r="B662" t="str">
            <v/>
          </cell>
          <cell r="C662">
            <v>0</v>
          </cell>
          <cell r="D662" t="str">
            <v/>
          </cell>
          <cell r="F662" t="str">
            <v/>
          </cell>
          <cell r="H662" t="str">
            <v/>
          </cell>
          <cell r="I662">
            <v>0</v>
          </cell>
          <cell r="J662">
            <v>0</v>
          </cell>
          <cell r="K662">
            <v>0</v>
          </cell>
          <cell r="M662">
            <v>2.2000000000000002</v>
          </cell>
          <cell r="N662">
            <v>2.2000000000000002</v>
          </cell>
          <cell r="O662">
            <v>2</v>
          </cell>
          <cell r="P662">
            <v>2</v>
          </cell>
          <cell r="Q662">
            <v>0</v>
          </cell>
          <cell r="R662">
            <v>0</v>
          </cell>
          <cell r="S662">
            <v>2.2000000000000002</v>
          </cell>
          <cell r="T662">
            <v>0</v>
          </cell>
          <cell r="U662" t="str">
            <v/>
          </cell>
          <cell r="V662" t="str">
            <v>A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 t="e">
            <v>#DIV/0!</v>
          </cell>
          <cell r="AH662" t="e">
            <v>#DIV/0!</v>
          </cell>
          <cell r="AI662" t="e">
            <v>#DIV/0!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 t="e">
            <v>#N/A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0.9</v>
          </cell>
          <cell r="BH662">
            <v>1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 t="e">
            <v>#DIV/0!</v>
          </cell>
          <cell r="BO662">
            <v>38</v>
          </cell>
          <cell r="BP662">
            <v>0</v>
          </cell>
          <cell r="BQ662" t="e">
            <v>#VALUE!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 t="str">
            <v/>
          </cell>
          <cell r="BX662" t="str">
            <v/>
          </cell>
          <cell r="BY662">
            <v>1.5</v>
          </cell>
          <cell r="BZ662">
            <v>1.1429999999999998</v>
          </cell>
        </row>
        <row r="663">
          <cell r="B663" t="str">
            <v/>
          </cell>
          <cell r="C663">
            <v>0</v>
          </cell>
          <cell r="D663" t="str">
            <v/>
          </cell>
          <cell r="F663" t="str">
            <v/>
          </cell>
          <cell r="H663" t="str">
            <v/>
          </cell>
          <cell r="I663">
            <v>0</v>
          </cell>
          <cell r="J663">
            <v>0</v>
          </cell>
          <cell r="K663">
            <v>0</v>
          </cell>
          <cell r="M663">
            <v>2.2000000000000002</v>
          </cell>
          <cell r="N663">
            <v>2.2000000000000002</v>
          </cell>
          <cell r="O663">
            <v>2</v>
          </cell>
          <cell r="P663">
            <v>2</v>
          </cell>
          <cell r="Q663">
            <v>0</v>
          </cell>
          <cell r="R663">
            <v>0</v>
          </cell>
          <cell r="S663">
            <v>2.2000000000000002</v>
          </cell>
          <cell r="T663">
            <v>0</v>
          </cell>
          <cell r="U663" t="str">
            <v/>
          </cell>
          <cell r="V663" t="str">
            <v>A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 t="e">
            <v>#DIV/0!</v>
          </cell>
          <cell r="AH663" t="e">
            <v>#DIV/0!</v>
          </cell>
          <cell r="AI663" t="e">
            <v>#DIV/0!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 t="e">
            <v>#N/A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0.9</v>
          </cell>
          <cell r="BH663">
            <v>1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 t="e">
            <v>#DIV/0!</v>
          </cell>
          <cell r="BO663">
            <v>38</v>
          </cell>
          <cell r="BP663">
            <v>0</v>
          </cell>
          <cell r="BQ663" t="e">
            <v>#VALUE!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 t="str">
            <v/>
          </cell>
          <cell r="BX663" t="str">
            <v/>
          </cell>
          <cell r="BY663">
            <v>1.5</v>
          </cell>
          <cell r="BZ663">
            <v>1.1429999999999998</v>
          </cell>
        </row>
        <row r="664">
          <cell r="B664" t="str">
            <v/>
          </cell>
          <cell r="C664">
            <v>0</v>
          </cell>
          <cell r="D664" t="str">
            <v/>
          </cell>
          <cell r="F664" t="str">
            <v/>
          </cell>
          <cell r="H664" t="str">
            <v/>
          </cell>
          <cell r="I664">
            <v>2.9</v>
          </cell>
          <cell r="J664">
            <v>3.9666666666666668</v>
          </cell>
          <cell r="K664">
            <v>4.9000000000000004</v>
          </cell>
          <cell r="M664">
            <v>2.2000000000000002</v>
          </cell>
          <cell r="N664">
            <v>2.2000000000000002</v>
          </cell>
          <cell r="O664">
            <v>2</v>
          </cell>
          <cell r="P664">
            <v>2</v>
          </cell>
          <cell r="Q664">
            <v>0</v>
          </cell>
          <cell r="R664">
            <v>0</v>
          </cell>
          <cell r="S664">
            <v>2.2000000000000002</v>
          </cell>
          <cell r="T664">
            <v>0</v>
          </cell>
          <cell r="U664" t="str">
            <v/>
          </cell>
          <cell r="V664" t="str">
            <v>A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 t="e">
            <v>#DIV/0!</v>
          </cell>
          <cell r="AH664" t="e">
            <v>#DIV/0!</v>
          </cell>
          <cell r="AI664" t="e">
            <v>#DIV/0!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 t="e">
            <v>#N/A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0.9</v>
          </cell>
          <cell r="BH664">
            <v>1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 t="e">
            <v>#DIV/0!</v>
          </cell>
          <cell r="BO664">
            <v>38</v>
          </cell>
          <cell r="BP664">
            <v>0</v>
          </cell>
          <cell r="BQ664" t="e">
            <v>#VALUE!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 t="str">
            <v/>
          </cell>
          <cell r="BX664" t="str">
            <v/>
          </cell>
          <cell r="BY664">
            <v>1.5</v>
          </cell>
          <cell r="BZ664">
            <v>1.1429999999999998</v>
          </cell>
        </row>
        <row r="665">
          <cell r="B665" t="str">
            <v/>
          </cell>
          <cell r="C665">
            <v>0</v>
          </cell>
          <cell r="D665" t="str">
            <v/>
          </cell>
          <cell r="F665" t="str">
            <v/>
          </cell>
          <cell r="H665" t="str">
            <v/>
          </cell>
          <cell r="I665">
            <v>0</v>
          </cell>
          <cell r="J665">
            <v>0.6333333333333333</v>
          </cell>
          <cell r="K665">
            <v>1</v>
          </cell>
          <cell r="M665">
            <v>2.2000000000000002</v>
          </cell>
          <cell r="N665">
            <v>2.2000000000000002</v>
          </cell>
          <cell r="O665">
            <v>2</v>
          </cell>
          <cell r="P665">
            <v>2</v>
          </cell>
          <cell r="Q665">
            <v>0</v>
          </cell>
          <cell r="R665">
            <v>0</v>
          </cell>
          <cell r="S665">
            <v>2.2000000000000002</v>
          </cell>
          <cell r="T665">
            <v>0</v>
          </cell>
          <cell r="U665" t="str">
            <v/>
          </cell>
          <cell r="V665" t="str">
            <v>A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 t="e">
            <v>#DIV/0!</v>
          </cell>
          <cell r="AH665" t="e">
            <v>#DIV/0!</v>
          </cell>
          <cell r="AI665" t="e">
            <v>#DIV/0!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 t="e">
            <v>#N/A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0.9</v>
          </cell>
          <cell r="BH665">
            <v>1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 t="e">
            <v>#DIV/0!</v>
          </cell>
          <cell r="BO665">
            <v>38</v>
          </cell>
          <cell r="BP665">
            <v>0</v>
          </cell>
          <cell r="BQ665" t="e">
            <v>#VALUE!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 t="str">
            <v/>
          </cell>
          <cell r="BX665" t="str">
            <v/>
          </cell>
          <cell r="BY665">
            <v>1.5</v>
          </cell>
          <cell r="BZ665">
            <v>1.1429999999999998</v>
          </cell>
        </row>
        <row r="666">
          <cell r="B666" t="str">
            <v/>
          </cell>
          <cell r="C666">
            <v>0</v>
          </cell>
          <cell r="D666" t="str">
            <v/>
          </cell>
          <cell r="F666" t="str">
            <v/>
          </cell>
          <cell r="H666" t="str">
            <v/>
          </cell>
          <cell r="I666">
            <v>0</v>
          </cell>
          <cell r="J666">
            <v>0.3666666666666667</v>
          </cell>
          <cell r="K666">
            <v>1.1000000000000001</v>
          </cell>
          <cell r="M666">
            <v>2.2000000000000002</v>
          </cell>
          <cell r="N666">
            <v>2.2000000000000002</v>
          </cell>
          <cell r="O666">
            <v>2</v>
          </cell>
          <cell r="P666">
            <v>2</v>
          </cell>
          <cell r="Q666">
            <v>0</v>
          </cell>
          <cell r="R666">
            <v>0</v>
          </cell>
          <cell r="S666">
            <v>2.2000000000000002</v>
          </cell>
          <cell r="T666">
            <v>0</v>
          </cell>
          <cell r="U666" t="str">
            <v/>
          </cell>
          <cell r="V666" t="str">
            <v>A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 t="e">
            <v>#DIV/0!</v>
          </cell>
          <cell r="AH666" t="e">
            <v>#DIV/0!</v>
          </cell>
          <cell r="AI666" t="e">
            <v>#DIV/0!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 t="e">
            <v>#N/A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0.9</v>
          </cell>
          <cell r="BH666">
            <v>1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 t="e">
            <v>#DIV/0!</v>
          </cell>
          <cell r="BO666">
            <v>38</v>
          </cell>
          <cell r="BP666">
            <v>0</v>
          </cell>
          <cell r="BQ666" t="e">
            <v>#VALUE!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 t="str">
            <v/>
          </cell>
          <cell r="BX666" t="str">
            <v/>
          </cell>
          <cell r="BY666">
            <v>1.5</v>
          </cell>
          <cell r="BZ666">
            <v>1.1429999999999998</v>
          </cell>
        </row>
        <row r="667">
          <cell r="B667" t="str">
            <v/>
          </cell>
          <cell r="C667">
            <v>0</v>
          </cell>
          <cell r="D667" t="str">
            <v/>
          </cell>
          <cell r="F667" t="str">
            <v/>
          </cell>
          <cell r="H667" t="str">
            <v/>
          </cell>
          <cell r="I667">
            <v>0</v>
          </cell>
          <cell r="J667">
            <v>0</v>
          </cell>
          <cell r="K667">
            <v>0</v>
          </cell>
          <cell r="M667">
            <v>2.2000000000000002</v>
          </cell>
          <cell r="N667">
            <v>2.2000000000000002</v>
          </cell>
          <cell r="O667">
            <v>2</v>
          </cell>
          <cell r="P667">
            <v>2</v>
          </cell>
          <cell r="Q667">
            <v>0</v>
          </cell>
          <cell r="R667">
            <v>0</v>
          </cell>
          <cell r="S667">
            <v>2.2000000000000002</v>
          </cell>
          <cell r="T667">
            <v>0</v>
          </cell>
          <cell r="U667" t="str">
            <v/>
          </cell>
          <cell r="V667" t="str">
            <v>A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 t="e">
            <v>#DIV/0!</v>
          </cell>
          <cell r="AH667" t="e">
            <v>#DIV/0!</v>
          </cell>
          <cell r="AI667" t="e">
            <v>#DIV/0!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 t="e">
            <v>#N/A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0.9</v>
          </cell>
          <cell r="BH667">
            <v>1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 t="e">
            <v>#DIV/0!</v>
          </cell>
          <cell r="BO667">
            <v>38</v>
          </cell>
          <cell r="BP667">
            <v>0</v>
          </cell>
          <cell r="BQ667" t="e">
            <v>#VALUE!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 t="str">
            <v/>
          </cell>
          <cell r="BX667" t="str">
            <v/>
          </cell>
          <cell r="BY667">
            <v>1.5</v>
          </cell>
          <cell r="BZ667">
            <v>1.1429999999999998</v>
          </cell>
        </row>
        <row r="668">
          <cell r="B668" t="str">
            <v/>
          </cell>
          <cell r="C668">
            <v>0</v>
          </cell>
          <cell r="D668" t="str">
            <v/>
          </cell>
          <cell r="F668" t="str">
            <v/>
          </cell>
          <cell r="H668" t="str">
            <v/>
          </cell>
          <cell r="I668">
            <v>0</v>
          </cell>
          <cell r="J668">
            <v>0.5</v>
          </cell>
          <cell r="K668">
            <v>1</v>
          </cell>
          <cell r="M668">
            <v>2.2000000000000002</v>
          </cell>
          <cell r="N668">
            <v>2.2000000000000002</v>
          </cell>
          <cell r="O668">
            <v>2</v>
          </cell>
          <cell r="P668">
            <v>2</v>
          </cell>
          <cell r="Q668">
            <v>0</v>
          </cell>
          <cell r="R668">
            <v>0</v>
          </cell>
          <cell r="S668">
            <v>2.2000000000000002</v>
          </cell>
          <cell r="T668">
            <v>0</v>
          </cell>
          <cell r="U668" t="str">
            <v/>
          </cell>
          <cell r="V668" t="str">
            <v>A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 t="e">
            <v>#DIV/0!</v>
          </cell>
          <cell r="AH668" t="e">
            <v>#DIV/0!</v>
          </cell>
          <cell r="AI668" t="e">
            <v>#DIV/0!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 t="e">
            <v>#N/A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0.9</v>
          </cell>
          <cell r="BH668">
            <v>1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 t="e">
            <v>#DIV/0!</v>
          </cell>
          <cell r="BO668">
            <v>38</v>
          </cell>
          <cell r="BP668">
            <v>0</v>
          </cell>
          <cell r="BQ668" t="e">
            <v>#VALUE!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 t="str">
            <v/>
          </cell>
          <cell r="BX668" t="str">
            <v/>
          </cell>
          <cell r="BY668">
            <v>1.5</v>
          </cell>
          <cell r="BZ668">
            <v>1.1429999999999998</v>
          </cell>
        </row>
        <row r="669">
          <cell r="B669" t="str">
            <v/>
          </cell>
          <cell r="C669">
            <v>0</v>
          </cell>
          <cell r="D669" t="str">
            <v/>
          </cell>
          <cell r="F669" t="str">
            <v/>
          </cell>
          <cell r="H669" t="str">
            <v/>
          </cell>
          <cell r="I669">
            <v>0</v>
          </cell>
          <cell r="J669">
            <v>0</v>
          </cell>
          <cell r="K669">
            <v>0</v>
          </cell>
          <cell r="M669">
            <v>2.2000000000000002</v>
          </cell>
          <cell r="N669">
            <v>2.2000000000000002</v>
          </cell>
          <cell r="O669">
            <v>2</v>
          </cell>
          <cell r="P669">
            <v>2</v>
          </cell>
          <cell r="Q669">
            <v>0</v>
          </cell>
          <cell r="R669">
            <v>0</v>
          </cell>
          <cell r="S669">
            <v>2.2000000000000002</v>
          </cell>
          <cell r="T669">
            <v>0</v>
          </cell>
          <cell r="U669" t="str">
            <v/>
          </cell>
          <cell r="V669" t="str">
            <v>A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 t="e">
            <v>#DIV/0!</v>
          </cell>
          <cell r="AH669" t="e">
            <v>#DIV/0!</v>
          </cell>
          <cell r="AI669" t="e">
            <v>#DIV/0!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 t="e">
            <v>#N/A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0.9</v>
          </cell>
          <cell r="BH669">
            <v>1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 t="e">
            <v>#DIV/0!</v>
          </cell>
          <cell r="BO669">
            <v>38</v>
          </cell>
          <cell r="BP669">
            <v>0</v>
          </cell>
          <cell r="BQ669" t="e">
            <v>#VALUE!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 t="str">
            <v/>
          </cell>
          <cell r="BX669" t="str">
            <v/>
          </cell>
          <cell r="BY669">
            <v>1.5</v>
          </cell>
          <cell r="BZ669">
            <v>1.1429999999999998</v>
          </cell>
        </row>
        <row r="670">
          <cell r="B670" t="str">
            <v/>
          </cell>
          <cell r="C670">
            <v>0</v>
          </cell>
          <cell r="D670" t="str">
            <v/>
          </cell>
          <cell r="F670" t="str">
            <v/>
          </cell>
          <cell r="H670" t="str">
            <v/>
          </cell>
          <cell r="I670">
            <v>0</v>
          </cell>
          <cell r="J670">
            <v>0.33333333333333331</v>
          </cell>
          <cell r="K670">
            <v>1</v>
          </cell>
          <cell r="M670">
            <v>2.2000000000000002</v>
          </cell>
          <cell r="N670">
            <v>2.2000000000000002</v>
          </cell>
          <cell r="O670">
            <v>2</v>
          </cell>
          <cell r="P670">
            <v>2</v>
          </cell>
          <cell r="Q670">
            <v>0</v>
          </cell>
          <cell r="R670">
            <v>0</v>
          </cell>
          <cell r="S670">
            <v>2.2000000000000002</v>
          </cell>
          <cell r="T670">
            <v>0</v>
          </cell>
          <cell r="U670" t="str">
            <v/>
          </cell>
          <cell r="V670" t="str">
            <v>A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 t="e">
            <v>#DIV/0!</v>
          </cell>
          <cell r="AH670" t="e">
            <v>#DIV/0!</v>
          </cell>
          <cell r="AI670" t="e">
            <v>#DIV/0!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 t="e">
            <v>#N/A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0.9</v>
          </cell>
          <cell r="BH670">
            <v>1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 t="e">
            <v>#DIV/0!</v>
          </cell>
          <cell r="BO670">
            <v>38</v>
          </cell>
          <cell r="BP670">
            <v>0</v>
          </cell>
          <cell r="BQ670" t="e">
            <v>#VALUE!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 t="str">
            <v/>
          </cell>
          <cell r="BX670" t="str">
            <v/>
          </cell>
          <cell r="BY670">
            <v>1.5</v>
          </cell>
          <cell r="BZ670">
            <v>1.1429999999999998</v>
          </cell>
        </row>
        <row r="671">
          <cell r="B671" t="str">
            <v/>
          </cell>
          <cell r="C671">
            <v>0</v>
          </cell>
          <cell r="D671" t="str">
            <v/>
          </cell>
          <cell r="F671" t="str">
            <v/>
          </cell>
          <cell r="H671" t="str">
            <v/>
          </cell>
          <cell r="I671" t="e">
            <v>#N/A</v>
          </cell>
          <cell r="J671" t="e">
            <v>#N/A</v>
          </cell>
          <cell r="K671" t="e">
            <v>#N/A</v>
          </cell>
          <cell r="M671">
            <v>2.2000000000000002</v>
          </cell>
          <cell r="N671">
            <v>2.2000000000000002</v>
          </cell>
          <cell r="O671">
            <v>2</v>
          </cell>
          <cell r="P671">
            <v>2</v>
          </cell>
          <cell r="Q671">
            <v>0</v>
          </cell>
          <cell r="R671">
            <v>0</v>
          </cell>
          <cell r="S671">
            <v>2.2000000000000002</v>
          </cell>
          <cell r="T671">
            <v>0</v>
          </cell>
          <cell r="U671" t="str">
            <v/>
          </cell>
          <cell r="V671" t="str">
            <v>A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 t="e">
            <v>#DIV/0!</v>
          </cell>
          <cell r="AH671" t="e">
            <v>#DIV/0!</v>
          </cell>
          <cell r="AI671" t="e">
            <v>#DIV/0!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 t="e">
            <v>#N/A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0.9</v>
          </cell>
          <cell r="BH671">
            <v>1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 t="e">
            <v>#DIV/0!</v>
          </cell>
          <cell r="BO671">
            <v>38</v>
          </cell>
          <cell r="BP671">
            <v>0</v>
          </cell>
          <cell r="BQ671" t="e">
            <v>#VALUE!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 t="str">
            <v/>
          </cell>
          <cell r="BX671" t="str">
            <v/>
          </cell>
          <cell r="BY671">
            <v>1.5</v>
          </cell>
          <cell r="BZ671">
            <v>1.1429999999999998</v>
          </cell>
        </row>
        <row r="672">
          <cell r="B672" t="str">
            <v/>
          </cell>
          <cell r="C672">
            <v>0</v>
          </cell>
          <cell r="D672" t="str">
            <v/>
          </cell>
          <cell r="F672" t="str">
            <v/>
          </cell>
          <cell r="H672" t="str">
            <v/>
          </cell>
          <cell r="I672">
            <v>2.2000000000000002</v>
          </cell>
          <cell r="J672">
            <v>2.3333333333333335</v>
          </cell>
          <cell r="K672">
            <v>2.5</v>
          </cell>
          <cell r="M672">
            <v>2.2000000000000002</v>
          </cell>
          <cell r="N672">
            <v>2.2000000000000002</v>
          </cell>
          <cell r="O672">
            <v>2</v>
          </cell>
          <cell r="P672">
            <v>2</v>
          </cell>
          <cell r="Q672">
            <v>0</v>
          </cell>
          <cell r="R672">
            <v>0</v>
          </cell>
          <cell r="S672">
            <v>2.2000000000000002</v>
          </cell>
          <cell r="T672">
            <v>0</v>
          </cell>
          <cell r="U672" t="str">
            <v/>
          </cell>
          <cell r="V672" t="str">
            <v>A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 t="e">
            <v>#DIV/0!</v>
          </cell>
          <cell r="AH672" t="e">
            <v>#DIV/0!</v>
          </cell>
          <cell r="AI672" t="e">
            <v>#DIV/0!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 t="e">
            <v>#N/A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0.9</v>
          </cell>
          <cell r="BH672">
            <v>1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 t="e">
            <v>#DIV/0!</v>
          </cell>
          <cell r="BO672">
            <v>38</v>
          </cell>
          <cell r="BP672">
            <v>0</v>
          </cell>
          <cell r="BQ672" t="e">
            <v>#VALUE!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 t="str">
            <v/>
          </cell>
          <cell r="BX672" t="str">
            <v/>
          </cell>
          <cell r="BY672">
            <v>1.5</v>
          </cell>
          <cell r="BZ672">
            <v>1.1429999999999998</v>
          </cell>
        </row>
        <row r="673">
          <cell r="B673" t="str">
            <v/>
          </cell>
          <cell r="C673">
            <v>0</v>
          </cell>
          <cell r="D673" t="str">
            <v/>
          </cell>
          <cell r="F673" t="str">
            <v/>
          </cell>
          <cell r="H673" t="str">
            <v/>
          </cell>
          <cell r="I673">
            <v>0</v>
          </cell>
          <cell r="J673">
            <v>0.85</v>
          </cell>
          <cell r="K673">
            <v>1.7</v>
          </cell>
          <cell r="M673">
            <v>2.2000000000000002</v>
          </cell>
          <cell r="N673">
            <v>2.2000000000000002</v>
          </cell>
          <cell r="O673">
            <v>2</v>
          </cell>
          <cell r="P673">
            <v>2</v>
          </cell>
          <cell r="Q673">
            <v>0</v>
          </cell>
          <cell r="R673">
            <v>0</v>
          </cell>
          <cell r="S673">
            <v>2.2000000000000002</v>
          </cell>
          <cell r="T673">
            <v>0</v>
          </cell>
          <cell r="U673" t="str">
            <v/>
          </cell>
          <cell r="V673" t="str">
            <v>A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 t="e">
            <v>#DIV/0!</v>
          </cell>
          <cell r="AH673" t="e">
            <v>#DIV/0!</v>
          </cell>
          <cell r="AI673" t="e">
            <v>#DIV/0!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 t="e">
            <v>#N/A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0.9</v>
          </cell>
          <cell r="BH673">
            <v>1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 t="e">
            <v>#DIV/0!</v>
          </cell>
          <cell r="BO673">
            <v>38</v>
          </cell>
          <cell r="BP673">
            <v>0</v>
          </cell>
          <cell r="BQ673" t="e">
            <v>#VALUE!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 t="str">
            <v/>
          </cell>
          <cell r="BX673" t="str">
            <v/>
          </cell>
          <cell r="BY673">
            <v>1.5</v>
          </cell>
          <cell r="BZ673">
            <v>1.1429999999999998</v>
          </cell>
        </row>
        <row r="674">
          <cell r="B674" t="str">
            <v/>
          </cell>
          <cell r="C674">
            <v>0</v>
          </cell>
          <cell r="D674" t="str">
            <v/>
          </cell>
          <cell r="H674" t="str">
            <v/>
          </cell>
          <cell r="I674">
            <v>0</v>
          </cell>
          <cell r="J674">
            <v>1</v>
          </cell>
          <cell r="K674">
            <v>2</v>
          </cell>
          <cell r="M674">
            <v>2.2000000000000002</v>
          </cell>
          <cell r="N674">
            <v>2.2000000000000002</v>
          </cell>
          <cell r="O674">
            <v>2</v>
          </cell>
          <cell r="P674">
            <v>2</v>
          </cell>
          <cell r="Q674">
            <v>0</v>
          </cell>
          <cell r="R674">
            <v>0</v>
          </cell>
          <cell r="S674">
            <v>2.2000000000000002</v>
          </cell>
          <cell r="T674">
            <v>0</v>
          </cell>
          <cell r="U674" t="str">
            <v/>
          </cell>
          <cell r="V674" t="str">
            <v>A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 t="e">
            <v>#DIV/0!</v>
          </cell>
          <cell r="AH674" t="e">
            <v>#DIV/0!</v>
          </cell>
          <cell r="AI674" t="e">
            <v>#DIV/0!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 t="e">
            <v>#N/A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0.9</v>
          </cell>
          <cell r="BH674">
            <v>1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 t="e">
            <v>#DIV/0!</v>
          </cell>
          <cell r="BO674">
            <v>38</v>
          </cell>
          <cell r="BP674">
            <v>0</v>
          </cell>
          <cell r="BQ674" t="e">
            <v>#VALUE!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 t="str">
            <v/>
          </cell>
          <cell r="BX674" t="str">
            <v/>
          </cell>
          <cell r="BY674">
            <v>1.5</v>
          </cell>
          <cell r="BZ674">
            <v>1.1429999999999998</v>
          </cell>
        </row>
        <row r="675">
          <cell r="B675" t="str">
            <v/>
          </cell>
          <cell r="C675">
            <v>0</v>
          </cell>
          <cell r="D675" t="str">
            <v/>
          </cell>
          <cell r="H675" t="str">
            <v/>
          </cell>
          <cell r="I675" t="e">
            <v>#N/A</v>
          </cell>
          <cell r="J675" t="e">
            <v>#N/A</v>
          </cell>
          <cell r="K675" t="e">
            <v>#N/A</v>
          </cell>
          <cell r="M675">
            <v>2.2000000000000002</v>
          </cell>
          <cell r="N675">
            <v>2.2000000000000002</v>
          </cell>
          <cell r="O675">
            <v>2</v>
          </cell>
          <cell r="P675">
            <v>2</v>
          </cell>
          <cell r="Q675">
            <v>0</v>
          </cell>
          <cell r="R675">
            <v>0</v>
          </cell>
          <cell r="S675">
            <v>2.2000000000000002</v>
          </cell>
          <cell r="T675">
            <v>0</v>
          </cell>
          <cell r="U675" t="str">
            <v/>
          </cell>
          <cell r="V675" t="str">
            <v>A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 t="e">
            <v>#DIV/0!</v>
          </cell>
          <cell r="AH675" t="e">
            <v>#DIV/0!</v>
          </cell>
          <cell r="AI675" t="e">
            <v>#DIV/0!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 t="e">
            <v>#N/A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0.9</v>
          </cell>
          <cell r="BH675">
            <v>1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 t="e">
            <v>#DIV/0!</v>
          </cell>
          <cell r="BO675">
            <v>38</v>
          </cell>
          <cell r="BP675">
            <v>0</v>
          </cell>
          <cell r="BQ675" t="e">
            <v>#VALUE!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 t="str">
            <v/>
          </cell>
          <cell r="BX675" t="str">
            <v/>
          </cell>
          <cell r="BY675">
            <v>1.5</v>
          </cell>
          <cell r="BZ675">
            <v>1.1429999999999998</v>
          </cell>
        </row>
        <row r="676">
          <cell r="B676" t="str">
            <v/>
          </cell>
          <cell r="C676">
            <v>0</v>
          </cell>
          <cell r="D676" t="str">
            <v/>
          </cell>
          <cell r="H676" t="str">
            <v/>
          </cell>
          <cell r="I676">
            <v>0</v>
          </cell>
          <cell r="J676">
            <v>0</v>
          </cell>
          <cell r="K676">
            <v>0</v>
          </cell>
          <cell r="M676">
            <v>2.2000000000000002</v>
          </cell>
          <cell r="N676">
            <v>2.2000000000000002</v>
          </cell>
          <cell r="O676">
            <v>2</v>
          </cell>
          <cell r="P676">
            <v>2</v>
          </cell>
          <cell r="Q676">
            <v>0</v>
          </cell>
          <cell r="R676">
            <v>0</v>
          </cell>
          <cell r="S676">
            <v>2.2000000000000002</v>
          </cell>
          <cell r="T676">
            <v>0</v>
          </cell>
          <cell r="U676" t="str">
            <v/>
          </cell>
          <cell r="V676" t="str">
            <v>A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 t="e">
            <v>#DIV/0!</v>
          </cell>
          <cell r="AH676" t="e">
            <v>#DIV/0!</v>
          </cell>
          <cell r="AI676" t="e">
            <v>#DIV/0!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 t="e">
            <v>#N/A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0.9</v>
          </cell>
          <cell r="BH676">
            <v>1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 t="e">
            <v>#DIV/0!</v>
          </cell>
          <cell r="BO676">
            <v>38</v>
          </cell>
          <cell r="BP676">
            <v>0</v>
          </cell>
          <cell r="BQ676" t="e">
            <v>#VALUE!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 t="str">
            <v/>
          </cell>
          <cell r="BX676" t="str">
            <v/>
          </cell>
          <cell r="BY676">
            <v>1.5</v>
          </cell>
          <cell r="BZ676">
            <v>1.1429999999999998</v>
          </cell>
        </row>
        <row r="677">
          <cell r="B677" t="str">
            <v/>
          </cell>
          <cell r="C677">
            <v>0</v>
          </cell>
          <cell r="D677" t="str">
            <v/>
          </cell>
          <cell r="H677" t="str">
            <v/>
          </cell>
          <cell r="I677">
            <v>0</v>
          </cell>
          <cell r="J677">
            <v>1.3</v>
          </cell>
          <cell r="K677">
            <v>2.1</v>
          </cell>
          <cell r="M677">
            <v>2.2000000000000002</v>
          </cell>
          <cell r="N677">
            <v>2.2000000000000002</v>
          </cell>
          <cell r="O677">
            <v>2</v>
          </cell>
          <cell r="P677">
            <v>2</v>
          </cell>
          <cell r="Q677">
            <v>0</v>
          </cell>
          <cell r="R677">
            <v>0</v>
          </cell>
          <cell r="S677">
            <v>2.2000000000000002</v>
          </cell>
          <cell r="T677">
            <v>0</v>
          </cell>
          <cell r="U677" t="str">
            <v/>
          </cell>
          <cell r="V677" t="str">
            <v>A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 t="e">
            <v>#DIV/0!</v>
          </cell>
          <cell r="AH677" t="e">
            <v>#DIV/0!</v>
          </cell>
          <cell r="AI677" t="e">
            <v>#DIV/0!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 t="e">
            <v>#N/A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0.9</v>
          </cell>
          <cell r="BH677">
            <v>1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 t="e">
            <v>#DIV/0!</v>
          </cell>
          <cell r="BO677">
            <v>38</v>
          </cell>
          <cell r="BP677">
            <v>0</v>
          </cell>
          <cell r="BQ677" t="e">
            <v>#VALUE!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 t="str">
            <v/>
          </cell>
          <cell r="BX677" t="str">
            <v/>
          </cell>
          <cell r="BY677">
            <v>1.5</v>
          </cell>
          <cell r="BZ677">
            <v>1.1429999999999998</v>
          </cell>
        </row>
        <row r="678">
          <cell r="B678" t="str">
            <v/>
          </cell>
          <cell r="C678">
            <v>0</v>
          </cell>
          <cell r="D678" t="str">
            <v/>
          </cell>
          <cell r="H678" t="str">
            <v/>
          </cell>
          <cell r="I678">
            <v>0</v>
          </cell>
          <cell r="J678">
            <v>0</v>
          </cell>
          <cell r="K678">
            <v>0</v>
          </cell>
          <cell r="M678">
            <v>2.2000000000000002</v>
          </cell>
          <cell r="N678">
            <v>2.2000000000000002</v>
          </cell>
          <cell r="O678">
            <v>2</v>
          </cell>
          <cell r="P678">
            <v>2</v>
          </cell>
          <cell r="Q678">
            <v>0</v>
          </cell>
          <cell r="R678">
            <v>0</v>
          </cell>
          <cell r="S678">
            <v>2.2000000000000002</v>
          </cell>
          <cell r="T678">
            <v>0</v>
          </cell>
          <cell r="U678" t="str">
            <v/>
          </cell>
          <cell r="V678" t="str">
            <v>A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 t="e">
            <v>#DIV/0!</v>
          </cell>
          <cell r="AH678" t="e">
            <v>#DIV/0!</v>
          </cell>
          <cell r="AI678" t="e">
            <v>#DIV/0!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 t="e">
            <v>#N/A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0.9</v>
          </cell>
          <cell r="BH678">
            <v>1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 t="e">
            <v>#DIV/0!</v>
          </cell>
          <cell r="BO678">
            <v>38</v>
          </cell>
          <cell r="BP678">
            <v>0</v>
          </cell>
          <cell r="BQ678" t="e">
            <v>#VALUE!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 t="str">
            <v/>
          </cell>
          <cell r="BX678" t="str">
            <v/>
          </cell>
          <cell r="BY678">
            <v>1.5</v>
          </cell>
          <cell r="BZ678">
            <v>1.1429999999999998</v>
          </cell>
        </row>
        <row r="679">
          <cell r="B679" t="str">
            <v/>
          </cell>
          <cell r="C679">
            <v>0</v>
          </cell>
          <cell r="D679" t="str">
            <v/>
          </cell>
          <cell r="H679" t="str">
            <v/>
          </cell>
          <cell r="I679">
            <v>0</v>
          </cell>
          <cell r="J679">
            <v>1.1499999999999999</v>
          </cell>
          <cell r="K679">
            <v>2.2999999999999998</v>
          </cell>
          <cell r="M679">
            <v>2.2000000000000002</v>
          </cell>
          <cell r="N679">
            <v>2.2000000000000002</v>
          </cell>
          <cell r="O679">
            <v>2</v>
          </cell>
          <cell r="P679">
            <v>2</v>
          </cell>
          <cell r="Q679">
            <v>0</v>
          </cell>
          <cell r="R679">
            <v>0</v>
          </cell>
          <cell r="S679">
            <v>2.2000000000000002</v>
          </cell>
          <cell r="T679">
            <v>0</v>
          </cell>
          <cell r="U679" t="str">
            <v/>
          </cell>
          <cell r="V679" t="str">
            <v>A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 t="e">
            <v>#DIV/0!</v>
          </cell>
          <cell r="AH679" t="e">
            <v>#DIV/0!</v>
          </cell>
          <cell r="AI679" t="e">
            <v>#DIV/0!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 t="e">
            <v>#N/A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0.9</v>
          </cell>
          <cell r="BH679">
            <v>1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 t="e">
            <v>#DIV/0!</v>
          </cell>
          <cell r="BO679">
            <v>38</v>
          </cell>
          <cell r="BP679">
            <v>0</v>
          </cell>
          <cell r="BQ679" t="e">
            <v>#VALUE!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 t="str">
            <v/>
          </cell>
          <cell r="BX679" t="str">
            <v/>
          </cell>
          <cell r="BY679">
            <v>1.5</v>
          </cell>
          <cell r="BZ679">
            <v>1.1429999999999998</v>
          </cell>
        </row>
        <row r="680">
          <cell r="B680" t="str">
            <v/>
          </cell>
          <cell r="C680">
            <v>0</v>
          </cell>
          <cell r="D680" t="str">
            <v/>
          </cell>
          <cell r="H680" t="str">
            <v/>
          </cell>
          <cell r="I680">
            <v>0</v>
          </cell>
          <cell r="J680">
            <v>0</v>
          </cell>
          <cell r="K680">
            <v>0</v>
          </cell>
          <cell r="M680">
            <v>2.2000000000000002</v>
          </cell>
          <cell r="N680">
            <v>2.2000000000000002</v>
          </cell>
          <cell r="O680">
            <v>2</v>
          </cell>
          <cell r="P680">
            <v>2</v>
          </cell>
          <cell r="Q680">
            <v>0</v>
          </cell>
          <cell r="R680">
            <v>0</v>
          </cell>
          <cell r="S680">
            <v>2.2000000000000002</v>
          </cell>
          <cell r="T680">
            <v>0</v>
          </cell>
          <cell r="U680" t="str">
            <v/>
          </cell>
          <cell r="V680" t="str">
            <v>A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 t="e">
            <v>#DIV/0!</v>
          </cell>
          <cell r="AH680" t="e">
            <v>#DIV/0!</v>
          </cell>
          <cell r="AI680" t="e">
            <v>#DIV/0!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 t="e">
            <v>#N/A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0.9</v>
          </cell>
          <cell r="BH680">
            <v>1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 t="e">
            <v>#DIV/0!</v>
          </cell>
          <cell r="BO680">
            <v>38</v>
          </cell>
          <cell r="BP680">
            <v>0</v>
          </cell>
          <cell r="BQ680" t="e">
            <v>#VALUE!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 t="str">
            <v/>
          </cell>
          <cell r="BX680" t="str">
            <v/>
          </cell>
          <cell r="BY680">
            <v>1.5</v>
          </cell>
          <cell r="BZ680">
            <v>1.1429999999999998</v>
          </cell>
        </row>
        <row r="681">
          <cell r="B681" t="str">
            <v/>
          </cell>
          <cell r="C681">
            <v>0</v>
          </cell>
          <cell r="D681" t="str">
            <v/>
          </cell>
          <cell r="H681" t="str">
            <v/>
          </cell>
          <cell r="I681">
            <v>0</v>
          </cell>
          <cell r="J681">
            <v>0</v>
          </cell>
          <cell r="K681">
            <v>0</v>
          </cell>
          <cell r="M681">
            <v>2.2000000000000002</v>
          </cell>
          <cell r="N681">
            <v>2.2000000000000002</v>
          </cell>
          <cell r="O681">
            <v>2</v>
          </cell>
          <cell r="P681">
            <v>2</v>
          </cell>
          <cell r="Q681">
            <v>0</v>
          </cell>
          <cell r="R681">
            <v>0</v>
          </cell>
          <cell r="S681">
            <v>2.2000000000000002</v>
          </cell>
          <cell r="T681">
            <v>0</v>
          </cell>
          <cell r="U681" t="str">
            <v/>
          </cell>
          <cell r="V681" t="str">
            <v>A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 t="e">
            <v>#DIV/0!</v>
          </cell>
          <cell r="AH681" t="e">
            <v>#DIV/0!</v>
          </cell>
          <cell r="AI681" t="e">
            <v>#DIV/0!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 t="e">
            <v>#N/A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0.9</v>
          </cell>
          <cell r="BH681">
            <v>1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 t="e">
            <v>#DIV/0!</v>
          </cell>
          <cell r="BO681">
            <v>38</v>
          </cell>
          <cell r="BP681">
            <v>0</v>
          </cell>
          <cell r="BQ681" t="e">
            <v>#VALUE!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 t="str">
            <v/>
          </cell>
          <cell r="BX681" t="str">
            <v/>
          </cell>
          <cell r="BY681">
            <v>1.5</v>
          </cell>
          <cell r="BZ681">
            <v>1.1429999999999998</v>
          </cell>
        </row>
        <row r="682">
          <cell r="B682" t="str">
            <v/>
          </cell>
          <cell r="C682">
            <v>0</v>
          </cell>
          <cell r="D682" t="str">
            <v/>
          </cell>
          <cell r="H682" t="str">
            <v/>
          </cell>
          <cell r="I682">
            <v>0</v>
          </cell>
          <cell r="J682">
            <v>0</v>
          </cell>
          <cell r="K682">
            <v>0</v>
          </cell>
          <cell r="M682">
            <v>2.2000000000000002</v>
          </cell>
          <cell r="N682">
            <v>2.2000000000000002</v>
          </cell>
          <cell r="O682">
            <v>2</v>
          </cell>
          <cell r="P682">
            <v>2</v>
          </cell>
          <cell r="Q682">
            <v>0</v>
          </cell>
          <cell r="R682">
            <v>0</v>
          </cell>
          <cell r="S682">
            <v>2.2000000000000002</v>
          </cell>
          <cell r="T682">
            <v>0</v>
          </cell>
          <cell r="U682" t="str">
            <v/>
          </cell>
          <cell r="V682" t="str">
            <v>A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 t="e">
            <v>#DIV/0!</v>
          </cell>
          <cell r="AH682" t="e">
            <v>#DIV/0!</v>
          </cell>
          <cell r="AI682" t="e">
            <v>#DIV/0!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 t="e">
            <v>#N/A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0.9</v>
          </cell>
          <cell r="BH682">
            <v>1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 t="e">
            <v>#DIV/0!</v>
          </cell>
          <cell r="BO682">
            <v>38</v>
          </cell>
          <cell r="BP682">
            <v>0</v>
          </cell>
          <cell r="BQ682" t="e">
            <v>#VALUE!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 t="str">
            <v/>
          </cell>
          <cell r="BX682" t="str">
            <v/>
          </cell>
          <cell r="BY682">
            <v>1.5</v>
          </cell>
          <cell r="BZ682">
            <v>1.1429999999999998</v>
          </cell>
        </row>
        <row r="683">
          <cell r="B683" t="str">
            <v/>
          </cell>
          <cell r="C683">
            <v>0</v>
          </cell>
          <cell r="D683" t="str">
            <v/>
          </cell>
          <cell r="H683" t="str">
            <v/>
          </cell>
          <cell r="I683">
            <v>0</v>
          </cell>
          <cell r="J683">
            <v>0</v>
          </cell>
          <cell r="K683">
            <v>0</v>
          </cell>
          <cell r="M683">
            <v>2.2000000000000002</v>
          </cell>
          <cell r="N683">
            <v>2.2000000000000002</v>
          </cell>
          <cell r="O683">
            <v>2</v>
          </cell>
          <cell r="P683">
            <v>2</v>
          </cell>
          <cell r="Q683">
            <v>0</v>
          </cell>
          <cell r="R683">
            <v>0</v>
          </cell>
          <cell r="S683">
            <v>2.2000000000000002</v>
          </cell>
          <cell r="T683">
            <v>0</v>
          </cell>
          <cell r="U683" t="str">
            <v/>
          </cell>
          <cell r="V683" t="str">
            <v>A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 t="e">
            <v>#DIV/0!</v>
          </cell>
          <cell r="AH683" t="e">
            <v>#DIV/0!</v>
          </cell>
          <cell r="AI683" t="e">
            <v>#DIV/0!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 t="e">
            <v>#N/A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0.9</v>
          </cell>
          <cell r="BH683">
            <v>1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 t="e">
            <v>#DIV/0!</v>
          </cell>
          <cell r="BO683">
            <v>38</v>
          </cell>
          <cell r="BP683">
            <v>0</v>
          </cell>
          <cell r="BQ683" t="e">
            <v>#VALUE!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 t="str">
            <v/>
          </cell>
          <cell r="BX683" t="str">
            <v/>
          </cell>
          <cell r="BY683">
            <v>1.5</v>
          </cell>
          <cell r="BZ683">
            <v>1.1429999999999998</v>
          </cell>
        </row>
        <row r="684">
          <cell r="B684" t="str">
            <v/>
          </cell>
          <cell r="C684">
            <v>0</v>
          </cell>
          <cell r="D684" t="str">
            <v/>
          </cell>
          <cell r="H684" t="str">
            <v/>
          </cell>
          <cell r="I684">
            <v>0</v>
          </cell>
          <cell r="J684">
            <v>0.83333333333333337</v>
          </cell>
          <cell r="K684">
            <v>2.5</v>
          </cell>
          <cell r="M684">
            <v>2.2000000000000002</v>
          </cell>
          <cell r="N684">
            <v>2.2000000000000002</v>
          </cell>
          <cell r="O684">
            <v>2</v>
          </cell>
          <cell r="P684">
            <v>2</v>
          </cell>
          <cell r="Q684">
            <v>0</v>
          </cell>
          <cell r="R684">
            <v>0</v>
          </cell>
          <cell r="S684">
            <v>2.2000000000000002</v>
          </cell>
          <cell r="T684">
            <v>0</v>
          </cell>
          <cell r="U684" t="str">
            <v/>
          </cell>
          <cell r="V684" t="str">
            <v>A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 t="e">
            <v>#DIV/0!</v>
          </cell>
          <cell r="AH684" t="e">
            <v>#DIV/0!</v>
          </cell>
          <cell r="AI684" t="e">
            <v>#DIV/0!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 t="e">
            <v>#N/A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0.9</v>
          </cell>
          <cell r="BH684">
            <v>1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 t="e">
            <v>#DIV/0!</v>
          </cell>
          <cell r="BO684">
            <v>38</v>
          </cell>
          <cell r="BP684">
            <v>0</v>
          </cell>
          <cell r="BQ684" t="e">
            <v>#VALUE!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 t="str">
            <v/>
          </cell>
          <cell r="BX684" t="str">
            <v/>
          </cell>
          <cell r="BY684">
            <v>1.5</v>
          </cell>
          <cell r="BZ684">
            <v>1.1429999999999998</v>
          </cell>
        </row>
        <row r="685">
          <cell r="B685" t="str">
            <v/>
          </cell>
          <cell r="C685">
            <v>0</v>
          </cell>
          <cell r="D685" t="str">
            <v/>
          </cell>
          <cell r="H685" t="str">
            <v/>
          </cell>
          <cell r="I685">
            <v>0</v>
          </cell>
          <cell r="J685">
            <v>1.2</v>
          </cell>
          <cell r="K685">
            <v>2.4</v>
          </cell>
          <cell r="M685">
            <v>2.2000000000000002</v>
          </cell>
          <cell r="N685">
            <v>2.2000000000000002</v>
          </cell>
          <cell r="O685">
            <v>2</v>
          </cell>
          <cell r="P685">
            <v>2</v>
          </cell>
          <cell r="Q685">
            <v>0</v>
          </cell>
          <cell r="R685">
            <v>0</v>
          </cell>
          <cell r="S685">
            <v>2.2000000000000002</v>
          </cell>
          <cell r="T685">
            <v>0</v>
          </cell>
          <cell r="U685" t="str">
            <v/>
          </cell>
          <cell r="V685" t="str">
            <v>A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 t="e">
            <v>#DIV/0!</v>
          </cell>
          <cell r="AH685" t="e">
            <v>#DIV/0!</v>
          </cell>
          <cell r="AI685" t="e">
            <v>#DIV/0!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 t="e">
            <v>#N/A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0.9</v>
          </cell>
          <cell r="BH685">
            <v>1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 t="e">
            <v>#DIV/0!</v>
          </cell>
          <cell r="BO685">
            <v>38</v>
          </cell>
          <cell r="BP685">
            <v>0</v>
          </cell>
          <cell r="BQ685" t="e">
            <v>#VALUE!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 t="str">
            <v/>
          </cell>
          <cell r="BX685" t="str">
            <v/>
          </cell>
          <cell r="BY685">
            <v>1.5</v>
          </cell>
          <cell r="BZ685">
            <v>1.1429999999999998</v>
          </cell>
        </row>
        <row r="686">
          <cell r="B686" t="str">
            <v/>
          </cell>
          <cell r="C686">
            <v>0</v>
          </cell>
          <cell r="D686" t="str">
            <v/>
          </cell>
          <cell r="H686" t="str">
            <v/>
          </cell>
          <cell r="I686">
            <v>0</v>
          </cell>
          <cell r="J686">
            <v>0</v>
          </cell>
          <cell r="K686">
            <v>0</v>
          </cell>
          <cell r="M686">
            <v>2.2000000000000002</v>
          </cell>
          <cell r="N686">
            <v>2.2000000000000002</v>
          </cell>
          <cell r="O686">
            <v>2</v>
          </cell>
          <cell r="P686">
            <v>2</v>
          </cell>
          <cell r="Q686">
            <v>0</v>
          </cell>
          <cell r="R686">
            <v>0</v>
          </cell>
          <cell r="S686">
            <v>2.2000000000000002</v>
          </cell>
          <cell r="T686">
            <v>0</v>
          </cell>
          <cell r="U686" t="str">
            <v/>
          </cell>
          <cell r="V686" t="str">
            <v>A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 t="e">
            <v>#DIV/0!</v>
          </cell>
          <cell r="AH686" t="e">
            <v>#DIV/0!</v>
          </cell>
          <cell r="AI686" t="e">
            <v>#DIV/0!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 t="e">
            <v>#N/A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0.9</v>
          </cell>
          <cell r="BH686">
            <v>1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 t="e">
            <v>#DIV/0!</v>
          </cell>
          <cell r="BO686">
            <v>38</v>
          </cell>
          <cell r="BP686">
            <v>0</v>
          </cell>
          <cell r="BQ686" t="e">
            <v>#VALUE!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 t="str">
            <v/>
          </cell>
          <cell r="BX686" t="str">
            <v/>
          </cell>
          <cell r="BY686">
            <v>1.5</v>
          </cell>
          <cell r="BZ686">
            <v>1.1429999999999998</v>
          </cell>
        </row>
        <row r="687">
          <cell r="B687" t="str">
            <v/>
          </cell>
          <cell r="C687">
            <v>0</v>
          </cell>
          <cell r="D687" t="str">
            <v/>
          </cell>
          <cell r="H687" t="str">
            <v/>
          </cell>
          <cell r="I687">
            <v>0</v>
          </cell>
          <cell r="J687">
            <v>0.66666666666666663</v>
          </cell>
          <cell r="K687">
            <v>2</v>
          </cell>
          <cell r="M687">
            <v>2.2000000000000002</v>
          </cell>
          <cell r="N687">
            <v>2.2000000000000002</v>
          </cell>
          <cell r="O687">
            <v>2</v>
          </cell>
          <cell r="P687">
            <v>2</v>
          </cell>
          <cell r="Q687">
            <v>0</v>
          </cell>
          <cell r="R687">
            <v>0</v>
          </cell>
          <cell r="S687">
            <v>2.2000000000000002</v>
          </cell>
          <cell r="T687">
            <v>0</v>
          </cell>
          <cell r="U687" t="str">
            <v/>
          </cell>
          <cell r="V687" t="str">
            <v>A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 t="e">
            <v>#DIV/0!</v>
          </cell>
          <cell r="AH687" t="e">
            <v>#DIV/0!</v>
          </cell>
          <cell r="AI687" t="e">
            <v>#DIV/0!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 t="e">
            <v>#N/A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0.9</v>
          </cell>
          <cell r="BH687">
            <v>1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 t="e">
            <v>#DIV/0!</v>
          </cell>
          <cell r="BO687">
            <v>38</v>
          </cell>
          <cell r="BP687">
            <v>0</v>
          </cell>
          <cell r="BQ687" t="e">
            <v>#VALUE!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 t="str">
            <v/>
          </cell>
          <cell r="BX687" t="str">
            <v/>
          </cell>
          <cell r="BY687">
            <v>1.5</v>
          </cell>
          <cell r="BZ687">
            <v>1.1429999999999998</v>
          </cell>
        </row>
        <row r="688">
          <cell r="B688" t="str">
            <v/>
          </cell>
          <cell r="C688">
            <v>0</v>
          </cell>
          <cell r="D688" t="str">
            <v/>
          </cell>
          <cell r="H688" t="str">
            <v/>
          </cell>
          <cell r="I688">
            <v>0</v>
          </cell>
          <cell r="J688">
            <v>0</v>
          </cell>
          <cell r="K688">
            <v>0</v>
          </cell>
          <cell r="M688">
            <v>2.2000000000000002</v>
          </cell>
          <cell r="N688">
            <v>2.2000000000000002</v>
          </cell>
          <cell r="O688">
            <v>2</v>
          </cell>
          <cell r="P688">
            <v>2</v>
          </cell>
          <cell r="Q688">
            <v>0</v>
          </cell>
          <cell r="R688">
            <v>0</v>
          </cell>
          <cell r="S688">
            <v>2.2000000000000002</v>
          </cell>
          <cell r="T688">
            <v>0</v>
          </cell>
          <cell r="U688" t="str">
            <v/>
          </cell>
          <cell r="V688" t="str">
            <v>A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 t="e">
            <v>#DIV/0!</v>
          </cell>
          <cell r="AH688" t="e">
            <v>#DIV/0!</v>
          </cell>
          <cell r="AI688" t="e">
            <v>#DIV/0!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 t="e">
            <v>#N/A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0.9</v>
          </cell>
          <cell r="BH688">
            <v>1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 t="e">
            <v>#DIV/0!</v>
          </cell>
          <cell r="BO688">
            <v>38</v>
          </cell>
          <cell r="BP688">
            <v>0</v>
          </cell>
          <cell r="BQ688" t="e">
            <v>#VALUE!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 t="str">
            <v/>
          </cell>
          <cell r="BX688" t="str">
            <v/>
          </cell>
          <cell r="BY688">
            <v>1.5</v>
          </cell>
          <cell r="BZ688">
            <v>1.1429999999999998</v>
          </cell>
        </row>
        <row r="689">
          <cell r="B689" t="str">
            <v/>
          </cell>
          <cell r="C689">
            <v>0</v>
          </cell>
          <cell r="D689" t="str">
            <v/>
          </cell>
          <cell r="H689" t="str">
            <v/>
          </cell>
          <cell r="I689">
            <v>0</v>
          </cell>
          <cell r="J689">
            <v>2.0333333333333332</v>
          </cell>
          <cell r="K689">
            <v>3.7</v>
          </cell>
          <cell r="M689">
            <v>2.2000000000000002</v>
          </cell>
          <cell r="N689">
            <v>2.2000000000000002</v>
          </cell>
          <cell r="O689">
            <v>2</v>
          </cell>
          <cell r="P689">
            <v>2</v>
          </cell>
          <cell r="Q689">
            <v>0</v>
          </cell>
          <cell r="R689">
            <v>0</v>
          </cell>
          <cell r="S689">
            <v>2.2000000000000002</v>
          </cell>
          <cell r="T689">
            <v>0</v>
          </cell>
          <cell r="U689" t="str">
            <v/>
          </cell>
          <cell r="V689" t="str">
            <v>A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 t="e">
            <v>#DIV/0!</v>
          </cell>
          <cell r="AH689" t="e">
            <v>#DIV/0!</v>
          </cell>
          <cell r="AI689" t="e">
            <v>#DIV/0!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 t="e">
            <v>#N/A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0.9</v>
          </cell>
          <cell r="BH689">
            <v>1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 t="e">
            <v>#DIV/0!</v>
          </cell>
          <cell r="BO689">
            <v>38</v>
          </cell>
          <cell r="BP689">
            <v>0</v>
          </cell>
          <cell r="BQ689" t="e">
            <v>#VALUE!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 t="str">
            <v/>
          </cell>
          <cell r="BX689" t="str">
            <v/>
          </cell>
          <cell r="BY689">
            <v>1.5</v>
          </cell>
          <cell r="BZ689">
            <v>1.1429999999999998</v>
          </cell>
        </row>
        <row r="690">
          <cell r="B690" t="str">
            <v/>
          </cell>
          <cell r="C690">
            <v>0</v>
          </cell>
          <cell r="D690" t="str">
            <v/>
          </cell>
          <cell r="H690" t="str">
            <v/>
          </cell>
          <cell r="I690">
            <v>1.3</v>
          </cell>
          <cell r="J690">
            <v>2.5333333333333332</v>
          </cell>
          <cell r="K690">
            <v>3.9</v>
          </cell>
          <cell r="M690">
            <v>2.2000000000000002</v>
          </cell>
          <cell r="N690">
            <v>2.2000000000000002</v>
          </cell>
          <cell r="O690">
            <v>2</v>
          </cell>
          <cell r="P690">
            <v>2</v>
          </cell>
          <cell r="Q690">
            <v>0</v>
          </cell>
          <cell r="R690">
            <v>0</v>
          </cell>
          <cell r="S690">
            <v>2.2000000000000002</v>
          </cell>
          <cell r="T690">
            <v>0</v>
          </cell>
          <cell r="U690" t="str">
            <v/>
          </cell>
          <cell r="V690" t="str">
            <v>A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 t="e">
            <v>#DIV/0!</v>
          </cell>
          <cell r="AH690" t="e">
            <v>#DIV/0!</v>
          </cell>
          <cell r="AI690" t="e">
            <v>#DIV/0!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 t="e">
            <v>#N/A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0.9</v>
          </cell>
          <cell r="BH690">
            <v>1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 t="e">
            <v>#DIV/0!</v>
          </cell>
          <cell r="BO690">
            <v>38</v>
          </cell>
          <cell r="BP690">
            <v>0</v>
          </cell>
          <cell r="BQ690" t="e">
            <v>#VALUE!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 t="str">
            <v/>
          </cell>
          <cell r="BX690" t="str">
            <v/>
          </cell>
          <cell r="BY690">
            <v>1.5</v>
          </cell>
          <cell r="BZ690">
            <v>1.1429999999999998</v>
          </cell>
        </row>
        <row r="691">
          <cell r="B691" t="str">
            <v/>
          </cell>
          <cell r="C691">
            <v>0</v>
          </cell>
          <cell r="D691" t="str">
            <v/>
          </cell>
          <cell r="H691" t="str">
            <v/>
          </cell>
          <cell r="I691" t="e">
            <v>#N/A</v>
          </cell>
          <cell r="J691" t="e">
            <v>#N/A</v>
          </cell>
          <cell r="K691" t="e">
            <v>#N/A</v>
          </cell>
          <cell r="M691">
            <v>2.2000000000000002</v>
          </cell>
          <cell r="N691">
            <v>2.2000000000000002</v>
          </cell>
          <cell r="O691">
            <v>2</v>
          </cell>
          <cell r="P691">
            <v>2</v>
          </cell>
          <cell r="Q691">
            <v>0</v>
          </cell>
          <cell r="R691">
            <v>0</v>
          </cell>
          <cell r="S691">
            <v>2.2000000000000002</v>
          </cell>
          <cell r="T691">
            <v>0</v>
          </cell>
          <cell r="U691" t="str">
            <v/>
          </cell>
          <cell r="V691" t="str">
            <v>A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 t="e">
            <v>#DIV/0!</v>
          </cell>
          <cell r="AH691" t="e">
            <v>#DIV/0!</v>
          </cell>
          <cell r="AI691" t="e">
            <v>#DIV/0!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 t="e">
            <v>#N/A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0.9</v>
          </cell>
          <cell r="BH691">
            <v>1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 t="e">
            <v>#DIV/0!</v>
          </cell>
          <cell r="BO691">
            <v>38</v>
          </cell>
          <cell r="BP691">
            <v>0</v>
          </cell>
          <cell r="BQ691" t="e">
            <v>#VALUE!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 t="str">
            <v/>
          </cell>
          <cell r="BX691" t="str">
            <v/>
          </cell>
          <cell r="BY691">
            <v>1.5</v>
          </cell>
          <cell r="BZ691">
            <v>1.1429999999999998</v>
          </cell>
        </row>
        <row r="692">
          <cell r="B692" t="str">
            <v/>
          </cell>
          <cell r="C692">
            <v>0</v>
          </cell>
          <cell r="D692" t="str">
            <v/>
          </cell>
          <cell r="H692" t="str">
            <v/>
          </cell>
          <cell r="I692" t="e">
            <v>#N/A</v>
          </cell>
          <cell r="J692" t="e">
            <v>#N/A</v>
          </cell>
          <cell r="K692" t="e">
            <v>#N/A</v>
          </cell>
          <cell r="M692">
            <v>2.2000000000000002</v>
          </cell>
          <cell r="N692">
            <v>2.2000000000000002</v>
          </cell>
          <cell r="O692">
            <v>2</v>
          </cell>
          <cell r="P692">
            <v>2</v>
          </cell>
          <cell r="Q692">
            <v>0</v>
          </cell>
          <cell r="R692">
            <v>0</v>
          </cell>
          <cell r="S692">
            <v>2.2000000000000002</v>
          </cell>
          <cell r="T692">
            <v>0</v>
          </cell>
          <cell r="U692" t="str">
            <v/>
          </cell>
          <cell r="V692" t="str">
            <v>A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 t="e">
            <v>#DIV/0!</v>
          </cell>
          <cell r="AH692" t="e">
            <v>#DIV/0!</v>
          </cell>
          <cell r="AI692" t="e">
            <v>#DIV/0!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 t="e">
            <v>#N/A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0.9</v>
          </cell>
          <cell r="BH692">
            <v>1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 t="e">
            <v>#DIV/0!</v>
          </cell>
          <cell r="BO692">
            <v>38</v>
          </cell>
          <cell r="BP692">
            <v>0</v>
          </cell>
          <cell r="BQ692" t="e">
            <v>#VALUE!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 t="str">
            <v/>
          </cell>
          <cell r="BX692" t="str">
            <v/>
          </cell>
          <cell r="BY692">
            <v>1.5</v>
          </cell>
          <cell r="BZ692">
            <v>1.1429999999999998</v>
          </cell>
        </row>
        <row r="693">
          <cell r="B693" t="str">
            <v/>
          </cell>
          <cell r="C693">
            <v>0</v>
          </cell>
          <cell r="D693" t="str">
            <v/>
          </cell>
          <cell r="H693" t="str">
            <v/>
          </cell>
          <cell r="I693" t="e">
            <v>#N/A</v>
          </cell>
          <cell r="J693" t="e">
            <v>#N/A</v>
          </cell>
          <cell r="K693" t="e">
            <v>#N/A</v>
          </cell>
          <cell r="M693">
            <v>2.2000000000000002</v>
          </cell>
          <cell r="N693">
            <v>2.2000000000000002</v>
          </cell>
          <cell r="O693">
            <v>2</v>
          </cell>
          <cell r="P693">
            <v>2</v>
          </cell>
          <cell r="Q693">
            <v>0</v>
          </cell>
          <cell r="R693">
            <v>0</v>
          </cell>
          <cell r="S693">
            <v>2.2000000000000002</v>
          </cell>
          <cell r="T693">
            <v>0</v>
          </cell>
          <cell r="U693" t="str">
            <v/>
          </cell>
          <cell r="V693" t="str">
            <v>A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 t="e">
            <v>#DIV/0!</v>
          </cell>
          <cell r="AH693" t="e">
            <v>#DIV/0!</v>
          </cell>
          <cell r="AI693" t="e">
            <v>#DIV/0!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 t="e">
            <v>#N/A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0.9</v>
          </cell>
          <cell r="BH693">
            <v>1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 t="e">
            <v>#DIV/0!</v>
          </cell>
          <cell r="BO693">
            <v>38</v>
          </cell>
          <cell r="BP693">
            <v>0</v>
          </cell>
          <cell r="BQ693" t="e">
            <v>#VALUE!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 t="str">
            <v/>
          </cell>
          <cell r="BX693" t="str">
            <v/>
          </cell>
          <cell r="BY693">
            <v>1.5</v>
          </cell>
          <cell r="BZ693">
            <v>1.1429999999999998</v>
          </cell>
        </row>
        <row r="694">
          <cell r="B694" t="str">
            <v/>
          </cell>
          <cell r="C694">
            <v>0</v>
          </cell>
          <cell r="D694" t="str">
            <v/>
          </cell>
          <cell r="H694" t="str">
            <v/>
          </cell>
          <cell r="I694" t="e">
            <v>#N/A</v>
          </cell>
          <cell r="J694" t="e">
            <v>#N/A</v>
          </cell>
          <cell r="K694" t="e">
            <v>#N/A</v>
          </cell>
          <cell r="M694">
            <v>2.2000000000000002</v>
          </cell>
          <cell r="N694">
            <v>2.2000000000000002</v>
          </cell>
          <cell r="O694">
            <v>2</v>
          </cell>
          <cell r="P694">
            <v>2</v>
          </cell>
          <cell r="Q694">
            <v>0</v>
          </cell>
          <cell r="R694">
            <v>0</v>
          </cell>
          <cell r="S694">
            <v>2.2000000000000002</v>
          </cell>
          <cell r="T694">
            <v>0</v>
          </cell>
          <cell r="U694" t="str">
            <v/>
          </cell>
          <cell r="V694" t="str">
            <v>A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 t="e">
            <v>#DIV/0!</v>
          </cell>
          <cell r="AH694" t="e">
            <v>#DIV/0!</v>
          </cell>
          <cell r="AI694" t="e">
            <v>#DIV/0!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 t="e">
            <v>#N/A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0.9</v>
          </cell>
          <cell r="BH694">
            <v>1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 t="e">
            <v>#DIV/0!</v>
          </cell>
          <cell r="BO694">
            <v>38</v>
          </cell>
          <cell r="BP694">
            <v>0</v>
          </cell>
          <cell r="BQ694" t="e">
            <v>#VALUE!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 t="str">
            <v/>
          </cell>
          <cell r="BX694" t="str">
            <v/>
          </cell>
          <cell r="BY694">
            <v>1.5</v>
          </cell>
          <cell r="BZ694">
            <v>1.1429999999999998</v>
          </cell>
        </row>
        <row r="695">
          <cell r="B695" t="str">
            <v/>
          </cell>
          <cell r="C695">
            <v>0</v>
          </cell>
          <cell r="D695" t="str">
            <v/>
          </cell>
          <cell r="H695" t="str">
            <v/>
          </cell>
          <cell r="I695" t="e">
            <v>#N/A</v>
          </cell>
          <cell r="J695" t="e">
            <v>#N/A</v>
          </cell>
          <cell r="K695" t="e">
            <v>#N/A</v>
          </cell>
          <cell r="M695">
            <v>2.2000000000000002</v>
          </cell>
          <cell r="N695">
            <v>2.2000000000000002</v>
          </cell>
          <cell r="O695">
            <v>2</v>
          </cell>
          <cell r="P695">
            <v>2</v>
          </cell>
          <cell r="Q695">
            <v>0</v>
          </cell>
          <cell r="R695">
            <v>0</v>
          </cell>
          <cell r="S695">
            <v>2.2000000000000002</v>
          </cell>
          <cell r="T695">
            <v>0</v>
          </cell>
          <cell r="U695" t="str">
            <v/>
          </cell>
          <cell r="V695" t="str">
            <v>A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 t="e">
            <v>#DIV/0!</v>
          </cell>
          <cell r="AH695" t="e">
            <v>#DIV/0!</v>
          </cell>
          <cell r="AI695" t="e">
            <v>#DIV/0!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 t="e">
            <v>#N/A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0.9</v>
          </cell>
          <cell r="BH695">
            <v>1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 t="e">
            <v>#DIV/0!</v>
          </cell>
          <cell r="BO695">
            <v>38</v>
          </cell>
          <cell r="BP695">
            <v>0</v>
          </cell>
          <cell r="BQ695" t="e">
            <v>#VALUE!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 t="str">
            <v/>
          </cell>
          <cell r="BX695" t="str">
            <v/>
          </cell>
          <cell r="BY695">
            <v>1.5</v>
          </cell>
          <cell r="BZ695">
            <v>1.1429999999999998</v>
          </cell>
        </row>
        <row r="696">
          <cell r="B696" t="str">
            <v/>
          </cell>
          <cell r="C696">
            <v>0</v>
          </cell>
          <cell r="D696" t="str">
            <v/>
          </cell>
          <cell r="H696" t="str">
            <v/>
          </cell>
          <cell r="I696" t="e">
            <v>#N/A</v>
          </cell>
          <cell r="J696" t="e">
            <v>#N/A</v>
          </cell>
          <cell r="K696" t="e">
            <v>#N/A</v>
          </cell>
          <cell r="M696">
            <v>2.2000000000000002</v>
          </cell>
          <cell r="N696">
            <v>2.2000000000000002</v>
          </cell>
          <cell r="O696">
            <v>2</v>
          </cell>
          <cell r="P696">
            <v>2</v>
          </cell>
          <cell r="Q696">
            <v>0</v>
          </cell>
          <cell r="R696">
            <v>0</v>
          </cell>
          <cell r="S696">
            <v>2.2000000000000002</v>
          </cell>
          <cell r="T696">
            <v>0</v>
          </cell>
          <cell r="U696" t="str">
            <v/>
          </cell>
          <cell r="V696" t="str">
            <v>A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 t="e">
            <v>#DIV/0!</v>
          </cell>
          <cell r="AH696" t="e">
            <v>#DIV/0!</v>
          </cell>
          <cell r="AI696" t="e">
            <v>#DIV/0!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 t="e">
            <v>#N/A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0.9</v>
          </cell>
          <cell r="BH696">
            <v>1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 t="e">
            <v>#DIV/0!</v>
          </cell>
          <cell r="BO696">
            <v>38</v>
          </cell>
          <cell r="BP696">
            <v>0</v>
          </cell>
          <cell r="BQ696" t="e">
            <v>#VALUE!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 t="str">
            <v/>
          </cell>
          <cell r="BX696" t="str">
            <v/>
          </cell>
          <cell r="BY696">
            <v>1.5</v>
          </cell>
          <cell r="BZ696">
            <v>1.1429999999999998</v>
          </cell>
        </row>
        <row r="697">
          <cell r="B697" t="str">
            <v/>
          </cell>
          <cell r="C697">
            <v>0</v>
          </cell>
          <cell r="D697" t="str">
            <v/>
          </cell>
          <cell r="H697" t="str">
            <v/>
          </cell>
          <cell r="I697" t="e">
            <v>#N/A</v>
          </cell>
          <cell r="J697" t="e">
            <v>#N/A</v>
          </cell>
          <cell r="K697" t="e">
            <v>#N/A</v>
          </cell>
          <cell r="M697">
            <v>2.2000000000000002</v>
          </cell>
          <cell r="N697">
            <v>2.2000000000000002</v>
          </cell>
          <cell r="O697">
            <v>2</v>
          </cell>
          <cell r="P697">
            <v>2</v>
          </cell>
          <cell r="Q697">
            <v>0</v>
          </cell>
          <cell r="R697">
            <v>0</v>
          </cell>
          <cell r="S697">
            <v>2.2000000000000002</v>
          </cell>
          <cell r="T697">
            <v>0</v>
          </cell>
          <cell r="U697" t="str">
            <v/>
          </cell>
          <cell r="V697" t="str">
            <v>A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 t="e">
            <v>#DIV/0!</v>
          </cell>
          <cell r="AH697" t="e">
            <v>#DIV/0!</v>
          </cell>
          <cell r="AI697" t="e">
            <v>#DIV/0!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 t="e">
            <v>#N/A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0.9</v>
          </cell>
          <cell r="BH697">
            <v>1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 t="e">
            <v>#DIV/0!</v>
          </cell>
          <cell r="BO697">
            <v>38</v>
          </cell>
          <cell r="BP697">
            <v>0</v>
          </cell>
          <cell r="BQ697" t="e">
            <v>#VALUE!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 t="str">
            <v/>
          </cell>
          <cell r="BX697" t="str">
            <v/>
          </cell>
          <cell r="BY697">
            <v>1.5</v>
          </cell>
          <cell r="BZ697">
            <v>1.1429999999999998</v>
          </cell>
        </row>
        <row r="698">
          <cell r="B698" t="str">
            <v/>
          </cell>
          <cell r="C698">
            <v>0</v>
          </cell>
          <cell r="D698" t="str">
            <v/>
          </cell>
          <cell r="H698" t="str">
            <v/>
          </cell>
          <cell r="I698" t="e">
            <v>#N/A</v>
          </cell>
          <cell r="J698" t="e">
            <v>#N/A</v>
          </cell>
          <cell r="K698" t="e">
            <v>#N/A</v>
          </cell>
          <cell r="M698">
            <v>2.2000000000000002</v>
          </cell>
          <cell r="N698">
            <v>2.2000000000000002</v>
          </cell>
          <cell r="O698">
            <v>2</v>
          </cell>
          <cell r="P698">
            <v>2</v>
          </cell>
          <cell r="Q698">
            <v>0</v>
          </cell>
          <cell r="R698">
            <v>0</v>
          </cell>
          <cell r="S698">
            <v>2.2000000000000002</v>
          </cell>
          <cell r="T698">
            <v>0</v>
          </cell>
          <cell r="U698" t="str">
            <v/>
          </cell>
          <cell r="V698" t="str">
            <v>A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 t="e">
            <v>#DIV/0!</v>
          </cell>
          <cell r="AH698" t="e">
            <v>#DIV/0!</v>
          </cell>
          <cell r="AI698" t="e">
            <v>#DIV/0!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 t="e">
            <v>#N/A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0.9</v>
          </cell>
          <cell r="BH698">
            <v>1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 t="e">
            <v>#DIV/0!</v>
          </cell>
          <cell r="BO698">
            <v>38</v>
          </cell>
          <cell r="BP698">
            <v>0</v>
          </cell>
          <cell r="BQ698" t="e">
            <v>#VALUE!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 t="str">
            <v/>
          </cell>
          <cell r="BX698" t="str">
            <v/>
          </cell>
          <cell r="BY698">
            <v>1.5</v>
          </cell>
          <cell r="BZ698">
            <v>1.1429999999999998</v>
          </cell>
        </row>
        <row r="699">
          <cell r="B699" t="str">
            <v/>
          </cell>
          <cell r="C699">
            <v>0</v>
          </cell>
          <cell r="D699" t="str">
            <v/>
          </cell>
          <cell r="H699" t="str">
            <v/>
          </cell>
          <cell r="I699" t="e">
            <v>#N/A</v>
          </cell>
          <cell r="J699" t="e">
            <v>#N/A</v>
          </cell>
          <cell r="K699" t="e">
            <v>#N/A</v>
          </cell>
          <cell r="M699">
            <v>2.2000000000000002</v>
          </cell>
          <cell r="N699">
            <v>2.2000000000000002</v>
          </cell>
          <cell r="O699">
            <v>2</v>
          </cell>
          <cell r="P699">
            <v>2</v>
          </cell>
          <cell r="Q699">
            <v>0</v>
          </cell>
          <cell r="R699">
            <v>0</v>
          </cell>
          <cell r="S699">
            <v>2.2000000000000002</v>
          </cell>
          <cell r="T699">
            <v>0</v>
          </cell>
          <cell r="U699" t="str">
            <v/>
          </cell>
          <cell r="V699" t="str">
            <v>A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 t="e">
            <v>#DIV/0!</v>
          </cell>
          <cell r="AH699" t="e">
            <v>#DIV/0!</v>
          </cell>
          <cell r="AI699" t="e">
            <v>#DIV/0!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 t="e">
            <v>#N/A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0.9</v>
          </cell>
          <cell r="BH699">
            <v>1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 t="e">
            <v>#DIV/0!</v>
          </cell>
          <cell r="BO699">
            <v>38</v>
          </cell>
          <cell r="BP699">
            <v>0</v>
          </cell>
          <cell r="BQ699" t="e">
            <v>#VALUE!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 t="str">
            <v/>
          </cell>
          <cell r="BX699" t="str">
            <v/>
          </cell>
          <cell r="BY699">
            <v>1.5</v>
          </cell>
          <cell r="BZ699">
            <v>1.1429999999999998</v>
          </cell>
        </row>
        <row r="700">
          <cell r="B700" t="str">
            <v/>
          </cell>
          <cell r="C700">
            <v>0</v>
          </cell>
          <cell r="D700" t="str">
            <v/>
          </cell>
          <cell r="H700" t="str">
            <v/>
          </cell>
          <cell r="I700" t="e">
            <v>#N/A</v>
          </cell>
          <cell r="J700" t="e">
            <v>#N/A</v>
          </cell>
          <cell r="K700" t="e">
            <v>#N/A</v>
          </cell>
          <cell r="M700">
            <v>2.2000000000000002</v>
          </cell>
          <cell r="N700">
            <v>2.2000000000000002</v>
          </cell>
          <cell r="O700">
            <v>2</v>
          </cell>
          <cell r="P700">
            <v>2</v>
          </cell>
          <cell r="Q700">
            <v>0</v>
          </cell>
          <cell r="R700">
            <v>0</v>
          </cell>
          <cell r="S700">
            <v>2.2000000000000002</v>
          </cell>
          <cell r="T700">
            <v>0</v>
          </cell>
          <cell r="U700" t="str">
            <v/>
          </cell>
          <cell r="V700" t="str">
            <v>A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 t="e">
            <v>#DIV/0!</v>
          </cell>
          <cell r="AH700" t="e">
            <v>#DIV/0!</v>
          </cell>
          <cell r="AI700" t="e">
            <v>#DIV/0!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 t="e">
            <v>#N/A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0.9</v>
          </cell>
          <cell r="BH700">
            <v>1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 t="e">
            <v>#DIV/0!</v>
          </cell>
          <cell r="BO700">
            <v>38</v>
          </cell>
          <cell r="BP700">
            <v>0</v>
          </cell>
          <cell r="BQ700" t="e">
            <v>#VALUE!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 t="str">
            <v/>
          </cell>
          <cell r="BX700" t="str">
            <v/>
          </cell>
          <cell r="BY700">
            <v>1.5</v>
          </cell>
          <cell r="BZ700">
            <v>1.1429999999999998</v>
          </cell>
        </row>
        <row r="701">
          <cell r="B701" t="str">
            <v/>
          </cell>
          <cell r="C701">
            <v>0</v>
          </cell>
          <cell r="D701" t="str">
            <v/>
          </cell>
          <cell r="H701" t="str">
            <v/>
          </cell>
          <cell r="I701" t="e">
            <v>#N/A</v>
          </cell>
          <cell r="J701" t="e">
            <v>#N/A</v>
          </cell>
          <cell r="K701" t="e">
            <v>#N/A</v>
          </cell>
          <cell r="M701">
            <v>2.2000000000000002</v>
          </cell>
          <cell r="N701">
            <v>2.2000000000000002</v>
          </cell>
          <cell r="O701">
            <v>2</v>
          </cell>
          <cell r="P701">
            <v>2</v>
          </cell>
          <cell r="Q701">
            <v>0</v>
          </cell>
          <cell r="R701">
            <v>0</v>
          </cell>
          <cell r="S701">
            <v>2.2000000000000002</v>
          </cell>
          <cell r="T701">
            <v>0</v>
          </cell>
          <cell r="U701" t="str">
            <v/>
          </cell>
          <cell r="V701" t="str">
            <v>A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 t="e">
            <v>#DIV/0!</v>
          </cell>
          <cell r="AH701" t="e">
            <v>#DIV/0!</v>
          </cell>
          <cell r="AI701" t="e">
            <v>#DIV/0!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 t="e">
            <v>#N/A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0.9</v>
          </cell>
          <cell r="BH701">
            <v>1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 t="e">
            <v>#DIV/0!</v>
          </cell>
          <cell r="BO701">
            <v>38</v>
          </cell>
          <cell r="BP701">
            <v>0</v>
          </cell>
          <cell r="BQ701" t="e">
            <v>#VALUE!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 t="str">
            <v/>
          </cell>
          <cell r="BX701" t="str">
            <v/>
          </cell>
          <cell r="BY701">
            <v>1.5</v>
          </cell>
          <cell r="BZ701">
            <v>1.1429999999999998</v>
          </cell>
        </row>
        <row r="702">
          <cell r="B702" t="str">
            <v/>
          </cell>
          <cell r="C702">
            <v>0</v>
          </cell>
          <cell r="D702" t="str">
            <v/>
          </cell>
          <cell r="H702" t="str">
            <v/>
          </cell>
          <cell r="I702" t="e">
            <v>#N/A</v>
          </cell>
          <cell r="J702" t="e">
            <v>#N/A</v>
          </cell>
          <cell r="K702" t="e">
            <v>#N/A</v>
          </cell>
          <cell r="M702">
            <v>2.2000000000000002</v>
          </cell>
          <cell r="N702">
            <v>2.2000000000000002</v>
          </cell>
          <cell r="O702">
            <v>2</v>
          </cell>
          <cell r="P702">
            <v>2</v>
          </cell>
          <cell r="Q702">
            <v>0</v>
          </cell>
          <cell r="R702">
            <v>0</v>
          </cell>
          <cell r="S702">
            <v>2.2000000000000002</v>
          </cell>
          <cell r="T702">
            <v>0</v>
          </cell>
          <cell r="U702" t="str">
            <v/>
          </cell>
          <cell r="V702" t="str">
            <v>A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 t="e">
            <v>#DIV/0!</v>
          </cell>
          <cell r="AH702" t="e">
            <v>#DIV/0!</v>
          </cell>
          <cell r="AI702" t="e">
            <v>#DIV/0!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 t="e">
            <v>#N/A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0.9</v>
          </cell>
          <cell r="BH702">
            <v>1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 t="e">
            <v>#DIV/0!</v>
          </cell>
          <cell r="BO702">
            <v>38</v>
          </cell>
          <cell r="BP702">
            <v>0</v>
          </cell>
          <cell r="BQ702" t="e">
            <v>#VALUE!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 t="str">
            <v/>
          </cell>
          <cell r="BX702" t="str">
            <v/>
          </cell>
          <cell r="BY702">
            <v>1.5</v>
          </cell>
          <cell r="BZ702">
            <v>1.1429999999999998</v>
          </cell>
        </row>
        <row r="703">
          <cell r="B703" t="str">
            <v/>
          </cell>
          <cell r="C703">
            <v>0</v>
          </cell>
          <cell r="D703" t="str">
            <v/>
          </cell>
          <cell r="H703" t="str">
            <v/>
          </cell>
          <cell r="I703" t="e">
            <v>#N/A</v>
          </cell>
          <cell r="J703" t="e">
            <v>#N/A</v>
          </cell>
          <cell r="K703" t="e">
            <v>#N/A</v>
          </cell>
          <cell r="M703">
            <v>2.2000000000000002</v>
          </cell>
          <cell r="N703">
            <v>2.2000000000000002</v>
          </cell>
          <cell r="O703">
            <v>2</v>
          </cell>
          <cell r="P703">
            <v>2</v>
          </cell>
          <cell r="Q703">
            <v>0</v>
          </cell>
          <cell r="R703">
            <v>0</v>
          </cell>
          <cell r="S703">
            <v>2.2000000000000002</v>
          </cell>
          <cell r="T703">
            <v>0</v>
          </cell>
          <cell r="U703" t="str">
            <v/>
          </cell>
          <cell r="V703" t="str">
            <v>A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 t="e">
            <v>#DIV/0!</v>
          </cell>
          <cell r="AH703" t="e">
            <v>#DIV/0!</v>
          </cell>
          <cell r="AI703" t="e">
            <v>#DIV/0!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 t="e">
            <v>#N/A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0.9</v>
          </cell>
          <cell r="BH703">
            <v>1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 t="e">
            <v>#DIV/0!</v>
          </cell>
          <cell r="BO703">
            <v>38</v>
          </cell>
          <cell r="BP703">
            <v>0</v>
          </cell>
          <cell r="BQ703" t="e">
            <v>#VALUE!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 t="str">
            <v/>
          </cell>
          <cell r="BX703" t="str">
            <v/>
          </cell>
          <cell r="BY703">
            <v>1.5</v>
          </cell>
          <cell r="BZ703">
            <v>1.1429999999999998</v>
          </cell>
        </row>
        <row r="704">
          <cell r="B704" t="str">
            <v/>
          </cell>
          <cell r="C704">
            <v>0</v>
          </cell>
          <cell r="D704" t="str">
            <v/>
          </cell>
          <cell r="H704" t="str">
            <v/>
          </cell>
          <cell r="I704" t="e">
            <v>#N/A</v>
          </cell>
          <cell r="J704" t="e">
            <v>#N/A</v>
          </cell>
          <cell r="K704" t="e">
            <v>#N/A</v>
          </cell>
          <cell r="M704">
            <v>2.2000000000000002</v>
          </cell>
          <cell r="N704">
            <v>2.2000000000000002</v>
          </cell>
          <cell r="O704">
            <v>2</v>
          </cell>
          <cell r="P704">
            <v>2</v>
          </cell>
          <cell r="Q704">
            <v>0</v>
          </cell>
          <cell r="R704">
            <v>0</v>
          </cell>
          <cell r="S704">
            <v>2.2000000000000002</v>
          </cell>
          <cell r="T704">
            <v>0</v>
          </cell>
          <cell r="U704" t="str">
            <v/>
          </cell>
          <cell r="V704" t="str">
            <v>A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 t="e">
            <v>#DIV/0!</v>
          </cell>
          <cell r="AH704" t="e">
            <v>#DIV/0!</v>
          </cell>
          <cell r="AI704" t="e">
            <v>#DIV/0!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 t="e">
            <v>#N/A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0.9</v>
          </cell>
          <cell r="BH704">
            <v>1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 t="e">
            <v>#DIV/0!</v>
          </cell>
          <cell r="BO704">
            <v>38</v>
          </cell>
          <cell r="BP704">
            <v>0</v>
          </cell>
          <cell r="BQ704" t="e">
            <v>#VALUE!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 t="str">
            <v/>
          </cell>
          <cell r="BX704" t="str">
            <v/>
          </cell>
          <cell r="BY704">
            <v>1.5</v>
          </cell>
          <cell r="BZ704">
            <v>1.1429999999999998</v>
          </cell>
        </row>
        <row r="705">
          <cell r="B705" t="str">
            <v/>
          </cell>
          <cell r="C705">
            <v>0</v>
          </cell>
          <cell r="D705" t="str">
            <v/>
          </cell>
          <cell r="H705" t="str">
            <v/>
          </cell>
          <cell r="I705" t="e">
            <v>#N/A</v>
          </cell>
          <cell r="J705" t="e">
            <v>#N/A</v>
          </cell>
          <cell r="K705" t="e">
            <v>#N/A</v>
          </cell>
          <cell r="M705">
            <v>2.2000000000000002</v>
          </cell>
          <cell r="N705">
            <v>2.2000000000000002</v>
          </cell>
          <cell r="O705">
            <v>2</v>
          </cell>
          <cell r="P705">
            <v>2</v>
          </cell>
          <cell r="Q705">
            <v>0</v>
          </cell>
          <cell r="R705">
            <v>0</v>
          </cell>
          <cell r="S705">
            <v>2.2000000000000002</v>
          </cell>
          <cell r="T705">
            <v>0</v>
          </cell>
          <cell r="U705" t="str">
            <v/>
          </cell>
          <cell r="V705" t="str">
            <v>A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 t="e">
            <v>#DIV/0!</v>
          </cell>
          <cell r="AH705" t="e">
            <v>#DIV/0!</v>
          </cell>
          <cell r="AI705" t="e">
            <v>#DIV/0!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 t="e">
            <v>#N/A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0.9</v>
          </cell>
          <cell r="BH705">
            <v>1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 t="e">
            <v>#DIV/0!</v>
          </cell>
          <cell r="BO705">
            <v>38</v>
          </cell>
          <cell r="BP705">
            <v>0</v>
          </cell>
          <cell r="BQ705" t="e">
            <v>#VALUE!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 t="str">
            <v/>
          </cell>
          <cell r="BX705" t="str">
            <v/>
          </cell>
          <cell r="BY705">
            <v>1.5</v>
          </cell>
          <cell r="BZ705">
            <v>1.1429999999999998</v>
          </cell>
        </row>
        <row r="706">
          <cell r="B706" t="str">
            <v/>
          </cell>
          <cell r="C706">
            <v>0</v>
          </cell>
          <cell r="D706" t="str">
            <v/>
          </cell>
          <cell r="H706" t="str">
            <v/>
          </cell>
          <cell r="I706" t="e">
            <v>#N/A</v>
          </cell>
          <cell r="J706" t="e">
            <v>#N/A</v>
          </cell>
          <cell r="K706" t="e">
            <v>#N/A</v>
          </cell>
          <cell r="M706">
            <v>2.2000000000000002</v>
          </cell>
          <cell r="N706">
            <v>2.2000000000000002</v>
          </cell>
          <cell r="O706">
            <v>2</v>
          </cell>
          <cell r="P706">
            <v>2</v>
          </cell>
          <cell r="Q706">
            <v>0</v>
          </cell>
          <cell r="R706">
            <v>0</v>
          </cell>
          <cell r="S706">
            <v>2.2000000000000002</v>
          </cell>
          <cell r="T706">
            <v>0</v>
          </cell>
          <cell r="U706" t="str">
            <v/>
          </cell>
          <cell r="V706" t="str">
            <v>A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 t="e">
            <v>#DIV/0!</v>
          </cell>
          <cell r="AH706" t="e">
            <v>#DIV/0!</v>
          </cell>
          <cell r="AI706" t="e">
            <v>#DIV/0!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 t="e">
            <v>#N/A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0.9</v>
          </cell>
          <cell r="BH706">
            <v>1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 t="e">
            <v>#DIV/0!</v>
          </cell>
          <cell r="BO706">
            <v>38</v>
          </cell>
          <cell r="BP706">
            <v>0</v>
          </cell>
          <cell r="BQ706" t="e">
            <v>#VALUE!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 t="str">
            <v/>
          </cell>
          <cell r="BX706" t="str">
            <v/>
          </cell>
          <cell r="BY706">
            <v>1.5</v>
          </cell>
          <cell r="BZ706">
            <v>1.1429999999999998</v>
          </cell>
        </row>
        <row r="707">
          <cell r="B707" t="str">
            <v/>
          </cell>
          <cell r="C707">
            <v>0</v>
          </cell>
          <cell r="D707" t="str">
            <v/>
          </cell>
          <cell r="H707" t="str">
            <v/>
          </cell>
          <cell r="I707" t="e">
            <v>#N/A</v>
          </cell>
          <cell r="J707" t="e">
            <v>#N/A</v>
          </cell>
          <cell r="K707" t="e">
            <v>#N/A</v>
          </cell>
          <cell r="M707">
            <v>2.2000000000000002</v>
          </cell>
          <cell r="N707">
            <v>2.2000000000000002</v>
          </cell>
          <cell r="O707">
            <v>2</v>
          </cell>
          <cell r="P707">
            <v>2</v>
          </cell>
          <cell r="Q707">
            <v>0</v>
          </cell>
          <cell r="R707">
            <v>0</v>
          </cell>
          <cell r="S707">
            <v>2.2000000000000002</v>
          </cell>
          <cell r="T707">
            <v>0</v>
          </cell>
          <cell r="U707" t="str">
            <v/>
          </cell>
          <cell r="V707" t="str">
            <v>A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 t="e">
            <v>#DIV/0!</v>
          </cell>
          <cell r="AH707" t="e">
            <v>#DIV/0!</v>
          </cell>
          <cell r="AI707" t="e">
            <v>#DIV/0!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 t="e">
            <v>#N/A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0.9</v>
          </cell>
          <cell r="BH707">
            <v>1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 t="e">
            <v>#DIV/0!</v>
          </cell>
          <cell r="BO707">
            <v>38</v>
          </cell>
          <cell r="BP707">
            <v>0</v>
          </cell>
          <cell r="BQ707" t="e">
            <v>#VALUE!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 t="str">
            <v/>
          </cell>
          <cell r="BX707" t="str">
            <v/>
          </cell>
          <cell r="BY707">
            <v>1.5</v>
          </cell>
          <cell r="BZ707">
            <v>1.1429999999999998</v>
          </cell>
        </row>
        <row r="708">
          <cell r="B708" t="str">
            <v/>
          </cell>
          <cell r="C708">
            <v>0</v>
          </cell>
          <cell r="D708" t="str">
            <v/>
          </cell>
          <cell r="H708" t="str">
            <v/>
          </cell>
          <cell r="I708">
            <v>2.2000000000000002</v>
          </cell>
          <cell r="J708">
            <v>3.1</v>
          </cell>
          <cell r="K708">
            <v>3.7</v>
          </cell>
          <cell r="M708">
            <v>2.2000000000000002</v>
          </cell>
          <cell r="N708">
            <v>2.2000000000000002</v>
          </cell>
          <cell r="O708">
            <v>2</v>
          </cell>
          <cell r="P708">
            <v>2</v>
          </cell>
          <cell r="Q708">
            <v>0</v>
          </cell>
          <cell r="R708">
            <v>0</v>
          </cell>
          <cell r="S708">
            <v>2.2000000000000002</v>
          </cell>
          <cell r="T708">
            <v>0</v>
          </cell>
          <cell r="U708" t="str">
            <v/>
          </cell>
          <cell r="V708" t="str">
            <v>A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 t="e">
            <v>#DIV/0!</v>
          </cell>
          <cell r="AH708" t="e">
            <v>#DIV/0!</v>
          </cell>
          <cell r="AI708" t="e">
            <v>#DIV/0!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 t="e">
            <v>#N/A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0.9</v>
          </cell>
          <cell r="BH708">
            <v>1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 t="e">
            <v>#DIV/0!</v>
          </cell>
          <cell r="BO708">
            <v>38</v>
          </cell>
          <cell r="BP708">
            <v>0</v>
          </cell>
          <cell r="BQ708" t="e">
            <v>#VALUE!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 t="str">
            <v/>
          </cell>
          <cell r="BX708" t="str">
            <v/>
          </cell>
          <cell r="BY708">
            <v>1.5</v>
          </cell>
          <cell r="BZ708">
            <v>1.1429999999999998</v>
          </cell>
        </row>
        <row r="709">
          <cell r="B709" t="str">
            <v/>
          </cell>
          <cell r="C709">
            <v>0</v>
          </cell>
          <cell r="D709" t="str">
            <v/>
          </cell>
          <cell r="H709" t="str">
            <v/>
          </cell>
          <cell r="I709">
            <v>2.4</v>
          </cell>
          <cell r="J709">
            <v>3.05</v>
          </cell>
          <cell r="K709">
            <v>3.7</v>
          </cell>
          <cell r="M709">
            <v>2.2000000000000002</v>
          </cell>
          <cell r="N709">
            <v>2.2000000000000002</v>
          </cell>
          <cell r="O709">
            <v>2</v>
          </cell>
          <cell r="P709">
            <v>2</v>
          </cell>
          <cell r="Q709">
            <v>0</v>
          </cell>
          <cell r="R709">
            <v>0</v>
          </cell>
          <cell r="S709">
            <v>2.2000000000000002</v>
          </cell>
          <cell r="T709">
            <v>0</v>
          </cell>
          <cell r="U709" t="str">
            <v/>
          </cell>
          <cell r="V709" t="str">
            <v>A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 t="e">
            <v>#DIV/0!</v>
          </cell>
          <cell r="AH709" t="e">
            <v>#DIV/0!</v>
          </cell>
          <cell r="AI709" t="e">
            <v>#DIV/0!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 t="e">
            <v>#N/A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0.9</v>
          </cell>
          <cell r="BH709">
            <v>1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 t="e">
            <v>#DIV/0!</v>
          </cell>
          <cell r="BO709">
            <v>38</v>
          </cell>
          <cell r="BP709">
            <v>0</v>
          </cell>
          <cell r="BQ709" t="e">
            <v>#VALUE!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 t="str">
            <v/>
          </cell>
          <cell r="BX709" t="str">
            <v/>
          </cell>
          <cell r="BY709">
            <v>1.5</v>
          </cell>
          <cell r="BZ709">
            <v>1.1429999999999998</v>
          </cell>
        </row>
        <row r="710">
          <cell r="B710" t="str">
            <v/>
          </cell>
          <cell r="C710">
            <v>0</v>
          </cell>
          <cell r="D710" t="str">
            <v/>
          </cell>
          <cell r="H710" t="str">
            <v/>
          </cell>
          <cell r="I710">
            <v>0</v>
          </cell>
          <cell r="J710">
            <v>0</v>
          </cell>
          <cell r="K710">
            <v>0</v>
          </cell>
          <cell r="M710">
            <v>2.2000000000000002</v>
          </cell>
          <cell r="N710">
            <v>2.2000000000000002</v>
          </cell>
          <cell r="O710">
            <v>2</v>
          </cell>
          <cell r="P710">
            <v>2</v>
          </cell>
          <cell r="Q710">
            <v>0</v>
          </cell>
          <cell r="R710">
            <v>0</v>
          </cell>
          <cell r="S710">
            <v>2.2000000000000002</v>
          </cell>
          <cell r="T710">
            <v>0</v>
          </cell>
          <cell r="U710" t="str">
            <v/>
          </cell>
          <cell r="V710" t="str">
            <v>A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 t="e">
            <v>#DIV/0!</v>
          </cell>
          <cell r="AH710" t="e">
            <v>#DIV/0!</v>
          </cell>
          <cell r="AI710" t="e">
            <v>#DIV/0!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 t="e">
            <v>#N/A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0.9</v>
          </cell>
          <cell r="BH710">
            <v>1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 t="e">
            <v>#DIV/0!</v>
          </cell>
          <cell r="BO710">
            <v>38</v>
          </cell>
          <cell r="BP710">
            <v>0</v>
          </cell>
          <cell r="BQ710" t="e">
            <v>#VALUE!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 t="str">
            <v/>
          </cell>
          <cell r="BX710" t="str">
            <v/>
          </cell>
          <cell r="BY710">
            <v>1.5</v>
          </cell>
          <cell r="BZ710">
            <v>1.1429999999999998</v>
          </cell>
        </row>
        <row r="711">
          <cell r="B711" t="str">
            <v/>
          </cell>
          <cell r="C711">
            <v>0</v>
          </cell>
          <cell r="D711" t="str">
            <v/>
          </cell>
          <cell r="H711" t="str">
            <v/>
          </cell>
          <cell r="I711">
            <v>1</v>
          </cell>
          <cell r="J711">
            <v>1</v>
          </cell>
          <cell r="K711">
            <v>1</v>
          </cell>
          <cell r="M711">
            <v>2.2000000000000002</v>
          </cell>
          <cell r="N711">
            <v>2.2000000000000002</v>
          </cell>
          <cell r="O711">
            <v>2</v>
          </cell>
          <cell r="P711">
            <v>2</v>
          </cell>
          <cell r="Q711">
            <v>0</v>
          </cell>
          <cell r="R711">
            <v>0</v>
          </cell>
          <cell r="S711">
            <v>2.2000000000000002</v>
          </cell>
          <cell r="T711">
            <v>0</v>
          </cell>
          <cell r="U711" t="str">
            <v/>
          </cell>
          <cell r="V711" t="str">
            <v>A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 t="e">
            <v>#DIV/0!</v>
          </cell>
          <cell r="AH711" t="e">
            <v>#DIV/0!</v>
          </cell>
          <cell r="AI711" t="e">
            <v>#DIV/0!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 t="e">
            <v>#N/A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0.9</v>
          </cell>
          <cell r="BH711">
            <v>1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 t="e">
            <v>#DIV/0!</v>
          </cell>
          <cell r="BO711">
            <v>38</v>
          </cell>
          <cell r="BP711">
            <v>0</v>
          </cell>
          <cell r="BQ711" t="e">
            <v>#VALUE!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 t="str">
            <v/>
          </cell>
          <cell r="BX711" t="str">
            <v/>
          </cell>
          <cell r="BY711">
            <v>1.5</v>
          </cell>
          <cell r="BZ711">
            <v>1.1429999999999998</v>
          </cell>
        </row>
        <row r="712">
          <cell r="B712" t="str">
            <v/>
          </cell>
          <cell r="C712">
            <v>0</v>
          </cell>
          <cell r="D712" t="str">
            <v/>
          </cell>
          <cell r="H712" t="str">
            <v/>
          </cell>
          <cell r="I712" t="e">
            <v>#N/A</v>
          </cell>
          <cell r="J712" t="e">
            <v>#N/A</v>
          </cell>
          <cell r="K712" t="e">
            <v>#N/A</v>
          </cell>
          <cell r="M712">
            <v>2.2000000000000002</v>
          </cell>
          <cell r="N712">
            <v>2.2000000000000002</v>
          </cell>
          <cell r="O712">
            <v>2</v>
          </cell>
          <cell r="P712">
            <v>2</v>
          </cell>
          <cell r="Q712">
            <v>0</v>
          </cell>
          <cell r="R712">
            <v>0</v>
          </cell>
          <cell r="S712">
            <v>2.2000000000000002</v>
          </cell>
          <cell r="T712">
            <v>0</v>
          </cell>
          <cell r="U712" t="str">
            <v/>
          </cell>
          <cell r="V712" t="str">
            <v>A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 t="e">
            <v>#DIV/0!</v>
          </cell>
          <cell r="AH712" t="e">
            <v>#DIV/0!</v>
          </cell>
          <cell r="AI712" t="e">
            <v>#DIV/0!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 t="e">
            <v>#N/A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0.9</v>
          </cell>
          <cell r="BH712">
            <v>1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 t="e">
            <v>#DIV/0!</v>
          </cell>
          <cell r="BO712">
            <v>38</v>
          </cell>
          <cell r="BP712">
            <v>0</v>
          </cell>
          <cell r="BQ712" t="e">
            <v>#VALUE!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 t="str">
            <v/>
          </cell>
          <cell r="BX712" t="str">
            <v/>
          </cell>
          <cell r="BY712">
            <v>1.5</v>
          </cell>
          <cell r="BZ712">
            <v>1.1429999999999998</v>
          </cell>
        </row>
        <row r="713">
          <cell r="B713" t="str">
            <v/>
          </cell>
          <cell r="C713">
            <v>0</v>
          </cell>
          <cell r="D713" t="str">
            <v/>
          </cell>
          <cell r="H713" t="str">
            <v/>
          </cell>
          <cell r="I713" t="e">
            <v>#N/A</v>
          </cell>
          <cell r="J713" t="e">
            <v>#N/A</v>
          </cell>
          <cell r="K713" t="e">
            <v>#N/A</v>
          </cell>
          <cell r="M713">
            <v>2.2000000000000002</v>
          </cell>
          <cell r="N713">
            <v>2.2000000000000002</v>
          </cell>
          <cell r="O713">
            <v>2</v>
          </cell>
          <cell r="P713">
            <v>2</v>
          </cell>
          <cell r="Q713">
            <v>0</v>
          </cell>
          <cell r="R713">
            <v>0</v>
          </cell>
          <cell r="S713">
            <v>2.2000000000000002</v>
          </cell>
          <cell r="T713">
            <v>0</v>
          </cell>
          <cell r="U713" t="str">
            <v/>
          </cell>
          <cell r="V713" t="str">
            <v>A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 t="e">
            <v>#DIV/0!</v>
          </cell>
          <cell r="AH713" t="e">
            <v>#DIV/0!</v>
          </cell>
          <cell r="AI713" t="e">
            <v>#DIV/0!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 t="e">
            <v>#N/A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0.9</v>
          </cell>
          <cell r="BH713">
            <v>1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 t="e">
            <v>#DIV/0!</v>
          </cell>
          <cell r="BO713">
            <v>38</v>
          </cell>
          <cell r="BP713">
            <v>0</v>
          </cell>
          <cell r="BQ713" t="e">
            <v>#VALUE!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 t="str">
            <v/>
          </cell>
          <cell r="BX713" t="str">
            <v/>
          </cell>
          <cell r="BY713">
            <v>1.5</v>
          </cell>
          <cell r="BZ713">
            <v>1.1429999999999998</v>
          </cell>
        </row>
        <row r="714">
          <cell r="B714" t="str">
            <v/>
          </cell>
          <cell r="C714">
            <v>0</v>
          </cell>
          <cell r="D714" t="str">
            <v/>
          </cell>
          <cell r="H714" t="str">
            <v/>
          </cell>
          <cell r="I714">
            <v>0</v>
          </cell>
          <cell r="J714">
            <v>0.5</v>
          </cell>
          <cell r="K714">
            <v>1</v>
          </cell>
          <cell r="M714">
            <v>2.2000000000000002</v>
          </cell>
          <cell r="N714">
            <v>2.2000000000000002</v>
          </cell>
          <cell r="O714">
            <v>2</v>
          </cell>
          <cell r="P714">
            <v>2</v>
          </cell>
          <cell r="Q714">
            <v>0</v>
          </cell>
          <cell r="R714">
            <v>0</v>
          </cell>
          <cell r="S714">
            <v>2.2000000000000002</v>
          </cell>
          <cell r="T714">
            <v>0</v>
          </cell>
          <cell r="U714" t="str">
            <v/>
          </cell>
          <cell r="V714" t="str">
            <v>A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 t="e">
            <v>#DIV/0!</v>
          </cell>
          <cell r="AH714" t="e">
            <v>#DIV/0!</v>
          </cell>
          <cell r="AI714" t="e">
            <v>#DIV/0!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 t="e">
            <v>#N/A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0.9</v>
          </cell>
          <cell r="BH714">
            <v>1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 t="e">
            <v>#DIV/0!</v>
          </cell>
          <cell r="BO714">
            <v>38</v>
          </cell>
          <cell r="BP714">
            <v>0</v>
          </cell>
          <cell r="BQ714" t="e">
            <v>#VALUE!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 t="str">
            <v/>
          </cell>
          <cell r="BX714" t="str">
            <v/>
          </cell>
          <cell r="BY714">
            <v>1.5</v>
          </cell>
          <cell r="BZ714">
            <v>1.1429999999999998</v>
          </cell>
        </row>
        <row r="715">
          <cell r="B715" t="str">
            <v/>
          </cell>
          <cell r="C715">
            <v>0</v>
          </cell>
          <cell r="D715" t="str">
            <v/>
          </cell>
          <cell r="H715" t="str">
            <v/>
          </cell>
          <cell r="I715">
            <v>0</v>
          </cell>
          <cell r="J715">
            <v>0.85</v>
          </cell>
          <cell r="K715">
            <v>1.7</v>
          </cell>
          <cell r="M715">
            <v>2.2000000000000002</v>
          </cell>
          <cell r="N715">
            <v>2.2000000000000002</v>
          </cell>
          <cell r="O715">
            <v>2</v>
          </cell>
          <cell r="P715">
            <v>2</v>
          </cell>
          <cell r="Q715">
            <v>0</v>
          </cell>
          <cell r="R715">
            <v>0</v>
          </cell>
          <cell r="S715">
            <v>2.2000000000000002</v>
          </cell>
          <cell r="T715">
            <v>0</v>
          </cell>
          <cell r="U715" t="str">
            <v/>
          </cell>
          <cell r="V715" t="str">
            <v>A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 t="e">
            <v>#DIV/0!</v>
          </cell>
          <cell r="AH715" t="e">
            <v>#DIV/0!</v>
          </cell>
          <cell r="AI715" t="e">
            <v>#DIV/0!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 t="e">
            <v>#N/A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0.9</v>
          </cell>
          <cell r="BH715">
            <v>1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 t="e">
            <v>#DIV/0!</v>
          </cell>
          <cell r="BO715">
            <v>38</v>
          </cell>
          <cell r="BP715">
            <v>0</v>
          </cell>
          <cell r="BQ715" t="e">
            <v>#VALUE!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 t="str">
            <v/>
          </cell>
          <cell r="BX715" t="str">
            <v/>
          </cell>
          <cell r="BY715">
            <v>1.5</v>
          </cell>
          <cell r="BZ715">
            <v>1.1429999999999998</v>
          </cell>
        </row>
        <row r="716">
          <cell r="B716" t="str">
            <v/>
          </cell>
          <cell r="C716">
            <v>0</v>
          </cell>
          <cell r="D716" t="str">
            <v/>
          </cell>
          <cell r="H716" t="str">
            <v/>
          </cell>
          <cell r="I716">
            <v>0</v>
          </cell>
          <cell r="J716">
            <v>0.5</v>
          </cell>
          <cell r="K716">
            <v>1</v>
          </cell>
          <cell r="M716">
            <v>2.2000000000000002</v>
          </cell>
          <cell r="N716">
            <v>2.2000000000000002</v>
          </cell>
          <cell r="O716">
            <v>2</v>
          </cell>
          <cell r="P716">
            <v>2</v>
          </cell>
          <cell r="Q716">
            <v>0</v>
          </cell>
          <cell r="R716">
            <v>0</v>
          </cell>
          <cell r="S716">
            <v>2.2000000000000002</v>
          </cell>
          <cell r="T716">
            <v>0</v>
          </cell>
          <cell r="U716" t="str">
            <v/>
          </cell>
          <cell r="V716" t="str">
            <v>A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 t="e">
            <v>#DIV/0!</v>
          </cell>
          <cell r="AH716" t="e">
            <v>#DIV/0!</v>
          </cell>
          <cell r="AI716" t="e">
            <v>#DIV/0!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 t="e">
            <v>#N/A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0.9</v>
          </cell>
          <cell r="BH716">
            <v>1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 t="e">
            <v>#DIV/0!</v>
          </cell>
          <cell r="BO716">
            <v>38</v>
          </cell>
          <cell r="BP716">
            <v>0</v>
          </cell>
          <cell r="BQ716" t="e">
            <v>#VALUE!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 t="str">
            <v/>
          </cell>
          <cell r="BX716" t="str">
            <v/>
          </cell>
          <cell r="BY716">
            <v>1.5</v>
          </cell>
          <cell r="BZ716">
            <v>1.1429999999999998</v>
          </cell>
        </row>
        <row r="717">
          <cell r="B717" t="str">
            <v/>
          </cell>
          <cell r="C717">
            <v>0</v>
          </cell>
          <cell r="D717" t="str">
            <v/>
          </cell>
          <cell r="H717" t="str">
            <v/>
          </cell>
          <cell r="I717">
            <v>0</v>
          </cell>
          <cell r="J717">
            <v>0</v>
          </cell>
          <cell r="K717">
            <v>0</v>
          </cell>
          <cell r="M717">
            <v>2.2000000000000002</v>
          </cell>
          <cell r="N717">
            <v>2.2000000000000002</v>
          </cell>
          <cell r="O717">
            <v>2</v>
          </cell>
          <cell r="P717">
            <v>2</v>
          </cell>
          <cell r="Q717">
            <v>0</v>
          </cell>
          <cell r="R717">
            <v>0</v>
          </cell>
          <cell r="S717">
            <v>2.2000000000000002</v>
          </cell>
          <cell r="T717">
            <v>0</v>
          </cell>
          <cell r="U717" t="str">
            <v/>
          </cell>
          <cell r="V717" t="str">
            <v>A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 t="e">
            <v>#DIV/0!</v>
          </cell>
          <cell r="AH717" t="e">
            <v>#DIV/0!</v>
          </cell>
          <cell r="AI717" t="e">
            <v>#DIV/0!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 t="e">
            <v>#N/A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0.9</v>
          </cell>
          <cell r="BH717">
            <v>1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 t="e">
            <v>#DIV/0!</v>
          </cell>
          <cell r="BO717">
            <v>38</v>
          </cell>
          <cell r="BP717">
            <v>0</v>
          </cell>
          <cell r="BQ717" t="e">
            <v>#VALUE!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 t="str">
            <v/>
          </cell>
          <cell r="BX717" t="str">
            <v/>
          </cell>
          <cell r="BY717">
            <v>1.5</v>
          </cell>
          <cell r="BZ717">
            <v>1.1429999999999998</v>
          </cell>
        </row>
        <row r="718">
          <cell r="B718" t="str">
            <v/>
          </cell>
          <cell r="C718">
            <v>0</v>
          </cell>
          <cell r="D718" t="str">
            <v/>
          </cell>
          <cell r="H718" t="str">
            <v/>
          </cell>
          <cell r="I718">
            <v>0</v>
          </cell>
          <cell r="J718">
            <v>0</v>
          </cell>
          <cell r="K718">
            <v>0</v>
          </cell>
          <cell r="M718">
            <v>2.2000000000000002</v>
          </cell>
          <cell r="N718">
            <v>2.2000000000000002</v>
          </cell>
          <cell r="O718">
            <v>2</v>
          </cell>
          <cell r="P718">
            <v>2</v>
          </cell>
          <cell r="Q718">
            <v>0</v>
          </cell>
          <cell r="R718">
            <v>0</v>
          </cell>
          <cell r="S718">
            <v>2.2000000000000002</v>
          </cell>
          <cell r="T718">
            <v>0</v>
          </cell>
          <cell r="U718" t="str">
            <v/>
          </cell>
          <cell r="V718" t="str">
            <v>A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 t="e">
            <v>#DIV/0!</v>
          </cell>
          <cell r="AH718" t="e">
            <v>#DIV/0!</v>
          </cell>
          <cell r="AI718" t="e">
            <v>#DIV/0!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 t="e">
            <v>#N/A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0.9</v>
          </cell>
          <cell r="BH718">
            <v>1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 t="e">
            <v>#DIV/0!</v>
          </cell>
          <cell r="BO718">
            <v>38</v>
          </cell>
          <cell r="BP718">
            <v>0</v>
          </cell>
          <cell r="BQ718" t="e">
            <v>#VALUE!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 t="str">
            <v/>
          </cell>
          <cell r="BX718" t="str">
            <v/>
          </cell>
          <cell r="BY718">
            <v>1.5</v>
          </cell>
          <cell r="BZ718">
            <v>1.1429999999999998</v>
          </cell>
        </row>
        <row r="719">
          <cell r="B719" t="str">
            <v/>
          </cell>
          <cell r="C719">
            <v>0</v>
          </cell>
          <cell r="D719" t="str">
            <v/>
          </cell>
          <cell r="H719" t="str">
            <v/>
          </cell>
          <cell r="I719">
            <v>1</v>
          </cell>
          <cell r="J719">
            <v>2.4333333333333331</v>
          </cell>
          <cell r="K719">
            <v>3.4</v>
          </cell>
          <cell r="M719">
            <v>2.2000000000000002</v>
          </cell>
          <cell r="N719">
            <v>2.2000000000000002</v>
          </cell>
          <cell r="O719">
            <v>2</v>
          </cell>
          <cell r="P719">
            <v>2</v>
          </cell>
          <cell r="Q719">
            <v>0</v>
          </cell>
          <cell r="R719">
            <v>0</v>
          </cell>
          <cell r="S719">
            <v>2.2000000000000002</v>
          </cell>
          <cell r="T719">
            <v>0</v>
          </cell>
          <cell r="U719" t="str">
            <v/>
          </cell>
          <cell r="V719" t="str">
            <v>A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 t="e">
            <v>#DIV/0!</v>
          </cell>
          <cell r="AH719" t="e">
            <v>#DIV/0!</v>
          </cell>
          <cell r="AI719" t="e">
            <v>#DIV/0!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 t="e">
            <v>#N/A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0.9</v>
          </cell>
          <cell r="BH719">
            <v>1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 t="e">
            <v>#DIV/0!</v>
          </cell>
          <cell r="BO719">
            <v>38</v>
          </cell>
          <cell r="BP719">
            <v>0</v>
          </cell>
          <cell r="BQ719" t="e">
            <v>#VALUE!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 t="str">
            <v/>
          </cell>
          <cell r="BX719" t="str">
            <v/>
          </cell>
          <cell r="BY719">
            <v>1.5</v>
          </cell>
          <cell r="BZ719">
            <v>1.1429999999999998</v>
          </cell>
        </row>
        <row r="720">
          <cell r="B720" t="str">
            <v/>
          </cell>
          <cell r="C720">
            <v>0</v>
          </cell>
          <cell r="D720" t="str">
            <v/>
          </cell>
          <cell r="H720" t="str">
            <v/>
          </cell>
          <cell r="I720">
            <v>0</v>
          </cell>
          <cell r="J720">
            <v>0</v>
          </cell>
          <cell r="K720">
            <v>0</v>
          </cell>
          <cell r="M720">
            <v>2.2000000000000002</v>
          </cell>
          <cell r="N720">
            <v>2.2000000000000002</v>
          </cell>
          <cell r="O720">
            <v>2</v>
          </cell>
          <cell r="P720">
            <v>2</v>
          </cell>
          <cell r="Q720">
            <v>0</v>
          </cell>
          <cell r="R720">
            <v>0</v>
          </cell>
          <cell r="S720">
            <v>2.2000000000000002</v>
          </cell>
          <cell r="T720">
            <v>0</v>
          </cell>
          <cell r="U720" t="str">
            <v/>
          </cell>
          <cell r="V720" t="str">
            <v>A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 t="e">
            <v>#DIV/0!</v>
          </cell>
          <cell r="AH720" t="e">
            <v>#DIV/0!</v>
          </cell>
          <cell r="AI720" t="e">
            <v>#DIV/0!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 t="e">
            <v>#N/A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0.9</v>
          </cell>
          <cell r="BH720">
            <v>1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 t="e">
            <v>#DIV/0!</v>
          </cell>
          <cell r="BO720">
            <v>38</v>
          </cell>
          <cell r="BP720">
            <v>0</v>
          </cell>
          <cell r="BQ720" t="e">
            <v>#VALUE!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 t="str">
            <v/>
          </cell>
          <cell r="BX720" t="str">
            <v/>
          </cell>
          <cell r="BY720">
            <v>1.5</v>
          </cell>
          <cell r="BZ720">
            <v>1.1429999999999998</v>
          </cell>
        </row>
        <row r="721">
          <cell r="B721" t="str">
            <v/>
          </cell>
          <cell r="C721">
            <v>0</v>
          </cell>
          <cell r="D721" t="str">
            <v/>
          </cell>
          <cell r="H721" t="str">
            <v/>
          </cell>
          <cell r="I721">
            <v>0</v>
          </cell>
          <cell r="J721">
            <v>0</v>
          </cell>
          <cell r="K721">
            <v>0</v>
          </cell>
          <cell r="M721">
            <v>2.2000000000000002</v>
          </cell>
          <cell r="N721">
            <v>2.2000000000000002</v>
          </cell>
          <cell r="O721">
            <v>2</v>
          </cell>
          <cell r="P721">
            <v>2</v>
          </cell>
          <cell r="Q721">
            <v>0</v>
          </cell>
          <cell r="R721">
            <v>0</v>
          </cell>
          <cell r="S721">
            <v>2.2000000000000002</v>
          </cell>
          <cell r="T721">
            <v>0</v>
          </cell>
          <cell r="U721" t="str">
            <v/>
          </cell>
          <cell r="V721" t="str">
            <v>A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 t="e">
            <v>#DIV/0!</v>
          </cell>
          <cell r="AH721" t="e">
            <v>#DIV/0!</v>
          </cell>
          <cell r="AI721" t="e">
            <v>#DIV/0!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 t="e">
            <v>#N/A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0.9</v>
          </cell>
          <cell r="BH721">
            <v>1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 t="e">
            <v>#DIV/0!</v>
          </cell>
          <cell r="BO721">
            <v>38</v>
          </cell>
          <cell r="BP721">
            <v>0</v>
          </cell>
          <cell r="BQ721" t="e">
            <v>#VALUE!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 t="str">
            <v/>
          </cell>
          <cell r="BX721" t="str">
            <v/>
          </cell>
          <cell r="BY721">
            <v>1.5</v>
          </cell>
          <cell r="BZ721">
            <v>1.1429999999999998</v>
          </cell>
        </row>
        <row r="722">
          <cell r="B722" t="str">
            <v/>
          </cell>
          <cell r="C722">
            <v>0</v>
          </cell>
          <cell r="D722" t="str">
            <v/>
          </cell>
          <cell r="H722" t="str">
            <v/>
          </cell>
          <cell r="I722" t="e">
            <v>#N/A</v>
          </cell>
          <cell r="J722" t="e">
            <v>#N/A</v>
          </cell>
          <cell r="K722" t="e">
            <v>#N/A</v>
          </cell>
          <cell r="M722">
            <v>2.2000000000000002</v>
          </cell>
          <cell r="N722">
            <v>2.2000000000000002</v>
          </cell>
          <cell r="O722">
            <v>2</v>
          </cell>
          <cell r="P722">
            <v>2</v>
          </cell>
          <cell r="Q722">
            <v>0</v>
          </cell>
          <cell r="R722">
            <v>0</v>
          </cell>
          <cell r="S722">
            <v>2.2000000000000002</v>
          </cell>
          <cell r="T722">
            <v>0</v>
          </cell>
          <cell r="U722" t="str">
            <v/>
          </cell>
          <cell r="V722" t="str">
            <v>A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 t="e">
            <v>#DIV/0!</v>
          </cell>
          <cell r="AH722" t="e">
            <v>#DIV/0!</v>
          </cell>
          <cell r="AI722" t="e">
            <v>#DIV/0!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 t="e">
            <v>#N/A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0.9</v>
          </cell>
          <cell r="BH722">
            <v>1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 t="e">
            <v>#DIV/0!</v>
          </cell>
          <cell r="BO722">
            <v>38</v>
          </cell>
          <cell r="BP722">
            <v>0</v>
          </cell>
          <cell r="BQ722" t="e">
            <v>#VALUE!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 t="str">
            <v/>
          </cell>
          <cell r="BX722" t="str">
            <v/>
          </cell>
          <cell r="BY722">
            <v>1.5</v>
          </cell>
          <cell r="BZ722">
            <v>1.1429999999999998</v>
          </cell>
        </row>
        <row r="723">
          <cell r="B723" t="str">
            <v/>
          </cell>
          <cell r="C723">
            <v>0</v>
          </cell>
          <cell r="D723" t="str">
            <v/>
          </cell>
          <cell r="H723" t="str">
            <v/>
          </cell>
          <cell r="I723" t="e">
            <v>#N/A</v>
          </cell>
          <cell r="J723" t="e">
            <v>#N/A</v>
          </cell>
          <cell r="K723" t="e">
            <v>#N/A</v>
          </cell>
          <cell r="M723">
            <v>2.2000000000000002</v>
          </cell>
          <cell r="N723">
            <v>2.2000000000000002</v>
          </cell>
          <cell r="O723">
            <v>2</v>
          </cell>
          <cell r="P723">
            <v>2</v>
          </cell>
          <cell r="Q723">
            <v>0</v>
          </cell>
          <cell r="R723">
            <v>0</v>
          </cell>
          <cell r="S723">
            <v>2.2000000000000002</v>
          </cell>
          <cell r="T723">
            <v>0</v>
          </cell>
          <cell r="U723" t="str">
            <v/>
          </cell>
          <cell r="V723" t="str">
            <v>A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 t="e">
            <v>#DIV/0!</v>
          </cell>
          <cell r="AH723" t="e">
            <v>#DIV/0!</v>
          </cell>
          <cell r="AI723" t="e">
            <v>#DIV/0!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 t="e">
            <v>#N/A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0.9</v>
          </cell>
          <cell r="BH723">
            <v>1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 t="e">
            <v>#DIV/0!</v>
          </cell>
          <cell r="BO723">
            <v>38</v>
          </cell>
          <cell r="BP723">
            <v>0</v>
          </cell>
          <cell r="BQ723" t="e">
            <v>#VALUE!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 t="str">
            <v/>
          </cell>
          <cell r="BX723" t="str">
            <v/>
          </cell>
          <cell r="BY723">
            <v>1.5</v>
          </cell>
          <cell r="BZ723">
            <v>1.1429999999999998</v>
          </cell>
        </row>
        <row r="724">
          <cell r="B724" t="str">
            <v/>
          </cell>
          <cell r="C724">
            <v>0</v>
          </cell>
          <cell r="D724" t="str">
            <v/>
          </cell>
          <cell r="H724" t="str">
            <v/>
          </cell>
          <cell r="I724" t="e">
            <v>#N/A</v>
          </cell>
          <cell r="J724" t="e">
            <v>#N/A</v>
          </cell>
          <cell r="K724" t="e">
            <v>#N/A</v>
          </cell>
          <cell r="M724">
            <v>2.2000000000000002</v>
          </cell>
          <cell r="N724">
            <v>2.2000000000000002</v>
          </cell>
          <cell r="O724">
            <v>2</v>
          </cell>
          <cell r="P724">
            <v>2</v>
          </cell>
          <cell r="Q724">
            <v>0</v>
          </cell>
          <cell r="R724">
            <v>0</v>
          </cell>
          <cell r="S724">
            <v>2.2000000000000002</v>
          </cell>
          <cell r="T724">
            <v>0</v>
          </cell>
          <cell r="U724" t="str">
            <v/>
          </cell>
          <cell r="V724" t="str">
            <v>A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 t="e">
            <v>#DIV/0!</v>
          </cell>
          <cell r="AH724" t="e">
            <v>#DIV/0!</v>
          </cell>
          <cell r="AI724" t="e">
            <v>#DIV/0!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 t="e">
            <v>#N/A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0.9</v>
          </cell>
          <cell r="BH724">
            <v>1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 t="e">
            <v>#DIV/0!</v>
          </cell>
          <cell r="BO724">
            <v>38</v>
          </cell>
          <cell r="BP724">
            <v>0</v>
          </cell>
          <cell r="BQ724" t="e">
            <v>#VALUE!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 t="str">
            <v/>
          </cell>
          <cell r="BX724" t="str">
            <v/>
          </cell>
          <cell r="BY724">
            <v>1.5</v>
          </cell>
          <cell r="BZ724">
            <v>1.1429999999999998</v>
          </cell>
        </row>
        <row r="725">
          <cell r="B725" t="str">
            <v/>
          </cell>
          <cell r="C725">
            <v>0</v>
          </cell>
          <cell r="D725" t="str">
            <v/>
          </cell>
          <cell r="H725" t="str">
            <v/>
          </cell>
          <cell r="I725">
            <v>1.4</v>
          </cell>
          <cell r="J725">
            <v>2.1</v>
          </cell>
          <cell r="K725">
            <v>2.9</v>
          </cell>
          <cell r="M725">
            <v>2.2000000000000002</v>
          </cell>
          <cell r="N725">
            <v>2.2000000000000002</v>
          </cell>
          <cell r="O725">
            <v>2</v>
          </cell>
          <cell r="P725">
            <v>2</v>
          </cell>
          <cell r="Q725">
            <v>0</v>
          </cell>
          <cell r="R725">
            <v>0</v>
          </cell>
          <cell r="S725">
            <v>2.2000000000000002</v>
          </cell>
          <cell r="T725">
            <v>0</v>
          </cell>
          <cell r="U725" t="str">
            <v/>
          </cell>
          <cell r="V725" t="str">
            <v>A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 t="e">
            <v>#DIV/0!</v>
          </cell>
          <cell r="AH725" t="e">
            <v>#DIV/0!</v>
          </cell>
          <cell r="AI725" t="e">
            <v>#DIV/0!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 t="e">
            <v>#N/A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0.9</v>
          </cell>
          <cell r="BH725">
            <v>1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 t="e">
            <v>#DIV/0!</v>
          </cell>
          <cell r="BO725">
            <v>38</v>
          </cell>
          <cell r="BP725">
            <v>0</v>
          </cell>
          <cell r="BQ725" t="e">
            <v>#VALUE!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 t="str">
            <v/>
          </cell>
          <cell r="BX725" t="str">
            <v/>
          </cell>
          <cell r="BY725">
            <v>1.5</v>
          </cell>
          <cell r="BZ725">
            <v>1.1429999999999998</v>
          </cell>
        </row>
        <row r="726">
          <cell r="B726" t="str">
            <v/>
          </cell>
          <cell r="C726">
            <v>0</v>
          </cell>
          <cell r="D726" t="str">
            <v/>
          </cell>
          <cell r="H726" t="str">
            <v/>
          </cell>
          <cell r="I726">
            <v>0</v>
          </cell>
          <cell r="J726">
            <v>0</v>
          </cell>
          <cell r="K726">
            <v>0</v>
          </cell>
          <cell r="M726">
            <v>2.2000000000000002</v>
          </cell>
          <cell r="N726">
            <v>2.2000000000000002</v>
          </cell>
          <cell r="O726">
            <v>2</v>
          </cell>
          <cell r="P726">
            <v>2</v>
          </cell>
          <cell r="Q726">
            <v>0</v>
          </cell>
          <cell r="R726">
            <v>0</v>
          </cell>
          <cell r="S726">
            <v>2.2000000000000002</v>
          </cell>
          <cell r="T726">
            <v>0</v>
          </cell>
          <cell r="U726" t="str">
            <v/>
          </cell>
          <cell r="V726" t="str">
            <v>A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 t="e">
            <v>#DIV/0!</v>
          </cell>
          <cell r="AH726" t="e">
            <v>#DIV/0!</v>
          </cell>
          <cell r="AI726" t="e">
            <v>#DIV/0!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 t="e">
            <v>#N/A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0.9</v>
          </cell>
          <cell r="BH726">
            <v>1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 t="e">
            <v>#DIV/0!</v>
          </cell>
          <cell r="BO726">
            <v>38</v>
          </cell>
          <cell r="BP726">
            <v>0</v>
          </cell>
          <cell r="BQ726" t="e">
            <v>#VALUE!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 t="str">
            <v/>
          </cell>
          <cell r="BX726" t="str">
            <v/>
          </cell>
          <cell r="BY726">
            <v>1.5</v>
          </cell>
          <cell r="BZ726">
            <v>1.1429999999999998</v>
          </cell>
        </row>
        <row r="727">
          <cell r="B727" t="str">
            <v/>
          </cell>
          <cell r="C727">
            <v>0</v>
          </cell>
          <cell r="D727" t="str">
            <v/>
          </cell>
          <cell r="H727" t="str">
            <v/>
          </cell>
          <cell r="I727">
            <v>1.1000000000000001</v>
          </cell>
          <cell r="J727">
            <v>1.8333333333333333</v>
          </cell>
          <cell r="K727">
            <v>2.8</v>
          </cell>
          <cell r="M727">
            <v>2.2000000000000002</v>
          </cell>
          <cell r="N727">
            <v>2.2000000000000002</v>
          </cell>
          <cell r="O727">
            <v>2</v>
          </cell>
          <cell r="P727">
            <v>2</v>
          </cell>
          <cell r="Q727">
            <v>0</v>
          </cell>
          <cell r="R727">
            <v>0</v>
          </cell>
          <cell r="S727">
            <v>2.2000000000000002</v>
          </cell>
          <cell r="T727">
            <v>0</v>
          </cell>
          <cell r="U727" t="str">
            <v/>
          </cell>
          <cell r="V727" t="str">
            <v>A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 t="e">
            <v>#DIV/0!</v>
          </cell>
          <cell r="AH727" t="e">
            <v>#DIV/0!</v>
          </cell>
          <cell r="AI727" t="e">
            <v>#DIV/0!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 t="e">
            <v>#N/A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0.9</v>
          </cell>
          <cell r="BH727">
            <v>1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 t="e">
            <v>#DIV/0!</v>
          </cell>
          <cell r="BO727">
            <v>38</v>
          </cell>
          <cell r="BP727">
            <v>0</v>
          </cell>
          <cell r="BQ727" t="e">
            <v>#VALUE!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 t="str">
            <v/>
          </cell>
          <cell r="BX727" t="str">
            <v/>
          </cell>
          <cell r="BY727">
            <v>1.5</v>
          </cell>
          <cell r="BZ727">
            <v>1.1429999999999998</v>
          </cell>
        </row>
        <row r="728">
          <cell r="B728" t="str">
            <v/>
          </cell>
          <cell r="C728">
            <v>0</v>
          </cell>
          <cell r="D728" t="str">
            <v/>
          </cell>
          <cell r="H728" t="str">
            <v/>
          </cell>
          <cell r="I728" t="e">
            <v>#N/A</v>
          </cell>
          <cell r="J728" t="e">
            <v>#N/A</v>
          </cell>
          <cell r="K728" t="e">
            <v>#N/A</v>
          </cell>
          <cell r="M728">
            <v>2.2000000000000002</v>
          </cell>
          <cell r="N728">
            <v>2.2000000000000002</v>
          </cell>
          <cell r="O728">
            <v>2</v>
          </cell>
          <cell r="P728">
            <v>2</v>
          </cell>
          <cell r="Q728">
            <v>0</v>
          </cell>
          <cell r="R728">
            <v>0</v>
          </cell>
          <cell r="S728">
            <v>2.2000000000000002</v>
          </cell>
          <cell r="T728">
            <v>0</v>
          </cell>
          <cell r="U728" t="str">
            <v/>
          </cell>
          <cell r="V728" t="str">
            <v>A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 t="e">
            <v>#DIV/0!</v>
          </cell>
          <cell r="AH728" t="e">
            <v>#DIV/0!</v>
          </cell>
          <cell r="AI728" t="e">
            <v>#DIV/0!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 t="e">
            <v>#N/A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0.9</v>
          </cell>
          <cell r="BH728">
            <v>1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 t="e">
            <v>#DIV/0!</v>
          </cell>
          <cell r="BO728">
            <v>38</v>
          </cell>
          <cell r="BP728">
            <v>0</v>
          </cell>
          <cell r="BQ728" t="e">
            <v>#VALUE!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 t="str">
            <v/>
          </cell>
          <cell r="BX728" t="str">
            <v/>
          </cell>
          <cell r="BY728">
            <v>1.5</v>
          </cell>
          <cell r="BZ728">
            <v>1.1429999999999998</v>
          </cell>
        </row>
        <row r="729">
          <cell r="B729" t="str">
            <v/>
          </cell>
          <cell r="C729">
            <v>0</v>
          </cell>
          <cell r="D729" t="str">
            <v/>
          </cell>
          <cell r="H729" t="str">
            <v/>
          </cell>
          <cell r="I729">
            <v>0</v>
          </cell>
          <cell r="J729">
            <v>1.0999999999999999</v>
          </cell>
          <cell r="K729">
            <v>1.7</v>
          </cell>
          <cell r="M729">
            <v>2.2000000000000002</v>
          </cell>
          <cell r="N729">
            <v>2.2000000000000002</v>
          </cell>
          <cell r="O729">
            <v>2</v>
          </cell>
          <cell r="P729">
            <v>2</v>
          </cell>
          <cell r="Q729">
            <v>0</v>
          </cell>
          <cell r="R729">
            <v>0</v>
          </cell>
          <cell r="S729">
            <v>2.2000000000000002</v>
          </cell>
          <cell r="T729">
            <v>0</v>
          </cell>
          <cell r="U729" t="str">
            <v/>
          </cell>
          <cell r="V729" t="str">
            <v>A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 t="e">
            <v>#DIV/0!</v>
          </cell>
          <cell r="AH729" t="e">
            <v>#DIV/0!</v>
          </cell>
          <cell r="AI729" t="e">
            <v>#DIV/0!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 t="e">
            <v>#N/A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0.9</v>
          </cell>
          <cell r="BH729">
            <v>1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 t="e">
            <v>#DIV/0!</v>
          </cell>
          <cell r="BO729">
            <v>38</v>
          </cell>
          <cell r="BP729">
            <v>0</v>
          </cell>
          <cell r="BQ729" t="e">
            <v>#VALUE!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 t="str">
            <v/>
          </cell>
          <cell r="BX729" t="str">
            <v/>
          </cell>
          <cell r="BY729">
            <v>1.5</v>
          </cell>
          <cell r="BZ729">
            <v>1.1429999999999998</v>
          </cell>
        </row>
        <row r="730">
          <cell r="B730" t="str">
            <v/>
          </cell>
          <cell r="C730">
            <v>0</v>
          </cell>
          <cell r="D730" t="str">
            <v/>
          </cell>
          <cell r="H730" t="str">
            <v/>
          </cell>
          <cell r="I730">
            <v>0</v>
          </cell>
          <cell r="J730">
            <v>0</v>
          </cell>
          <cell r="K730">
            <v>0</v>
          </cell>
          <cell r="M730">
            <v>2.2000000000000002</v>
          </cell>
          <cell r="N730">
            <v>2.2000000000000002</v>
          </cell>
          <cell r="O730">
            <v>2</v>
          </cell>
          <cell r="P730">
            <v>2</v>
          </cell>
          <cell r="Q730">
            <v>0</v>
          </cell>
          <cell r="R730">
            <v>0</v>
          </cell>
          <cell r="S730">
            <v>2.2000000000000002</v>
          </cell>
          <cell r="T730">
            <v>0</v>
          </cell>
          <cell r="U730" t="str">
            <v/>
          </cell>
          <cell r="V730" t="str">
            <v>A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 t="e">
            <v>#DIV/0!</v>
          </cell>
          <cell r="AH730" t="e">
            <v>#DIV/0!</v>
          </cell>
          <cell r="AI730" t="e">
            <v>#DIV/0!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 t="e">
            <v>#N/A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0.9</v>
          </cell>
          <cell r="BH730">
            <v>1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 t="e">
            <v>#DIV/0!</v>
          </cell>
          <cell r="BO730">
            <v>38</v>
          </cell>
          <cell r="BP730">
            <v>0</v>
          </cell>
          <cell r="BQ730" t="e">
            <v>#VALUE!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 t="str">
            <v/>
          </cell>
          <cell r="BX730" t="str">
            <v/>
          </cell>
          <cell r="BY730">
            <v>1.5</v>
          </cell>
          <cell r="BZ730">
            <v>1.1429999999999998</v>
          </cell>
        </row>
        <row r="731">
          <cell r="B731" t="str">
            <v/>
          </cell>
          <cell r="C731">
            <v>0</v>
          </cell>
          <cell r="D731" t="str">
            <v/>
          </cell>
          <cell r="H731" t="str">
            <v/>
          </cell>
          <cell r="I731">
            <v>0</v>
          </cell>
          <cell r="J731">
            <v>0</v>
          </cell>
          <cell r="K731">
            <v>0</v>
          </cell>
          <cell r="M731">
            <v>2.2000000000000002</v>
          </cell>
          <cell r="N731">
            <v>2.2000000000000002</v>
          </cell>
          <cell r="O731">
            <v>2</v>
          </cell>
          <cell r="P731">
            <v>2</v>
          </cell>
          <cell r="Q731">
            <v>0</v>
          </cell>
          <cell r="R731">
            <v>0</v>
          </cell>
          <cell r="S731">
            <v>2.2000000000000002</v>
          </cell>
          <cell r="T731">
            <v>0</v>
          </cell>
          <cell r="U731" t="str">
            <v/>
          </cell>
          <cell r="V731" t="str">
            <v>A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 t="e">
            <v>#DIV/0!</v>
          </cell>
          <cell r="AH731" t="e">
            <v>#DIV/0!</v>
          </cell>
          <cell r="AI731" t="e">
            <v>#DIV/0!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 t="e">
            <v>#N/A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0.9</v>
          </cell>
          <cell r="BH731">
            <v>1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 t="e">
            <v>#DIV/0!</v>
          </cell>
          <cell r="BO731">
            <v>38</v>
          </cell>
          <cell r="BP731">
            <v>0</v>
          </cell>
          <cell r="BQ731" t="e">
            <v>#VALUE!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 t="str">
            <v/>
          </cell>
          <cell r="BX731" t="str">
            <v/>
          </cell>
          <cell r="BY731">
            <v>1.5</v>
          </cell>
          <cell r="BZ731">
            <v>1.1429999999999998</v>
          </cell>
        </row>
        <row r="732">
          <cell r="B732" t="str">
            <v/>
          </cell>
          <cell r="C732">
            <v>0</v>
          </cell>
          <cell r="D732" t="str">
            <v/>
          </cell>
          <cell r="H732" t="str">
            <v/>
          </cell>
          <cell r="I732" t="e">
            <v>#N/A</v>
          </cell>
          <cell r="J732" t="e">
            <v>#N/A</v>
          </cell>
          <cell r="K732" t="e">
            <v>#N/A</v>
          </cell>
          <cell r="M732">
            <v>2.2000000000000002</v>
          </cell>
          <cell r="N732">
            <v>2.2000000000000002</v>
          </cell>
          <cell r="O732">
            <v>2</v>
          </cell>
          <cell r="P732">
            <v>2</v>
          </cell>
          <cell r="Q732">
            <v>0</v>
          </cell>
          <cell r="R732">
            <v>0</v>
          </cell>
          <cell r="S732">
            <v>2.2000000000000002</v>
          </cell>
          <cell r="T732">
            <v>0</v>
          </cell>
          <cell r="U732" t="str">
            <v/>
          </cell>
          <cell r="V732" t="str">
            <v>A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 t="e">
            <v>#DIV/0!</v>
          </cell>
          <cell r="AH732" t="e">
            <v>#DIV/0!</v>
          </cell>
          <cell r="AI732" t="e">
            <v>#DIV/0!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 t="e">
            <v>#N/A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0.9</v>
          </cell>
          <cell r="BH732">
            <v>1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 t="e">
            <v>#DIV/0!</v>
          </cell>
          <cell r="BO732">
            <v>38</v>
          </cell>
          <cell r="BP732">
            <v>0</v>
          </cell>
          <cell r="BQ732" t="e">
            <v>#VALUE!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 t="str">
            <v/>
          </cell>
          <cell r="BX732" t="str">
            <v/>
          </cell>
          <cell r="BY732">
            <v>1.5</v>
          </cell>
          <cell r="BZ732">
            <v>1.1429999999999998</v>
          </cell>
        </row>
        <row r="733">
          <cell r="B733" t="str">
            <v/>
          </cell>
          <cell r="C733">
            <v>0</v>
          </cell>
          <cell r="D733" t="str">
            <v/>
          </cell>
          <cell r="H733" t="str">
            <v/>
          </cell>
          <cell r="I733">
            <v>2.2999999999999998</v>
          </cell>
          <cell r="J733">
            <v>2.2999999999999998</v>
          </cell>
          <cell r="K733">
            <v>2.2999999999999998</v>
          </cell>
          <cell r="M733">
            <v>2.2000000000000002</v>
          </cell>
          <cell r="N733">
            <v>2.2000000000000002</v>
          </cell>
          <cell r="O733">
            <v>2</v>
          </cell>
          <cell r="P733">
            <v>2</v>
          </cell>
          <cell r="Q733">
            <v>0</v>
          </cell>
          <cell r="R733">
            <v>0</v>
          </cell>
          <cell r="S733">
            <v>2.2000000000000002</v>
          </cell>
          <cell r="T733">
            <v>0</v>
          </cell>
          <cell r="U733" t="str">
            <v/>
          </cell>
          <cell r="V733" t="str">
            <v>A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 t="e">
            <v>#DIV/0!</v>
          </cell>
          <cell r="AH733" t="e">
            <v>#DIV/0!</v>
          </cell>
          <cell r="AI733" t="e">
            <v>#DIV/0!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 t="e">
            <v>#N/A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0.9</v>
          </cell>
          <cell r="BH733">
            <v>1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 t="e">
            <v>#DIV/0!</v>
          </cell>
          <cell r="BO733">
            <v>38</v>
          </cell>
          <cell r="BP733">
            <v>0</v>
          </cell>
          <cell r="BQ733" t="e">
            <v>#VALUE!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 t="str">
            <v/>
          </cell>
          <cell r="BX733" t="str">
            <v/>
          </cell>
          <cell r="BY733">
            <v>1.5</v>
          </cell>
          <cell r="BZ733">
            <v>1.1429999999999998</v>
          </cell>
        </row>
        <row r="734">
          <cell r="B734" t="str">
            <v/>
          </cell>
          <cell r="C734">
            <v>0</v>
          </cell>
          <cell r="D734" t="str">
            <v/>
          </cell>
          <cell r="H734" t="str">
            <v/>
          </cell>
          <cell r="I734">
            <v>1.7</v>
          </cell>
          <cell r="J734">
            <v>2.4333333333333331</v>
          </cell>
          <cell r="K734">
            <v>2.8</v>
          </cell>
          <cell r="M734">
            <v>2.2000000000000002</v>
          </cell>
          <cell r="N734">
            <v>2.2000000000000002</v>
          </cell>
          <cell r="O734">
            <v>2</v>
          </cell>
          <cell r="P734">
            <v>2</v>
          </cell>
          <cell r="Q734">
            <v>0</v>
          </cell>
          <cell r="R734">
            <v>0</v>
          </cell>
          <cell r="S734">
            <v>2.2000000000000002</v>
          </cell>
          <cell r="T734">
            <v>0</v>
          </cell>
          <cell r="U734" t="str">
            <v/>
          </cell>
          <cell r="V734" t="str">
            <v>A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 t="e">
            <v>#DIV/0!</v>
          </cell>
          <cell r="AH734" t="e">
            <v>#DIV/0!</v>
          </cell>
          <cell r="AI734" t="e">
            <v>#DIV/0!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 t="e">
            <v>#N/A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0.9</v>
          </cell>
          <cell r="BH734">
            <v>1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 t="e">
            <v>#DIV/0!</v>
          </cell>
          <cell r="BO734">
            <v>38</v>
          </cell>
          <cell r="BP734">
            <v>0</v>
          </cell>
          <cell r="BQ734" t="e">
            <v>#VALUE!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 t="str">
            <v/>
          </cell>
          <cell r="BX734" t="str">
            <v/>
          </cell>
          <cell r="BY734">
            <v>1.5</v>
          </cell>
          <cell r="BZ734">
            <v>1.1429999999999998</v>
          </cell>
        </row>
        <row r="735">
          <cell r="B735" t="str">
            <v/>
          </cell>
          <cell r="C735">
            <v>0</v>
          </cell>
          <cell r="D735" t="str">
            <v/>
          </cell>
          <cell r="H735" t="str">
            <v/>
          </cell>
          <cell r="I735">
            <v>1.9</v>
          </cell>
          <cell r="J735">
            <v>2.1666666666666665</v>
          </cell>
          <cell r="K735">
            <v>2.4</v>
          </cell>
          <cell r="M735">
            <v>2.2000000000000002</v>
          </cell>
          <cell r="N735">
            <v>2.2000000000000002</v>
          </cell>
          <cell r="O735">
            <v>2</v>
          </cell>
          <cell r="P735">
            <v>2</v>
          </cell>
          <cell r="Q735">
            <v>0</v>
          </cell>
          <cell r="R735">
            <v>0</v>
          </cell>
          <cell r="S735">
            <v>2.2000000000000002</v>
          </cell>
          <cell r="T735">
            <v>0</v>
          </cell>
          <cell r="U735" t="str">
            <v/>
          </cell>
          <cell r="V735" t="str">
            <v>A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 t="e">
            <v>#DIV/0!</v>
          </cell>
          <cell r="AH735" t="e">
            <v>#DIV/0!</v>
          </cell>
          <cell r="AI735" t="e">
            <v>#DIV/0!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 t="e">
            <v>#N/A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0.9</v>
          </cell>
          <cell r="BH735">
            <v>1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 t="e">
            <v>#DIV/0!</v>
          </cell>
          <cell r="BO735">
            <v>38</v>
          </cell>
          <cell r="BP735">
            <v>0</v>
          </cell>
          <cell r="BQ735" t="e">
            <v>#VALUE!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 t="str">
            <v/>
          </cell>
          <cell r="BX735" t="str">
            <v/>
          </cell>
          <cell r="BY735">
            <v>1.5</v>
          </cell>
          <cell r="BZ735">
            <v>1.1429999999999998</v>
          </cell>
        </row>
        <row r="736">
          <cell r="B736" t="str">
            <v/>
          </cell>
          <cell r="C736">
            <v>0</v>
          </cell>
          <cell r="D736" t="str">
            <v/>
          </cell>
          <cell r="H736" t="str">
            <v/>
          </cell>
          <cell r="I736">
            <v>0</v>
          </cell>
          <cell r="J736">
            <v>0</v>
          </cell>
          <cell r="K736">
            <v>0</v>
          </cell>
          <cell r="M736">
            <v>2.2000000000000002</v>
          </cell>
          <cell r="N736">
            <v>2.2000000000000002</v>
          </cell>
          <cell r="O736">
            <v>2</v>
          </cell>
          <cell r="P736">
            <v>2</v>
          </cell>
          <cell r="Q736">
            <v>0</v>
          </cell>
          <cell r="R736">
            <v>0</v>
          </cell>
          <cell r="S736">
            <v>2.2000000000000002</v>
          </cell>
          <cell r="T736">
            <v>0</v>
          </cell>
          <cell r="U736" t="str">
            <v/>
          </cell>
          <cell r="V736" t="str">
            <v>A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 t="e">
            <v>#DIV/0!</v>
          </cell>
          <cell r="AH736" t="e">
            <v>#DIV/0!</v>
          </cell>
          <cell r="AI736" t="e">
            <v>#DIV/0!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 t="e">
            <v>#N/A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0.9</v>
          </cell>
          <cell r="BH736">
            <v>1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 t="e">
            <v>#DIV/0!</v>
          </cell>
          <cell r="BO736">
            <v>38</v>
          </cell>
          <cell r="BP736">
            <v>0</v>
          </cell>
          <cell r="BQ736" t="e">
            <v>#VALUE!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 t="str">
            <v/>
          </cell>
          <cell r="BX736" t="str">
            <v/>
          </cell>
          <cell r="BY736">
            <v>1.5</v>
          </cell>
          <cell r="BZ736">
            <v>1.1429999999999998</v>
          </cell>
        </row>
        <row r="737">
          <cell r="B737" t="str">
            <v/>
          </cell>
          <cell r="C737">
            <v>0</v>
          </cell>
          <cell r="D737" t="str">
            <v/>
          </cell>
          <cell r="H737" t="str">
            <v/>
          </cell>
          <cell r="I737">
            <v>1</v>
          </cell>
          <cell r="J737">
            <v>1</v>
          </cell>
          <cell r="K737">
            <v>1</v>
          </cell>
          <cell r="M737">
            <v>2.2000000000000002</v>
          </cell>
          <cell r="N737">
            <v>2.2000000000000002</v>
          </cell>
          <cell r="O737">
            <v>2</v>
          </cell>
          <cell r="P737">
            <v>2</v>
          </cell>
          <cell r="Q737">
            <v>0</v>
          </cell>
          <cell r="R737">
            <v>0</v>
          </cell>
          <cell r="S737">
            <v>2.2000000000000002</v>
          </cell>
          <cell r="T737">
            <v>0</v>
          </cell>
          <cell r="U737" t="str">
            <v/>
          </cell>
          <cell r="V737" t="str">
            <v>A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 t="e">
            <v>#DIV/0!</v>
          </cell>
          <cell r="AH737" t="e">
            <v>#DIV/0!</v>
          </cell>
          <cell r="AI737" t="e">
            <v>#DIV/0!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 t="e">
            <v>#N/A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0.9</v>
          </cell>
          <cell r="BH737">
            <v>1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 t="e">
            <v>#DIV/0!</v>
          </cell>
          <cell r="BO737">
            <v>38</v>
          </cell>
          <cell r="BP737">
            <v>0</v>
          </cell>
          <cell r="BQ737" t="e">
            <v>#VALUE!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 t="str">
            <v/>
          </cell>
          <cell r="BX737" t="str">
            <v/>
          </cell>
          <cell r="BY737">
            <v>1.5</v>
          </cell>
          <cell r="BZ737">
            <v>1.1429999999999998</v>
          </cell>
        </row>
        <row r="738">
          <cell r="B738" t="str">
            <v/>
          </cell>
          <cell r="C738">
            <v>0</v>
          </cell>
          <cell r="D738" t="str">
            <v/>
          </cell>
          <cell r="H738" t="str">
            <v/>
          </cell>
          <cell r="I738">
            <v>1</v>
          </cell>
          <cell r="J738">
            <v>1</v>
          </cell>
          <cell r="K738">
            <v>1</v>
          </cell>
          <cell r="M738">
            <v>2.2000000000000002</v>
          </cell>
          <cell r="N738">
            <v>2.2000000000000002</v>
          </cell>
          <cell r="O738">
            <v>2</v>
          </cell>
          <cell r="P738">
            <v>2</v>
          </cell>
          <cell r="Q738">
            <v>0</v>
          </cell>
          <cell r="R738">
            <v>0</v>
          </cell>
          <cell r="S738">
            <v>2.2000000000000002</v>
          </cell>
          <cell r="T738">
            <v>0</v>
          </cell>
          <cell r="U738" t="str">
            <v/>
          </cell>
          <cell r="V738" t="str">
            <v>A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 t="e">
            <v>#DIV/0!</v>
          </cell>
          <cell r="AH738" t="e">
            <v>#DIV/0!</v>
          </cell>
          <cell r="AI738" t="e">
            <v>#DIV/0!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 t="e">
            <v>#N/A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0.9</v>
          </cell>
          <cell r="BH738">
            <v>1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 t="e">
            <v>#DIV/0!</v>
          </cell>
          <cell r="BO738">
            <v>38</v>
          </cell>
          <cell r="BP738">
            <v>0</v>
          </cell>
          <cell r="BQ738" t="e">
            <v>#VALUE!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 t="str">
            <v/>
          </cell>
          <cell r="BX738" t="str">
            <v/>
          </cell>
          <cell r="BY738">
            <v>1.5</v>
          </cell>
          <cell r="BZ738">
            <v>1.1429999999999998</v>
          </cell>
        </row>
        <row r="739">
          <cell r="B739" t="str">
            <v/>
          </cell>
          <cell r="C739">
            <v>0</v>
          </cell>
          <cell r="D739" t="str">
            <v/>
          </cell>
          <cell r="H739" t="str">
            <v/>
          </cell>
          <cell r="I739">
            <v>0</v>
          </cell>
          <cell r="J739">
            <v>0.66666666666666663</v>
          </cell>
          <cell r="K739">
            <v>1</v>
          </cell>
          <cell r="M739">
            <v>2.2000000000000002</v>
          </cell>
          <cell r="N739">
            <v>2.2000000000000002</v>
          </cell>
          <cell r="O739">
            <v>2</v>
          </cell>
          <cell r="P739">
            <v>2</v>
          </cell>
          <cell r="Q739">
            <v>0</v>
          </cell>
          <cell r="R739">
            <v>0</v>
          </cell>
          <cell r="S739">
            <v>2.2000000000000002</v>
          </cell>
          <cell r="T739">
            <v>0</v>
          </cell>
          <cell r="U739" t="str">
            <v/>
          </cell>
          <cell r="V739" t="str">
            <v>A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 t="e">
            <v>#DIV/0!</v>
          </cell>
          <cell r="AH739" t="e">
            <v>#DIV/0!</v>
          </cell>
          <cell r="AI739" t="e">
            <v>#DIV/0!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 t="e">
            <v>#N/A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0.9</v>
          </cell>
          <cell r="BH739">
            <v>1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 t="e">
            <v>#DIV/0!</v>
          </cell>
          <cell r="BO739">
            <v>38</v>
          </cell>
          <cell r="BP739">
            <v>0</v>
          </cell>
          <cell r="BQ739" t="e">
            <v>#VALUE!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 t="str">
            <v/>
          </cell>
          <cell r="BX739" t="str">
            <v/>
          </cell>
          <cell r="BY739">
            <v>1.5</v>
          </cell>
          <cell r="BZ739">
            <v>1.1429999999999998</v>
          </cell>
        </row>
        <row r="740">
          <cell r="B740" t="str">
            <v/>
          </cell>
          <cell r="C740">
            <v>0</v>
          </cell>
          <cell r="D740" t="str">
            <v/>
          </cell>
          <cell r="H740" t="str">
            <v/>
          </cell>
          <cell r="I740">
            <v>0.5</v>
          </cell>
          <cell r="J740">
            <v>0.5</v>
          </cell>
          <cell r="K740">
            <v>0.5</v>
          </cell>
          <cell r="M740">
            <v>2.2000000000000002</v>
          </cell>
          <cell r="N740">
            <v>2.2000000000000002</v>
          </cell>
          <cell r="O740">
            <v>2</v>
          </cell>
          <cell r="P740">
            <v>2</v>
          </cell>
          <cell r="Q740">
            <v>0</v>
          </cell>
          <cell r="R740">
            <v>0</v>
          </cell>
          <cell r="S740">
            <v>2.2000000000000002</v>
          </cell>
          <cell r="T740">
            <v>0</v>
          </cell>
          <cell r="U740" t="str">
            <v/>
          </cell>
          <cell r="V740" t="str">
            <v>A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 t="e">
            <v>#DIV/0!</v>
          </cell>
          <cell r="AH740" t="e">
            <v>#DIV/0!</v>
          </cell>
          <cell r="AI740" t="e">
            <v>#DIV/0!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 t="e">
            <v>#N/A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0.9</v>
          </cell>
          <cell r="BH740">
            <v>1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 t="e">
            <v>#DIV/0!</v>
          </cell>
          <cell r="BO740">
            <v>38</v>
          </cell>
          <cell r="BP740">
            <v>0</v>
          </cell>
          <cell r="BQ740" t="e">
            <v>#VALUE!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 t="str">
            <v/>
          </cell>
          <cell r="BX740" t="str">
            <v/>
          </cell>
          <cell r="BY740">
            <v>1.5</v>
          </cell>
          <cell r="BZ740">
            <v>1.1429999999999998</v>
          </cell>
        </row>
        <row r="741">
          <cell r="B741" t="str">
            <v/>
          </cell>
          <cell r="C741">
            <v>0</v>
          </cell>
          <cell r="D741" t="str">
            <v/>
          </cell>
          <cell r="H741" t="str">
            <v/>
          </cell>
          <cell r="I741" t="e">
            <v>#N/A</v>
          </cell>
          <cell r="J741" t="e">
            <v>#N/A</v>
          </cell>
          <cell r="K741" t="e">
            <v>#N/A</v>
          </cell>
          <cell r="M741">
            <v>2.2000000000000002</v>
          </cell>
          <cell r="N741">
            <v>2.2000000000000002</v>
          </cell>
          <cell r="O741">
            <v>2</v>
          </cell>
          <cell r="P741">
            <v>2</v>
          </cell>
          <cell r="Q741">
            <v>0</v>
          </cell>
          <cell r="R741">
            <v>0</v>
          </cell>
          <cell r="S741">
            <v>2.2000000000000002</v>
          </cell>
          <cell r="T741">
            <v>0</v>
          </cell>
          <cell r="U741" t="str">
            <v/>
          </cell>
          <cell r="V741" t="str">
            <v>A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 t="e">
            <v>#DIV/0!</v>
          </cell>
          <cell r="AH741" t="e">
            <v>#DIV/0!</v>
          </cell>
          <cell r="AI741" t="e">
            <v>#DIV/0!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 t="e">
            <v>#N/A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0.9</v>
          </cell>
          <cell r="BH741">
            <v>1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 t="e">
            <v>#DIV/0!</v>
          </cell>
          <cell r="BO741">
            <v>38</v>
          </cell>
          <cell r="BP741">
            <v>0</v>
          </cell>
          <cell r="BQ741" t="e">
            <v>#VALUE!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 t="str">
            <v/>
          </cell>
          <cell r="BX741" t="str">
            <v/>
          </cell>
          <cell r="BY741">
            <v>1.5</v>
          </cell>
          <cell r="BZ741">
            <v>1.1429999999999998</v>
          </cell>
        </row>
        <row r="742">
          <cell r="B742" t="str">
            <v/>
          </cell>
          <cell r="C742">
            <v>0</v>
          </cell>
          <cell r="D742" t="str">
            <v/>
          </cell>
          <cell r="H742" t="str">
            <v/>
          </cell>
          <cell r="I742">
            <v>0</v>
          </cell>
          <cell r="J742">
            <v>0.5</v>
          </cell>
          <cell r="K742">
            <v>1.5</v>
          </cell>
          <cell r="M742">
            <v>2.2000000000000002</v>
          </cell>
          <cell r="N742">
            <v>2.2000000000000002</v>
          </cell>
          <cell r="O742">
            <v>2</v>
          </cell>
          <cell r="P742">
            <v>2</v>
          </cell>
          <cell r="Q742">
            <v>0</v>
          </cell>
          <cell r="R742">
            <v>0</v>
          </cell>
          <cell r="S742">
            <v>2.2000000000000002</v>
          </cell>
          <cell r="T742">
            <v>0</v>
          </cell>
          <cell r="U742" t="str">
            <v/>
          </cell>
          <cell r="V742" t="str">
            <v>A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 t="e">
            <v>#DIV/0!</v>
          </cell>
          <cell r="AH742" t="e">
            <v>#DIV/0!</v>
          </cell>
          <cell r="AI742" t="e">
            <v>#DIV/0!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 t="e">
            <v>#N/A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0.9</v>
          </cell>
          <cell r="BH742">
            <v>1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 t="e">
            <v>#DIV/0!</v>
          </cell>
          <cell r="BO742">
            <v>38</v>
          </cell>
          <cell r="BP742">
            <v>0</v>
          </cell>
          <cell r="BQ742" t="e">
            <v>#VALUE!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 t="str">
            <v/>
          </cell>
          <cell r="BX742" t="str">
            <v/>
          </cell>
          <cell r="BY742">
            <v>1.5</v>
          </cell>
          <cell r="BZ742">
            <v>1.1429999999999998</v>
          </cell>
        </row>
        <row r="743">
          <cell r="B743" t="str">
            <v/>
          </cell>
          <cell r="C743">
            <v>0</v>
          </cell>
          <cell r="D743" t="str">
            <v/>
          </cell>
          <cell r="H743" t="str">
            <v/>
          </cell>
          <cell r="I743">
            <v>0</v>
          </cell>
          <cell r="J743">
            <v>0</v>
          </cell>
          <cell r="K743">
            <v>0</v>
          </cell>
          <cell r="M743">
            <v>2.2000000000000002</v>
          </cell>
          <cell r="N743">
            <v>2.2000000000000002</v>
          </cell>
          <cell r="O743">
            <v>2</v>
          </cell>
          <cell r="P743">
            <v>2</v>
          </cell>
          <cell r="Q743">
            <v>0</v>
          </cell>
          <cell r="R743">
            <v>0</v>
          </cell>
          <cell r="S743">
            <v>2.2000000000000002</v>
          </cell>
          <cell r="T743">
            <v>0</v>
          </cell>
          <cell r="U743" t="str">
            <v/>
          </cell>
          <cell r="V743" t="str">
            <v>A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 t="e">
            <v>#DIV/0!</v>
          </cell>
          <cell r="AH743" t="e">
            <v>#DIV/0!</v>
          </cell>
          <cell r="AI743" t="e">
            <v>#DIV/0!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 t="e">
            <v>#N/A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0.9</v>
          </cell>
          <cell r="BH743">
            <v>1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 t="e">
            <v>#DIV/0!</v>
          </cell>
          <cell r="BO743">
            <v>38</v>
          </cell>
          <cell r="BP743">
            <v>0</v>
          </cell>
          <cell r="BQ743" t="e">
            <v>#VALUE!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 t="str">
            <v/>
          </cell>
          <cell r="BX743" t="str">
            <v/>
          </cell>
          <cell r="BY743">
            <v>1.5</v>
          </cell>
          <cell r="BZ743">
            <v>1.1429999999999998</v>
          </cell>
        </row>
        <row r="744">
          <cell r="B744" t="str">
            <v/>
          </cell>
          <cell r="C744">
            <v>0</v>
          </cell>
          <cell r="D744" t="str">
            <v/>
          </cell>
          <cell r="H744" t="str">
            <v/>
          </cell>
          <cell r="I744">
            <v>0</v>
          </cell>
          <cell r="J744">
            <v>0</v>
          </cell>
          <cell r="K744">
            <v>0</v>
          </cell>
          <cell r="M744">
            <v>2.2000000000000002</v>
          </cell>
          <cell r="N744">
            <v>2.2000000000000002</v>
          </cell>
          <cell r="O744">
            <v>2</v>
          </cell>
          <cell r="P744">
            <v>2</v>
          </cell>
          <cell r="Q744">
            <v>0</v>
          </cell>
          <cell r="R744">
            <v>0</v>
          </cell>
          <cell r="S744">
            <v>2.2000000000000002</v>
          </cell>
          <cell r="T744">
            <v>0</v>
          </cell>
          <cell r="U744" t="str">
            <v/>
          </cell>
          <cell r="V744" t="str">
            <v>A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 t="e">
            <v>#DIV/0!</v>
          </cell>
          <cell r="AH744" t="e">
            <v>#DIV/0!</v>
          </cell>
          <cell r="AI744" t="e">
            <v>#DIV/0!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 t="e">
            <v>#N/A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0.9</v>
          </cell>
          <cell r="BH744">
            <v>1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 t="e">
            <v>#DIV/0!</v>
          </cell>
          <cell r="BO744">
            <v>38</v>
          </cell>
          <cell r="BP744">
            <v>0</v>
          </cell>
          <cell r="BQ744" t="e">
            <v>#VALUE!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 t="str">
            <v/>
          </cell>
          <cell r="BX744" t="str">
            <v/>
          </cell>
          <cell r="BY744">
            <v>1.5</v>
          </cell>
          <cell r="BZ744">
            <v>1.1429999999999998</v>
          </cell>
        </row>
        <row r="745">
          <cell r="B745" t="str">
            <v/>
          </cell>
          <cell r="C745">
            <v>0</v>
          </cell>
          <cell r="D745" t="str">
            <v/>
          </cell>
          <cell r="H745" t="str">
            <v/>
          </cell>
          <cell r="I745">
            <v>0</v>
          </cell>
          <cell r="J745">
            <v>0</v>
          </cell>
          <cell r="K745">
            <v>0</v>
          </cell>
          <cell r="M745">
            <v>2.2000000000000002</v>
          </cell>
          <cell r="N745">
            <v>2.2000000000000002</v>
          </cell>
          <cell r="O745">
            <v>2</v>
          </cell>
          <cell r="P745">
            <v>2</v>
          </cell>
          <cell r="Q745">
            <v>0</v>
          </cell>
          <cell r="R745">
            <v>0</v>
          </cell>
          <cell r="S745">
            <v>2.2000000000000002</v>
          </cell>
          <cell r="T745">
            <v>0</v>
          </cell>
          <cell r="U745" t="str">
            <v/>
          </cell>
          <cell r="V745" t="str">
            <v>A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 t="e">
            <v>#DIV/0!</v>
          </cell>
          <cell r="AH745" t="e">
            <v>#DIV/0!</v>
          </cell>
          <cell r="AI745" t="e">
            <v>#DIV/0!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 t="e">
            <v>#N/A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0.9</v>
          </cell>
          <cell r="BH745">
            <v>1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 t="e">
            <v>#DIV/0!</v>
          </cell>
          <cell r="BO745">
            <v>38</v>
          </cell>
          <cell r="BP745">
            <v>0</v>
          </cell>
          <cell r="BQ745" t="e">
            <v>#VALUE!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 t="str">
            <v/>
          </cell>
          <cell r="BX745" t="str">
            <v/>
          </cell>
          <cell r="BY745">
            <v>1.5</v>
          </cell>
          <cell r="BZ745">
            <v>1.1429999999999998</v>
          </cell>
        </row>
        <row r="746">
          <cell r="B746" t="str">
            <v/>
          </cell>
          <cell r="C746">
            <v>0</v>
          </cell>
          <cell r="D746" t="str">
            <v/>
          </cell>
          <cell r="H746" t="str">
            <v/>
          </cell>
          <cell r="I746" t="e">
            <v>#N/A</v>
          </cell>
          <cell r="J746" t="e">
            <v>#N/A</v>
          </cell>
          <cell r="K746" t="e">
            <v>#N/A</v>
          </cell>
          <cell r="M746">
            <v>2.2000000000000002</v>
          </cell>
          <cell r="N746">
            <v>2.2000000000000002</v>
          </cell>
          <cell r="O746">
            <v>2</v>
          </cell>
          <cell r="P746">
            <v>2</v>
          </cell>
          <cell r="Q746">
            <v>0</v>
          </cell>
          <cell r="R746">
            <v>0</v>
          </cell>
          <cell r="S746">
            <v>2.2000000000000002</v>
          </cell>
          <cell r="T746">
            <v>0</v>
          </cell>
          <cell r="U746" t="str">
            <v/>
          </cell>
          <cell r="V746" t="str">
            <v>A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 t="e">
            <v>#DIV/0!</v>
          </cell>
          <cell r="AH746" t="e">
            <v>#DIV/0!</v>
          </cell>
          <cell r="AI746" t="e">
            <v>#DIV/0!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 t="e">
            <v>#N/A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0.9</v>
          </cell>
          <cell r="BH746">
            <v>1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 t="e">
            <v>#DIV/0!</v>
          </cell>
          <cell r="BO746">
            <v>38</v>
          </cell>
          <cell r="BP746">
            <v>0</v>
          </cell>
          <cell r="BQ746" t="e">
            <v>#VALUE!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 t="str">
            <v/>
          </cell>
          <cell r="BX746" t="str">
            <v/>
          </cell>
          <cell r="BY746">
            <v>1.5</v>
          </cell>
          <cell r="BZ746">
            <v>1.1429999999999998</v>
          </cell>
        </row>
        <row r="747">
          <cell r="B747" t="str">
            <v/>
          </cell>
          <cell r="C747">
            <v>0</v>
          </cell>
          <cell r="D747" t="str">
            <v/>
          </cell>
          <cell r="H747" t="str">
            <v/>
          </cell>
          <cell r="I747">
            <v>0</v>
          </cell>
          <cell r="J747">
            <v>0</v>
          </cell>
          <cell r="K747">
            <v>0</v>
          </cell>
          <cell r="M747">
            <v>2.2000000000000002</v>
          </cell>
          <cell r="N747">
            <v>2.2000000000000002</v>
          </cell>
          <cell r="O747">
            <v>2</v>
          </cell>
          <cell r="P747">
            <v>2</v>
          </cell>
          <cell r="Q747">
            <v>0</v>
          </cell>
          <cell r="R747">
            <v>0</v>
          </cell>
          <cell r="S747">
            <v>2.2000000000000002</v>
          </cell>
          <cell r="T747">
            <v>0</v>
          </cell>
          <cell r="U747" t="str">
            <v/>
          </cell>
          <cell r="V747" t="str">
            <v>A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 t="e">
            <v>#DIV/0!</v>
          </cell>
          <cell r="AH747" t="e">
            <v>#DIV/0!</v>
          </cell>
          <cell r="AI747" t="e">
            <v>#DIV/0!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 t="e">
            <v>#N/A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0.9</v>
          </cell>
          <cell r="BH747">
            <v>1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 t="e">
            <v>#DIV/0!</v>
          </cell>
          <cell r="BO747">
            <v>38</v>
          </cell>
          <cell r="BP747">
            <v>0</v>
          </cell>
          <cell r="BQ747" t="e">
            <v>#VALUE!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 t="str">
            <v/>
          </cell>
          <cell r="BX747" t="str">
            <v/>
          </cell>
          <cell r="BY747">
            <v>1.5</v>
          </cell>
          <cell r="BZ747">
            <v>1.1429999999999998</v>
          </cell>
        </row>
        <row r="748">
          <cell r="B748" t="str">
            <v/>
          </cell>
          <cell r="C748">
            <v>0</v>
          </cell>
          <cell r="D748" t="str">
            <v/>
          </cell>
          <cell r="H748" t="str">
            <v/>
          </cell>
          <cell r="I748" t="e">
            <v>#N/A</v>
          </cell>
          <cell r="J748" t="e">
            <v>#N/A</v>
          </cell>
          <cell r="K748" t="e">
            <v>#N/A</v>
          </cell>
          <cell r="M748">
            <v>2.2000000000000002</v>
          </cell>
          <cell r="N748">
            <v>2.2000000000000002</v>
          </cell>
          <cell r="O748">
            <v>2</v>
          </cell>
          <cell r="P748">
            <v>2</v>
          </cell>
          <cell r="Q748">
            <v>0</v>
          </cell>
          <cell r="R748">
            <v>0</v>
          </cell>
          <cell r="S748">
            <v>2.2000000000000002</v>
          </cell>
          <cell r="T748">
            <v>0</v>
          </cell>
          <cell r="U748" t="str">
            <v/>
          </cell>
          <cell r="V748" t="str">
            <v>A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 t="e">
            <v>#DIV/0!</v>
          </cell>
          <cell r="AH748" t="e">
            <v>#DIV/0!</v>
          </cell>
          <cell r="AI748" t="e">
            <v>#DIV/0!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 t="e">
            <v>#N/A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0.9</v>
          </cell>
          <cell r="BH748">
            <v>1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 t="e">
            <v>#DIV/0!</v>
          </cell>
          <cell r="BO748">
            <v>38</v>
          </cell>
          <cell r="BP748">
            <v>0</v>
          </cell>
          <cell r="BQ748" t="e">
            <v>#VALUE!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 t="str">
            <v/>
          </cell>
          <cell r="BX748" t="str">
            <v/>
          </cell>
          <cell r="BY748">
            <v>1.5</v>
          </cell>
          <cell r="BZ748">
            <v>1.1429999999999998</v>
          </cell>
        </row>
        <row r="749">
          <cell r="B749" t="str">
            <v/>
          </cell>
          <cell r="C749">
            <v>0</v>
          </cell>
          <cell r="D749" t="str">
            <v/>
          </cell>
          <cell r="H749" t="str">
            <v/>
          </cell>
          <cell r="I749" t="e">
            <v>#N/A</v>
          </cell>
          <cell r="J749" t="e">
            <v>#N/A</v>
          </cell>
          <cell r="K749" t="e">
            <v>#N/A</v>
          </cell>
          <cell r="M749">
            <v>2.2000000000000002</v>
          </cell>
          <cell r="N749">
            <v>2.2000000000000002</v>
          </cell>
          <cell r="O749">
            <v>2</v>
          </cell>
          <cell r="P749">
            <v>2</v>
          </cell>
          <cell r="Q749">
            <v>0</v>
          </cell>
          <cell r="R749">
            <v>0</v>
          </cell>
          <cell r="S749">
            <v>2.2000000000000002</v>
          </cell>
          <cell r="T749">
            <v>0</v>
          </cell>
          <cell r="U749" t="str">
            <v/>
          </cell>
          <cell r="V749" t="str">
            <v>A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 t="e">
            <v>#DIV/0!</v>
          </cell>
          <cell r="AH749" t="e">
            <v>#DIV/0!</v>
          </cell>
          <cell r="AI749" t="e">
            <v>#DIV/0!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 t="e">
            <v>#N/A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0.9</v>
          </cell>
          <cell r="BH749">
            <v>1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 t="e">
            <v>#DIV/0!</v>
          </cell>
          <cell r="BO749">
            <v>38</v>
          </cell>
          <cell r="BP749">
            <v>0</v>
          </cell>
          <cell r="BQ749" t="e">
            <v>#VALUE!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 t="str">
            <v/>
          </cell>
          <cell r="BX749" t="str">
            <v/>
          </cell>
          <cell r="BY749">
            <v>1.5</v>
          </cell>
          <cell r="BZ749">
            <v>1.1429999999999998</v>
          </cell>
        </row>
        <row r="750">
          <cell r="B750" t="str">
            <v/>
          </cell>
          <cell r="C750">
            <v>0</v>
          </cell>
          <cell r="D750" t="str">
            <v/>
          </cell>
          <cell r="H750" t="str">
            <v/>
          </cell>
          <cell r="I750" t="e">
            <v>#N/A</v>
          </cell>
          <cell r="J750" t="e">
            <v>#N/A</v>
          </cell>
          <cell r="K750" t="e">
            <v>#N/A</v>
          </cell>
          <cell r="M750">
            <v>2.2000000000000002</v>
          </cell>
          <cell r="N750">
            <v>2.2000000000000002</v>
          </cell>
          <cell r="O750">
            <v>2</v>
          </cell>
          <cell r="P750">
            <v>2</v>
          </cell>
          <cell r="Q750">
            <v>0</v>
          </cell>
          <cell r="R750">
            <v>0</v>
          </cell>
          <cell r="S750">
            <v>2.2000000000000002</v>
          </cell>
          <cell r="T750">
            <v>0</v>
          </cell>
          <cell r="U750" t="str">
            <v/>
          </cell>
          <cell r="V750" t="str">
            <v>A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 t="e">
            <v>#DIV/0!</v>
          </cell>
          <cell r="AH750" t="e">
            <v>#DIV/0!</v>
          </cell>
          <cell r="AI750" t="e">
            <v>#DIV/0!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 t="e">
            <v>#N/A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0.9</v>
          </cell>
          <cell r="BH750">
            <v>1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 t="e">
            <v>#DIV/0!</v>
          </cell>
          <cell r="BO750">
            <v>38</v>
          </cell>
          <cell r="BP750">
            <v>0</v>
          </cell>
          <cell r="BQ750" t="e">
            <v>#VALUE!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 t="str">
            <v/>
          </cell>
          <cell r="BX750" t="str">
            <v/>
          </cell>
          <cell r="BY750">
            <v>1.5</v>
          </cell>
          <cell r="BZ750">
            <v>1.1429999999999998</v>
          </cell>
        </row>
        <row r="751">
          <cell r="B751" t="str">
            <v/>
          </cell>
          <cell r="C751">
            <v>0</v>
          </cell>
          <cell r="D751" t="str">
            <v/>
          </cell>
          <cell r="H751" t="str">
            <v/>
          </cell>
          <cell r="I751" t="e">
            <v>#N/A</v>
          </cell>
          <cell r="J751" t="e">
            <v>#N/A</v>
          </cell>
          <cell r="K751" t="e">
            <v>#N/A</v>
          </cell>
          <cell r="M751">
            <v>2.2000000000000002</v>
          </cell>
          <cell r="N751">
            <v>2.2000000000000002</v>
          </cell>
          <cell r="O751">
            <v>2</v>
          </cell>
          <cell r="P751">
            <v>2</v>
          </cell>
          <cell r="Q751">
            <v>0</v>
          </cell>
          <cell r="R751">
            <v>0</v>
          </cell>
          <cell r="S751">
            <v>2.2000000000000002</v>
          </cell>
          <cell r="T751">
            <v>0</v>
          </cell>
          <cell r="U751" t="str">
            <v/>
          </cell>
          <cell r="V751" t="str">
            <v>A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 t="e">
            <v>#DIV/0!</v>
          </cell>
          <cell r="AH751" t="e">
            <v>#DIV/0!</v>
          </cell>
          <cell r="AI751" t="e">
            <v>#DIV/0!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 t="e">
            <v>#N/A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0.9</v>
          </cell>
          <cell r="BH751">
            <v>1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 t="e">
            <v>#DIV/0!</v>
          </cell>
          <cell r="BO751">
            <v>38</v>
          </cell>
          <cell r="BP751">
            <v>0</v>
          </cell>
          <cell r="BQ751" t="e">
            <v>#VALUE!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 t="str">
            <v/>
          </cell>
          <cell r="BX751" t="str">
            <v/>
          </cell>
          <cell r="BY751">
            <v>1.5</v>
          </cell>
          <cell r="BZ751">
            <v>1.1429999999999998</v>
          </cell>
        </row>
        <row r="752">
          <cell r="B752" t="str">
            <v/>
          </cell>
          <cell r="C752">
            <v>0</v>
          </cell>
          <cell r="D752" t="str">
            <v/>
          </cell>
          <cell r="H752" t="str">
            <v/>
          </cell>
          <cell r="I752">
            <v>0</v>
          </cell>
          <cell r="J752">
            <v>0</v>
          </cell>
          <cell r="K752">
            <v>0</v>
          </cell>
          <cell r="M752">
            <v>2.2000000000000002</v>
          </cell>
          <cell r="N752">
            <v>2.2000000000000002</v>
          </cell>
          <cell r="O752">
            <v>2</v>
          </cell>
          <cell r="P752">
            <v>2</v>
          </cell>
          <cell r="Q752">
            <v>0</v>
          </cell>
          <cell r="R752">
            <v>0</v>
          </cell>
          <cell r="S752">
            <v>2.2000000000000002</v>
          </cell>
          <cell r="T752">
            <v>0</v>
          </cell>
          <cell r="U752" t="str">
            <v/>
          </cell>
          <cell r="V752" t="str">
            <v>A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 t="e">
            <v>#DIV/0!</v>
          </cell>
          <cell r="AH752" t="e">
            <v>#DIV/0!</v>
          </cell>
          <cell r="AI752" t="e">
            <v>#DIV/0!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 t="e">
            <v>#N/A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0.9</v>
          </cell>
          <cell r="BH752">
            <v>1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 t="e">
            <v>#DIV/0!</v>
          </cell>
          <cell r="BO752">
            <v>38</v>
          </cell>
          <cell r="BP752">
            <v>0</v>
          </cell>
          <cell r="BQ752" t="e">
            <v>#VALUE!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 t="str">
            <v/>
          </cell>
          <cell r="BX752" t="str">
            <v/>
          </cell>
          <cell r="BY752">
            <v>1.5</v>
          </cell>
          <cell r="BZ752">
            <v>1.1429999999999998</v>
          </cell>
        </row>
        <row r="753">
          <cell r="B753" t="str">
            <v/>
          </cell>
          <cell r="C753">
            <v>0</v>
          </cell>
          <cell r="D753" t="str">
            <v/>
          </cell>
          <cell r="H753" t="str">
            <v/>
          </cell>
          <cell r="I753" t="e">
            <v>#N/A</v>
          </cell>
          <cell r="J753" t="e">
            <v>#N/A</v>
          </cell>
          <cell r="K753" t="e">
            <v>#N/A</v>
          </cell>
          <cell r="M753">
            <v>2.2000000000000002</v>
          </cell>
          <cell r="N753">
            <v>2.2000000000000002</v>
          </cell>
          <cell r="O753">
            <v>2</v>
          </cell>
          <cell r="P753">
            <v>2</v>
          </cell>
          <cell r="Q753">
            <v>0</v>
          </cell>
          <cell r="R753">
            <v>0</v>
          </cell>
          <cell r="S753">
            <v>2.2000000000000002</v>
          </cell>
          <cell r="T753">
            <v>0</v>
          </cell>
          <cell r="U753" t="str">
            <v/>
          </cell>
          <cell r="V753" t="str">
            <v>A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 t="e">
            <v>#DIV/0!</v>
          </cell>
          <cell r="AH753" t="e">
            <v>#DIV/0!</v>
          </cell>
          <cell r="AI753" t="e">
            <v>#DIV/0!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 t="e">
            <v>#N/A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0.9</v>
          </cell>
          <cell r="BH753">
            <v>1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 t="e">
            <v>#DIV/0!</v>
          </cell>
          <cell r="BO753">
            <v>38</v>
          </cell>
          <cell r="BP753">
            <v>0</v>
          </cell>
          <cell r="BQ753" t="e">
            <v>#VALUE!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 t="str">
            <v/>
          </cell>
          <cell r="BX753" t="str">
            <v/>
          </cell>
          <cell r="BY753">
            <v>1.5</v>
          </cell>
          <cell r="BZ753">
            <v>1.1429999999999998</v>
          </cell>
        </row>
        <row r="754">
          <cell r="B754" t="str">
            <v/>
          </cell>
          <cell r="C754">
            <v>0</v>
          </cell>
          <cell r="D754" t="str">
            <v/>
          </cell>
          <cell r="H754" t="str">
            <v/>
          </cell>
          <cell r="I754" t="e">
            <v>#N/A</v>
          </cell>
          <cell r="J754" t="e">
            <v>#N/A</v>
          </cell>
          <cell r="K754" t="e">
            <v>#N/A</v>
          </cell>
          <cell r="M754">
            <v>2.2000000000000002</v>
          </cell>
          <cell r="N754">
            <v>2.2000000000000002</v>
          </cell>
          <cell r="O754">
            <v>2</v>
          </cell>
          <cell r="P754">
            <v>2</v>
          </cell>
          <cell r="Q754">
            <v>0</v>
          </cell>
          <cell r="R754">
            <v>0</v>
          </cell>
          <cell r="S754">
            <v>2.2000000000000002</v>
          </cell>
          <cell r="T754">
            <v>0</v>
          </cell>
          <cell r="U754" t="str">
            <v/>
          </cell>
          <cell r="V754" t="str">
            <v>A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 t="e">
            <v>#DIV/0!</v>
          </cell>
          <cell r="AH754" t="e">
            <v>#DIV/0!</v>
          </cell>
          <cell r="AI754" t="e">
            <v>#DIV/0!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 t="e">
            <v>#N/A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0.9</v>
          </cell>
          <cell r="BH754">
            <v>1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 t="e">
            <v>#DIV/0!</v>
          </cell>
          <cell r="BO754">
            <v>38</v>
          </cell>
          <cell r="BP754">
            <v>0</v>
          </cell>
          <cell r="BQ754" t="e">
            <v>#VALUE!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 t="str">
            <v/>
          </cell>
          <cell r="BX754" t="str">
            <v/>
          </cell>
          <cell r="BY754">
            <v>1.5</v>
          </cell>
          <cell r="BZ754">
            <v>1.1429999999999998</v>
          </cell>
        </row>
        <row r="755">
          <cell r="B755" t="str">
            <v/>
          </cell>
          <cell r="C755">
            <v>0</v>
          </cell>
          <cell r="D755" t="str">
            <v/>
          </cell>
          <cell r="H755" t="str">
            <v/>
          </cell>
          <cell r="I755">
            <v>2.4</v>
          </cell>
          <cell r="J755">
            <v>2.4</v>
          </cell>
          <cell r="K755">
            <v>2.4</v>
          </cell>
          <cell r="M755">
            <v>2.2000000000000002</v>
          </cell>
          <cell r="N755">
            <v>2.2000000000000002</v>
          </cell>
          <cell r="O755">
            <v>2</v>
          </cell>
          <cell r="P755">
            <v>2</v>
          </cell>
          <cell r="Q755">
            <v>0</v>
          </cell>
          <cell r="R755">
            <v>0</v>
          </cell>
          <cell r="S755">
            <v>2.2000000000000002</v>
          </cell>
          <cell r="T755">
            <v>0</v>
          </cell>
          <cell r="U755" t="str">
            <v/>
          </cell>
          <cell r="V755" t="str">
            <v>A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 t="e">
            <v>#DIV/0!</v>
          </cell>
          <cell r="AH755" t="e">
            <v>#DIV/0!</v>
          </cell>
          <cell r="AI755" t="e">
            <v>#DIV/0!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 t="e">
            <v>#N/A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0.9</v>
          </cell>
          <cell r="BH755">
            <v>1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 t="e">
            <v>#DIV/0!</v>
          </cell>
          <cell r="BO755">
            <v>38</v>
          </cell>
          <cell r="BP755">
            <v>0</v>
          </cell>
          <cell r="BQ755" t="e">
            <v>#VALUE!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 t="str">
            <v/>
          </cell>
          <cell r="BX755" t="str">
            <v/>
          </cell>
          <cell r="BY755">
            <v>1.5</v>
          </cell>
          <cell r="BZ755">
            <v>1.1429999999999998</v>
          </cell>
        </row>
        <row r="756">
          <cell r="B756" t="str">
            <v/>
          </cell>
          <cell r="C756">
            <v>0</v>
          </cell>
          <cell r="D756" t="str">
            <v/>
          </cell>
          <cell r="H756" t="str">
            <v/>
          </cell>
          <cell r="I756">
            <v>2.5</v>
          </cell>
          <cell r="J756">
            <v>3.1999999999999997</v>
          </cell>
          <cell r="K756">
            <v>3.7</v>
          </cell>
          <cell r="M756">
            <v>2.2000000000000002</v>
          </cell>
          <cell r="N756">
            <v>2.2000000000000002</v>
          </cell>
          <cell r="O756">
            <v>2</v>
          </cell>
          <cell r="P756">
            <v>2</v>
          </cell>
          <cell r="Q756">
            <v>0</v>
          </cell>
          <cell r="R756">
            <v>0</v>
          </cell>
          <cell r="S756">
            <v>2.2000000000000002</v>
          </cell>
          <cell r="T756">
            <v>0</v>
          </cell>
          <cell r="U756" t="str">
            <v/>
          </cell>
          <cell r="V756" t="str">
            <v>A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 t="e">
            <v>#DIV/0!</v>
          </cell>
          <cell r="AH756" t="e">
            <v>#DIV/0!</v>
          </cell>
          <cell r="AI756" t="e">
            <v>#DIV/0!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 t="e">
            <v>#N/A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0.9</v>
          </cell>
          <cell r="BH756">
            <v>1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 t="e">
            <v>#DIV/0!</v>
          </cell>
          <cell r="BO756">
            <v>38</v>
          </cell>
          <cell r="BP756">
            <v>0</v>
          </cell>
          <cell r="BQ756" t="e">
            <v>#VALUE!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 t="str">
            <v/>
          </cell>
          <cell r="BX756" t="str">
            <v/>
          </cell>
          <cell r="BY756">
            <v>1.5</v>
          </cell>
          <cell r="BZ756">
            <v>1.1429999999999998</v>
          </cell>
        </row>
        <row r="757">
          <cell r="B757" t="str">
            <v/>
          </cell>
          <cell r="C757">
            <v>0</v>
          </cell>
          <cell r="D757" t="str">
            <v/>
          </cell>
          <cell r="H757" t="str">
            <v/>
          </cell>
          <cell r="I757">
            <v>3.4</v>
          </cell>
          <cell r="J757">
            <v>3.4333333333333336</v>
          </cell>
          <cell r="K757">
            <v>3.5</v>
          </cell>
          <cell r="M757">
            <v>2.2000000000000002</v>
          </cell>
          <cell r="N757">
            <v>2.2000000000000002</v>
          </cell>
          <cell r="O757">
            <v>2</v>
          </cell>
          <cell r="P757">
            <v>2</v>
          </cell>
          <cell r="Q757">
            <v>0</v>
          </cell>
          <cell r="R757">
            <v>0</v>
          </cell>
          <cell r="S757">
            <v>2.2000000000000002</v>
          </cell>
          <cell r="T757">
            <v>0</v>
          </cell>
          <cell r="U757" t="str">
            <v/>
          </cell>
          <cell r="V757" t="str">
            <v>A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 t="e">
            <v>#DIV/0!</v>
          </cell>
          <cell r="AH757" t="e">
            <v>#DIV/0!</v>
          </cell>
          <cell r="AI757" t="e">
            <v>#DIV/0!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 t="e">
            <v>#N/A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0.9</v>
          </cell>
          <cell r="BH757">
            <v>1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 t="e">
            <v>#DIV/0!</v>
          </cell>
          <cell r="BO757">
            <v>38</v>
          </cell>
          <cell r="BP757">
            <v>0</v>
          </cell>
          <cell r="BQ757" t="e">
            <v>#VALUE!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 t="str">
            <v/>
          </cell>
          <cell r="BX757" t="str">
            <v/>
          </cell>
          <cell r="BY757">
            <v>1.5</v>
          </cell>
          <cell r="BZ757">
            <v>1.1429999999999998</v>
          </cell>
        </row>
        <row r="758">
          <cell r="B758" t="str">
            <v/>
          </cell>
          <cell r="C758">
            <v>0</v>
          </cell>
          <cell r="D758" t="str">
            <v/>
          </cell>
          <cell r="H758" t="str">
            <v/>
          </cell>
          <cell r="I758">
            <v>0</v>
          </cell>
          <cell r="J758">
            <v>0.66666666666666663</v>
          </cell>
          <cell r="K758">
            <v>1</v>
          </cell>
          <cell r="M758">
            <v>2.2000000000000002</v>
          </cell>
          <cell r="N758">
            <v>2.2000000000000002</v>
          </cell>
          <cell r="O758">
            <v>2</v>
          </cell>
          <cell r="P758">
            <v>2</v>
          </cell>
          <cell r="Q758">
            <v>0</v>
          </cell>
          <cell r="R758">
            <v>0</v>
          </cell>
          <cell r="S758">
            <v>2.2000000000000002</v>
          </cell>
          <cell r="T758">
            <v>0</v>
          </cell>
          <cell r="U758" t="str">
            <v/>
          </cell>
          <cell r="V758" t="str">
            <v>A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 t="e">
            <v>#DIV/0!</v>
          </cell>
          <cell r="AH758" t="e">
            <v>#DIV/0!</v>
          </cell>
          <cell r="AI758" t="e">
            <v>#DIV/0!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 t="e">
            <v>#N/A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0.9</v>
          </cell>
          <cell r="BH758">
            <v>1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 t="e">
            <v>#DIV/0!</v>
          </cell>
          <cell r="BO758">
            <v>38</v>
          </cell>
          <cell r="BP758">
            <v>0</v>
          </cell>
          <cell r="BQ758" t="e">
            <v>#VALUE!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 t="str">
            <v/>
          </cell>
          <cell r="BX758" t="str">
            <v/>
          </cell>
          <cell r="BY758">
            <v>1.5</v>
          </cell>
          <cell r="BZ758">
            <v>1.1429999999999998</v>
          </cell>
        </row>
        <row r="759">
          <cell r="B759" t="str">
            <v/>
          </cell>
          <cell r="C759">
            <v>0</v>
          </cell>
          <cell r="D759" t="str">
            <v/>
          </cell>
          <cell r="H759" t="str">
            <v/>
          </cell>
          <cell r="I759">
            <v>3.6</v>
          </cell>
          <cell r="J759">
            <v>4.166666666666667</v>
          </cell>
          <cell r="K759">
            <v>5.0999999999999996</v>
          </cell>
          <cell r="M759">
            <v>2.2000000000000002</v>
          </cell>
          <cell r="N759">
            <v>2.2000000000000002</v>
          </cell>
          <cell r="O759">
            <v>2</v>
          </cell>
          <cell r="P759">
            <v>2</v>
          </cell>
          <cell r="Q759">
            <v>0</v>
          </cell>
          <cell r="R759">
            <v>0</v>
          </cell>
          <cell r="S759">
            <v>2.2000000000000002</v>
          </cell>
          <cell r="T759">
            <v>0</v>
          </cell>
          <cell r="U759" t="str">
            <v/>
          </cell>
          <cell r="V759" t="str">
            <v>A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 t="e">
            <v>#DIV/0!</v>
          </cell>
          <cell r="AH759" t="e">
            <v>#DIV/0!</v>
          </cell>
          <cell r="AI759" t="e">
            <v>#DIV/0!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 t="e">
            <v>#N/A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0.9</v>
          </cell>
          <cell r="BH759">
            <v>1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 t="e">
            <v>#DIV/0!</v>
          </cell>
          <cell r="BO759">
            <v>38</v>
          </cell>
          <cell r="BP759">
            <v>0</v>
          </cell>
          <cell r="BQ759" t="e">
            <v>#VALUE!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 t="str">
            <v/>
          </cell>
          <cell r="BX759" t="str">
            <v/>
          </cell>
          <cell r="BY759">
            <v>1.5</v>
          </cell>
          <cell r="BZ759">
            <v>1.1429999999999998</v>
          </cell>
        </row>
        <row r="760">
          <cell r="B760" t="str">
            <v/>
          </cell>
          <cell r="C760">
            <v>0</v>
          </cell>
          <cell r="D760" t="str">
            <v/>
          </cell>
          <cell r="H760" t="str">
            <v/>
          </cell>
          <cell r="I760" t="e">
            <v>#N/A</v>
          </cell>
          <cell r="J760" t="e">
            <v>#N/A</v>
          </cell>
          <cell r="K760" t="e">
            <v>#N/A</v>
          </cell>
          <cell r="M760">
            <v>2.2000000000000002</v>
          </cell>
          <cell r="N760">
            <v>2.2000000000000002</v>
          </cell>
          <cell r="O760">
            <v>2</v>
          </cell>
          <cell r="P760">
            <v>2</v>
          </cell>
          <cell r="Q760">
            <v>0</v>
          </cell>
          <cell r="R760">
            <v>0</v>
          </cell>
          <cell r="S760">
            <v>2.2000000000000002</v>
          </cell>
          <cell r="T760">
            <v>0</v>
          </cell>
          <cell r="U760" t="str">
            <v/>
          </cell>
          <cell r="V760" t="str">
            <v>A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 t="e">
            <v>#DIV/0!</v>
          </cell>
          <cell r="AH760" t="e">
            <v>#DIV/0!</v>
          </cell>
          <cell r="AI760" t="e">
            <v>#DIV/0!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 t="e">
            <v>#N/A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0.9</v>
          </cell>
          <cell r="BH760">
            <v>1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 t="e">
            <v>#DIV/0!</v>
          </cell>
          <cell r="BO760">
            <v>38</v>
          </cell>
          <cell r="BP760">
            <v>0</v>
          </cell>
          <cell r="BQ760" t="e">
            <v>#VALUE!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 t="str">
            <v/>
          </cell>
          <cell r="BX760" t="str">
            <v/>
          </cell>
          <cell r="BY760">
            <v>1.5</v>
          </cell>
          <cell r="BZ760">
            <v>1.1429999999999998</v>
          </cell>
        </row>
        <row r="761">
          <cell r="B761" t="str">
            <v/>
          </cell>
          <cell r="C761">
            <v>0</v>
          </cell>
          <cell r="D761" t="str">
            <v/>
          </cell>
          <cell r="H761" t="str">
            <v/>
          </cell>
          <cell r="I761" t="e">
            <v>#N/A</v>
          </cell>
          <cell r="J761" t="e">
            <v>#N/A</v>
          </cell>
          <cell r="K761" t="e">
            <v>#N/A</v>
          </cell>
          <cell r="M761">
            <v>2.2000000000000002</v>
          </cell>
          <cell r="N761">
            <v>2.2000000000000002</v>
          </cell>
          <cell r="O761">
            <v>2</v>
          </cell>
          <cell r="P761">
            <v>2</v>
          </cell>
          <cell r="Q761">
            <v>0</v>
          </cell>
          <cell r="R761">
            <v>0</v>
          </cell>
          <cell r="S761">
            <v>2.2000000000000002</v>
          </cell>
          <cell r="T761">
            <v>0</v>
          </cell>
          <cell r="U761" t="str">
            <v/>
          </cell>
          <cell r="V761" t="str">
            <v>A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 t="e">
            <v>#DIV/0!</v>
          </cell>
          <cell r="AH761" t="e">
            <v>#DIV/0!</v>
          </cell>
          <cell r="AI761" t="e">
            <v>#DIV/0!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 t="e">
            <v>#N/A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0.9</v>
          </cell>
          <cell r="BH761">
            <v>1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 t="e">
            <v>#DIV/0!</v>
          </cell>
          <cell r="BO761">
            <v>38</v>
          </cell>
          <cell r="BP761">
            <v>0</v>
          </cell>
          <cell r="BQ761" t="e">
            <v>#VALUE!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 t="str">
            <v/>
          </cell>
          <cell r="BX761" t="str">
            <v/>
          </cell>
          <cell r="BY761">
            <v>1.5</v>
          </cell>
          <cell r="BZ761">
            <v>1.1429999999999998</v>
          </cell>
        </row>
        <row r="762">
          <cell r="B762" t="str">
            <v/>
          </cell>
          <cell r="C762">
            <v>0</v>
          </cell>
          <cell r="D762" t="str">
            <v/>
          </cell>
          <cell r="H762" t="str">
            <v/>
          </cell>
          <cell r="I762" t="e">
            <v>#N/A</v>
          </cell>
          <cell r="J762" t="e">
            <v>#N/A</v>
          </cell>
          <cell r="K762" t="e">
            <v>#N/A</v>
          </cell>
          <cell r="M762">
            <v>2.2000000000000002</v>
          </cell>
          <cell r="N762">
            <v>2.2000000000000002</v>
          </cell>
          <cell r="O762">
            <v>2</v>
          </cell>
          <cell r="P762">
            <v>2</v>
          </cell>
          <cell r="Q762">
            <v>0</v>
          </cell>
          <cell r="R762">
            <v>0</v>
          </cell>
          <cell r="S762">
            <v>2.2000000000000002</v>
          </cell>
          <cell r="T762">
            <v>0</v>
          </cell>
          <cell r="U762" t="str">
            <v/>
          </cell>
          <cell r="V762" t="str">
            <v>A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 t="e">
            <v>#DIV/0!</v>
          </cell>
          <cell r="AH762" t="e">
            <v>#DIV/0!</v>
          </cell>
          <cell r="AI762" t="e">
            <v>#DIV/0!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 t="e">
            <v>#N/A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0.9</v>
          </cell>
          <cell r="BH762">
            <v>1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 t="e">
            <v>#DIV/0!</v>
          </cell>
          <cell r="BO762">
            <v>38</v>
          </cell>
          <cell r="BP762">
            <v>0</v>
          </cell>
          <cell r="BQ762" t="e">
            <v>#VALUE!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 t="str">
            <v/>
          </cell>
          <cell r="BX762" t="str">
            <v/>
          </cell>
          <cell r="BY762">
            <v>1.5</v>
          </cell>
          <cell r="BZ762">
            <v>1.1429999999999998</v>
          </cell>
        </row>
        <row r="763">
          <cell r="B763" t="str">
            <v/>
          </cell>
          <cell r="C763">
            <v>0</v>
          </cell>
          <cell r="D763" t="str">
            <v/>
          </cell>
          <cell r="H763" t="str">
            <v/>
          </cell>
          <cell r="I763" t="e">
            <v>#N/A</v>
          </cell>
          <cell r="J763" t="e">
            <v>#N/A</v>
          </cell>
          <cell r="K763" t="e">
            <v>#N/A</v>
          </cell>
          <cell r="M763">
            <v>2.2000000000000002</v>
          </cell>
          <cell r="N763">
            <v>2.2000000000000002</v>
          </cell>
          <cell r="O763">
            <v>2</v>
          </cell>
          <cell r="P763">
            <v>2</v>
          </cell>
          <cell r="Q763">
            <v>0</v>
          </cell>
          <cell r="R763">
            <v>0</v>
          </cell>
          <cell r="S763">
            <v>2.2000000000000002</v>
          </cell>
          <cell r="T763">
            <v>0</v>
          </cell>
          <cell r="U763" t="str">
            <v/>
          </cell>
          <cell r="V763" t="str">
            <v>A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 t="e">
            <v>#DIV/0!</v>
          </cell>
          <cell r="AH763" t="e">
            <v>#DIV/0!</v>
          </cell>
          <cell r="AI763" t="e">
            <v>#DIV/0!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 t="e">
            <v>#N/A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0.9</v>
          </cell>
          <cell r="BH763">
            <v>1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 t="e">
            <v>#DIV/0!</v>
          </cell>
          <cell r="BO763">
            <v>38</v>
          </cell>
          <cell r="BP763">
            <v>0</v>
          </cell>
          <cell r="BQ763" t="e">
            <v>#VALUE!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 t="str">
            <v/>
          </cell>
          <cell r="BX763" t="str">
            <v/>
          </cell>
          <cell r="BY763">
            <v>1.5</v>
          </cell>
          <cell r="BZ763">
            <v>1.1429999999999998</v>
          </cell>
        </row>
        <row r="764">
          <cell r="B764" t="str">
            <v/>
          </cell>
          <cell r="C764">
            <v>0</v>
          </cell>
          <cell r="D764" t="str">
            <v/>
          </cell>
          <cell r="H764" t="str">
            <v/>
          </cell>
          <cell r="I764" t="e">
            <v>#N/A</v>
          </cell>
          <cell r="J764" t="e">
            <v>#N/A</v>
          </cell>
          <cell r="K764" t="e">
            <v>#N/A</v>
          </cell>
          <cell r="M764">
            <v>2.2000000000000002</v>
          </cell>
          <cell r="N764">
            <v>2.2000000000000002</v>
          </cell>
          <cell r="O764">
            <v>2</v>
          </cell>
          <cell r="P764">
            <v>2</v>
          </cell>
          <cell r="Q764">
            <v>0</v>
          </cell>
          <cell r="R764">
            <v>0</v>
          </cell>
          <cell r="S764">
            <v>2.2000000000000002</v>
          </cell>
          <cell r="T764">
            <v>0</v>
          </cell>
          <cell r="U764" t="str">
            <v/>
          </cell>
          <cell r="V764" t="str">
            <v>A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 t="e">
            <v>#DIV/0!</v>
          </cell>
          <cell r="AH764" t="e">
            <v>#DIV/0!</v>
          </cell>
          <cell r="AI764" t="e">
            <v>#DIV/0!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 t="e">
            <v>#N/A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0.9</v>
          </cell>
          <cell r="BH764">
            <v>1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 t="e">
            <v>#DIV/0!</v>
          </cell>
          <cell r="BO764">
            <v>38</v>
          </cell>
          <cell r="BP764">
            <v>0</v>
          </cell>
          <cell r="BQ764" t="e">
            <v>#VALUE!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 t="str">
            <v/>
          </cell>
          <cell r="BX764" t="str">
            <v/>
          </cell>
          <cell r="BY764">
            <v>1.5</v>
          </cell>
          <cell r="BZ764">
            <v>1.1429999999999998</v>
          </cell>
        </row>
        <row r="765">
          <cell r="B765" t="str">
            <v/>
          </cell>
          <cell r="C765">
            <v>0</v>
          </cell>
          <cell r="D765" t="str">
            <v/>
          </cell>
          <cell r="H765" t="str">
            <v/>
          </cell>
          <cell r="I765" t="e">
            <v>#N/A</v>
          </cell>
          <cell r="J765" t="e">
            <v>#N/A</v>
          </cell>
          <cell r="K765" t="e">
            <v>#N/A</v>
          </cell>
          <cell r="M765">
            <v>2.2000000000000002</v>
          </cell>
          <cell r="N765">
            <v>2.2000000000000002</v>
          </cell>
          <cell r="O765">
            <v>2</v>
          </cell>
          <cell r="P765">
            <v>2</v>
          </cell>
          <cell r="Q765">
            <v>0</v>
          </cell>
          <cell r="R765">
            <v>0</v>
          </cell>
          <cell r="S765">
            <v>2.2000000000000002</v>
          </cell>
          <cell r="T765">
            <v>0</v>
          </cell>
          <cell r="U765" t="str">
            <v/>
          </cell>
          <cell r="V765" t="str">
            <v>A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 t="e">
            <v>#DIV/0!</v>
          </cell>
          <cell r="AH765" t="e">
            <v>#DIV/0!</v>
          </cell>
          <cell r="AI765" t="e">
            <v>#DIV/0!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 t="e">
            <v>#N/A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0.9</v>
          </cell>
          <cell r="BH765">
            <v>1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 t="e">
            <v>#DIV/0!</v>
          </cell>
          <cell r="BO765">
            <v>38</v>
          </cell>
          <cell r="BP765">
            <v>0</v>
          </cell>
          <cell r="BQ765" t="e">
            <v>#VALUE!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 t="str">
            <v/>
          </cell>
          <cell r="BX765" t="str">
            <v/>
          </cell>
          <cell r="BY765">
            <v>1.5</v>
          </cell>
          <cell r="BZ765">
            <v>1.1429999999999998</v>
          </cell>
        </row>
        <row r="766">
          <cell r="B766" t="str">
            <v/>
          </cell>
          <cell r="C766">
            <v>0</v>
          </cell>
          <cell r="D766" t="str">
            <v/>
          </cell>
          <cell r="H766" t="str">
            <v/>
          </cell>
          <cell r="I766" t="e">
            <v>#N/A</v>
          </cell>
          <cell r="J766" t="e">
            <v>#N/A</v>
          </cell>
          <cell r="K766" t="e">
            <v>#N/A</v>
          </cell>
          <cell r="M766">
            <v>2.2000000000000002</v>
          </cell>
          <cell r="N766">
            <v>2.2000000000000002</v>
          </cell>
          <cell r="O766">
            <v>2</v>
          </cell>
          <cell r="P766">
            <v>2</v>
          </cell>
          <cell r="Q766">
            <v>0</v>
          </cell>
          <cell r="R766">
            <v>0</v>
          </cell>
          <cell r="S766">
            <v>2.2000000000000002</v>
          </cell>
          <cell r="T766">
            <v>0</v>
          </cell>
          <cell r="U766" t="str">
            <v/>
          </cell>
          <cell r="V766" t="str">
            <v>A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 t="e">
            <v>#DIV/0!</v>
          </cell>
          <cell r="AH766" t="e">
            <v>#DIV/0!</v>
          </cell>
          <cell r="AI766" t="e">
            <v>#DIV/0!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 t="e">
            <v>#N/A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0.9</v>
          </cell>
          <cell r="BH766">
            <v>1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 t="e">
            <v>#DIV/0!</v>
          </cell>
          <cell r="BO766">
            <v>38</v>
          </cell>
          <cell r="BP766">
            <v>0</v>
          </cell>
          <cell r="BQ766" t="e">
            <v>#VALUE!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 t="str">
            <v/>
          </cell>
          <cell r="BX766" t="str">
            <v/>
          </cell>
          <cell r="BY766">
            <v>1.5</v>
          </cell>
          <cell r="BZ766">
            <v>1.1429999999999998</v>
          </cell>
        </row>
        <row r="767">
          <cell r="B767" t="str">
            <v/>
          </cell>
          <cell r="C767">
            <v>0</v>
          </cell>
          <cell r="D767" t="str">
            <v/>
          </cell>
          <cell r="H767" t="str">
            <v/>
          </cell>
          <cell r="I767" t="e">
            <v>#N/A</v>
          </cell>
          <cell r="J767" t="e">
            <v>#N/A</v>
          </cell>
          <cell r="K767" t="e">
            <v>#N/A</v>
          </cell>
          <cell r="M767">
            <v>2.2000000000000002</v>
          </cell>
          <cell r="N767">
            <v>2.2000000000000002</v>
          </cell>
          <cell r="O767">
            <v>2</v>
          </cell>
          <cell r="P767">
            <v>2</v>
          </cell>
          <cell r="Q767">
            <v>0</v>
          </cell>
          <cell r="R767">
            <v>0</v>
          </cell>
          <cell r="S767">
            <v>2.2000000000000002</v>
          </cell>
          <cell r="T767">
            <v>0</v>
          </cell>
          <cell r="U767" t="str">
            <v/>
          </cell>
          <cell r="V767" t="str">
            <v>A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 t="e">
            <v>#DIV/0!</v>
          </cell>
          <cell r="AH767" t="e">
            <v>#DIV/0!</v>
          </cell>
          <cell r="AI767" t="e">
            <v>#DIV/0!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 t="e">
            <v>#N/A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0.9</v>
          </cell>
          <cell r="BH767">
            <v>1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 t="e">
            <v>#DIV/0!</v>
          </cell>
          <cell r="BO767">
            <v>38</v>
          </cell>
          <cell r="BP767">
            <v>0</v>
          </cell>
          <cell r="BQ767" t="e">
            <v>#VALUE!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 t="str">
            <v/>
          </cell>
          <cell r="BX767" t="str">
            <v/>
          </cell>
          <cell r="BY767">
            <v>1.5</v>
          </cell>
          <cell r="BZ767">
            <v>1.1429999999999998</v>
          </cell>
        </row>
        <row r="768">
          <cell r="B768" t="str">
            <v/>
          </cell>
          <cell r="C768">
            <v>0</v>
          </cell>
          <cell r="D768" t="str">
            <v/>
          </cell>
          <cell r="H768" t="str">
            <v/>
          </cell>
          <cell r="I768" t="e">
            <v>#N/A</v>
          </cell>
          <cell r="J768" t="e">
            <v>#N/A</v>
          </cell>
          <cell r="K768" t="e">
            <v>#N/A</v>
          </cell>
          <cell r="M768">
            <v>2.2000000000000002</v>
          </cell>
          <cell r="N768">
            <v>2.2000000000000002</v>
          </cell>
          <cell r="O768">
            <v>2</v>
          </cell>
          <cell r="P768">
            <v>2</v>
          </cell>
          <cell r="Q768">
            <v>0</v>
          </cell>
          <cell r="R768">
            <v>0</v>
          </cell>
          <cell r="S768">
            <v>2.2000000000000002</v>
          </cell>
          <cell r="T768">
            <v>0</v>
          </cell>
          <cell r="U768" t="str">
            <v/>
          </cell>
          <cell r="V768" t="str">
            <v>A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 t="e">
            <v>#DIV/0!</v>
          </cell>
          <cell r="AH768" t="e">
            <v>#DIV/0!</v>
          </cell>
          <cell r="AI768" t="e">
            <v>#DIV/0!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 t="e">
            <v>#N/A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0.9</v>
          </cell>
          <cell r="BH768">
            <v>1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 t="e">
            <v>#DIV/0!</v>
          </cell>
          <cell r="BO768">
            <v>38</v>
          </cell>
          <cell r="BP768">
            <v>0</v>
          </cell>
          <cell r="BQ768" t="e">
            <v>#VALUE!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 t="str">
            <v/>
          </cell>
          <cell r="BX768" t="str">
            <v/>
          </cell>
          <cell r="BY768">
            <v>1.5</v>
          </cell>
          <cell r="BZ768">
            <v>1.1429999999999998</v>
          </cell>
        </row>
        <row r="769">
          <cell r="B769" t="str">
            <v/>
          </cell>
          <cell r="C769">
            <v>0</v>
          </cell>
          <cell r="D769" t="str">
            <v/>
          </cell>
          <cell r="H769" t="str">
            <v/>
          </cell>
          <cell r="I769" t="e">
            <v>#N/A</v>
          </cell>
          <cell r="J769" t="e">
            <v>#N/A</v>
          </cell>
          <cell r="K769" t="e">
            <v>#N/A</v>
          </cell>
          <cell r="M769">
            <v>2.2000000000000002</v>
          </cell>
          <cell r="N769">
            <v>2.2000000000000002</v>
          </cell>
          <cell r="O769">
            <v>2</v>
          </cell>
          <cell r="P769">
            <v>2</v>
          </cell>
          <cell r="Q769">
            <v>0</v>
          </cell>
          <cell r="R769">
            <v>0</v>
          </cell>
          <cell r="S769">
            <v>2.2000000000000002</v>
          </cell>
          <cell r="T769">
            <v>0</v>
          </cell>
          <cell r="U769" t="str">
            <v/>
          </cell>
          <cell r="V769" t="str">
            <v>A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 t="e">
            <v>#DIV/0!</v>
          </cell>
          <cell r="AH769" t="e">
            <v>#DIV/0!</v>
          </cell>
          <cell r="AI769" t="e">
            <v>#DIV/0!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 t="e">
            <v>#N/A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0.9</v>
          </cell>
          <cell r="BH769">
            <v>1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 t="e">
            <v>#DIV/0!</v>
          </cell>
          <cell r="BO769">
            <v>38</v>
          </cell>
          <cell r="BP769">
            <v>0</v>
          </cell>
          <cell r="BQ769" t="e">
            <v>#VALUE!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 t="str">
            <v/>
          </cell>
          <cell r="BX769" t="str">
            <v/>
          </cell>
          <cell r="BY769">
            <v>1.5</v>
          </cell>
          <cell r="BZ769">
            <v>1.1429999999999998</v>
          </cell>
        </row>
        <row r="770">
          <cell r="B770" t="str">
            <v/>
          </cell>
          <cell r="C770">
            <v>0</v>
          </cell>
          <cell r="D770" t="str">
            <v/>
          </cell>
          <cell r="H770" t="str">
            <v/>
          </cell>
          <cell r="I770" t="e">
            <v>#N/A</v>
          </cell>
          <cell r="J770" t="e">
            <v>#N/A</v>
          </cell>
          <cell r="K770" t="e">
            <v>#N/A</v>
          </cell>
          <cell r="M770">
            <v>2.2000000000000002</v>
          </cell>
          <cell r="N770">
            <v>2.2000000000000002</v>
          </cell>
          <cell r="O770">
            <v>2</v>
          </cell>
          <cell r="P770">
            <v>2</v>
          </cell>
          <cell r="Q770">
            <v>0</v>
          </cell>
          <cell r="R770">
            <v>0</v>
          </cell>
          <cell r="S770">
            <v>2.2000000000000002</v>
          </cell>
          <cell r="T770">
            <v>0</v>
          </cell>
          <cell r="U770" t="str">
            <v/>
          </cell>
          <cell r="V770" t="str">
            <v>A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 t="e">
            <v>#DIV/0!</v>
          </cell>
          <cell r="AH770" t="e">
            <v>#DIV/0!</v>
          </cell>
          <cell r="AI770" t="e">
            <v>#DIV/0!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 t="e">
            <v>#N/A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0.9</v>
          </cell>
          <cell r="BH770">
            <v>1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 t="e">
            <v>#DIV/0!</v>
          </cell>
          <cell r="BO770">
            <v>38</v>
          </cell>
          <cell r="BP770">
            <v>0</v>
          </cell>
          <cell r="BQ770" t="e">
            <v>#VALUE!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 t="str">
            <v/>
          </cell>
          <cell r="BX770" t="str">
            <v/>
          </cell>
          <cell r="BY770">
            <v>1.5</v>
          </cell>
          <cell r="BZ770">
            <v>1.1429999999999998</v>
          </cell>
        </row>
        <row r="771">
          <cell r="B771" t="str">
            <v/>
          </cell>
          <cell r="C771">
            <v>0</v>
          </cell>
          <cell r="D771" t="str">
            <v/>
          </cell>
          <cell r="H771" t="str">
            <v/>
          </cell>
          <cell r="I771" t="e">
            <v>#N/A</v>
          </cell>
          <cell r="J771" t="e">
            <v>#N/A</v>
          </cell>
          <cell r="K771" t="e">
            <v>#N/A</v>
          </cell>
          <cell r="M771">
            <v>2.2000000000000002</v>
          </cell>
          <cell r="N771">
            <v>2.2000000000000002</v>
          </cell>
          <cell r="O771">
            <v>2</v>
          </cell>
          <cell r="P771">
            <v>2</v>
          </cell>
          <cell r="Q771">
            <v>0</v>
          </cell>
          <cell r="R771">
            <v>0</v>
          </cell>
          <cell r="S771">
            <v>2.2000000000000002</v>
          </cell>
          <cell r="T771">
            <v>0</v>
          </cell>
          <cell r="U771" t="str">
            <v/>
          </cell>
          <cell r="V771" t="str">
            <v>A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 t="e">
            <v>#DIV/0!</v>
          </cell>
          <cell r="AH771" t="e">
            <v>#DIV/0!</v>
          </cell>
          <cell r="AI771" t="e">
            <v>#DIV/0!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 t="e">
            <v>#N/A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0.9</v>
          </cell>
          <cell r="BH771">
            <v>1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 t="e">
            <v>#DIV/0!</v>
          </cell>
          <cell r="BO771">
            <v>38</v>
          </cell>
          <cell r="BP771">
            <v>0</v>
          </cell>
          <cell r="BQ771" t="e">
            <v>#VALUE!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 t="str">
            <v/>
          </cell>
          <cell r="BX771" t="str">
            <v/>
          </cell>
          <cell r="BY771">
            <v>1.5</v>
          </cell>
          <cell r="BZ771">
            <v>1.1429999999999998</v>
          </cell>
        </row>
        <row r="772">
          <cell r="B772" t="str">
            <v/>
          </cell>
          <cell r="C772">
            <v>0</v>
          </cell>
          <cell r="D772" t="str">
            <v/>
          </cell>
          <cell r="H772" t="str">
            <v/>
          </cell>
          <cell r="I772" t="e">
            <v>#N/A</v>
          </cell>
          <cell r="J772" t="e">
            <v>#N/A</v>
          </cell>
          <cell r="K772" t="e">
            <v>#N/A</v>
          </cell>
          <cell r="M772">
            <v>2.2000000000000002</v>
          </cell>
          <cell r="N772">
            <v>2.2000000000000002</v>
          </cell>
          <cell r="O772">
            <v>2</v>
          </cell>
          <cell r="P772">
            <v>2</v>
          </cell>
          <cell r="Q772">
            <v>0</v>
          </cell>
          <cell r="R772">
            <v>0</v>
          </cell>
          <cell r="S772">
            <v>2.2000000000000002</v>
          </cell>
          <cell r="T772">
            <v>0</v>
          </cell>
          <cell r="U772" t="str">
            <v/>
          </cell>
          <cell r="V772" t="str">
            <v>A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 t="e">
            <v>#DIV/0!</v>
          </cell>
          <cell r="AH772" t="e">
            <v>#DIV/0!</v>
          </cell>
          <cell r="AI772" t="e">
            <v>#DIV/0!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 t="e">
            <v>#N/A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0.9</v>
          </cell>
          <cell r="BH772">
            <v>1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 t="e">
            <v>#DIV/0!</v>
          </cell>
          <cell r="BO772">
            <v>38</v>
          </cell>
          <cell r="BP772">
            <v>0</v>
          </cell>
          <cell r="BQ772" t="e">
            <v>#VALUE!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 t="str">
            <v/>
          </cell>
          <cell r="BX772" t="str">
            <v/>
          </cell>
          <cell r="BY772">
            <v>1.5</v>
          </cell>
          <cell r="BZ772">
            <v>1.1429999999999998</v>
          </cell>
        </row>
        <row r="773">
          <cell r="B773" t="str">
            <v/>
          </cell>
          <cell r="C773">
            <v>0</v>
          </cell>
          <cell r="D773" t="str">
            <v/>
          </cell>
          <cell r="H773" t="str">
            <v/>
          </cell>
          <cell r="I773" t="e">
            <v>#N/A</v>
          </cell>
          <cell r="J773" t="e">
            <v>#N/A</v>
          </cell>
          <cell r="K773" t="e">
            <v>#N/A</v>
          </cell>
          <cell r="M773">
            <v>2.2000000000000002</v>
          </cell>
          <cell r="N773">
            <v>2.2000000000000002</v>
          </cell>
          <cell r="O773">
            <v>2</v>
          </cell>
          <cell r="P773">
            <v>2</v>
          </cell>
          <cell r="Q773">
            <v>0</v>
          </cell>
          <cell r="R773">
            <v>0</v>
          </cell>
          <cell r="S773">
            <v>2.2000000000000002</v>
          </cell>
          <cell r="T773">
            <v>0</v>
          </cell>
          <cell r="U773" t="str">
            <v/>
          </cell>
          <cell r="V773" t="str">
            <v>A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 t="e">
            <v>#DIV/0!</v>
          </cell>
          <cell r="AH773" t="e">
            <v>#DIV/0!</v>
          </cell>
          <cell r="AI773" t="e">
            <v>#DIV/0!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 t="e">
            <v>#N/A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0.9</v>
          </cell>
          <cell r="BH773">
            <v>1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 t="e">
            <v>#DIV/0!</v>
          </cell>
          <cell r="BO773">
            <v>38</v>
          </cell>
          <cell r="BP773">
            <v>0</v>
          </cell>
          <cell r="BQ773" t="e">
            <v>#VALUE!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 t="str">
            <v/>
          </cell>
          <cell r="BX773" t="str">
            <v/>
          </cell>
          <cell r="BY773">
            <v>1.5</v>
          </cell>
          <cell r="BZ773">
            <v>1.1429999999999998</v>
          </cell>
        </row>
        <row r="774">
          <cell r="B774" t="str">
            <v/>
          </cell>
          <cell r="C774">
            <v>0</v>
          </cell>
          <cell r="D774" t="str">
            <v/>
          </cell>
          <cell r="H774" t="str">
            <v/>
          </cell>
          <cell r="I774" t="e">
            <v>#N/A</v>
          </cell>
          <cell r="J774" t="e">
            <v>#N/A</v>
          </cell>
          <cell r="K774" t="e">
            <v>#N/A</v>
          </cell>
          <cell r="M774">
            <v>2.2000000000000002</v>
          </cell>
          <cell r="N774">
            <v>2.2000000000000002</v>
          </cell>
          <cell r="O774">
            <v>2</v>
          </cell>
          <cell r="P774">
            <v>2</v>
          </cell>
          <cell r="Q774">
            <v>0</v>
          </cell>
          <cell r="R774">
            <v>0</v>
          </cell>
          <cell r="S774">
            <v>2.2000000000000002</v>
          </cell>
          <cell r="T774">
            <v>0</v>
          </cell>
          <cell r="U774" t="str">
            <v/>
          </cell>
          <cell r="V774" t="str">
            <v>A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 t="e">
            <v>#DIV/0!</v>
          </cell>
          <cell r="AH774" t="e">
            <v>#DIV/0!</v>
          </cell>
          <cell r="AI774" t="e">
            <v>#DIV/0!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 t="e">
            <v>#N/A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0.9</v>
          </cell>
          <cell r="BH774">
            <v>1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 t="e">
            <v>#DIV/0!</v>
          </cell>
          <cell r="BO774">
            <v>38</v>
          </cell>
          <cell r="BP774">
            <v>0</v>
          </cell>
          <cell r="BQ774" t="e">
            <v>#VALUE!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 t="str">
            <v/>
          </cell>
          <cell r="BX774" t="str">
            <v/>
          </cell>
          <cell r="BY774">
            <v>1.5</v>
          </cell>
          <cell r="BZ774">
            <v>1.1429999999999998</v>
          </cell>
        </row>
        <row r="775">
          <cell r="B775" t="str">
            <v/>
          </cell>
          <cell r="C775">
            <v>0</v>
          </cell>
          <cell r="D775" t="str">
            <v/>
          </cell>
          <cell r="H775" t="str">
            <v/>
          </cell>
          <cell r="I775" t="e">
            <v>#N/A</v>
          </cell>
          <cell r="J775" t="e">
            <v>#N/A</v>
          </cell>
          <cell r="K775" t="e">
            <v>#N/A</v>
          </cell>
          <cell r="M775">
            <v>2.2000000000000002</v>
          </cell>
          <cell r="N775">
            <v>2.2000000000000002</v>
          </cell>
          <cell r="O775">
            <v>2</v>
          </cell>
          <cell r="P775">
            <v>2</v>
          </cell>
          <cell r="Q775">
            <v>0</v>
          </cell>
          <cell r="R775">
            <v>0</v>
          </cell>
          <cell r="S775">
            <v>2.2000000000000002</v>
          </cell>
          <cell r="T775">
            <v>0</v>
          </cell>
          <cell r="U775" t="str">
            <v/>
          </cell>
          <cell r="V775" t="str">
            <v>A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 t="e">
            <v>#DIV/0!</v>
          </cell>
          <cell r="AH775" t="e">
            <v>#DIV/0!</v>
          </cell>
          <cell r="AI775" t="e">
            <v>#DIV/0!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 t="e">
            <v>#N/A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0.9</v>
          </cell>
          <cell r="BH775">
            <v>1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 t="e">
            <v>#DIV/0!</v>
          </cell>
          <cell r="BO775">
            <v>38</v>
          </cell>
          <cell r="BP775">
            <v>0</v>
          </cell>
          <cell r="BQ775" t="e">
            <v>#VALUE!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 t="str">
            <v/>
          </cell>
          <cell r="BX775" t="str">
            <v/>
          </cell>
          <cell r="BY775">
            <v>1.5</v>
          </cell>
          <cell r="BZ775">
            <v>1.1429999999999998</v>
          </cell>
        </row>
        <row r="776">
          <cell r="B776" t="str">
            <v/>
          </cell>
          <cell r="C776">
            <v>0</v>
          </cell>
          <cell r="D776" t="str">
            <v/>
          </cell>
          <cell r="H776" t="str">
            <v/>
          </cell>
          <cell r="I776" t="e">
            <v>#N/A</v>
          </cell>
          <cell r="J776" t="e">
            <v>#N/A</v>
          </cell>
          <cell r="K776" t="e">
            <v>#N/A</v>
          </cell>
          <cell r="M776">
            <v>2.2000000000000002</v>
          </cell>
          <cell r="N776">
            <v>2.2000000000000002</v>
          </cell>
          <cell r="O776">
            <v>2</v>
          </cell>
          <cell r="P776">
            <v>2</v>
          </cell>
          <cell r="Q776">
            <v>0</v>
          </cell>
          <cell r="R776">
            <v>0</v>
          </cell>
          <cell r="S776">
            <v>2.2000000000000002</v>
          </cell>
          <cell r="T776">
            <v>0</v>
          </cell>
          <cell r="U776" t="str">
            <v/>
          </cell>
          <cell r="V776" t="str">
            <v>A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 t="e">
            <v>#DIV/0!</v>
          </cell>
          <cell r="AH776" t="e">
            <v>#DIV/0!</v>
          </cell>
          <cell r="AI776" t="e">
            <v>#DIV/0!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 t="e">
            <v>#N/A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0.9</v>
          </cell>
          <cell r="BH776">
            <v>1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 t="e">
            <v>#DIV/0!</v>
          </cell>
          <cell r="BO776">
            <v>38</v>
          </cell>
          <cell r="BP776">
            <v>0</v>
          </cell>
          <cell r="BQ776" t="e">
            <v>#VALUE!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 t="str">
            <v/>
          </cell>
          <cell r="BX776" t="str">
            <v/>
          </cell>
          <cell r="BY776">
            <v>1.5</v>
          </cell>
          <cell r="BZ776">
            <v>1.1429999999999998</v>
          </cell>
        </row>
        <row r="777">
          <cell r="B777" t="str">
            <v/>
          </cell>
          <cell r="C777">
            <v>0</v>
          </cell>
          <cell r="D777" t="str">
            <v/>
          </cell>
          <cell r="H777" t="str">
            <v/>
          </cell>
          <cell r="I777" t="e">
            <v>#N/A</v>
          </cell>
          <cell r="J777" t="e">
            <v>#N/A</v>
          </cell>
          <cell r="K777" t="e">
            <v>#N/A</v>
          </cell>
          <cell r="M777">
            <v>2.2000000000000002</v>
          </cell>
          <cell r="N777">
            <v>2.2000000000000002</v>
          </cell>
          <cell r="O777">
            <v>2</v>
          </cell>
          <cell r="P777">
            <v>2</v>
          </cell>
          <cell r="Q777">
            <v>0</v>
          </cell>
          <cell r="R777">
            <v>0</v>
          </cell>
          <cell r="S777">
            <v>2.2000000000000002</v>
          </cell>
          <cell r="T777">
            <v>0</v>
          </cell>
          <cell r="U777" t="str">
            <v/>
          </cell>
          <cell r="V777" t="str">
            <v>A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 t="e">
            <v>#DIV/0!</v>
          </cell>
          <cell r="AH777" t="e">
            <v>#DIV/0!</v>
          </cell>
          <cell r="AI777" t="e">
            <v>#DIV/0!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 t="e">
            <v>#N/A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0.9</v>
          </cell>
          <cell r="BH777">
            <v>1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 t="e">
            <v>#DIV/0!</v>
          </cell>
          <cell r="BO777">
            <v>38</v>
          </cell>
          <cell r="BP777">
            <v>0</v>
          </cell>
          <cell r="BQ777" t="e">
            <v>#VALUE!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 t="str">
            <v/>
          </cell>
          <cell r="BX777" t="str">
            <v/>
          </cell>
          <cell r="BY777">
            <v>1.5</v>
          </cell>
          <cell r="BZ777">
            <v>1.1429999999999998</v>
          </cell>
        </row>
        <row r="778">
          <cell r="B778" t="str">
            <v/>
          </cell>
          <cell r="C778">
            <v>0</v>
          </cell>
          <cell r="D778" t="str">
            <v/>
          </cell>
          <cell r="H778" t="str">
            <v/>
          </cell>
          <cell r="I778" t="e">
            <v>#N/A</v>
          </cell>
          <cell r="J778" t="e">
            <v>#N/A</v>
          </cell>
          <cell r="K778" t="e">
            <v>#N/A</v>
          </cell>
          <cell r="M778">
            <v>2.2000000000000002</v>
          </cell>
          <cell r="N778">
            <v>2.2000000000000002</v>
          </cell>
          <cell r="O778">
            <v>2</v>
          </cell>
          <cell r="P778">
            <v>2</v>
          </cell>
          <cell r="Q778">
            <v>0</v>
          </cell>
          <cell r="R778">
            <v>0</v>
          </cell>
          <cell r="S778">
            <v>2.2000000000000002</v>
          </cell>
          <cell r="T778">
            <v>0</v>
          </cell>
          <cell r="U778" t="str">
            <v/>
          </cell>
          <cell r="V778" t="str">
            <v>A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 t="e">
            <v>#DIV/0!</v>
          </cell>
          <cell r="AH778" t="e">
            <v>#DIV/0!</v>
          </cell>
          <cell r="AI778" t="e">
            <v>#DIV/0!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 t="e">
            <v>#N/A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0.9</v>
          </cell>
          <cell r="BH778">
            <v>1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 t="e">
            <v>#DIV/0!</v>
          </cell>
          <cell r="BO778">
            <v>38</v>
          </cell>
          <cell r="BP778">
            <v>0</v>
          </cell>
          <cell r="BQ778" t="e">
            <v>#VALUE!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 t="str">
            <v/>
          </cell>
          <cell r="BX778" t="str">
            <v/>
          </cell>
          <cell r="BY778">
            <v>1.5</v>
          </cell>
          <cell r="BZ778">
            <v>1.1429999999999998</v>
          </cell>
        </row>
        <row r="779">
          <cell r="B779" t="str">
            <v/>
          </cell>
          <cell r="C779">
            <v>0</v>
          </cell>
          <cell r="D779" t="str">
            <v/>
          </cell>
          <cell r="H779" t="str">
            <v/>
          </cell>
          <cell r="I779" t="e">
            <v>#N/A</v>
          </cell>
          <cell r="J779" t="e">
            <v>#N/A</v>
          </cell>
          <cell r="K779" t="e">
            <v>#N/A</v>
          </cell>
          <cell r="M779">
            <v>2.2000000000000002</v>
          </cell>
          <cell r="N779">
            <v>2.2000000000000002</v>
          </cell>
          <cell r="O779">
            <v>2</v>
          </cell>
          <cell r="P779">
            <v>2</v>
          </cell>
          <cell r="Q779">
            <v>0</v>
          </cell>
          <cell r="R779">
            <v>0</v>
          </cell>
          <cell r="S779">
            <v>2.2000000000000002</v>
          </cell>
          <cell r="T779">
            <v>0</v>
          </cell>
          <cell r="U779" t="str">
            <v/>
          </cell>
          <cell r="V779" t="str">
            <v>A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 t="e">
            <v>#DIV/0!</v>
          </cell>
          <cell r="AH779" t="e">
            <v>#DIV/0!</v>
          </cell>
          <cell r="AI779" t="e">
            <v>#DIV/0!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 t="e">
            <v>#N/A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0.9</v>
          </cell>
          <cell r="BH779">
            <v>1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 t="e">
            <v>#DIV/0!</v>
          </cell>
          <cell r="BO779">
            <v>38</v>
          </cell>
          <cell r="BP779">
            <v>0</v>
          </cell>
          <cell r="BQ779" t="e">
            <v>#VALUE!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 t="str">
            <v/>
          </cell>
          <cell r="BX779" t="str">
            <v/>
          </cell>
          <cell r="BY779">
            <v>1.5</v>
          </cell>
          <cell r="BZ779">
            <v>1.1429999999999998</v>
          </cell>
        </row>
        <row r="780">
          <cell r="B780" t="str">
            <v/>
          </cell>
          <cell r="C780">
            <v>0</v>
          </cell>
          <cell r="D780" t="str">
            <v/>
          </cell>
          <cell r="H780" t="str">
            <v/>
          </cell>
          <cell r="I780" t="e">
            <v>#N/A</v>
          </cell>
          <cell r="J780" t="e">
            <v>#N/A</v>
          </cell>
          <cell r="K780" t="e">
            <v>#N/A</v>
          </cell>
          <cell r="M780">
            <v>2.2000000000000002</v>
          </cell>
          <cell r="N780">
            <v>2.2000000000000002</v>
          </cell>
          <cell r="O780">
            <v>2</v>
          </cell>
          <cell r="P780">
            <v>2</v>
          </cell>
          <cell r="Q780">
            <v>0</v>
          </cell>
          <cell r="R780">
            <v>0</v>
          </cell>
          <cell r="S780">
            <v>2.2000000000000002</v>
          </cell>
          <cell r="T780">
            <v>0</v>
          </cell>
          <cell r="U780" t="str">
            <v/>
          </cell>
          <cell r="V780" t="str">
            <v>A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 t="e">
            <v>#DIV/0!</v>
          </cell>
          <cell r="AH780" t="e">
            <v>#DIV/0!</v>
          </cell>
          <cell r="AI780" t="e">
            <v>#DIV/0!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 t="e">
            <v>#N/A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0.9</v>
          </cell>
          <cell r="BH780">
            <v>1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 t="e">
            <v>#DIV/0!</v>
          </cell>
          <cell r="BO780">
            <v>38</v>
          </cell>
          <cell r="BP780">
            <v>0</v>
          </cell>
          <cell r="BQ780" t="e">
            <v>#VALUE!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 t="str">
            <v/>
          </cell>
          <cell r="BX780" t="str">
            <v/>
          </cell>
          <cell r="BY780">
            <v>1.5</v>
          </cell>
          <cell r="BZ780">
            <v>1.1429999999999998</v>
          </cell>
        </row>
        <row r="781">
          <cell r="B781" t="str">
            <v/>
          </cell>
          <cell r="C781">
            <v>0</v>
          </cell>
          <cell r="D781" t="str">
            <v/>
          </cell>
          <cell r="H781" t="str">
            <v/>
          </cell>
          <cell r="I781" t="e">
            <v>#N/A</v>
          </cell>
          <cell r="J781" t="e">
            <v>#N/A</v>
          </cell>
          <cell r="K781" t="e">
            <v>#N/A</v>
          </cell>
          <cell r="M781">
            <v>2.2000000000000002</v>
          </cell>
          <cell r="N781">
            <v>2.2000000000000002</v>
          </cell>
          <cell r="O781">
            <v>2</v>
          </cell>
          <cell r="P781">
            <v>2</v>
          </cell>
          <cell r="Q781">
            <v>0</v>
          </cell>
          <cell r="R781">
            <v>0</v>
          </cell>
          <cell r="S781">
            <v>2.2000000000000002</v>
          </cell>
          <cell r="T781">
            <v>0</v>
          </cell>
          <cell r="U781" t="str">
            <v/>
          </cell>
          <cell r="V781" t="str">
            <v>A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 t="e">
            <v>#DIV/0!</v>
          </cell>
          <cell r="AH781" t="e">
            <v>#DIV/0!</v>
          </cell>
          <cell r="AI781" t="e">
            <v>#DIV/0!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 t="e">
            <v>#N/A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0.9</v>
          </cell>
          <cell r="BH781">
            <v>1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 t="e">
            <v>#DIV/0!</v>
          </cell>
          <cell r="BO781">
            <v>38</v>
          </cell>
          <cell r="BP781">
            <v>0</v>
          </cell>
          <cell r="BQ781" t="e">
            <v>#VALUE!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 t="str">
            <v/>
          </cell>
          <cell r="BX781" t="str">
            <v/>
          </cell>
          <cell r="BY781">
            <v>1.5</v>
          </cell>
          <cell r="BZ781">
            <v>1.1429999999999998</v>
          </cell>
        </row>
        <row r="782">
          <cell r="B782" t="str">
            <v/>
          </cell>
          <cell r="C782">
            <v>0</v>
          </cell>
          <cell r="D782" t="str">
            <v/>
          </cell>
          <cell r="H782" t="str">
            <v/>
          </cell>
          <cell r="I782" t="e">
            <v>#N/A</v>
          </cell>
          <cell r="J782" t="e">
            <v>#N/A</v>
          </cell>
          <cell r="K782" t="e">
            <v>#N/A</v>
          </cell>
          <cell r="M782">
            <v>2.2000000000000002</v>
          </cell>
          <cell r="N782">
            <v>2.2000000000000002</v>
          </cell>
          <cell r="O782">
            <v>2</v>
          </cell>
          <cell r="P782">
            <v>2</v>
          </cell>
          <cell r="Q782">
            <v>0</v>
          </cell>
          <cell r="R782">
            <v>0</v>
          </cell>
          <cell r="S782">
            <v>2.2000000000000002</v>
          </cell>
          <cell r="T782">
            <v>0</v>
          </cell>
          <cell r="U782" t="str">
            <v/>
          </cell>
          <cell r="V782" t="str">
            <v>A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 t="e">
            <v>#DIV/0!</v>
          </cell>
          <cell r="AH782" t="e">
            <v>#DIV/0!</v>
          </cell>
          <cell r="AI782" t="e">
            <v>#DIV/0!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 t="e">
            <v>#N/A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0.9</v>
          </cell>
          <cell r="BH782">
            <v>1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 t="e">
            <v>#DIV/0!</v>
          </cell>
          <cell r="BO782">
            <v>38</v>
          </cell>
          <cell r="BP782">
            <v>0</v>
          </cell>
          <cell r="BQ782" t="e">
            <v>#VALUE!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 t="str">
            <v/>
          </cell>
          <cell r="BX782" t="str">
            <v/>
          </cell>
          <cell r="BY782">
            <v>1.5</v>
          </cell>
          <cell r="BZ782">
            <v>1.1429999999999998</v>
          </cell>
        </row>
        <row r="783">
          <cell r="B783" t="str">
            <v/>
          </cell>
          <cell r="C783">
            <v>0</v>
          </cell>
          <cell r="D783" t="str">
            <v/>
          </cell>
          <cell r="H783" t="str">
            <v/>
          </cell>
          <cell r="I783" t="e">
            <v>#N/A</v>
          </cell>
          <cell r="J783" t="e">
            <v>#N/A</v>
          </cell>
          <cell r="K783" t="e">
            <v>#N/A</v>
          </cell>
          <cell r="M783">
            <v>2.2000000000000002</v>
          </cell>
          <cell r="N783">
            <v>2.2000000000000002</v>
          </cell>
          <cell r="O783">
            <v>2</v>
          </cell>
          <cell r="P783">
            <v>2</v>
          </cell>
          <cell r="Q783">
            <v>0</v>
          </cell>
          <cell r="R783">
            <v>0</v>
          </cell>
          <cell r="S783">
            <v>2.2000000000000002</v>
          </cell>
          <cell r="T783">
            <v>0</v>
          </cell>
          <cell r="U783" t="str">
            <v/>
          </cell>
          <cell r="V783" t="str">
            <v>A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 t="e">
            <v>#DIV/0!</v>
          </cell>
          <cell r="AH783" t="e">
            <v>#DIV/0!</v>
          </cell>
          <cell r="AI783" t="e">
            <v>#DIV/0!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 t="e">
            <v>#N/A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0.9</v>
          </cell>
          <cell r="BH783">
            <v>1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 t="e">
            <v>#DIV/0!</v>
          </cell>
          <cell r="BO783">
            <v>38</v>
          </cell>
          <cell r="BP783">
            <v>0</v>
          </cell>
          <cell r="BQ783" t="e">
            <v>#VALUE!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 t="str">
            <v/>
          </cell>
          <cell r="BX783" t="str">
            <v/>
          </cell>
          <cell r="BY783">
            <v>1.5</v>
          </cell>
          <cell r="BZ783">
            <v>1.1429999999999998</v>
          </cell>
        </row>
        <row r="784">
          <cell r="B784" t="str">
            <v/>
          </cell>
          <cell r="C784">
            <v>0</v>
          </cell>
          <cell r="D784" t="str">
            <v/>
          </cell>
          <cell r="H784" t="str">
            <v/>
          </cell>
          <cell r="I784" t="e">
            <v>#N/A</v>
          </cell>
          <cell r="J784" t="e">
            <v>#N/A</v>
          </cell>
          <cell r="K784" t="e">
            <v>#N/A</v>
          </cell>
          <cell r="M784">
            <v>2.2000000000000002</v>
          </cell>
          <cell r="N784">
            <v>2.2000000000000002</v>
          </cell>
          <cell r="O784">
            <v>2</v>
          </cell>
          <cell r="P784">
            <v>2</v>
          </cell>
          <cell r="Q784">
            <v>0</v>
          </cell>
          <cell r="R784">
            <v>0</v>
          </cell>
          <cell r="S784">
            <v>2.2000000000000002</v>
          </cell>
          <cell r="T784">
            <v>0</v>
          </cell>
          <cell r="U784" t="str">
            <v/>
          </cell>
          <cell r="V784" t="str">
            <v>A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 t="e">
            <v>#DIV/0!</v>
          </cell>
          <cell r="AH784" t="e">
            <v>#DIV/0!</v>
          </cell>
          <cell r="AI784" t="e">
            <v>#DIV/0!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 t="e">
            <v>#N/A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0.9</v>
          </cell>
          <cell r="BH784">
            <v>1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 t="e">
            <v>#DIV/0!</v>
          </cell>
          <cell r="BO784">
            <v>38</v>
          </cell>
          <cell r="BP784">
            <v>0</v>
          </cell>
          <cell r="BQ784" t="e">
            <v>#VALUE!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 t="str">
            <v/>
          </cell>
          <cell r="BX784" t="str">
            <v/>
          </cell>
          <cell r="BY784">
            <v>1.5</v>
          </cell>
          <cell r="BZ784">
            <v>1.1429999999999998</v>
          </cell>
        </row>
        <row r="785">
          <cell r="B785" t="str">
            <v/>
          </cell>
          <cell r="C785">
            <v>0</v>
          </cell>
          <cell r="D785" t="str">
            <v/>
          </cell>
          <cell r="H785" t="str">
            <v/>
          </cell>
          <cell r="I785" t="e">
            <v>#N/A</v>
          </cell>
          <cell r="J785" t="e">
            <v>#N/A</v>
          </cell>
          <cell r="K785" t="e">
            <v>#N/A</v>
          </cell>
          <cell r="M785">
            <v>2.2000000000000002</v>
          </cell>
          <cell r="N785">
            <v>2.2000000000000002</v>
          </cell>
          <cell r="O785">
            <v>2</v>
          </cell>
          <cell r="P785">
            <v>2</v>
          </cell>
          <cell r="Q785">
            <v>0</v>
          </cell>
          <cell r="R785">
            <v>0</v>
          </cell>
          <cell r="S785">
            <v>2.2000000000000002</v>
          </cell>
          <cell r="T785">
            <v>0</v>
          </cell>
          <cell r="U785" t="str">
            <v/>
          </cell>
          <cell r="V785" t="str">
            <v>A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 t="e">
            <v>#DIV/0!</v>
          </cell>
          <cell r="AH785" t="e">
            <v>#DIV/0!</v>
          </cell>
          <cell r="AI785" t="e">
            <v>#DIV/0!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 t="e">
            <v>#N/A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0.9</v>
          </cell>
          <cell r="BH785">
            <v>1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 t="e">
            <v>#DIV/0!</v>
          </cell>
          <cell r="BO785">
            <v>38</v>
          </cell>
          <cell r="BP785">
            <v>0</v>
          </cell>
          <cell r="BQ785" t="e">
            <v>#VALUE!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 t="str">
            <v/>
          </cell>
          <cell r="BX785" t="str">
            <v/>
          </cell>
          <cell r="BY785">
            <v>1.5</v>
          </cell>
          <cell r="BZ785">
            <v>1.1429999999999998</v>
          </cell>
        </row>
        <row r="786">
          <cell r="B786" t="str">
            <v/>
          </cell>
          <cell r="C786">
            <v>0</v>
          </cell>
          <cell r="D786" t="str">
            <v/>
          </cell>
          <cell r="H786" t="str">
            <v/>
          </cell>
          <cell r="I786" t="e">
            <v>#N/A</v>
          </cell>
          <cell r="J786" t="e">
            <v>#N/A</v>
          </cell>
          <cell r="K786" t="e">
            <v>#N/A</v>
          </cell>
          <cell r="M786">
            <v>2.2000000000000002</v>
          </cell>
          <cell r="N786">
            <v>2.2000000000000002</v>
          </cell>
          <cell r="O786">
            <v>2</v>
          </cell>
          <cell r="P786">
            <v>2</v>
          </cell>
          <cell r="Q786">
            <v>0</v>
          </cell>
          <cell r="R786">
            <v>0</v>
          </cell>
          <cell r="S786">
            <v>2.2000000000000002</v>
          </cell>
          <cell r="T786">
            <v>0</v>
          </cell>
          <cell r="U786" t="str">
            <v/>
          </cell>
          <cell r="V786" t="str">
            <v>A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 t="e">
            <v>#DIV/0!</v>
          </cell>
          <cell r="AH786" t="e">
            <v>#DIV/0!</v>
          </cell>
          <cell r="AI786" t="e">
            <v>#DIV/0!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 t="e">
            <v>#N/A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0.9</v>
          </cell>
          <cell r="BH786">
            <v>1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 t="e">
            <v>#DIV/0!</v>
          </cell>
          <cell r="BO786">
            <v>38</v>
          </cell>
          <cell r="BP786">
            <v>0</v>
          </cell>
          <cell r="BQ786" t="e">
            <v>#VALUE!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 t="str">
            <v/>
          </cell>
          <cell r="BX786" t="str">
            <v/>
          </cell>
          <cell r="BY786">
            <v>1.5</v>
          </cell>
          <cell r="BZ786">
            <v>1.1429999999999998</v>
          </cell>
        </row>
        <row r="787">
          <cell r="B787" t="str">
            <v/>
          </cell>
          <cell r="C787">
            <v>0</v>
          </cell>
          <cell r="D787" t="str">
            <v/>
          </cell>
          <cell r="H787" t="str">
            <v/>
          </cell>
          <cell r="I787" t="e">
            <v>#N/A</v>
          </cell>
          <cell r="J787" t="e">
            <v>#N/A</v>
          </cell>
          <cell r="K787" t="e">
            <v>#N/A</v>
          </cell>
          <cell r="M787">
            <v>2.2000000000000002</v>
          </cell>
          <cell r="N787">
            <v>2.2000000000000002</v>
          </cell>
          <cell r="O787">
            <v>2</v>
          </cell>
          <cell r="P787">
            <v>2</v>
          </cell>
          <cell r="Q787">
            <v>0</v>
          </cell>
          <cell r="R787">
            <v>0</v>
          </cell>
          <cell r="S787">
            <v>2.2000000000000002</v>
          </cell>
          <cell r="T787">
            <v>0</v>
          </cell>
          <cell r="U787" t="str">
            <v/>
          </cell>
          <cell r="V787" t="str">
            <v>A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 t="e">
            <v>#DIV/0!</v>
          </cell>
          <cell r="AH787" t="e">
            <v>#DIV/0!</v>
          </cell>
          <cell r="AI787" t="e">
            <v>#DIV/0!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 t="e">
            <v>#N/A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0.9</v>
          </cell>
          <cell r="BH787">
            <v>1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 t="e">
            <v>#DIV/0!</v>
          </cell>
          <cell r="BO787">
            <v>38</v>
          </cell>
          <cell r="BP787">
            <v>0</v>
          </cell>
          <cell r="BQ787" t="e">
            <v>#VALUE!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 t="str">
            <v/>
          </cell>
          <cell r="BX787" t="str">
            <v/>
          </cell>
          <cell r="BY787">
            <v>1.5</v>
          </cell>
          <cell r="BZ787">
            <v>1.1429999999999998</v>
          </cell>
        </row>
        <row r="788">
          <cell r="B788" t="str">
            <v/>
          </cell>
          <cell r="C788">
            <v>0</v>
          </cell>
          <cell r="D788" t="str">
            <v/>
          </cell>
          <cell r="H788" t="str">
            <v/>
          </cell>
          <cell r="I788" t="e">
            <v>#N/A</v>
          </cell>
          <cell r="J788" t="e">
            <v>#N/A</v>
          </cell>
          <cell r="K788" t="e">
            <v>#N/A</v>
          </cell>
          <cell r="M788">
            <v>2.2000000000000002</v>
          </cell>
          <cell r="N788">
            <v>2.2000000000000002</v>
          </cell>
          <cell r="O788">
            <v>2</v>
          </cell>
          <cell r="P788">
            <v>2</v>
          </cell>
          <cell r="Q788">
            <v>0</v>
          </cell>
          <cell r="R788">
            <v>0</v>
          </cell>
          <cell r="S788">
            <v>2.2000000000000002</v>
          </cell>
          <cell r="T788">
            <v>0</v>
          </cell>
          <cell r="U788" t="str">
            <v/>
          </cell>
          <cell r="V788" t="str">
            <v>A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 t="e">
            <v>#DIV/0!</v>
          </cell>
          <cell r="AH788" t="e">
            <v>#DIV/0!</v>
          </cell>
          <cell r="AI788" t="e">
            <v>#DIV/0!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 t="e">
            <v>#N/A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0.9</v>
          </cell>
          <cell r="BH788">
            <v>1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 t="e">
            <v>#DIV/0!</v>
          </cell>
          <cell r="BO788">
            <v>38</v>
          </cell>
          <cell r="BP788">
            <v>0</v>
          </cell>
          <cell r="BQ788" t="e">
            <v>#VALUE!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 t="str">
            <v/>
          </cell>
          <cell r="BX788" t="str">
            <v/>
          </cell>
          <cell r="BY788">
            <v>1.5</v>
          </cell>
          <cell r="BZ788">
            <v>1.1429999999999998</v>
          </cell>
        </row>
        <row r="789">
          <cell r="B789" t="str">
            <v/>
          </cell>
          <cell r="C789">
            <v>0</v>
          </cell>
          <cell r="D789" t="str">
            <v/>
          </cell>
          <cell r="H789" t="str">
            <v/>
          </cell>
          <cell r="I789" t="e">
            <v>#N/A</v>
          </cell>
          <cell r="J789" t="e">
            <v>#N/A</v>
          </cell>
          <cell r="K789" t="e">
            <v>#N/A</v>
          </cell>
          <cell r="M789">
            <v>2.2000000000000002</v>
          </cell>
          <cell r="N789">
            <v>2.2000000000000002</v>
          </cell>
          <cell r="O789">
            <v>2</v>
          </cell>
          <cell r="P789">
            <v>2</v>
          </cell>
          <cell r="Q789">
            <v>0</v>
          </cell>
          <cell r="R789">
            <v>0</v>
          </cell>
          <cell r="S789">
            <v>2.2000000000000002</v>
          </cell>
          <cell r="T789">
            <v>0</v>
          </cell>
          <cell r="U789" t="str">
            <v/>
          </cell>
          <cell r="V789" t="str">
            <v>A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 t="e">
            <v>#DIV/0!</v>
          </cell>
          <cell r="AH789" t="e">
            <v>#DIV/0!</v>
          </cell>
          <cell r="AI789" t="e">
            <v>#DIV/0!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 t="e">
            <v>#N/A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0.9</v>
          </cell>
          <cell r="BH789">
            <v>1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 t="e">
            <v>#DIV/0!</v>
          </cell>
          <cell r="BO789">
            <v>38</v>
          </cell>
          <cell r="BP789">
            <v>0</v>
          </cell>
          <cell r="BQ789" t="e">
            <v>#VALUE!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 t="str">
            <v/>
          </cell>
          <cell r="BX789" t="str">
            <v/>
          </cell>
          <cell r="BY789">
            <v>1.5</v>
          </cell>
          <cell r="BZ789">
            <v>1.1429999999999998</v>
          </cell>
        </row>
        <row r="790">
          <cell r="B790" t="str">
            <v/>
          </cell>
          <cell r="C790">
            <v>0</v>
          </cell>
          <cell r="D790" t="str">
            <v/>
          </cell>
          <cell r="H790" t="str">
            <v/>
          </cell>
          <cell r="I790" t="e">
            <v>#N/A</v>
          </cell>
          <cell r="J790" t="e">
            <v>#N/A</v>
          </cell>
          <cell r="K790" t="e">
            <v>#N/A</v>
          </cell>
          <cell r="M790">
            <v>2.2000000000000002</v>
          </cell>
          <cell r="N790">
            <v>2.2000000000000002</v>
          </cell>
          <cell r="O790">
            <v>2</v>
          </cell>
          <cell r="P790">
            <v>2</v>
          </cell>
          <cell r="Q790">
            <v>0</v>
          </cell>
          <cell r="R790">
            <v>0</v>
          </cell>
          <cell r="S790">
            <v>2.2000000000000002</v>
          </cell>
          <cell r="T790">
            <v>0</v>
          </cell>
          <cell r="U790" t="str">
            <v/>
          </cell>
          <cell r="V790" t="str">
            <v>A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 t="e">
            <v>#DIV/0!</v>
          </cell>
          <cell r="AH790" t="e">
            <v>#DIV/0!</v>
          </cell>
          <cell r="AI790" t="e">
            <v>#DIV/0!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 t="e">
            <v>#N/A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0.9</v>
          </cell>
          <cell r="BH790">
            <v>1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 t="e">
            <v>#DIV/0!</v>
          </cell>
          <cell r="BO790">
            <v>38</v>
          </cell>
          <cell r="BP790">
            <v>0</v>
          </cell>
          <cell r="BQ790" t="e">
            <v>#VALUE!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 t="str">
            <v/>
          </cell>
          <cell r="BX790" t="str">
            <v/>
          </cell>
          <cell r="BY790">
            <v>1.5</v>
          </cell>
          <cell r="BZ790">
            <v>1.1429999999999998</v>
          </cell>
        </row>
        <row r="791">
          <cell r="B791" t="str">
            <v/>
          </cell>
          <cell r="C791">
            <v>0</v>
          </cell>
          <cell r="D791" t="str">
            <v/>
          </cell>
          <cell r="H791" t="str">
            <v/>
          </cell>
          <cell r="I791" t="e">
            <v>#N/A</v>
          </cell>
          <cell r="J791" t="e">
            <v>#N/A</v>
          </cell>
          <cell r="K791" t="e">
            <v>#N/A</v>
          </cell>
          <cell r="M791">
            <v>2.2000000000000002</v>
          </cell>
          <cell r="N791">
            <v>2.2000000000000002</v>
          </cell>
          <cell r="O791">
            <v>2</v>
          </cell>
          <cell r="P791">
            <v>2</v>
          </cell>
          <cell r="Q791">
            <v>0</v>
          </cell>
          <cell r="R791">
            <v>0</v>
          </cell>
          <cell r="S791">
            <v>2.2000000000000002</v>
          </cell>
          <cell r="T791">
            <v>0</v>
          </cell>
          <cell r="U791" t="str">
            <v/>
          </cell>
          <cell r="V791" t="str">
            <v>A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 t="e">
            <v>#DIV/0!</v>
          </cell>
          <cell r="AH791" t="e">
            <v>#DIV/0!</v>
          </cell>
          <cell r="AI791" t="e">
            <v>#DIV/0!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 t="e">
            <v>#N/A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0.9</v>
          </cell>
          <cell r="BH791">
            <v>1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 t="e">
            <v>#DIV/0!</v>
          </cell>
          <cell r="BO791">
            <v>38</v>
          </cell>
          <cell r="BP791">
            <v>0</v>
          </cell>
          <cell r="BQ791" t="e">
            <v>#VALUE!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 t="str">
            <v/>
          </cell>
          <cell r="BX791" t="str">
            <v/>
          </cell>
          <cell r="BY791">
            <v>1.5</v>
          </cell>
          <cell r="BZ791">
            <v>1.1429999999999998</v>
          </cell>
        </row>
        <row r="792">
          <cell r="B792" t="str">
            <v/>
          </cell>
          <cell r="C792">
            <v>0</v>
          </cell>
          <cell r="D792" t="str">
            <v/>
          </cell>
          <cell r="H792" t="str">
            <v/>
          </cell>
          <cell r="I792" t="e">
            <v>#N/A</v>
          </cell>
          <cell r="J792" t="e">
            <v>#N/A</v>
          </cell>
          <cell r="K792" t="e">
            <v>#N/A</v>
          </cell>
          <cell r="M792">
            <v>2.2000000000000002</v>
          </cell>
          <cell r="N792">
            <v>2.2000000000000002</v>
          </cell>
          <cell r="O792">
            <v>2</v>
          </cell>
          <cell r="P792">
            <v>2</v>
          </cell>
          <cell r="Q792">
            <v>0</v>
          </cell>
          <cell r="R792">
            <v>0</v>
          </cell>
          <cell r="S792">
            <v>2.2000000000000002</v>
          </cell>
          <cell r="T792">
            <v>0</v>
          </cell>
          <cell r="U792" t="str">
            <v/>
          </cell>
          <cell r="V792" t="str">
            <v>A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 t="e">
            <v>#DIV/0!</v>
          </cell>
          <cell r="AH792" t="e">
            <v>#DIV/0!</v>
          </cell>
          <cell r="AI792" t="e">
            <v>#DIV/0!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 t="e">
            <v>#N/A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0.9</v>
          </cell>
          <cell r="BH792">
            <v>1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 t="e">
            <v>#DIV/0!</v>
          </cell>
          <cell r="BO792">
            <v>38</v>
          </cell>
          <cell r="BP792">
            <v>0</v>
          </cell>
          <cell r="BQ792" t="e">
            <v>#VALUE!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 t="str">
            <v/>
          </cell>
          <cell r="BX792" t="str">
            <v/>
          </cell>
          <cell r="BY792">
            <v>1.5</v>
          </cell>
          <cell r="BZ792">
            <v>1.1429999999999998</v>
          </cell>
        </row>
        <row r="793">
          <cell r="B793" t="str">
            <v/>
          </cell>
          <cell r="C793">
            <v>0</v>
          </cell>
          <cell r="D793" t="str">
            <v/>
          </cell>
          <cell r="H793" t="str">
            <v/>
          </cell>
          <cell r="I793" t="e">
            <v>#N/A</v>
          </cell>
          <cell r="J793" t="e">
            <v>#N/A</v>
          </cell>
          <cell r="K793" t="e">
            <v>#N/A</v>
          </cell>
          <cell r="M793">
            <v>2.2000000000000002</v>
          </cell>
          <cell r="N793">
            <v>2.2000000000000002</v>
          </cell>
          <cell r="O793">
            <v>2</v>
          </cell>
          <cell r="P793">
            <v>2</v>
          </cell>
          <cell r="Q793">
            <v>0</v>
          </cell>
          <cell r="R793">
            <v>0</v>
          </cell>
          <cell r="S793">
            <v>2.2000000000000002</v>
          </cell>
          <cell r="T793">
            <v>0</v>
          </cell>
          <cell r="U793" t="str">
            <v/>
          </cell>
          <cell r="V793" t="str">
            <v>A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 t="e">
            <v>#DIV/0!</v>
          </cell>
          <cell r="AH793" t="e">
            <v>#DIV/0!</v>
          </cell>
          <cell r="AI793" t="e">
            <v>#DIV/0!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 t="e">
            <v>#N/A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0.9</v>
          </cell>
          <cell r="BH793">
            <v>1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 t="e">
            <v>#DIV/0!</v>
          </cell>
          <cell r="BO793">
            <v>38</v>
          </cell>
          <cell r="BP793">
            <v>0</v>
          </cell>
          <cell r="BQ793" t="e">
            <v>#VALUE!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 t="str">
            <v/>
          </cell>
          <cell r="BX793" t="str">
            <v/>
          </cell>
          <cell r="BY793">
            <v>1.5</v>
          </cell>
          <cell r="BZ793">
            <v>1.1429999999999998</v>
          </cell>
        </row>
        <row r="794">
          <cell r="B794" t="str">
            <v/>
          </cell>
          <cell r="C794">
            <v>0</v>
          </cell>
          <cell r="D794" t="str">
            <v/>
          </cell>
          <cell r="H794" t="str">
            <v/>
          </cell>
          <cell r="I794" t="e">
            <v>#N/A</v>
          </cell>
          <cell r="J794" t="e">
            <v>#N/A</v>
          </cell>
          <cell r="K794" t="e">
            <v>#N/A</v>
          </cell>
          <cell r="M794">
            <v>2.2000000000000002</v>
          </cell>
          <cell r="N794">
            <v>2.2000000000000002</v>
          </cell>
          <cell r="O794">
            <v>2</v>
          </cell>
          <cell r="P794">
            <v>2</v>
          </cell>
          <cell r="Q794">
            <v>0</v>
          </cell>
          <cell r="R794">
            <v>0</v>
          </cell>
          <cell r="S794">
            <v>2.2000000000000002</v>
          </cell>
          <cell r="T794">
            <v>0</v>
          </cell>
          <cell r="U794" t="str">
            <v/>
          </cell>
          <cell r="V794" t="str">
            <v>A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 t="e">
            <v>#DIV/0!</v>
          </cell>
          <cell r="AH794" t="e">
            <v>#DIV/0!</v>
          </cell>
          <cell r="AI794" t="e">
            <v>#DIV/0!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 t="e">
            <v>#N/A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0.9</v>
          </cell>
          <cell r="BH794">
            <v>1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 t="e">
            <v>#DIV/0!</v>
          </cell>
          <cell r="BO794">
            <v>38</v>
          </cell>
          <cell r="BP794">
            <v>0</v>
          </cell>
          <cell r="BQ794" t="e">
            <v>#VALUE!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 t="str">
            <v/>
          </cell>
          <cell r="BX794" t="str">
            <v/>
          </cell>
          <cell r="BY794">
            <v>1.5</v>
          </cell>
          <cell r="BZ794">
            <v>1.1429999999999998</v>
          </cell>
        </row>
        <row r="795">
          <cell r="B795" t="str">
            <v/>
          </cell>
          <cell r="C795">
            <v>0</v>
          </cell>
          <cell r="D795" t="str">
            <v/>
          </cell>
          <cell r="H795" t="str">
            <v/>
          </cell>
          <cell r="I795" t="e">
            <v>#N/A</v>
          </cell>
          <cell r="J795" t="e">
            <v>#N/A</v>
          </cell>
          <cell r="K795" t="e">
            <v>#N/A</v>
          </cell>
          <cell r="M795">
            <v>2.2000000000000002</v>
          </cell>
          <cell r="N795">
            <v>2.2000000000000002</v>
          </cell>
          <cell r="O795">
            <v>2</v>
          </cell>
          <cell r="P795">
            <v>2</v>
          </cell>
          <cell r="Q795">
            <v>0</v>
          </cell>
          <cell r="R795">
            <v>0</v>
          </cell>
          <cell r="S795">
            <v>2.2000000000000002</v>
          </cell>
          <cell r="T795">
            <v>0</v>
          </cell>
          <cell r="U795" t="str">
            <v/>
          </cell>
          <cell r="V795" t="str">
            <v>A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 t="e">
            <v>#DIV/0!</v>
          </cell>
          <cell r="AH795" t="e">
            <v>#DIV/0!</v>
          </cell>
          <cell r="AI795" t="e">
            <v>#DIV/0!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 t="e">
            <v>#N/A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0.9</v>
          </cell>
          <cell r="BH795">
            <v>1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 t="e">
            <v>#DIV/0!</v>
          </cell>
          <cell r="BO795">
            <v>38</v>
          </cell>
          <cell r="BP795">
            <v>0</v>
          </cell>
          <cell r="BQ795" t="e">
            <v>#VALUE!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 t="str">
            <v/>
          </cell>
          <cell r="BX795" t="str">
            <v/>
          </cell>
          <cell r="BY795">
            <v>1.5</v>
          </cell>
          <cell r="BZ795">
            <v>1.1429999999999998</v>
          </cell>
        </row>
        <row r="796">
          <cell r="B796" t="str">
            <v/>
          </cell>
          <cell r="C796">
            <v>0</v>
          </cell>
          <cell r="D796" t="str">
            <v/>
          </cell>
          <cell r="H796" t="str">
            <v/>
          </cell>
          <cell r="I796" t="e">
            <v>#N/A</v>
          </cell>
          <cell r="J796" t="e">
            <v>#N/A</v>
          </cell>
          <cell r="K796" t="e">
            <v>#N/A</v>
          </cell>
          <cell r="M796">
            <v>2.2000000000000002</v>
          </cell>
          <cell r="N796">
            <v>2.2000000000000002</v>
          </cell>
          <cell r="O796">
            <v>2</v>
          </cell>
          <cell r="P796">
            <v>2</v>
          </cell>
          <cell r="Q796">
            <v>0</v>
          </cell>
          <cell r="R796">
            <v>0</v>
          </cell>
          <cell r="S796">
            <v>2.2000000000000002</v>
          </cell>
          <cell r="T796">
            <v>0</v>
          </cell>
          <cell r="U796" t="str">
            <v/>
          </cell>
          <cell r="V796" t="str">
            <v>A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 t="e">
            <v>#DIV/0!</v>
          </cell>
          <cell r="AH796" t="e">
            <v>#DIV/0!</v>
          </cell>
          <cell r="AI796" t="e">
            <v>#DIV/0!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 t="e">
            <v>#N/A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0.9</v>
          </cell>
          <cell r="BH796">
            <v>1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 t="e">
            <v>#DIV/0!</v>
          </cell>
          <cell r="BO796">
            <v>38</v>
          </cell>
          <cell r="BP796">
            <v>0</v>
          </cell>
          <cell r="BQ796" t="e">
            <v>#VALUE!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 t="str">
            <v/>
          </cell>
          <cell r="BX796" t="str">
            <v/>
          </cell>
          <cell r="BY796">
            <v>1.5</v>
          </cell>
          <cell r="BZ796">
            <v>1.1429999999999998</v>
          </cell>
        </row>
        <row r="797">
          <cell r="B797" t="str">
            <v/>
          </cell>
          <cell r="C797">
            <v>0</v>
          </cell>
          <cell r="D797" t="str">
            <v/>
          </cell>
          <cell r="H797" t="str">
            <v/>
          </cell>
          <cell r="I797" t="e">
            <v>#N/A</v>
          </cell>
          <cell r="J797" t="e">
            <v>#N/A</v>
          </cell>
          <cell r="K797" t="e">
            <v>#N/A</v>
          </cell>
          <cell r="M797">
            <v>2.2000000000000002</v>
          </cell>
          <cell r="N797">
            <v>2.2000000000000002</v>
          </cell>
          <cell r="O797">
            <v>2</v>
          </cell>
          <cell r="P797">
            <v>2</v>
          </cell>
          <cell r="Q797">
            <v>0</v>
          </cell>
          <cell r="R797">
            <v>0</v>
          </cell>
          <cell r="S797">
            <v>2.2000000000000002</v>
          </cell>
          <cell r="T797">
            <v>0</v>
          </cell>
          <cell r="U797" t="str">
            <v/>
          </cell>
          <cell r="V797" t="str">
            <v>A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 t="e">
            <v>#DIV/0!</v>
          </cell>
          <cell r="AH797" t="e">
            <v>#DIV/0!</v>
          </cell>
          <cell r="AI797" t="e">
            <v>#DIV/0!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 t="e">
            <v>#N/A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0.9</v>
          </cell>
          <cell r="BH797">
            <v>1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 t="e">
            <v>#DIV/0!</v>
          </cell>
          <cell r="BO797">
            <v>38</v>
          </cell>
          <cell r="BP797">
            <v>0</v>
          </cell>
          <cell r="BQ797" t="e">
            <v>#VALUE!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 t="str">
            <v/>
          </cell>
          <cell r="BX797" t="str">
            <v/>
          </cell>
          <cell r="BY797">
            <v>1.5</v>
          </cell>
          <cell r="BZ797">
            <v>1.1429999999999998</v>
          </cell>
        </row>
        <row r="798">
          <cell r="B798" t="str">
            <v/>
          </cell>
          <cell r="C798">
            <v>0</v>
          </cell>
          <cell r="D798" t="str">
            <v/>
          </cell>
          <cell r="H798" t="str">
            <v/>
          </cell>
          <cell r="I798" t="e">
            <v>#N/A</v>
          </cell>
          <cell r="J798" t="e">
            <v>#N/A</v>
          </cell>
          <cell r="K798" t="e">
            <v>#N/A</v>
          </cell>
          <cell r="M798">
            <v>2.2000000000000002</v>
          </cell>
          <cell r="N798">
            <v>2.2000000000000002</v>
          </cell>
          <cell r="O798">
            <v>2</v>
          </cell>
          <cell r="P798">
            <v>2</v>
          </cell>
          <cell r="Q798">
            <v>0</v>
          </cell>
          <cell r="R798">
            <v>0</v>
          </cell>
          <cell r="S798">
            <v>2.2000000000000002</v>
          </cell>
          <cell r="T798">
            <v>0</v>
          </cell>
          <cell r="U798" t="str">
            <v/>
          </cell>
          <cell r="V798" t="str">
            <v>A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 t="e">
            <v>#DIV/0!</v>
          </cell>
          <cell r="AH798" t="e">
            <v>#DIV/0!</v>
          </cell>
          <cell r="AI798" t="e">
            <v>#DIV/0!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 t="e">
            <v>#N/A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0.9</v>
          </cell>
          <cell r="BH798">
            <v>1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 t="e">
            <v>#DIV/0!</v>
          </cell>
          <cell r="BO798">
            <v>38</v>
          </cell>
          <cell r="BP798">
            <v>0</v>
          </cell>
          <cell r="BQ798" t="e">
            <v>#VALUE!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 t="str">
            <v/>
          </cell>
          <cell r="BX798" t="str">
            <v/>
          </cell>
          <cell r="BY798">
            <v>1.5</v>
          </cell>
          <cell r="BZ798">
            <v>1.1429999999999998</v>
          </cell>
        </row>
        <row r="799">
          <cell r="B799" t="str">
            <v/>
          </cell>
          <cell r="C799">
            <v>0</v>
          </cell>
          <cell r="D799" t="str">
            <v/>
          </cell>
          <cell r="H799" t="str">
            <v/>
          </cell>
          <cell r="I799" t="e">
            <v>#N/A</v>
          </cell>
          <cell r="J799" t="e">
            <v>#N/A</v>
          </cell>
          <cell r="K799" t="e">
            <v>#N/A</v>
          </cell>
          <cell r="M799">
            <v>2.2000000000000002</v>
          </cell>
          <cell r="N799">
            <v>2.2000000000000002</v>
          </cell>
          <cell r="O799">
            <v>2</v>
          </cell>
          <cell r="P799">
            <v>2</v>
          </cell>
          <cell r="Q799">
            <v>0</v>
          </cell>
          <cell r="R799">
            <v>0</v>
          </cell>
          <cell r="S799">
            <v>2.2000000000000002</v>
          </cell>
          <cell r="T799">
            <v>0</v>
          </cell>
          <cell r="U799" t="str">
            <v/>
          </cell>
          <cell r="V799" t="str">
            <v>A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 t="e">
            <v>#DIV/0!</v>
          </cell>
          <cell r="AH799" t="e">
            <v>#DIV/0!</v>
          </cell>
          <cell r="AI799" t="e">
            <v>#DIV/0!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 t="e">
            <v>#N/A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0.9</v>
          </cell>
          <cell r="BH799">
            <v>1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 t="e">
            <v>#DIV/0!</v>
          </cell>
          <cell r="BO799">
            <v>38</v>
          </cell>
          <cell r="BP799">
            <v>0</v>
          </cell>
          <cell r="BQ799" t="e">
            <v>#VALUE!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 t="str">
            <v/>
          </cell>
          <cell r="BX799" t="str">
            <v/>
          </cell>
          <cell r="BY799">
            <v>1.5</v>
          </cell>
          <cell r="BZ799">
            <v>1.1429999999999998</v>
          </cell>
        </row>
        <row r="800">
          <cell r="B800" t="str">
            <v/>
          </cell>
          <cell r="C800">
            <v>0</v>
          </cell>
          <cell r="D800" t="str">
            <v/>
          </cell>
          <cell r="H800" t="str">
            <v/>
          </cell>
          <cell r="I800" t="e">
            <v>#N/A</v>
          </cell>
          <cell r="J800" t="e">
            <v>#N/A</v>
          </cell>
          <cell r="K800" t="e">
            <v>#N/A</v>
          </cell>
          <cell r="M800">
            <v>2.2000000000000002</v>
          </cell>
          <cell r="N800">
            <v>2.2000000000000002</v>
          </cell>
          <cell r="O800">
            <v>2</v>
          </cell>
          <cell r="P800">
            <v>2</v>
          </cell>
          <cell r="Q800">
            <v>0</v>
          </cell>
          <cell r="R800">
            <v>0</v>
          </cell>
          <cell r="S800">
            <v>2.2000000000000002</v>
          </cell>
          <cell r="T800">
            <v>0</v>
          </cell>
          <cell r="U800" t="str">
            <v/>
          </cell>
          <cell r="V800" t="str">
            <v>A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 t="e">
            <v>#DIV/0!</v>
          </cell>
          <cell r="AH800" t="e">
            <v>#DIV/0!</v>
          </cell>
          <cell r="AI800" t="e">
            <v>#DIV/0!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 t="e">
            <v>#N/A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0.9</v>
          </cell>
          <cell r="BH800">
            <v>1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 t="e">
            <v>#DIV/0!</v>
          </cell>
          <cell r="BO800">
            <v>38</v>
          </cell>
          <cell r="BP800">
            <v>0</v>
          </cell>
          <cell r="BQ800" t="e">
            <v>#VALUE!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 t="str">
            <v/>
          </cell>
          <cell r="BX800" t="str">
            <v/>
          </cell>
          <cell r="BY800">
            <v>1.5</v>
          </cell>
          <cell r="BZ800">
            <v>1.1429999999999998</v>
          </cell>
        </row>
        <row r="801">
          <cell r="B801" t="str">
            <v/>
          </cell>
          <cell r="C801">
            <v>0</v>
          </cell>
          <cell r="D801" t="str">
            <v/>
          </cell>
          <cell r="H801" t="str">
            <v/>
          </cell>
          <cell r="I801" t="e">
            <v>#N/A</v>
          </cell>
          <cell r="J801" t="e">
            <v>#N/A</v>
          </cell>
          <cell r="K801" t="e">
            <v>#N/A</v>
          </cell>
          <cell r="M801">
            <v>2.2000000000000002</v>
          </cell>
          <cell r="N801">
            <v>2.2000000000000002</v>
          </cell>
          <cell r="O801">
            <v>2</v>
          </cell>
          <cell r="P801">
            <v>2</v>
          </cell>
          <cell r="Q801">
            <v>0</v>
          </cell>
          <cell r="R801">
            <v>0</v>
          </cell>
          <cell r="S801">
            <v>2.2000000000000002</v>
          </cell>
          <cell r="T801">
            <v>0</v>
          </cell>
          <cell r="U801" t="str">
            <v/>
          </cell>
          <cell r="V801" t="str">
            <v>A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 t="e">
            <v>#DIV/0!</v>
          </cell>
          <cell r="AH801" t="e">
            <v>#DIV/0!</v>
          </cell>
          <cell r="AI801" t="e">
            <v>#DIV/0!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 t="e">
            <v>#N/A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0.9</v>
          </cell>
          <cell r="BH801">
            <v>1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 t="e">
            <v>#DIV/0!</v>
          </cell>
          <cell r="BO801">
            <v>38</v>
          </cell>
          <cell r="BP801">
            <v>0</v>
          </cell>
          <cell r="BQ801" t="e">
            <v>#VALUE!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 t="str">
            <v/>
          </cell>
          <cell r="BX801" t="str">
            <v/>
          </cell>
          <cell r="BY801">
            <v>1.5</v>
          </cell>
          <cell r="BZ801">
            <v>1.1429999999999998</v>
          </cell>
        </row>
        <row r="802">
          <cell r="B802" t="str">
            <v/>
          </cell>
          <cell r="C802">
            <v>0</v>
          </cell>
          <cell r="D802" t="str">
            <v/>
          </cell>
          <cell r="H802" t="str">
            <v/>
          </cell>
          <cell r="I802" t="e">
            <v>#N/A</v>
          </cell>
          <cell r="J802" t="e">
            <v>#N/A</v>
          </cell>
          <cell r="K802" t="e">
            <v>#N/A</v>
          </cell>
          <cell r="M802">
            <v>2.2000000000000002</v>
          </cell>
          <cell r="N802">
            <v>2.2000000000000002</v>
          </cell>
          <cell r="O802">
            <v>2</v>
          </cell>
          <cell r="P802">
            <v>2</v>
          </cell>
          <cell r="Q802">
            <v>0</v>
          </cell>
          <cell r="R802">
            <v>0</v>
          </cell>
          <cell r="S802">
            <v>2.2000000000000002</v>
          </cell>
          <cell r="T802">
            <v>0</v>
          </cell>
          <cell r="U802" t="str">
            <v/>
          </cell>
          <cell r="V802" t="str">
            <v>A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 t="e">
            <v>#DIV/0!</v>
          </cell>
          <cell r="AH802" t="e">
            <v>#DIV/0!</v>
          </cell>
          <cell r="AI802" t="e">
            <v>#DIV/0!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 t="e">
            <v>#N/A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0.9</v>
          </cell>
          <cell r="BH802">
            <v>1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 t="e">
            <v>#DIV/0!</v>
          </cell>
          <cell r="BO802">
            <v>38</v>
          </cell>
          <cell r="BP802">
            <v>0</v>
          </cell>
          <cell r="BQ802" t="e">
            <v>#VALUE!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 t="str">
            <v/>
          </cell>
          <cell r="BX802" t="str">
            <v/>
          </cell>
          <cell r="BY802">
            <v>1.5</v>
          </cell>
          <cell r="BZ802">
            <v>1.1429999999999998</v>
          </cell>
        </row>
        <row r="803">
          <cell r="B803" t="str">
            <v/>
          </cell>
          <cell r="C803">
            <v>0</v>
          </cell>
          <cell r="D803" t="str">
            <v/>
          </cell>
          <cell r="H803" t="str">
            <v/>
          </cell>
          <cell r="I803" t="e">
            <v>#N/A</v>
          </cell>
          <cell r="J803" t="e">
            <v>#N/A</v>
          </cell>
          <cell r="K803" t="e">
            <v>#N/A</v>
          </cell>
          <cell r="M803">
            <v>2.2000000000000002</v>
          </cell>
          <cell r="N803">
            <v>2.2000000000000002</v>
          </cell>
          <cell r="O803">
            <v>2</v>
          </cell>
          <cell r="P803">
            <v>2</v>
          </cell>
          <cell r="Q803">
            <v>0</v>
          </cell>
          <cell r="R803">
            <v>0</v>
          </cell>
          <cell r="S803">
            <v>2.2000000000000002</v>
          </cell>
          <cell r="T803">
            <v>0</v>
          </cell>
          <cell r="U803" t="str">
            <v/>
          </cell>
          <cell r="V803" t="str">
            <v>A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 t="e">
            <v>#DIV/0!</v>
          </cell>
          <cell r="AH803" t="e">
            <v>#DIV/0!</v>
          </cell>
          <cell r="AI803" t="e">
            <v>#DIV/0!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 t="e">
            <v>#N/A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0.9</v>
          </cell>
          <cell r="BH803">
            <v>1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 t="e">
            <v>#DIV/0!</v>
          </cell>
          <cell r="BO803">
            <v>38</v>
          </cell>
          <cell r="BP803">
            <v>0</v>
          </cell>
          <cell r="BQ803" t="e">
            <v>#VALUE!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 t="str">
            <v/>
          </cell>
          <cell r="BX803" t="str">
            <v/>
          </cell>
          <cell r="BY803">
            <v>1.5</v>
          </cell>
          <cell r="BZ803">
            <v>1.1429999999999998</v>
          </cell>
        </row>
        <row r="804">
          <cell r="B804" t="str">
            <v/>
          </cell>
          <cell r="C804">
            <v>0</v>
          </cell>
          <cell r="D804" t="str">
            <v/>
          </cell>
          <cell r="H804" t="str">
            <v/>
          </cell>
          <cell r="I804" t="e">
            <v>#N/A</v>
          </cell>
          <cell r="J804" t="e">
            <v>#N/A</v>
          </cell>
          <cell r="K804" t="e">
            <v>#N/A</v>
          </cell>
          <cell r="M804">
            <v>2.2000000000000002</v>
          </cell>
          <cell r="N804">
            <v>2.2000000000000002</v>
          </cell>
          <cell r="O804">
            <v>2</v>
          </cell>
          <cell r="P804">
            <v>2</v>
          </cell>
          <cell r="Q804">
            <v>0</v>
          </cell>
          <cell r="R804">
            <v>0</v>
          </cell>
          <cell r="S804">
            <v>2.2000000000000002</v>
          </cell>
          <cell r="T804">
            <v>0</v>
          </cell>
          <cell r="U804" t="str">
            <v/>
          </cell>
          <cell r="V804" t="str">
            <v>A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 t="e">
            <v>#DIV/0!</v>
          </cell>
          <cell r="AH804" t="e">
            <v>#DIV/0!</v>
          </cell>
          <cell r="AI804" t="e">
            <v>#DIV/0!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 t="e">
            <v>#N/A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0.9</v>
          </cell>
          <cell r="BH804">
            <v>1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 t="e">
            <v>#DIV/0!</v>
          </cell>
          <cell r="BO804">
            <v>38</v>
          </cell>
          <cell r="BP804">
            <v>0</v>
          </cell>
          <cell r="BQ804" t="e">
            <v>#VALUE!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 t="str">
            <v/>
          </cell>
          <cell r="BX804" t="str">
            <v/>
          </cell>
          <cell r="BY804">
            <v>1.5</v>
          </cell>
          <cell r="BZ804">
            <v>1.1429999999999998</v>
          </cell>
        </row>
        <row r="805">
          <cell r="B805" t="str">
            <v/>
          </cell>
          <cell r="C805">
            <v>0</v>
          </cell>
          <cell r="D805" t="str">
            <v/>
          </cell>
          <cell r="H805" t="str">
            <v/>
          </cell>
          <cell r="I805" t="e">
            <v>#N/A</v>
          </cell>
          <cell r="J805" t="e">
            <v>#N/A</v>
          </cell>
          <cell r="K805" t="e">
            <v>#N/A</v>
          </cell>
          <cell r="M805">
            <v>2.2000000000000002</v>
          </cell>
          <cell r="N805">
            <v>2.2000000000000002</v>
          </cell>
          <cell r="O805">
            <v>2</v>
          </cell>
          <cell r="P805">
            <v>2</v>
          </cell>
          <cell r="Q805">
            <v>0</v>
          </cell>
          <cell r="R805">
            <v>0</v>
          </cell>
          <cell r="S805">
            <v>2.2000000000000002</v>
          </cell>
          <cell r="T805">
            <v>0</v>
          </cell>
          <cell r="U805" t="str">
            <v/>
          </cell>
          <cell r="V805" t="str">
            <v>A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 t="e">
            <v>#DIV/0!</v>
          </cell>
          <cell r="AH805" t="e">
            <v>#DIV/0!</v>
          </cell>
          <cell r="AI805" t="e">
            <v>#DIV/0!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 t="e">
            <v>#N/A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0.9</v>
          </cell>
          <cell r="BH805">
            <v>1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 t="e">
            <v>#DIV/0!</v>
          </cell>
          <cell r="BO805">
            <v>38</v>
          </cell>
          <cell r="BP805">
            <v>0</v>
          </cell>
          <cell r="BQ805" t="e">
            <v>#VALUE!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 t="str">
            <v/>
          </cell>
          <cell r="BX805" t="str">
            <v/>
          </cell>
          <cell r="BY805">
            <v>1.5</v>
          </cell>
          <cell r="BZ805">
            <v>1.1429999999999998</v>
          </cell>
        </row>
        <row r="806">
          <cell r="B806" t="str">
            <v/>
          </cell>
          <cell r="C806">
            <v>0</v>
          </cell>
          <cell r="D806" t="str">
            <v/>
          </cell>
          <cell r="H806" t="str">
            <v/>
          </cell>
          <cell r="I806" t="e">
            <v>#N/A</v>
          </cell>
          <cell r="J806" t="e">
            <v>#N/A</v>
          </cell>
          <cell r="K806" t="e">
            <v>#N/A</v>
          </cell>
          <cell r="M806">
            <v>2.2000000000000002</v>
          </cell>
          <cell r="N806">
            <v>2.2000000000000002</v>
          </cell>
          <cell r="O806">
            <v>2</v>
          </cell>
          <cell r="P806">
            <v>2</v>
          </cell>
          <cell r="Q806">
            <v>0</v>
          </cell>
          <cell r="R806">
            <v>0</v>
          </cell>
          <cell r="S806">
            <v>2.2000000000000002</v>
          </cell>
          <cell r="T806">
            <v>0</v>
          </cell>
          <cell r="U806" t="str">
            <v/>
          </cell>
          <cell r="V806" t="str">
            <v>A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 t="e">
            <v>#DIV/0!</v>
          </cell>
          <cell r="AH806" t="e">
            <v>#DIV/0!</v>
          </cell>
          <cell r="AI806" t="e">
            <v>#DIV/0!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 t="e">
            <v>#N/A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0.9</v>
          </cell>
          <cell r="BH806">
            <v>1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 t="e">
            <v>#DIV/0!</v>
          </cell>
          <cell r="BO806">
            <v>38</v>
          </cell>
          <cell r="BP806">
            <v>0</v>
          </cell>
          <cell r="BQ806" t="e">
            <v>#VALUE!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 t="str">
            <v/>
          </cell>
          <cell r="BX806" t="str">
            <v/>
          </cell>
          <cell r="BY806">
            <v>1.5</v>
          </cell>
          <cell r="BZ806">
            <v>1.1429999999999998</v>
          </cell>
        </row>
        <row r="807">
          <cell r="B807" t="str">
            <v/>
          </cell>
          <cell r="C807">
            <v>0</v>
          </cell>
          <cell r="D807" t="str">
            <v/>
          </cell>
          <cell r="H807" t="str">
            <v/>
          </cell>
          <cell r="I807" t="e">
            <v>#N/A</v>
          </cell>
          <cell r="J807" t="e">
            <v>#N/A</v>
          </cell>
          <cell r="K807" t="e">
            <v>#N/A</v>
          </cell>
          <cell r="M807">
            <v>2.2000000000000002</v>
          </cell>
          <cell r="N807">
            <v>2.2000000000000002</v>
          </cell>
          <cell r="O807">
            <v>2</v>
          </cell>
          <cell r="P807">
            <v>2</v>
          </cell>
          <cell r="Q807">
            <v>0</v>
          </cell>
          <cell r="R807">
            <v>0</v>
          </cell>
          <cell r="S807">
            <v>2.2000000000000002</v>
          </cell>
          <cell r="T807">
            <v>0</v>
          </cell>
          <cell r="U807" t="str">
            <v/>
          </cell>
          <cell r="V807" t="str">
            <v>A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 t="e">
            <v>#DIV/0!</v>
          </cell>
          <cell r="AH807" t="e">
            <v>#DIV/0!</v>
          </cell>
          <cell r="AI807" t="e">
            <v>#DIV/0!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 t="e">
            <v>#N/A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0.9</v>
          </cell>
          <cell r="BH807">
            <v>1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 t="e">
            <v>#DIV/0!</v>
          </cell>
          <cell r="BO807">
            <v>38</v>
          </cell>
          <cell r="BP807">
            <v>0</v>
          </cell>
          <cell r="BQ807" t="e">
            <v>#VALUE!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 t="str">
            <v/>
          </cell>
          <cell r="BX807" t="str">
            <v/>
          </cell>
          <cell r="BY807">
            <v>1.5</v>
          </cell>
          <cell r="BZ807">
            <v>1.1429999999999998</v>
          </cell>
        </row>
        <row r="808">
          <cell r="B808" t="str">
            <v/>
          </cell>
          <cell r="C808">
            <v>0</v>
          </cell>
          <cell r="D808" t="str">
            <v/>
          </cell>
          <cell r="H808" t="str">
            <v/>
          </cell>
          <cell r="I808" t="e">
            <v>#N/A</v>
          </cell>
          <cell r="J808" t="e">
            <v>#N/A</v>
          </cell>
          <cell r="K808" t="e">
            <v>#N/A</v>
          </cell>
          <cell r="M808">
            <v>2.2000000000000002</v>
          </cell>
          <cell r="N808">
            <v>2.2000000000000002</v>
          </cell>
          <cell r="O808">
            <v>2</v>
          </cell>
          <cell r="P808">
            <v>2</v>
          </cell>
          <cell r="Q808">
            <v>0</v>
          </cell>
          <cell r="R808">
            <v>0</v>
          </cell>
          <cell r="S808">
            <v>2.2000000000000002</v>
          </cell>
          <cell r="T808">
            <v>0</v>
          </cell>
          <cell r="U808" t="str">
            <v/>
          </cell>
          <cell r="V808" t="str">
            <v>A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 t="e">
            <v>#DIV/0!</v>
          </cell>
          <cell r="AH808" t="e">
            <v>#DIV/0!</v>
          </cell>
          <cell r="AI808" t="e">
            <v>#DIV/0!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 t="e">
            <v>#N/A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0.9</v>
          </cell>
          <cell r="BH808">
            <v>1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 t="e">
            <v>#DIV/0!</v>
          </cell>
          <cell r="BO808">
            <v>38</v>
          </cell>
          <cell r="BP808">
            <v>0</v>
          </cell>
          <cell r="BQ808" t="e">
            <v>#VALUE!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 t="str">
            <v/>
          </cell>
          <cell r="BX808" t="str">
            <v/>
          </cell>
          <cell r="BY808">
            <v>1.5</v>
          </cell>
          <cell r="BZ808">
            <v>1.1429999999999998</v>
          </cell>
        </row>
        <row r="809">
          <cell r="B809" t="str">
            <v/>
          </cell>
          <cell r="C809">
            <v>0</v>
          </cell>
          <cell r="D809" t="str">
            <v/>
          </cell>
          <cell r="H809" t="str">
            <v/>
          </cell>
          <cell r="I809" t="e">
            <v>#N/A</v>
          </cell>
          <cell r="J809" t="e">
            <v>#N/A</v>
          </cell>
          <cell r="K809" t="e">
            <v>#N/A</v>
          </cell>
          <cell r="M809">
            <v>2.2000000000000002</v>
          </cell>
          <cell r="N809">
            <v>2.2000000000000002</v>
          </cell>
          <cell r="O809">
            <v>2</v>
          </cell>
          <cell r="P809">
            <v>2</v>
          </cell>
          <cell r="Q809">
            <v>0</v>
          </cell>
          <cell r="R809">
            <v>0</v>
          </cell>
          <cell r="S809">
            <v>2.2000000000000002</v>
          </cell>
          <cell r="T809">
            <v>0</v>
          </cell>
          <cell r="U809" t="str">
            <v/>
          </cell>
          <cell r="V809" t="str">
            <v>A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 t="e">
            <v>#DIV/0!</v>
          </cell>
          <cell r="AH809" t="e">
            <v>#DIV/0!</v>
          </cell>
          <cell r="AI809" t="e">
            <v>#DIV/0!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 t="e">
            <v>#N/A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0.9</v>
          </cell>
          <cell r="BH809">
            <v>1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 t="e">
            <v>#DIV/0!</v>
          </cell>
          <cell r="BO809">
            <v>38</v>
          </cell>
          <cell r="BP809">
            <v>0</v>
          </cell>
          <cell r="BQ809" t="e">
            <v>#VALUE!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 t="str">
            <v/>
          </cell>
          <cell r="BX809" t="str">
            <v/>
          </cell>
          <cell r="BY809">
            <v>1.5</v>
          </cell>
          <cell r="BZ809">
            <v>1.1429999999999998</v>
          </cell>
        </row>
        <row r="810">
          <cell r="B810" t="str">
            <v/>
          </cell>
          <cell r="C810">
            <v>0</v>
          </cell>
          <cell r="D810" t="str">
            <v/>
          </cell>
          <cell r="H810" t="str">
            <v/>
          </cell>
          <cell r="I810" t="e">
            <v>#N/A</v>
          </cell>
          <cell r="J810" t="e">
            <v>#N/A</v>
          </cell>
          <cell r="K810" t="e">
            <v>#N/A</v>
          </cell>
          <cell r="M810">
            <v>2.2000000000000002</v>
          </cell>
          <cell r="N810">
            <v>2.2000000000000002</v>
          </cell>
          <cell r="O810">
            <v>2</v>
          </cell>
          <cell r="P810">
            <v>2</v>
          </cell>
          <cell r="Q810">
            <v>0</v>
          </cell>
          <cell r="R810">
            <v>0</v>
          </cell>
          <cell r="S810">
            <v>2.2000000000000002</v>
          </cell>
          <cell r="T810">
            <v>0</v>
          </cell>
          <cell r="U810" t="str">
            <v/>
          </cell>
          <cell r="V810" t="str">
            <v>A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 t="e">
            <v>#DIV/0!</v>
          </cell>
          <cell r="AH810" t="e">
            <v>#DIV/0!</v>
          </cell>
          <cell r="AI810" t="e">
            <v>#DIV/0!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 t="e">
            <v>#N/A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0.9</v>
          </cell>
          <cell r="BH810">
            <v>1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 t="e">
            <v>#DIV/0!</v>
          </cell>
          <cell r="BO810">
            <v>38</v>
          </cell>
          <cell r="BP810">
            <v>0</v>
          </cell>
          <cell r="BQ810" t="e">
            <v>#VALUE!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 t="str">
            <v/>
          </cell>
          <cell r="BX810" t="str">
            <v/>
          </cell>
          <cell r="BY810">
            <v>1.5</v>
          </cell>
          <cell r="BZ810">
            <v>1.1429999999999998</v>
          </cell>
        </row>
        <row r="811">
          <cell r="B811" t="str">
            <v/>
          </cell>
          <cell r="C811">
            <v>0</v>
          </cell>
          <cell r="D811" t="str">
            <v/>
          </cell>
          <cell r="H811" t="str">
            <v/>
          </cell>
          <cell r="I811" t="e">
            <v>#N/A</v>
          </cell>
          <cell r="J811" t="e">
            <v>#N/A</v>
          </cell>
          <cell r="K811" t="e">
            <v>#N/A</v>
          </cell>
          <cell r="M811">
            <v>2.2000000000000002</v>
          </cell>
          <cell r="N811">
            <v>2.2000000000000002</v>
          </cell>
          <cell r="O811">
            <v>2</v>
          </cell>
          <cell r="P811">
            <v>2</v>
          </cell>
          <cell r="Q811">
            <v>0</v>
          </cell>
          <cell r="R811">
            <v>0</v>
          </cell>
          <cell r="S811">
            <v>2.2000000000000002</v>
          </cell>
          <cell r="T811">
            <v>0</v>
          </cell>
          <cell r="U811" t="str">
            <v/>
          </cell>
          <cell r="V811" t="str">
            <v>A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 t="e">
            <v>#DIV/0!</v>
          </cell>
          <cell r="AH811" t="e">
            <v>#DIV/0!</v>
          </cell>
          <cell r="AI811" t="e">
            <v>#DIV/0!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 t="e">
            <v>#N/A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0.9</v>
          </cell>
          <cell r="BH811">
            <v>1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 t="e">
            <v>#DIV/0!</v>
          </cell>
          <cell r="BO811">
            <v>38</v>
          </cell>
          <cell r="BP811">
            <v>0</v>
          </cell>
          <cell r="BQ811" t="e">
            <v>#VALUE!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 t="str">
            <v/>
          </cell>
          <cell r="BX811" t="str">
            <v/>
          </cell>
          <cell r="BY811">
            <v>1.5</v>
          </cell>
          <cell r="BZ811">
            <v>1.1429999999999998</v>
          </cell>
        </row>
        <row r="812">
          <cell r="B812" t="str">
            <v/>
          </cell>
          <cell r="C812">
            <v>0</v>
          </cell>
          <cell r="D812" t="str">
            <v/>
          </cell>
          <cell r="H812" t="str">
            <v/>
          </cell>
          <cell r="I812" t="e">
            <v>#N/A</v>
          </cell>
          <cell r="J812" t="e">
            <v>#N/A</v>
          </cell>
          <cell r="K812" t="e">
            <v>#N/A</v>
          </cell>
          <cell r="M812">
            <v>2.2000000000000002</v>
          </cell>
          <cell r="N812">
            <v>2.2000000000000002</v>
          </cell>
          <cell r="O812">
            <v>2</v>
          </cell>
          <cell r="P812">
            <v>2</v>
          </cell>
          <cell r="Q812">
            <v>0</v>
          </cell>
          <cell r="R812">
            <v>0</v>
          </cell>
          <cell r="S812">
            <v>2.2000000000000002</v>
          </cell>
          <cell r="T812">
            <v>0</v>
          </cell>
          <cell r="U812" t="str">
            <v/>
          </cell>
          <cell r="V812" t="str">
            <v>A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 t="e">
            <v>#DIV/0!</v>
          </cell>
          <cell r="AH812" t="e">
            <v>#DIV/0!</v>
          </cell>
          <cell r="AI812" t="e">
            <v>#DIV/0!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 t="e">
            <v>#N/A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0.9</v>
          </cell>
          <cell r="BH812">
            <v>1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 t="e">
            <v>#DIV/0!</v>
          </cell>
          <cell r="BO812">
            <v>38</v>
          </cell>
          <cell r="BP812">
            <v>0</v>
          </cell>
          <cell r="BQ812" t="e">
            <v>#VALUE!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 t="str">
            <v/>
          </cell>
          <cell r="BX812" t="str">
            <v/>
          </cell>
          <cell r="BY812">
            <v>1.5</v>
          </cell>
          <cell r="BZ812">
            <v>1.1429999999999998</v>
          </cell>
        </row>
        <row r="813">
          <cell r="B813" t="str">
            <v/>
          </cell>
          <cell r="C813">
            <v>0</v>
          </cell>
          <cell r="D813" t="str">
            <v/>
          </cell>
          <cell r="H813" t="str">
            <v/>
          </cell>
          <cell r="I813" t="e">
            <v>#N/A</v>
          </cell>
          <cell r="J813" t="e">
            <v>#N/A</v>
          </cell>
          <cell r="K813" t="e">
            <v>#N/A</v>
          </cell>
          <cell r="M813">
            <v>2.2000000000000002</v>
          </cell>
          <cell r="N813">
            <v>2.2000000000000002</v>
          </cell>
          <cell r="O813">
            <v>2</v>
          </cell>
          <cell r="P813">
            <v>2</v>
          </cell>
          <cell r="Q813">
            <v>0</v>
          </cell>
          <cell r="R813">
            <v>0</v>
          </cell>
          <cell r="S813">
            <v>2.2000000000000002</v>
          </cell>
          <cell r="T813">
            <v>0</v>
          </cell>
          <cell r="U813" t="str">
            <v/>
          </cell>
          <cell r="V813" t="str">
            <v>A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 t="e">
            <v>#DIV/0!</v>
          </cell>
          <cell r="AH813" t="e">
            <v>#DIV/0!</v>
          </cell>
          <cell r="AI813" t="e">
            <v>#DIV/0!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 t="e">
            <v>#N/A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0.9</v>
          </cell>
          <cell r="BH813">
            <v>1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 t="e">
            <v>#DIV/0!</v>
          </cell>
          <cell r="BO813">
            <v>38</v>
          </cell>
          <cell r="BP813">
            <v>0</v>
          </cell>
          <cell r="BQ813" t="e">
            <v>#VALUE!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 t="str">
            <v/>
          </cell>
          <cell r="BX813" t="str">
            <v/>
          </cell>
          <cell r="BY813">
            <v>1.5</v>
          </cell>
          <cell r="BZ813">
            <v>1.1429999999999998</v>
          </cell>
        </row>
        <row r="814">
          <cell r="B814" t="str">
            <v/>
          </cell>
          <cell r="C814">
            <v>0</v>
          </cell>
          <cell r="D814" t="str">
            <v/>
          </cell>
          <cell r="H814" t="str">
            <v/>
          </cell>
          <cell r="I814" t="e">
            <v>#N/A</v>
          </cell>
          <cell r="J814" t="e">
            <v>#N/A</v>
          </cell>
          <cell r="K814" t="e">
            <v>#N/A</v>
          </cell>
          <cell r="M814">
            <v>2.2000000000000002</v>
          </cell>
          <cell r="N814">
            <v>2.2000000000000002</v>
          </cell>
          <cell r="O814">
            <v>2</v>
          </cell>
          <cell r="P814">
            <v>2</v>
          </cell>
          <cell r="Q814">
            <v>0</v>
          </cell>
          <cell r="R814">
            <v>0</v>
          </cell>
          <cell r="S814">
            <v>2.2000000000000002</v>
          </cell>
          <cell r="T814">
            <v>0</v>
          </cell>
          <cell r="U814" t="str">
            <v/>
          </cell>
          <cell r="V814" t="str">
            <v>A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 t="e">
            <v>#DIV/0!</v>
          </cell>
          <cell r="AH814" t="e">
            <v>#DIV/0!</v>
          </cell>
          <cell r="AI814" t="e">
            <v>#DIV/0!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 t="e">
            <v>#N/A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0.9</v>
          </cell>
          <cell r="BH814">
            <v>1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 t="e">
            <v>#DIV/0!</v>
          </cell>
          <cell r="BO814">
            <v>38</v>
          </cell>
          <cell r="BP814">
            <v>0</v>
          </cell>
          <cell r="BQ814" t="e">
            <v>#VALUE!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 t="str">
            <v/>
          </cell>
          <cell r="BX814" t="str">
            <v/>
          </cell>
          <cell r="BY814">
            <v>1.5</v>
          </cell>
          <cell r="BZ814">
            <v>1.1429999999999998</v>
          </cell>
        </row>
        <row r="815">
          <cell r="B815" t="str">
            <v/>
          </cell>
          <cell r="C815">
            <v>0</v>
          </cell>
          <cell r="D815" t="str">
            <v/>
          </cell>
          <cell r="H815" t="str">
            <v/>
          </cell>
          <cell r="I815" t="e">
            <v>#N/A</v>
          </cell>
          <cell r="J815" t="e">
            <v>#N/A</v>
          </cell>
          <cell r="K815" t="e">
            <v>#N/A</v>
          </cell>
          <cell r="M815">
            <v>2.2000000000000002</v>
          </cell>
          <cell r="N815">
            <v>2.2000000000000002</v>
          </cell>
          <cell r="O815">
            <v>2</v>
          </cell>
          <cell r="P815">
            <v>2</v>
          </cell>
          <cell r="Q815">
            <v>0</v>
          </cell>
          <cell r="R815">
            <v>0</v>
          </cell>
          <cell r="S815">
            <v>2.2000000000000002</v>
          </cell>
          <cell r="T815">
            <v>0</v>
          </cell>
          <cell r="U815" t="str">
            <v/>
          </cell>
          <cell r="V815" t="str">
            <v>A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 t="e">
            <v>#DIV/0!</v>
          </cell>
          <cell r="AH815" t="e">
            <v>#DIV/0!</v>
          </cell>
          <cell r="AI815" t="e">
            <v>#DIV/0!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 t="e">
            <v>#N/A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0.9</v>
          </cell>
          <cell r="BH815">
            <v>1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 t="e">
            <v>#DIV/0!</v>
          </cell>
          <cell r="BO815">
            <v>38</v>
          </cell>
          <cell r="BP815">
            <v>0</v>
          </cell>
          <cell r="BQ815" t="e">
            <v>#VALUE!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 t="str">
            <v/>
          </cell>
          <cell r="BX815" t="str">
            <v/>
          </cell>
          <cell r="BY815">
            <v>1.5</v>
          </cell>
          <cell r="BZ815">
            <v>1.1429999999999998</v>
          </cell>
        </row>
        <row r="816">
          <cell r="B816" t="str">
            <v/>
          </cell>
          <cell r="C816">
            <v>0</v>
          </cell>
          <cell r="D816" t="str">
            <v/>
          </cell>
          <cell r="H816" t="str">
            <v/>
          </cell>
          <cell r="I816" t="e">
            <v>#N/A</v>
          </cell>
          <cell r="J816" t="e">
            <v>#N/A</v>
          </cell>
          <cell r="K816" t="e">
            <v>#N/A</v>
          </cell>
          <cell r="M816">
            <v>2.2000000000000002</v>
          </cell>
          <cell r="N816">
            <v>2.2000000000000002</v>
          </cell>
          <cell r="O816">
            <v>2</v>
          </cell>
          <cell r="P816">
            <v>2</v>
          </cell>
          <cell r="Q816">
            <v>0</v>
          </cell>
          <cell r="R816">
            <v>0</v>
          </cell>
          <cell r="S816">
            <v>2.2000000000000002</v>
          </cell>
          <cell r="T816">
            <v>0</v>
          </cell>
          <cell r="U816" t="str">
            <v/>
          </cell>
          <cell r="V816" t="str">
            <v>A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 t="e">
            <v>#DIV/0!</v>
          </cell>
          <cell r="AH816" t="e">
            <v>#DIV/0!</v>
          </cell>
          <cell r="AI816" t="e">
            <v>#DIV/0!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 t="e">
            <v>#N/A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0.9</v>
          </cell>
          <cell r="BH816">
            <v>1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 t="e">
            <v>#DIV/0!</v>
          </cell>
          <cell r="BO816">
            <v>38</v>
          </cell>
          <cell r="BP816">
            <v>0</v>
          </cell>
          <cell r="BQ816" t="e">
            <v>#VALUE!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 t="str">
            <v/>
          </cell>
          <cell r="BX816" t="str">
            <v/>
          </cell>
          <cell r="BY816">
            <v>1.5</v>
          </cell>
          <cell r="BZ816">
            <v>1.1429999999999998</v>
          </cell>
        </row>
        <row r="817">
          <cell r="B817" t="str">
            <v/>
          </cell>
          <cell r="C817">
            <v>0</v>
          </cell>
          <cell r="D817" t="str">
            <v/>
          </cell>
          <cell r="H817" t="str">
            <v/>
          </cell>
          <cell r="I817" t="e">
            <v>#N/A</v>
          </cell>
          <cell r="J817" t="e">
            <v>#N/A</v>
          </cell>
          <cell r="K817" t="e">
            <v>#N/A</v>
          </cell>
          <cell r="M817">
            <v>2.2000000000000002</v>
          </cell>
          <cell r="N817">
            <v>2.2000000000000002</v>
          </cell>
          <cell r="O817">
            <v>2</v>
          </cell>
          <cell r="P817">
            <v>2</v>
          </cell>
          <cell r="Q817">
            <v>0</v>
          </cell>
          <cell r="R817">
            <v>0</v>
          </cell>
          <cell r="S817">
            <v>2.2000000000000002</v>
          </cell>
          <cell r="T817">
            <v>0</v>
          </cell>
          <cell r="U817" t="str">
            <v/>
          </cell>
          <cell r="V817" t="str">
            <v>A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 t="e">
            <v>#DIV/0!</v>
          </cell>
          <cell r="AH817" t="e">
            <v>#DIV/0!</v>
          </cell>
          <cell r="AI817" t="e">
            <v>#DIV/0!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 t="e">
            <v>#N/A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0.9</v>
          </cell>
          <cell r="BH817">
            <v>1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 t="e">
            <v>#DIV/0!</v>
          </cell>
          <cell r="BO817">
            <v>38</v>
          </cell>
          <cell r="BP817">
            <v>0</v>
          </cell>
          <cell r="BQ817" t="e">
            <v>#VALUE!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 t="str">
            <v/>
          </cell>
          <cell r="BX817" t="str">
            <v/>
          </cell>
          <cell r="BY817">
            <v>1.5</v>
          </cell>
          <cell r="BZ817">
            <v>1.1429999999999998</v>
          </cell>
        </row>
        <row r="818">
          <cell r="B818" t="str">
            <v/>
          </cell>
          <cell r="C818">
            <v>0</v>
          </cell>
          <cell r="D818" t="str">
            <v/>
          </cell>
          <cell r="H818" t="str">
            <v/>
          </cell>
          <cell r="I818" t="e">
            <v>#N/A</v>
          </cell>
          <cell r="J818" t="e">
            <v>#N/A</v>
          </cell>
          <cell r="K818" t="e">
            <v>#N/A</v>
          </cell>
          <cell r="M818">
            <v>2.2000000000000002</v>
          </cell>
          <cell r="N818">
            <v>2.2000000000000002</v>
          </cell>
          <cell r="O818">
            <v>2</v>
          </cell>
          <cell r="P818">
            <v>2</v>
          </cell>
          <cell r="Q818">
            <v>0</v>
          </cell>
          <cell r="R818">
            <v>0</v>
          </cell>
          <cell r="S818">
            <v>2.2000000000000002</v>
          </cell>
          <cell r="T818">
            <v>0</v>
          </cell>
          <cell r="U818" t="str">
            <v/>
          </cell>
          <cell r="V818" t="str">
            <v>A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 t="e">
            <v>#DIV/0!</v>
          </cell>
          <cell r="AH818" t="e">
            <v>#DIV/0!</v>
          </cell>
          <cell r="AI818" t="e">
            <v>#DIV/0!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 t="e">
            <v>#N/A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0.9</v>
          </cell>
          <cell r="BH818">
            <v>1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 t="e">
            <v>#DIV/0!</v>
          </cell>
          <cell r="BO818">
            <v>38</v>
          </cell>
          <cell r="BP818">
            <v>0</v>
          </cell>
          <cell r="BQ818" t="e">
            <v>#VALUE!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 t="str">
            <v/>
          </cell>
          <cell r="BX818" t="str">
            <v/>
          </cell>
          <cell r="BY818">
            <v>1.5</v>
          </cell>
          <cell r="BZ818">
            <v>1.1429999999999998</v>
          </cell>
        </row>
        <row r="819">
          <cell r="B819" t="str">
            <v/>
          </cell>
          <cell r="C819">
            <v>0</v>
          </cell>
          <cell r="D819" t="str">
            <v/>
          </cell>
          <cell r="H819" t="str">
            <v/>
          </cell>
          <cell r="I819" t="e">
            <v>#N/A</v>
          </cell>
          <cell r="J819" t="e">
            <v>#N/A</v>
          </cell>
          <cell r="K819" t="e">
            <v>#N/A</v>
          </cell>
          <cell r="M819">
            <v>2.2000000000000002</v>
          </cell>
          <cell r="N819">
            <v>2.2000000000000002</v>
          </cell>
          <cell r="O819">
            <v>2</v>
          </cell>
          <cell r="P819">
            <v>2</v>
          </cell>
          <cell r="Q819">
            <v>0</v>
          </cell>
          <cell r="R819">
            <v>0</v>
          </cell>
          <cell r="S819">
            <v>2.2000000000000002</v>
          </cell>
          <cell r="T819">
            <v>0</v>
          </cell>
          <cell r="U819" t="str">
            <v/>
          </cell>
          <cell r="V819" t="str">
            <v>A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 t="e">
            <v>#DIV/0!</v>
          </cell>
          <cell r="AH819" t="e">
            <v>#DIV/0!</v>
          </cell>
          <cell r="AI819" t="e">
            <v>#DIV/0!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 t="e">
            <v>#N/A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0.9</v>
          </cell>
          <cell r="BH819">
            <v>1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 t="e">
            <v>#DIV/0!</v>
          </cell>
          <cell r="BO819">
            <v>38</v>
          </cell>
          <cell r="BP819">
            <v>0</v>
          </cell>
          <cell r="BQ819" t="e">
            <v>#VALUE!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 t="str">
            <v/>
          </cell>
          <cell r="BX819" t="str">
            <v/>
          </cell>
          <cell r="BY819">
            <v>1.5</v>
          </cell>
          <cell r="BZ819">
            <v>1.1429999999999998</v>
          </cell>
        </row>
        <row r="820">
          <cell r="B820" t="str">
            <v/>
          </cell>
          <cell r="C820">
            <v>0</v>
          </cell>
          <cell r="D820" t="str">
            <v/>
          </cell>
          <cell r="H820" t="str">
            <v/>
          </cell>
          <cell r="I820" t="e">
            <v>#N/A</v>
          </cell>
          <cell r="J820" t="e">
            <v>#N/A</v>
          </cell>
          <cell r="K820" t="e">
            <v>#N/A</v>
          </cell>
          <cell r="M820">
            <v>2.2000000000000002</v>
          </cell>
          <cell r="N820">
            <v>2.2000000000000002</v>
          </cell>
          <cell r="O820">
            <v>2</v>
          </cell>
          <cell r="P820">
            <v>2</v>
          </cell>
          <cell r="Q820">
            <v>0</v>
          </cell>
          <cell r="R820">
            <v>0</v>
          </cell>
          <cell r="S820">
            <v>2.2000000000000002</v>
          </cell>
          <cell r="T820">
            <v>0</v>
          </cell>
          <cell r="U820" t="str">
            <v/>
          </cell>
          <cell r="V820" t="str">
            <v>A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 t="e">
            <v>#DIV/0!</v>
          </cell>
          <cell r="AH820" t="e">
            <v>#DIV/0!</v>
          </cell>
          <cell r="AI820" t="e">
            <v>#DIV/0!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 t="e">
            <v>#N/A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0.9</v>
          </cell>
          <cell r="BH820">
            <v>1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 t="e">
            <v>#DIV/0!</v>
          </cell>
          <cell r="BO820">
            <v>38</v>
          </cell>
          <cell r="BP820">
            <v>0</v>
          </cell>
          <cell r="BQ820" t="e">
            <v>#VALUE!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 t="str">
            <v/>
          </cell>
          <cell r="BX820" t="str">
            <v/>
          </cell>
          <cell r="BY820">
            <v>1.5</v>
          </cell>
          <cell r="BZ820">
            <v>1.1429999999999998</v>
          </cell>
        </row>
        <row r="821">
          <cell r="B821" t="str">
            <v/>
          </cell>
          <cell r="C821">
            <v>0</v>
          </cell>
          <cell r="D821" t="str">
            <v/>
          </cell>
          <cell r="H821" t="str">
            <v/>
          </cell>
          <cell r="I821" t="e">
            <v>#N/A</v>
          </cell>
          <cell r="J821" t="e">
            <v>#N/A</v>
          </cell>
          <cell r="K821" t="e">
            <v>#N/A</v>
          </cell>
          <cell r="M821">
            <v>2.2000000000000002</v>
          </cell>
          <cell r="N821">
            <v>2.2000000000000002</v>
          </cell>
          <cell r="O821">
            <v>2</v>
          </cell>
          <cell r="P821">
            <v>2</v>
          </cell>
          <cell r="Q821">
            <v>0</v>
          </cell>
          <cell r="R821">
            <v>0</v>
          </cell>
          <cell r="S821">
            <v>2.2000000000000002</v>
          </cell>
          <cell r="T821">
            <v>0</v>
          </cell>
          <cell r="U821" t="str">
            <v/>
          </cell>
          <cell r="V821" t="str">
            <v>A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 t="e">
            <v>#DIV/0!</v>
          </cell>
          <cell r="AH821" t="e">
            <v>#DIV/0!</v>
          </cell>
          <cell r="AI821" t="e">
            <v>#DIV/0!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 t="e">
            <v>#N/A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0.9</v>
          </cell>
          <cell r="BH821">
            <v>1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 t="e">
            <v>#DIV/0!</v>
          </cell>
          <cell r="BO821">
            <v>38</v>
          </cell>
          <cell r="BP821">
            <v>0</v>
          </cell>
          <cell r="BQ821" t="e">
            <v>#VALUE!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 t="str">
            <v/>
          </cell>
          <cell r="BX821" t="str">
            <v/>
          </cell>
          <cell r="BY821">
            <v>1.5</v>
          </cell>
          <cell r="BZ821">
            <v>1.1429999999999998</v>
          </cell>
        </row>
        <row r="822">
          <cell r="B822" t="str">
            <v/>
          </cell>
          <cell r="C822">
            <v>0</v>
          </cell>
          <cell r="D822" t="str">
            <v/>
          </cell>
          <cell r="H822" t="str">
            <v/>
          </cell>
          <cell r="I822" t="e">
            <v>#N/A</v>
          </cell>
          <cell r="J822" t="e">
            <v>#N/A</v>
          </cell>
          <cell r="K822" t="e">
            <v>#N/A</v>
          </cell>
          <cell r="M822">
            <v>2.2000000000000002</v>
          </cell>
          <cell r="N822">
            <v>2.2000000000000002</v>
          </cell>
          <cell r="O822">
            <v>2</v>
          </cell>
          <cell r="P822">
            <v>2</v>
          </cell>
          <cell r="Q822">
            <v>0</v>
          </cell>
          <cell r="R822">
            <v>0</v>
          </cell>
          <cell r="S822">
            <v>2.2000000000000002</v>
          </cell>
          <cell r="T822">
            <v>0</v>
          </cell>
          <cell r="U822" t="str">
            <v/>
          </cell>
          <cell r="V822" t="str">
            <v>A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 t="e">
            <v>#DIV/0!</v>
          </cell>
          <cell r="AH822" t="e">
            <v>#DIV/0!</v>
          </cell>
          <cell r="AI822" t="e">
            <v>#DIV/0!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 t="e">
            <v>#N/A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0.9</v>
          </cell>
          <cell r="BH822">
            <v>1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 t="e">
            <v>#DIV/0!</v>
          </cell>
          <cell r="BO822">
            <v>38</v>
          </cell>
          <cell r="BP822">
            <v>0</v>
          </cell>
          <cell r="BQ822" t="e">
            <v>#VALUE!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 t="str">
            <v/>
          </cell>
          <cell r="BX822" t="str">
            <v/>
          </cell>
          <cell r="BY822">
            <v>1.5</v>
          </cell>
          <cell r="BZ822">
            <v>1.1429999999999998</v>
          </cell>
        </row>
        <row r="823">
          <cell r="B823" t="str">
            <v/>
          </cell>
          <cell r="C823">
            <v>0</v>
          </cell>
          <cell r="D823" t="str">
            <v/>
          </cell>
          <cell r="H823" t="str">
            <v/>
          </cell>
          <cell r="I823" t="e">
            <v>#N/A</v>
          </cell>
          <cell r="J823" t="e">
            <v>#N/A</v>
          </cell>
          <cell r="K823" t="e">
            <v>#N/A</v>
          </cell>
          <cell r="M823">
            <v>2.2000000000000002</v>
          </cell>
          <cell r="N823">
            <v>2.2000000000000002</v>
          </cell>
          <cell r="O823">
            <v>2</v>
          </cell>
          <cell r="P823">
            <v>2</v>
          </cell>
          <cell r="Q823">
            <v>0</v>
          </cell>
          <cell r="R823">
            <v>0</v>
          </cell>
          <cell r="S823">
            <v>2.2000000000000002</v>
          </cell>
          <cell r="T823">
            <v>0</v>
          </cell>
          <cell r="U823" t="str">
            <v/>
          </cell>
          <cell r="V823" t="str">
            <v>A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 t="e">
            <v>#DIV/0!</v>
          </cell>
          <cell r="AH823" t="e">
            <v>#DIV/0!</v>
          </cell>
          <cell r="AI823" t="e">
            <v>#DIV/0!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 t="e">
            <v>#N/A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0.9</v>
          </cell>
          <cell r="BH823">
            <v>1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 t="e">
            <v>#DIV/0!</v>
          </cell>
          <cell r="BO823">
            <v>38</v>
          </cell>
          <cell r="BP823">
            <v>0</v>
          </cell>
          <cell r="BQ823" t="e">
            <v>#VALUE!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 t="str">
            <v/>
          </cell>
          <cell r="BX823" t="str">
            <v/>
          </cell>
          <cell r="BY823">
            <v>1.5</v>
          </cell>
          <cell r="BZ823">
            <v>1.1429999999999998</v>
          </cell>
        </row>
        <row r="824">
          <cell r="B824" t="str">
            <v/>
          </cell>
          <cell r="C824">
            <v>0</v>
          </cell>
          <cell r="D824" t="str">
            <v/>
          </cell>
          <cell r="H824" t="str">
            <v/>
          </cell>
          <cell r="I824" t="e">
            <v>#N/A</v>
          </cell>
          <cell r="J824" t="e">
            <v>#N/A</v>
          </cell>
          <cell r="K824" t="e">
            <v>#N/A</v>
          </cell>
          <cell r="M824">
            <v>2.2000000000000002</v>
          </cell>
          <cell r="N824">
            <v>2.2000000000000002</v>
          </cell>
          <cell r="O824">
            <v>2</v>
          </cell>
          <cell r="P824">
            <v>2</v>
          </cell>
          <cell r="Q824">
            <v>0</v>
          </cell>
          <cell r="R824">
            <v>0</v>
          </cell>
          <cell r="S824">
            <v>2.2000000000000002</v>
          </cell>
          <cell r="T824">
            <v>0</v>
          </cell>
          <cell r="U824" t="str">
            <v/>
          </cell>
          <cell r="V824" t="str">
            <v>A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 t="e">
            <v>#DIV/0!</v>
          </cell>
          <cell r="AH824" t="e">
            <v>#DIV/0!</v>
          </cell>
          <cell r="AI824" t="e">
            <v>#DIV/0!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 t="e">
            <v>#N/A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0.9</v>
          </cell>
          <cell r="BH824">
            <v>1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 t="e">
            <v>#DIV/0!</v>
          </cell>
          <cell r="BO824">
            <v>38</v>
          </cell>
          <cell r="BP824">
            <v>0</v>
          </cell>
          <cell r="BQ824" t="e">
            <v>#VALUE!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 t="str">
            <v/>
          </cell>
          <cell r="BX824" t="str">
            <v/>
          </cell>
          <cell r="BY824">
            <v>1.5</v>
          </cell>
          <cell r="BZ824">
            <v>1.1429999999999998</v>
          </cell>
        </row>
        <row r="825">
          <cell r="B825" t="str">
            <v/>
          </cell>
          <cell r="C825">
            <v>0</v>
          </cell>
          <cell r="D825" t="str">
            <v/>
          </cell>
          <cell r="H825" t="str">
            <v/>
          </cell>
          <cell r="I825" t="e">
            <v>#N/A</v>
          </cell>
          <cell r="J825" t="e">
            <v>#N/A</v>
          </cell>
          <cell r="K825" t="e">
            <v>#N/A</v>
          </cell>
          <cell r="M825">
            <v>2.2000000000000002</v>
          </cell>
          <cell r="N825">
            <v>2.2000000000000002</v>
          </cell>
          <cell r="O825">
            <v>2</v>
          </cell>
          <cell r="P825">
            <v>2</v>
          </cell>
          <cell r="Q825">
            <v>0</v>
          </cell>
          <cell r="R825">
            <v>0</v>
          </cell>
          <cell r="S825">
            <v>2.2000000000000002</v>
          </cell>
          <cell r="T825">
            <v>0</v>
          </cell>
          <cell r="U825" t="str">
            <v/>
          </cell>
          <cell r="V825" t="str">
            <v>A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 t="e">
            <v>#DIV/0!</v>
          </cell>
          <cell r="AH825" t="e">
            <v>#DIV/0!</v>
          </cell>
          <cell r="AI825" t="e">
            <v>#DIV/0!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 t="e">
            <v>#N/A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0.9</v>
          </cell>
          <cell r="BH825">
            <v>1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 t="e">
            <v>#DIV/0!</v>
          </cell>
          <cell r="BO825">
            <v>38</v>
          </cell>
          <cell r="BP825">
            <v>0</v>
          </cell>
          <cell r="BQ825" t="e">
            <v>#VALUE!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 t="str">
            <v/>
          </cell>
          <cell r="BX825" t="str">
            <v/>
          </cell>
          <cell r="BY825">
            <v>1.5</v>
          </cell>
          <cell r="BZ825">
            <v>1.1429999999999998</v>
          </cell>
        </row>
        <row r="826">
          <cell r="B826" t="str">
            <v/>
          </cell>
          <cell r="C826">
            <v>0</v>
          </cell>
          <cell r="D826" t="str">
            <v/>
          </cell>
          <cell r="H826" t="str">
            <v/>
          </cell>
          <cell r="I826" t="e">
            <v>#N/A</v>
          </cell>
          <cell r="J826" t="e">
            <v>#N/A</v>
          </cell>
          <cell r="K826" t="e">
            <v>#N/A</v>
          </cell>
          <cell r="M826">
            <v>2.2000000000000002</v>
          </cell>
          <cell r="N826">
            <v>2.2000000000000002</v>
          </cell>
          <cell r="O826">
            <v>2</v>
          </cell>
          <cell r="P826">
            <v>2</v>
          </cell>
          <cell r="Q826">
            <v>0</v>
          </cell>
          <cell r="R826">
            <v>0</v>
          </cell>
          <cell r="S826">
            <v>2.2000000000000002</v>
          </cell>
          <cell r="T826">
            <v>0</v>
          </cell>
          <cell r="U826" t="str">
            <v/>
          </cell>
          <cell r="V826" t="str">
            <v>A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 t="e">
            <v>#DIV/0!</v>
          </cell>
          <cell r="AH826" t="e">
            <v>#DIV/0!</v>
          </cell>
          <cell r="AI826" t="e">
            <v>#DIV/0!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 t="e">
            <v>#N/A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0.9</v>
          </cell>
          <cell r="BH826">
            <v>1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 t="e">
            <v>#DIV/0!</v>
          </cell>
          <cell r="BO826">
            <v>38</v>
          </cell>
          <cell r="BP826">
            <v>0</v>
          </cell>
          <cell r="BQ826" t="e">
            <v>#VALUE!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 t="str">
            <v/>
          </cell>
          <cell r="BX826" t="str">
            <v/>
          </cell>
          <cell r="BY826">
            <v>1.5</v>
          </cell>
          <cell r="BZ826">
            <v>1.1429999999999998</v>
          </cell>
        </row>
        <row r="827">
          <cell r="B827" t="str">
            <v/>
          </cell>
          <cell r="C827">
            <v>0</v>
          </cell>
          <cell r="D827" t="str">
            <v/>
          </cell>
          <cell r="H827" t="str">
            <v/>
          </cell>
          <cell r="I827" t="e">
            <v>#N/A</v>
          </cell>
          <cell r="J827" t="e">
            <v>#N/A</v>
          </cell>
          <cell r="K827" t="e">
            <v>#N/A</v>
          </cell>
          <cell r="M827">
            <v>2.2000000000000002</v>
          </cell>
          <cell r="N827">
            <v>2.2000000000000002</v>
          </cell>
          <cell r="O827">
            <v>2</v>
          </cell>
          <cell r="P827">
            <v>2</v>
          </cell>
          <cell r="Q827">
            <v>0</v>
          </cell>
          <cell r="R827">
            <v>0</v>
          </cell>
          <cell r="S827">
            <v>2.2000000000000002</v>
          </cell>
          <cell r="T827">
            <v>0</v>
          </cell>
          <cell r="U827" t="str">
            <v/>
          </cell>
          <cell r="V827" t="str">
            <v>A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 t="e">
            <v>#DIV/0!</v>
          </cell>
          <cell r="AH827" t="e">
            <v>#DIV/0!</v>
          </cell>
          <cell r="AI827" t="e">
            <v>#DIV/0!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 t="e">
            <v>#N/A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0.9</v>
          </cell>
          <cell r="BH827">
            <v>1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 t="e">
            <v>#DIV/0!</v>
          </cell>
          <cell r="BO827">
            <v>38</v>
          </cell>
          <cell r="BP827">
            <v>0</v>
          </cell>
          <cell r="BQ827" t="e">
            <v>#VALUE!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 t="str">
            <v/>
          </cell>
          <cell r="BX827" t="str">
            <v/>
          </cell>
          <cell r="BY827">
            <v>1.5</v>
          </cell>
          <cell r="BZ827">
            <v>1.1429999999999998</v>
          </cell>
        </row>
        <row r="828">
          <cell r="B828" t="str">
            <v/>
          </cell>
          <cell r="C828">
            <v>0</v>
          </cell>
          <cell r="D828" t="str">
            <v/>
          </cell>
          <cell r="H828" t="str">
            <v/>
          </cell>
          <cell r="I828" t="e">
            <v>#N/A</v>
          </cell>
          <cell r="J828" t="e">
            <v>#N/A</v>
          </cell>
          <cell r="K828" t="e">
            <v>#N/A</v>
          </cell>
          <cell r="M828">
            <v>2.2000000000000002</v>
          </cell>
          <cell r="N828">
            <v>2.2000000000000002</v>
          </cell>
          <cell r="O828">
            <v>2</v>
          </cell>
          <cell r="P828">
            <v>2</v>
          </cell>
          <cell r="Q828">
            <v>0</v>
          </cell>
          <cell r="R828">
            <v>0</v>
          </cell>
          <cell r="S828">
            <v>2.2000000000000002</v>
          </cell>
          <cell r="T828">
            <v>0</v>
          </cell>
          <cell r="U828" t="str">
            <v/>
          </cell>
          <cell r="V828" t="str">
            <v>A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 t="e">
            <v>#DIV/0!</v>
          </cell>
          <cell r="AH828" t="e">
            <v>#DIV/0!</v>
          </cell>
          <cell r="AI828" t="e">
            <v>#DIV/0!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 t="e">
            <v>#N/A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0.9</v>
          </cell>
          <cell r="BH828">
            <v>1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 t="e">
            <v>#DIV/0!</v>
          </cell>
          <cell r="BO828">
            <v>38</v>
          </cell>
          <cell r="BP828">
            <v>0</v>
          </cell>
          <cell r="BQ828" t="e">
            <v>#VALUE!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 t="str">
            <v/>
          </cell>
          <cell r="BX828" t="str">
            <v/>
          </cell>
          <cell r="BY828">
            <v>1.5</v>
          </cell>
          <cell r="BZ828">
            <v>1.1429999999999998</v>
          </cell>
        </row>
        <row r="829">
          <cell r="B829" t="str">
            <v/>
          </cell>
          <cell r="C829">
            <v>0</v>
          </cell>
          <cell r="D829" t="str">
            <v/>
          </cell>
          <cell r="H829" t="str">
            <v/>
          </cell>
          <cell r="I829" t="e">
            <v>#N/A</v>
          </cell>
          <cell r="J829" t="e">
            <v>#N/A</v>
          </cell>
          <cell r="K829" t="e">
            <v>#N/A</v>
          </cell>
          <cell r="M829">
            <v>2.2000000000000002</v>
          </cell>
          <cell r="N829">
            <v>2.2000000000000002</v>
          </cell>
          <cell r="O829">
            <v>2</v>
          </cell>
          <cell r="P829">
            <v>2</v>
          </cell>
          <cell r="Q829">
            <v>0</v>
          </cell>
          <cell r="R829">
            <v>0</v>
          </cell>
          <cell r="S829">
            <v>2.2000000000000002</v>
          </cell>
          <cell r="T829">
            <v>0</v>
          </cell>
          <cell r="U829" t="str">
            <v/>
          </cell>
          <cell r="V829" t="str">
            <v>A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 t="e">
            <v>#DIV/0!</v>
          </cell>
          <cell r="AH829" t="e">
            <v>#DIV/0!</v>
          </cell>
          <cell r="AI829" t="e">
            <v>#DIV/0!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 t="e">
            <v>#N/A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0.9</v>
          </cell>
          <cell r="BH829">
            <v>1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 t="e">
            <v>#DIV/0!</v>
          </cell>
          <cell r="BO829">
            <v>38</v>
          </cell>
          <cell r="BP829">
            <v>0</v>
          </cell>
          <cell r="BQ829" t="e">
            <v>#VALUE!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 t="str">
            <v/>
          </cell>
          <cell r="BX829" t="str">
            <v/>
          </cell>
          <cell r="BY829">
            <v>1.5</v>
          </cell>
          <cell r="BZ829">
            <v>1.1429999999999998</v>
          </cell>
        </row>
        <row r="830">
          <cell r="B830" t="str">
            <v/>
          </cell>
          <cell r="C830">
            <v>0</v>
          </cell>
          <cell r="D830" t="str">
            <v/>
          </cell>
          <cell r="H830" t="str">
            <v/>
          </cell>
          <cell r="I830" t="e">
            <v>#N/A</v>
          </cell>
          <cell r="J830" t="e">
            <v>#N/A</v>
          </cell>
          <cell r="K830" t="e">
            <v>#N/A</v>
          </cell>
          <cell r="M830">
            <v>2.2000000000000002</v>
          </cell>
          <cell r="N830">
            <v>2.2000000000000002</v>
          </cell>
          <cell r="O830">
            <v>2</v>
          </cell>
          <cell r="P830">
            <v>2</v>
          </cell>
          <cell r="Q830">
            <v>0</v>
          </cell>
          <cell r="R830">
            <v>0</v>
          </cell>
          <cell r="S830">
            <v>2.2000000000000002</v>
          </cell>
          <cell r="T830">
            <v>0</v>
          </cell>
          <cell r="U830" t="str">
            <v/>
          </cell>
          <cell r="V830" t="str">
            <v>A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 t="e">
            <v>#DIV/0!</v>
          </cell>
          <cell r="AH830" t="e">
            <v>#DIV/0!</v>
          </cell>
          <cell r="AI830" t="e">
            <v>#DIV/0!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 t="e">
            <v>#N/A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0.9</v>
          </cell>
          <cell r="BH830">
            <v>1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 t="e">
            <v>#DIV/0!</v>
          </cell>
          <cell r="BO830">
            <v>38</v>
          </cell>
          <cell r="BP830">
            <v>0</v>
          </cell>
          <cell r="BQ830" t="e">
            <v>#VALUE!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 t="str">
            <v/>
          </cell>
          <cell r="BX830" t="str">
            <v/>
          </cell>
          <cell r="BY830">
            <v>1.5</v>
          </cell>
          <cell r="BZ830">
            <v>1.1429999999999998</v>
          </cell>
        </row>
        <row r="831">
          <cell r="B831" t="str">
            <v/>
          </cell>
          <cell r="C831">
            <v>0</v>
          </cell>
          <cell r="D831" t="str">
            <v/>
          </cell>
          <cell r="H831" t="str">
            <v/>
          </cell>
          <cell r="I831" t="e">
            <v>#N/A</v>
          </cell>
          <cell r="J831" t="e">
            <v>#N/A</v>
          </cell>
          <cell r="K831" t="e">
            <v>#N/A</v>
          </cell>
          <cell r="M831">
            <v>2.2000000000000002</v>
          </cell>
          <cell r="N831">
            <v>2.2000000000000002</v>
          </cell>
          <cell r="O831">
            <v>2</v>
          </cell>
          <cell r="P831">
            <v>2</v>
          </cell>
          <cell r="Q831">
            <v>0</v>
          </cell>
          <cell r="R831">
            <v>0</v>
          </cell>
          <cell r="S831">
            <v>2.2000000000000002</v>
          </cell>
          <cell r="T831">
            <v>0</v>
          </cell>
          <cell r="U831" t="str">
            <v/>
          </cell>
          <cell r="V831" t="str">
            <v>A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 t="e">
            <v>#DIV/0!</v>
          </cell>
          <cell r="AH831" t="e">
            <v>#DIV/0!</v>
          </cell>
          <cell r="AI831" t="e">
            <v>#DIV/0!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 t="e">
            <v>#N/A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0.9</v>
          </cell>
          <cell r="BH831">
            <v>1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 t="e">
            <v>#DIV/0!</v>
          </cell>
          <cell r="BO831">
            <v>38</v>
          </cell>
          <cell r="BP831">
            <v>0</v>
          </cell>
          <cell r="BQ831" t="e">
            <v>#VALUE!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 t="str">
            <v/>
          </cell>
          <cell r="BX831" t="str">
            <v/>
          </cell>
          <cell r="BY831">
            <v>1.5</v>
          </cell>
          <cell r="BZ831">
            <v>1.1429999999999998</v>
          </cell>
        </row>
        <row r="832">
          <cell r="B832" t="str">
            <v/>
          </cell>
          <cell r="C832">
            <v>0</v>
          </cell>
          <cell r="D832" t="str">
            <v/>
          </cell>
          <cell r="H832" t="str">
            <v/>
          </cell>
          <cell r="I832" t="e">
            <v>#N/A</v>
          </cell>
          <cell r="J832" t="e">
            <v>#N/A</v>
          </cell>
          <cell r="K832" t="e">
            <v>#N/A</v>
          </cell>
          <cell r="M832">
            <v>2.2000000000000002</v>
          </cell>
          <cell r="N832">
            <v>2.2000000000000002</v>
          </cell>
          <cell r="O832">
            <v>2</v>
          </cell>
          <cell r="P832">
            <v>2</v>
          </cell>
          <cell r="Q832">
            <v>0</v>
          </cell>
          <cell r="R832">
            <v>0</v>
          </cell>
          <cell r="S832">
            <v>2.2000000000000002</v>
          </cell>
          <cell r="T832">
            <v>0</v>
          </cell>
          <cell r="U832" t="str">
            <v/>
          </cell>
          <cell r="V832" t="str">
            <v>A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 t="e">
            <v>#DIV/0!</v>
          </cell>
          <cell r="AH832" t="e">
            <v>#DIV/0!</v>
          </cell>
          <cell r="AI832" t="e">
            <v>#DIV/0!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 t="e">
            <v>#N/A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0.9</v>
          </cell>
          <cell r="BH832">
            <v>1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 t="e">
            <v>#DIV/0!</v>
          </cell>
          <cell r="BO832">
            <v>38</v>
          </cell>
          <cell r="BP832">
            <v>0</v>
          </cell>
          <cell r="BQ832" t="e">
            <v>#VALUE!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 t="str">
            <v/>
          </cell>
          <cell r="BX832" t="str">
            <v/>
          </cell>
          <cell r="BY832">
            <v>1.5</v>
          </cell>
          <cell r="BZ832">
            <v>1.1429999999999998</v>
          </cell>
        </row>
        <row r="833">
          <cell r="B833" t="str">
            <v/>
          </cell>
          <cell r="C833">
            <v>0</v>
          </cell>
          <cell r="D833" t="str">
            <v/>
          </cell>
          <cell r="H833" t="str">
            <v/>
          </cell>
          <cell r="I833" t="e">
            <v>#N/A</v>
          </cell>
          <cell r="J833" t="e">
            <v>#N/A</v>
          </cell>
          <cell r="K833" t="e">
            <v>#N/A</v>
          </cell>
          <cell r="M833">
            <v>2.2000000000000002</v>
          </cell>
          <cell r="N833">
            <v>2.2000000000000002</v>
          </cell>
          <cell r="O833">
            <v>2</v>
          </cell>
          <cell r="P833">
            <v>2</v>
          </cell>
          <cell r="Q833">
            <v>0</v>
          </cell>
          <cell r="R833">
            <v>0</v>
          </cell>
          <cell r="S833">
            <v>2.2000000000000002</v>
          </cell>
          <cell r="T833">
            <v>0</v>
          </cell>
          <cell r="U833" t="str">
            <v/>
          </cell>
          <cell r="V833" t="str">
            <v>A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 t="e">
            <v>#DIV/0!</v>
          </cell>
          <cell r="AH833" t="e">
            <v>#DIV/0!</v>
          </cell>
          <cell r="AI833" t="e">
            <v>#DIV/0!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 t="e">
            <v>#N/A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0.9</v>
          </cell>
          <cell r="BH833">
            <v>1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 t="e">
            <v>#DIV/0!</v>
          </cell>
          <cell r="BO833">
            <v>38</v>
          </cell>
          <cell r="BP833">
            <v>0</v>
          </cell>
          <cell r="BQ833" t="e">
            <v>#VALUE!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 t="str">
            <v/>
          </cell>
          <cell r="BX833" t="str">
            <v/>
          </cell>
          <cell r="BY833">
            <v>1.5</v>
          </cell>
          <cell r="BZ833">
            <v>1.1429999999999998</v>
          </cell>
        </row>
        <row r="834">
          <cell r="B834" t="str">
            <v/>
          </cell>
          <cell r="C834">
            <v>0</v>
          </cell>
          <cell r="D834" t="str">
            <v/>
          </cell>
          <cell r="H834" t="str">
            <v/>
          </cell>
          <cell r="I834" t="e">
            <v>#N/A</v>
          </cell>
          <cell r="J834" t="e">
            <v>#N/A</v>
          </cell>
          <cell r="K834" t="e">
            <v>#N/A</v>
          </cell>
          <cell r="M834">
            <v>2.2000000000000002</v>
          </cell>
          <cell r="N834">
            <v>2.2000000000000002</v>
          </cell>
          <cell r="O834">
            <v>2</v>
          </cell>
          <cell r="P834">
            <v>2</v>
          </cell>
          <cell r="Q834">
            <v>0</v>
          </cell>
          <cell r="R834">
            <v>0</v>
          </cell>
          <cell r="S834">
            <v>2.2000000000000002</v>
          </cell>
          <cell r="T834">
            <v>0</v>
          </cell>
          <cell r="U834" t="str">
            <v/>
          </cell>
          <cell r="V834" t="str">
            <v>A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 t="e">
            <v>#DIV/0!</v>
          </cell>
          <cell r="AH834" t="e">
            <v>#DIV/0!</v>
          </cell>
          <cell r="AI834" t="e">
            <v>#DIV/0!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 t="e">
            <v>#N/A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0.9</v>
          </cell>
          <cell r="BH834">
            <v>1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 t="e">
            <v>#DIV/0!</v>
          </cell>
          <cell r="BO834">
            <v>38</v>
          </cell>
          <cell r="BP834">
            <v>0</v>
          </cell>
          <cell r="BQ834" t="e">
            <v>#VALUE!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 t="str">
            <v/>
          </cell>
          <cell r="BX834" t="str">
            <v/>
          </cell>
          <cell r="BY834">
            <v>1.5</v>
          </cell>
          <cell r="BZ834">
            <v>1.1429999999999998</v>
          </cell>
        </row>
        <row r="835">
          <cell r="B835" t="str">
            <v/>
          </cell>
          <cell r="C835">
            <v>0</v>
          </cell>
          <cell r="D835" t="str">
            <v/>
          </cell>
          <cell r="H835" t="str">
            <v/>
          </cell>
          <cell r="I835" t="e">
            <v>#N/A</v>
          </cell>
          <cell r="J835" t="e">
            <v>#N/A</v>
          </cell>
          <cell r="K835" t="e">
            <v>#N/A</v>
          </cell>
          <cell r="M835">
            <v>2.2000000000000002</v>
          </cell>
          <cell r="N835">
            <v>2.2000000000000002</v>
          </cell>
          <cell r="O835">
            <v>2</v>
          </cell>
          <cell r="P835">
            <v>2</v>
          </cell>
          <cell r="Q835">
            <v>0</v>
          </cell>
          <cell r="R835">
            <v>0</v>
          </cell>
          <cell r="S835">
            <v>2.2000000000000002</v>
          </cell>
          <cell r="T835">
            <v>0</v>
          </cell>
          <cell r="U835" t="str">
            <v/>
          </cell>
          <cell r="V835" t="str">
            <v>A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 t="e">
            <v>#DIV/0!</v>
          </cell>
          <cell r="AH835" t="e">
            <v>#DIV/0!</v>
          </cell>
          <cell r="AI835" t="e">
            <v>#DIV/0!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 t="e">
            <v>#N/A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0.9</v>
          </cell>
          <cell r="BH835">
            <v>1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 t="e">
            <v>#DIV/0!</v>
          </cell>
          <cell r="BO835">
            <v>38</v>
          </cell>
          <cell r="BP835">
            <v>0</v>
          </cell>
          <cell r="BQ835" t="e">
            <v>#VALUE!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 t="str">
            <v/>
          </cell>
          <cell r="BX835" t="str">
            <v/>
          </cell>
          <cell r="BY835">
            <v>1.5</v>
          </cell>
          <cell r="BZ835">
            <v>1.1429999999999998</v>
          </cell>
        </row>
        <row r="836">
          <cell r="B836" t="str">
            <v/>
          </cell>
          <cell r="C836">
            <v>0</v>
          </cell>
          <cell r="D836" t="str">
            <v/>
          </cell>
          <cell r="H836" t="str">
            <v/>
          </cell>
          <cell r="I836" t="e">
            <v>#N/A</v>
          </cell>
          <cell r="J836" t="e">
            <v>#N/A</v>
          </cell>
          <cell r="K836" t="e">
            <v>#N/A</v>
          </cell>
          <cell r="M836">
            <v>2.2000000000000002</v>
          </cell>
          <cell r="N836">
            <v>2.2000000000000002</v>
          </cell>
          <cell r="O836">
            <v>2</v>
          </cell>
          <cell r="P836">
            <v>2</v>
          </cell>
          <cell r="Q836">
            <v>0</v>
          </cell>
          <cell r="R836">
            <v>0</v>
          </cell>
          <cell r="S836">
            <v>2.2000000000000002</v>
          </cell>
          <cell r="T836">
            <v>0</v>
          </cell>
          <cell r="U836" t="str">
            <v/>
          </cell>
          <cell r="V836" t="str">
            <v>A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 t="e">
            <v>#DIV/0!</v>
          </cell>
          <cell r="AH836" t="e">
            <v>#DIV/0!</v>
          </cell>
          <cell r="AI836" t="e">
            <v>#DIV/0!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 t="e">
            <v>#N/A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0.9</v>
          </cell>
          <cell r="BH836">
            <v>1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 t="e">
            <v>#DIV/0!</v>
          </cell>
          <cell r="BO836">
            <v>38</v>
          </cell>
          <cell r="BP836">
            <v>0</v>
          </cell>
          <cell r="BQ836" t="e">
            <v>#VALUE!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 t="str">
            <v/>
          </cell>
          <cell r="BX836" t="str">
            <v/>
          </cell>
          <cell r="BY836">
            <v>1.5</v>
          </cell>
          <cell r="BZ836">
            <v>1.1429999999999998</v>
          </cell>
        </row>
        <row r="837">
          <cell r="B837" t="str">
            <v/>
          </cell>
          <cell r="C837">
            <v>0</v>
          </cell>
          <cell r="D837" t="str">
            <v/>
          </cell>
          <cell r="H837" t="str">
            <v/>
          </cell>
          <cell r="I837" t="e">
            <v>#N/A</v>
          </cell>
          <cell r="J837" t="e">
            <v>#N/A</v>
          </cell>
          <cell r="K837" t="e">
            <v>#N/A</v>
          </cell>
          <cell r="M837">
            <v>2.2000000000000002</v>
          </cell>
          <cell r="N837">
            <v>2.2000000000000002</v>
          </cell>
          <cell r="O837">
            <v>2</v>
          </cell>
          <cell r="P837">
            <v>2</v>
          </cell>
          <cell r="Q837">
            <v>0</v>
          </cell>
          <cell r="R837">
            <v>0</v>
          </cell>
          <cell r="S837">
            <v>2.2000000000000002</v>
          </cell>
          <cell r="T837">
            <v>0</v>
          </cell>
          <cell r="U837" t="str">
            <v/>
          </cell>
          <cell r="V837" t="str">
            <v>A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 t="e">
            <v>#DIV/0!</v>
          </cell>
          <cell r="AH837" t="e">
            <v>#DIV/0!</v>
          </cell>
          <cell r="AI837" t="e">
            <v>#DIV/0!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 t="e">
            <v>#N/A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0.9</v>
          </cell>
          <cell r="BH837">
            <v>1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 t="e">
            <v>#DIV/0!</v>
          </cell>
          <cell r="BO837">
            <v>38</v>
          </cell>
          <cell r="BP837">
            <v>0</v>
          </cell>
          <cell r="BQ837" t="e">
            <v>#VALUE!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 t="str">
            <v/>
          </cell>
          <cell r="BX837" t="str">
            <v/>
          </cell>
          <cell r="BY837">
            <v>1.5</v>
          </cell>
          <cell r="BZ837">
            <v>1.1429999999999998</v>
          </cell>
        </row>
        <row r="838">
          <cell r="B838" t="str">
            <v/>
          </cell>
          <cell r="C838">
            <v>0</v>
          </cell>
          <cell r="D838" t="str">
            <v/>
          </cell>
          <cell r="H838" t="str">
            <v/>
          </cell>
          <cell r="I838" t="e">
            <v>#N/A</v>
          </cell>
          <cell r="J838" t="e">
            <v>#N/A</v>
          </cell>
          <cell r="K838" t="e">
            <v>#N/A</v>
          </cell>
          <cell r="M838">
            <v>2.2000000000000002</v>
          </cell>
          <cell r="N838">
            <v>2.2000000000000002</v>
          </cell>
          <cell r="O838">
            <v>2</v>
          </cell>
          <cell r="P838">
            <v>2</v>
          </cell>
          <cell r="Q838">
            <v>0</v>
          </cell>
          <cell r="R838">
            <v>0</v>
          </cell>
          <cell r="S838">
            <v>2.2000000000000002</v>
          </cell>
          <cell r="T838">
            <v>0</v>
          </cell>
          <cell r="U838" t="str">
            <v/>
          </cell>
          <cell r="V838" t="str">
            <v>A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 t="e">
            <v>#DIV/0!</v>
          </cell>
          <cell r="AH838" t="e">
            <v>#DIV/0!</v>
          </cell>
          <cell r="AI838" t="e">
            <v>#DIV/0!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 t="e">
            <v>#N/A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0.9</v>
          </cell>
          <cell r="BH838">
            <v>1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 t="e">
            <v>#DIV/0!</v>
          </cell>
          <cell r="BO838">
            <v>38</v>
          </cell>
          <cell r="BP838">
            <v>0</v>
          </cell>
          <cell r="BQ838" t="e">
            <v>#VALUE!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 t="str">
            <v/>
          </cell>
          <cell r="BX838" t="str">
            <v/>
          </cell>
          <cell r="BY838">
            <v>1.5</v>
          </cell>
          <cell r="BZ838">
            <v>1.1429999999999998</v>
          </cell>
        </row>
        <row r="839">
          <cell r="B839" t="str">
            <v/>
          </cell>
          <cell r="C839">
            <v>0</v>
          </cell>
          <cell r="D839" t="str">
            <v/>
          </cell>
          <cell r="F839" t="str">
            <v/>
          </cell>
          <cell r="H839" t="str">
            <v/>
          </cell>
          <cell r="I839" t="e">
            <v>#N/A</v>
          </cell>
          <cell r="J839" t="e">
            <v>#N/A</v>
          </cell>
          <cell r="K839" t="e">
            <v>#N/A</v>
          </cell>
          <cell r="M839">
            <v>2.2000000000000002</v>
          </cell>
          <cell r="N839">
            <v>2.2000000000000002</v>
          </cell>
          <cell r="O839">
            <v>2</v>
          </cell>
          <cell r="P839">
            <v>2</v>
          </cell>
          <cell r="Q839">
            <v>0</v>
          </cell>
          <cell r="R839">
            <v>0</v>
          </cell>
          <cell r="S839">
            <v>2.2000000000000002</v>
          </cell>
          <cell r="T839">
            <v>0</v>
          </cell>
          <cell r="U839" t="str">
            <v/>
          </cell>
          <cell r="V839" t="str">
            <v>A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 t="e">
            <v>#DIV/0!</v>
          </cell>
          <cell r="AH839" t="e">
            <v>#DIV/0!</v>
          </cell>
          <cell r="AI839" t="e">
            <v>#DIV/0!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 t="e">
            <v>#N/A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0.9</v>
          </cell>
          <cell r="BH839">
            <v>1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 t="e">
            <v>#DIV/0!</v>
          </cell>
          <cell r="BO839">
            <v>38</v>
          </cell>
          <cell r="BP839">
            <v>0</v>
          </cell>
          <cell r="BQ839" t="e">
            <v>#VALUE!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 t="str">
            <v/>
          </cell>
          <cell r="BX839" t="str">
            <v/>
          </cell>
          <cell r="BY839">
            <v>1.5</v>
          </cell>
          <cell r="BZ839">
            <v>1.1429999999999998</v>
          </cell>
        </row>
        <row r="840">
          <cell r="B840" t="str">
            <v/>
          </cell>
          <cell r="C840">
            <v>0</v>
          </cell>
          <cell r="D840" t="str">
            <v/>
          </cell>
          <cell r="F840" t="str">
            <v/>
          </cell>
          <cell r="H840" t="str">
            <v/>
          </cell>
          <cell r="I840" t="e">
            <v>#N/A</v>
          </cell>
          <cell r="J840" t="e">
            <v>#N/A</v>
          </cell>
          <cell r="K840" t="e">
            <v>#N/A</v>
          </cell>
          <cell r="M840">
            <v>2.2000000000000002</v>
          </cell>
          <cell r="N840">
            <v>2.2000000000000002</v>
          </cell>
          <cell r="O840">
            <v>2</v>
          </cell>
          <cell r="P840">
            <v>2</v>
          </cell>
          <cell r="Q840">
            <v>0</v>
          </cell>
          <cell r="R840">
            <v>0</v>
          </cell>
          <cell r="S840">
            <v>2.2000000000000002</v>
          </cell>
          <cell r="T840">
            <v>0</v>
          </cell>
          <cell r="U840" t="str">
            <v/>
          </cell>
          <cell r="V840" t="str">
            <v>A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 t="e">
            <v>#DIV/0!</v>
          </cell>
          <cell r="AH840" t="e">
            <v>#DIV/0!</v>
          </cell>
          <cell r="AI840" t="e">
            <v>#DIV/0!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 t="e">
            <v>#N/A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0.9</v>
          </cell>
          <cell r="BH840">
            <v>1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 t="e">
            <v>#DIV/0!</v>
          </cell>
          <cell r="BO840">
            <v>38</v>
          </cell>
          <cell r="BP840">
            <v>0</v>
          </cell>
          <cell r="BQ840" t="e">
            <v>#VALUE!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 t="str">
            <v/>
          </cell>
          <cell r="BX840" t="str">
            <v/>
          </cell>
          <cell r="BY840">
            <v>1.5</v>
          </cell>
          <cell r="BZ840">
            <v>1.1429999999999998</v>
          </cell>
        </row>
        <row r="841">
          <cell r="B841" t="str">
            <v/>
          </cell>
          <cell r="C841">
            <v>0</v>
          </cell>
          <cell r="D841" t="str">
            <v/>
          </cell>
          <cell r="F841" t="str">
            <v/>
          </cell>
          <cell r="H841" t="str">
            <v/>
          </cell>
          <cell r="I841" t="e">
            <v>#N/A</v>
          </cell>
          <cell r="J841" t="e">
            <v>#N/A</v>
          </cell>
          <cell r="K841" t="e">
            <v>#N/A</v>
          </cell>
          <cell r="M841">
            <v>2.2000000000000002</v>
          </cell>
          <cell r="N841">
            <v>2.2000000000000002</v>
          </cell>
          <cell r="O841">
            <v>2</v>
          </cell>
          <cell r="P841">
            <v>2</v>
          </cell>
          <cell r="Q841">
            <v>0</v>
          </cell>
          <cell r="R841">
            <v>0</v>
          </cell>
          <cell r="S841">
            <v>2.2000000000000002</v>
          </cell>
          <cell r="T841">
            <v>0</v>
          </cell>
          <cell r="U841" t="str">
            <v/>
          </cell>
          <cell r="V841" t="str">
            <v>A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 t="e">
            <v>#DIV/0!</v>
          </cell>
          <cell r="AH841" t="e">
            <v>#DIV/0!</v>
          </cell>
          <cell r="AI841" t="e">
            <v>#DIV/0!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 t="e">
            <v>#N/A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0.9</v>
          </cell>
          <cell r="BH841">
            <v>1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 t="e">
            <v>#DIV/0!</v>
          </cell>
          <cell r="BO841">
            <v>38</v>
          </cell>
          <cell r="BP841">
            <v>0</v>
          </cell>
          <cell r="BQ841" t="e">
            <v>#VALUE!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 t="str">
            <v/>
          </cell>
          <cell r="BX841" t="str">
            <v/>
          </cell>
          <cell r="BY841">
            <v>1.5</v>
          </cell>
          <cell r="BZ841">
            <v>1.1429999999999998</v>
          </cell>
        </row>
        <row r="842">
          <cell r="B842" t="str">
            <v/>
          </cell>
          <cell r="C842">
            <v>0</v>
          </cell>
          <cell r="D842" t="str">
            <v/>
          </cell>
          <cell r="F842" t="str">
            <v/>
          </cell>
          <cell r="H842" t="str">
            <v/>
          </cell>
          <cell r="I842" t="e">
            <v>#N/A</v>
          </cell>
          <cell r="J842" t="e">
            <v>#N/A</v>
          </cell>
          <cell r="K842" t="e">
            <v>#N/A</v>
          </cell>
          <cell r="M842">
            <v>2.2000000000000002</v>
          </cell>
          <cell r="N842">
            <v>2.2000000000000002</v>
          </cell>
          <cell r="O842">
            <v>2</v>
          </cell>
          <cell r="P842">
            <v>2</v>
          </cell>
          <cell r="Q842">
            <v>0</v>
          </cell>
          <cell r="R842">
            <v>0</v>
          </cell>
          <cell r="S842">
            <v>2.2000000000000002</v>
          </cell>
          <cell r="T842">
            <v>0</v>
          </cell>
          <cell r="U842" t="str">
            <v/>
          </cell>
          <cell r="V842" t="str">
            <v>A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 t="e">
            <v>#DIV/0!</v>
          </cell>
          <cell r="AH842" t="e">
            <v>#DIV/0!</v>
          </cell>
          <cell r="AI842" t="e">
            <v>#DIV/0!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 t="e">
            <v>#N/A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0.9</v>
          </cell>
          <cell r="BH842">
            <v>1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 t="e">
            <v>#DIV/0!</v>
          </cell>
          <cell r="BO842">
            <v>38</v>
          </cell>
          <cell r="BP842">
            <v>0</v>
          </cell>
          <cell r="BQ842" t="e">
            <v>#VALUE!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 t="str">
            <v/>
          </cell>
          <cell r="BX842" t="str">
            <v/>
          </cell>
          <cell r="BY842">
            <v>1.5</v>
          </cell>
          <cell r="BZ842">
            <v>1.1429999999999998</v>
          </cell>
        </row>
        <row r="843">
          <cell r="B843" t="str">
            <v/>
          </cell>
          <cell r="C843">
            <v>0</v>
          </cell>
          <cell r="D843" t="str">
            <v/>
          </cell>
          <cell r="F843" t="str">
            <v/>
          </cell>
          <cell r="H843" t="str">
            <v/>
          </cell>
          <cell r="I843" t="e">
            <v>#N/A</v>
          </cell>
          <cell r="J843" t="e">
            <v>#N/A</v>
          </cell>
          <cell r="K843" t="e">
            <v>#N/A</v>
          </cell>
          <cell r="M843">
            <v>2.2000000000000002</v>
          </cell>
          <cell r="N843">
            <v>2.2000000000000002</v>
          </cell>
          <cell r="O843">
            <v>2</v>
          </cell>
          <cell r="P843">
            <v>2</v>
          </cell>
          <cell r="Q843">
            <v>0</v>
          </cell>
          <cell r="R843">
            <v>0</v>
          </cell>
          <cell r="S843">
            <v>2.2000000000000002</v>
          </cell>
          <cell r="T843">
            <v>0</v>
          </cell>
          <cell r="U843" t="str">
            <v/>
          </cell>
          <cell r="V843" t="str">
            <v>A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 t="e">
            <v>#DIV/0!</v>
          </cell>
          <cell r="AH843" t="e">
            <v>#DIV/0!</v>
          </cell>
          <cell r="AI843" t="e">
            <v>#DIV/0!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 t="e">
            <v>#N/A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0.9</v>
          </cell>
          <cell r="BH843">
            <v>1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 t="e">
            <v>#DIV/0!</v>
          </cell>
          <cell r="BO843">
            <v>38</v>
          </cell>
          <cell r="BP843">
            <v>0</v>
          </cell>
          <cell r="BQ843" t="e">
            <v>#VALUE!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 t="str">
            <v/>
          </cell>
          <cell r="BX843" t="str">
            <v/>
          </cell>
          <cell r="BY843">
            <v>1.5</v>
          </cell>
          <cell r="BZ843">
            <v>1.1429999999999998</v>
          </cell>
        </row>
        <row r="844">
          <cell r="B844" t="str">
            <v/>
          </cell>
          <cell r="C844">
            <v>0</v>
          </cell>
          <cell r="D844" t="str">
            <v/>
          </cell>
          <cell r="F844" t="str">
            <v/>
          </cell>
          <cell r="H844" t="str">
            <v/>
          </cell>
          <cell r="I844" t="e">
            <v>#N/A</v>
          </cell>
          <cell r="J844" t="e">
            <v>#N/A</v>
          </cell>
          <cell r="K844" t="e">
            <v>#N/A</v>
          </cell>
          <cell r="M844">
            <v>2.2000000000000002</v>
          </cell>
          <cell r="N844">
            <v>2.2000000000000002</v>
          </cell>
          <cell r="O844">
            <v>2</v>
          </cell>
          <cell r="P844">
            <v>2</v>
          </cell>
          <cell r="Q844">
            <v>0</v>
          </cell>
          <cell r="R844">
            <v>0</v>
          </cell>
          <cell r="S844">
            <v>2.2000000000000002</v>
          </cell>
          <cell r="T844">
            <v>0</v>
          </cell>
          <cell r="U844" t="str">
            <v/>
          </cell>
          <cell r="V844" t="str">
            <v>A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 t="e">
            <v>#DIV/0!</v>
          </cell>
          <cell r="AH844" t="e">
            <v>#DIV/0!</v>
          </cell>
          <cell r="AI844" t="e">
            <v>#DIV/0!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 t="e">
            <v>#N/A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0.9</v>
          </cell>
          <cell r="BH844">
            <v>1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 t="e">
            <v>#DIV/0!</v>
          </cell>
          <cell r="BO844">
            <v>38</v>
          </cell>
          <cell r="BP844">
            <v>0</v>
          </cell>
          <cell r="BQ844" t="e">
            <v>#VALUE!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 t="str">
            <v/>
          </cell>
          <cell r="BX844" t="str">
            <v/>
          </cell>
          <cell r="BY844">
            <v>1.5</v>
          </cell>
          <cell r="BZ844">
            <v>1.1429999999999998</v>
          </cell>
        </row>
        <row r="845">
          <cell r="B845" t="str">
            <v/>
          </cell>
          <cell r="D845" t="str">
            <v/>
          </cell>
          <cell r="F845" t="str">
            <v/>
          </cell>
          <cell r="H845" t="str">
            <v/>
          </cell>
          <cell r="I845" t="e">
            <v>#N/A</v>
          </cell>
          <cell r="J845" t="e">
            <v>#N/A</v>
          </cell>
          <cell r="K845" t="e">
            <v>#N/A</v>
          </cell>
          <cell r="M845">
            <v>2.2000000000000002</v>
          </cell>
          <cell r="N845">
            <v>2.2000000000000002</v>
          </cell>
          <cell r="O845">
            <v>2</v>
          </cell>
          <cell r="P845">
            <v>2</v>
          </cell>
          <cell r="Q845">
            <v>0</v>
          </cell>
          <cell r="R845">
            <v>0</v>
          </cell>
          <cell r="S845">
            <v>2.2000000000000002</v>
          </cell>
          <cell r="T845">
            <v>0</v>
          </cell>
          <cell r="U845" t="str">
            <v/>
          </cell>
          <cell r="V845" t="str">
            <v>A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 t="e">
            <v>#DIV/0!</v>
          </cell>
          <cell r="AH845" t="e">
            <v>#DIV/0!</v>
          </cell>
          <cell r="AI845" t="e">
            <v>#DIV/0!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 t="e">
            <v>#N/A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0.9</v>
          </cell>
          <cell r="BH845">
            <v>1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 t="e">
            <v>#DIV/0!</v>
          </cell>
          <cell r="BO845">
            <v>38</v>
          </cell>
          <cell r="BP845">
            <v>0</v>
          </cell>
          <cell r="BQ845" t="e">
            <v>#VALUE!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 t="str">
            <v/>
          </cell>
          <cell r="BX845" t="str">
            <v/>
          </cell>
          <cell r="BY845">
            <v>1.5</v>
          </cell>
          <cell r="BZ845">
            <v>1.1429999999999998</v>
          </cell>
        </row>
        <row r="846">
          <cell r="B846" t="str">
            <v/>
          </cell>
          <cell r="C846">
            <v>0</v>
          </cell>
          <cell r="D846" t="str">
            <v/>
          </cell>
          <cell r="F846" t="str">
            <v/>
          </cell>
          <cell r="H846" t="str">
            <v/>
          </cell>
          <cell r="I846" t="e">
            <v>#N/A</v>
          </cell>
          <cell r="J846" t="e">
            <v>#N/A</v>
          </cell>
          <cell r="K846" t="e">
            <v>#N/A</v>
          </cell>
          <cell r="M846">
            <v>2.2000000000000002</v>
          </cell>
          <cell r="N846">
            <v>2.2000000000000002</v>
          </cell>
          <cell r="O846">
            <v>2</v>
          </cell>
          <cell r="P846">
            <v>2</v>
          </cell>
          <cell r="Q846">
            <v>0</v>
          </cell>
          <cell r="R846">
            <v>0</v>
          </cell>
          <cell r="S846">
            <v>2.2000000000000002</v>
          </cell>
          <cell r="T846">
            <v>0</v>
          </cell>
          <cell r="U846" t="str">
            <v/>
          </cell>
          <cell r="V846" t="str">
            <v>A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 t="e">
            <v>#DIV/0!</v>
          </cell>
          <cell r="AH846" t="e">
            <v>#DIV/0!</v>
          </cell>
          <cell r="AI846" t="e">
            <v>#DIV/0!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 t="e">
            <v>#N/A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0.9</v>
          </cell>
          <cell r="BH846">
            <v>1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 t="e">
            <v>#DIV/0!</v>
          </cell>
          <cell r="BO846">
            <v>38</v>
          </cell>
          <cell r="BP846">
            <v>0</v>
          </cell>
          <cell r="BQ846" t="e">
            <v>#VALUE!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 t="str">
            <v/>
          </cell>
          <cell r="BX846" t="str">
            <v/>
          </cell>
          <cell r="BY846">
            <v>1.5</v>
          </cell>
          <cell r="BZ846">
            <v>1.1429999999999998</v>
          </cell>
        </row>
        <row r="847">
          <cell r="B847" t="str">
            <v/>
          </cell>
          <cell r="C847">
            <v>0</v>
          </cell>
          <cell r="D847" t="str">
            <v/>
          </cell>
          <cell r="F847" t="str">
            <v/>
          </cell>
          <cell r="H847" t="str">
            <v/>
          </cell>
          <cell r="I847" t="e">
            <v>#N/A</v>
          </cell>
          <cell r="J847" t="e">
            <v>#N/A</v>
          </cell>
          <cell r="K847" t="e">
            <v>#N/A</v>
          </cell>
          <cell r="M847">
            <v>2.2000000000000002</v>
          </cell>
          <cell r="N847">
            <v>2.2000000000000002</v>
          </cell>
          <cell r="O847">
            <v>2</v>
          </cell>
          <cell r="P847">
            <v>2</v>
          </cell>
          <cell r="Q847">
            <v>0</v>
          </cell>
          <cell r="R847">
            <v>0</v>
          </cell>
          <cell r="S847">
            <v>2.2000000000000002</v>
          </cell>
          <cell r="T847">
            <v>0</v>
          </cell>
          <cell r="U847" t="str">
            <v/>
          </cell>
          <cell r="V847" t="str">
            <v>A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 t="e">
            <v>#DIV/0!</v>
          </cell>
          <cell r="AH847" t="e">
            <v>#DIV/0!</v>
          </cell>
          <cell r="AI847" t="e">
            <v>#DIV/0!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 t="e">
            <v>#N/A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0.9</v>
          </cell>
          <cell r="BH847">
            <v>1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 t="e">
            <v>#DIV/0!</v>
          </cell>
          <cell r="BO847">
            <v>38</v>
          </cell>
          <cell r="BP847">
            <v>0</v>
          </cell>
          <cell r="BQ847" t="e">
            <v>#VALUE!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 t="str">
            <v/>
          </cell>
          <cell r="BX847" t="str">
            <v/>
          </cell>
          <cell r="BY847">
            <v>1.5</v>
          </cell>
          <cell r="BZ847">
            <v>1.1429999999999998</v>
          </cell>
        </row>
        <row r="848">
          <cell r="B848" t="str">
            <v/>
          </cell>
          <cell r="C848">
            <v>0</v>
          </cell>
          <cell r="D848" t="str">
            <v/>
          </cell>
          <cell r="F848" t="str">
            <v/>
          </cell>
          <cell r="H848" t="str">
            <v/>
          </cell>
          <cell r="I848" t="e">
            <v>#N/A</v>
          </cell>
          <cell r="J848" t="e">
            <v>#N/A</v>
          </cell>
          <cell r="K848" t="e">
            <v>#N/A</v>
          </cell>
          <cell r="M848">
            <v>2.2000000000000002</v>
          </cell>
          <cell r="N848">
            <v>2.2000000000000002</v>
          </cell>
          <cell r="O848">
            <v>2</v>
          </cell>
          <cell r="P848">
            <v>2</v>
          </cell>
          <cell r="Q848">
            <v>0</v>
          </cell>
          <cell r="R848">
            <v>0</v>
          </cell>
          <cell r="S848">
            <v>2.2000000000000002</v>
          </cell>
          <cell r="T848">
            <v>0</v>
          </cell>
          <cell r="U848" t="str">
            <v/>
          </cell>
          <cell r="V848" t="str">
            <v>A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 t="e">
            <v>#DIV/0!</v>
          </cell>
          <cell r="AH848" t="e">
            <v>#DIV/0!</v>
          </cell>
          <cell r="AI848" t="e">
            <v>#DIV/0!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 t="e">
            <v>#N/A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0.9</v>
          </cell>
          <cell r="BH848">
            <v>1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 t="e">
            <v>#DIV/0!</v>
          </cell>
          <cell r="BO848">
            <v>38</v>
          </cell>
          <cell r="BP848">
            <v>0</v>
          </cell>
          <cell r="BQ848" t="e">
            <v>#VALUE!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 t="str">
            <v/>
          </cell>
          <cell r="BX848" t="str">
            <v/>
          </cell>
          <cell r="BY848">
            <v>1.5</v>
          </cell>
          <cell r="BZ848">
            <v>1.1429999999999998</v>
          </cell>
        </row>
        <row r="849">
          <cell r="B849" t="str">
            <v/>
          </cell>
          <cell r="C849">
            <v>0</v>
          </cell>
          <cell r="D849" t="str">
            <v/>
          </cell>
          <cell r="F849" t="str">
            <v/>
          </cell>
          <cell r="H849" t="str">
            <v/>
          </cell>
          <cell r="I849" t="e">
            <v>#N/A</v>
          </cell>
          <cell r="J849" t="e">
            <v>#N/A</v>
          </cell>
          <cell r="K849" t="e">
            <v>#N/A</v>
          </cell>
          <cell r="M849">
            <v>2.2000000000000002</v>
          </cell>
          <cell r="N849">
            <v>2.2000000000000002</v>
          </cell>
          <cell r="O849">
            <v>2</v>
          </cell>
          <cell r="P849">
            <v>2</v>
          </cell>
          <cell r="Q849">
            <v>0</v>
          </cell>
          <cell r="R849">
            <v>0</v>
          </cell>
          <cell r="S849">
            <v>2.2000000000000002</v>
          </cell>
          <cell r="T849">
            <v>0</v>
          </cell>
          <cell r="U849" t="str">
            <v/>
          </cell>
          <cell r="V849" t="str">
            <v>A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 t="e">
            <v>#DIV/0!</v>
          </cell>
          <cell r="AH849" t="e">
            <v>#DIV/0!</v>
          </cell>
          <cell r="AI849" t="e">
            <v>#DIV/0!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 t="e">
            <v>#N/A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0.9</v>
          </cell>
          <cell r="BH849">
            <v>1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 t="e">
            <v>#DIV/0!</v>
          </cell>
          <cell r="BO849">
            <v>38</v>
          </cell>
          <cell r="BP849">
            <v>0</v>
          </cell>
          <cell r="BQ849" t="e">
            <v>#VALUE!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 t="str">
            <v/>
          </cell>
          <cell r="BX849" t="str">
            <v/>
          </cell>
          <cell r="BY849">
            <v>1.5</v>
          </cell>
          <cell r="BZ849">
            <v>1.1429999999999998</v>
          </cell>
        </row>
        <row r="850">
          <cell r="B850" t="str">
            <v/>
          </cell>
          <cell r="C850">
            <v>0</v>
          </cell>
          <cell r="D850" t="str">
            <v/>
          </cell>
          <cell r="F850" t="str">
            <v/>
          </cell>
          <cell r="H850" t="str">
            <v/>
          </cell>
          <cell r="I850" t="e">
            <v>#N/A</v>
          </cell>
          <cell r="J850" t="e">
            <v>#N/A</v>
          </cell>
          <cell r="K850" t="e">
            <v>#N/A</v>
          </cell>
          <cell r="M850">
            <v>2.2000000000000002</v>
          </cell>
          <cell r="N850">
            <v>2.2000000000000002</v>
          </cell>
          <cell r="O850">
            <v>2</v>
          </cell>
          <cell r="P850">
            <v>2</v>
          </cell>
          <cell r="Q850">
            <v>0</v>
          </cell>
          <cell r="R850">
            <v>0</v>
          </cell>
          <cell r="S850">
            <v>2.2000000000000002</v>
          </cell>
          <cell r="T850">
            <v>0</v>
          </cell>
          <cell r="U850" t="str">
            <v/>
          </cell>
          <cell r="V850" t="str">
            <v>A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 t="e">
            <v>#DIV/0!</v>
          </cell>
          <cell r="AH850" t="e">
            <v>#DIV/0!</v>
          </cell>
          <cell r="AI850" t="e">
            <v>#DIV/0!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 t="e">
            <v>#N/A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0.9</v>
          </cell>
          <cell r="BH850">
            <v>1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 t="e">
            <v>#DIV/0!</v>
          </cell>
          <cell r="BO850">
            <v>38</v>
          </cell>
          <cell r="BP850">
            <v>0</v>
          </cell>
          <cell r="BQ850" t="e">
            <v>#VALUE!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 t="str">
            <v/>
          </cell>
          <cell r="BX850" t="str">
            <v/>
          </cell>
          <cell r="BY850">
            <v>1.5</v>
          </cell>
          <cell r="BZ850">
            <v>1.1429999999999998</v>
          </cell>
        </row>
        <row r="851">
          <cell r="B851" t="str">
            <v/>
          </cell>
          <cell r="C851">
            <v>0</v>
          </cell>
          <cell r="D851" t="str">
            <v/>
          </cell>
          <cell r="F851" t="str">
            <v/>
          </cell>
          <cell r="H851" t="str">
            <v/>
          </cell>
          <cell r="I851" t="e">
            <v>#N/A</v>
          </cell>
          <cell r="J851" t="e">
            <v>#N/A</v>
          </cell>
          <cell r="K851" t="e">
            <v>#N/A</v>
          </cell>
          <cell r="M851">
            <v>2.2000000000000002</v>
          </cell>
          <cell r="N851">
            <v>2.2000000000000002</v>
          </cell>
          <cell r="O851">
            <v>2</v>
          </cell>
          <cell r="P851">
            <v>2</v>
          </cell>
          <cell r="Q851">
            <v>0</v>
          </cell>
          <cell r="R851">
            <v>0</v>
          </cell>
          <cell r="S851">
            <v>2.2000000000000002</v>
          </cell>
          <cell r="T851">
            <v>0</v>
          </cell>
          <cell r="U851" t="str">
            <v/>
          </cell>
          <cell r="V851" t="str">
            <v>A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 t="e">
            <v>#DIV/0!</v>
          </cell>
          <cell r="AH851" t="e">
            <v>#DIV/0!</v>
          </cell>
          <cell r="AI851" t="e">
            <v>#DIV/0!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 t="e">
            <v>#N/A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0.9</v>
          </cell>
          <cell r="BH851">
            <v>1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 t="e">
            <v>#DIV/0!</v>
          </cell>
          <cell r="BO851">
            <v>38</v>
          </cell>
          <cell r="BP851">
            <v>0</v>
          </cell>
          <cell r="BQ851" t="e">
            <v>#VALUE!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 t="str">
            <v/>
          </cell>
          <cell r="BX851" t="str">
            <v/>
          </cell>
          <cell r="BY851">
            <v>1.5</v>
          </cell>
          <cell r="BZ851">
            <v>1.1429999999999998</v>
          </cell>
        </row>
        <row r="852">
          <cell r="B852" t="str">
            <v/>
          </cell>
          <cell r="C852">
            <v>0</v>
          </cell>
          <cell r="D852" t="str">
            <v/>
          </cell>
          <cell r="F852" t="str">
            <v/>
          </cell>
          <cell r="H852" t="str">
            <v/>
          </cell>
          <cell r="I852" t="e">
            <v>#N/A</v>
          </cell>
          <cell r="J852" t="e">
            <v>#N/A</v>
          </cell>
          <cell r="K852" t="e">
            <v>#N/A</v>
          </cell>
          <cell r="M852">
            <v>2.2000000000000002</v>
          </cell>
          <cell r="N852">
            <v>2.2000000000000002</v>
          </cell>
          <cell r="O852">
            <v>2</v>
          </cell>
          <cell r="P852">
            <v>2</v>
          </cell>
          <cell r="Q852">
            <v>0</v>
          </cell>
          <cell r="R852">
            <v>0</v>
          </cell>
          <cell r="S852">
            <v>2.2000000000000002</v>
          </cell>
          <cell r="T852">
            <v>0</v>
          </cell>
          <cell r="U852" t="str">
            <v/>
          </cell>
          <cell r="V852" t="str">
            <v>A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 t="e">
            <v>#DIV/0!</v>
          </cell>
          <cell r="AH852" t="e">
            <v>#DIV/0!</v>
          </cell>
          <cell r="AI852" t="e">
            <v>#DIV/0!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 t="e">
            <v>#N/A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0.9</v>
          </cell>
          <cell r="BH852">
            <v>1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 t="e">
            <v>#DIV/0!</v>
          </cell>
          <cell r="BO852">
            <v>38</v>
          </cell>
          <cell r="BP852">
            <v>0</v>
          </cell>
          <cell r="BQ852" t="e">
            <v>#VALUE!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 t="str">
            <v/>
          </cell>
          <cell r="BX852" t="str">
            <v/>
          </cell>
          <cell r="BY852">
            <v>1.5</v>
          </cell>
          <cell r="BZ852">
            <v>1.1429999999999998</v>
          </cell>
        </row>
        <row r="853">
          <cell r="B853" t="str">
            <v/>
          </cell>
          <cell r="C853">
            <v>0</v>
          </cell>
          <cell r="D853" t="str">
            <v/>
          </cell>
          <cell r="F853" t="str">
            <v/>
          </cell>
          <cell r="H853" t="str">
            <v/>
          </cell>
          <cell r="I853" t="e">
            <v>#N/A</v>
          </cell>
          <cell r="J853" t="e">
            <v>#N/A</v>
          </cell>
          <cell r="K853" t="e">
            <v>#N/A</v>
          </cell>
          <cell r="M853">
            <v>2.2000000000000002</v>
          </cell>
          <cell r="N853">
            <v>2.2000000000000002</v>
          </cell>
          <cell r="O853">
            <v>2</v>
          </cell>
          <cell r="P853">
            <v>2</v>
          </cell>
          <cell r="Q853">
            <v>0</v>
          </cell>
          <cell r="R853">
            <v>0</v>
          </cell>
          <cell r="S853">
            <v>2.2000000000000002</v>
          </cell>
          <cell r="T853">
            <v>0</v>
          </cell>
          <cell r="U853" t="str">
            <v/>
          </cell>
          <cell r="V853" t="str">
            <v>A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 t="e">
            <v>#DIV/0!</v>
          </cell>
          <cell r="AH853" t="e">
            <v>#DIV/0!</v>
          </cell>
          <cell r="AI853" t="e">
            <v>#DIV/0!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 t="e">
            <v>#N/A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0.9</v>
          </cell>
          <cell r="BH853">
            <v>1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 t="e">
            <v>#DIV/0!</v>
          </cell>
          <cell r="BO853">
            <v>38</v>
          </cell>
          <cell r="BP853">
            <v>0</v>
          </cell>
          <cell r="BQ853" t="e">
            <v>#VALUE!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 t="str">
            <v/>
          </cell>
          <cell r="BX853" t="str">
            <v/>
          </cell>
          <cell r="BY853">
            <v>1.5</v>
          </cell>
          <cell r="BZ853">
            <v>1.1429999999999998</v>
          </cell>
        </row>
        <row r="854">
          <cell r="B854" t="str">
            <v/>
          </cell>
          <cell r="C854">
            <v>0</v>
          </cell>
          <cell r="D854" t="str">
            <v/>
          </cell>
          <cell r="F854" t="str">
            <v/>
          </cell>
          <cell r="H854" t="str">
            <v/>
          </cell>
          <cell r="I854" t="e">
            <v>#N/A</v>
          </cell>
          <cell r="J854" t="e">
            <v>#N/A</v>
          </cell>
          <cell r="K854" t="e">
            <v>#N/A</v>
          </cell>
          <cell r="M854">
            <v>2.2000000000000002</v>
          </cell>
          <cell r="N854">
            <v>2.2000000000000002</v>
          </cell>
          <cell r="O854">
            <v>2</v>
          </cell>
          <cell r="P854">
            <v>2</v>
          </cell>
          <cell r="Q854">
            <v>0</v>
          </cell>
          <cell r="R854">
            <v>0</v>
          </cell>
          <cell r="S854">
            <v>2.2000000000000002</v>
          </cell>
          <cell r="T854">
            <v>0</v>
          </cell>
          <cell r="U854" t="str">
            <v/>
          </cell>
          <cell r="V854" t="str">
            <v>A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 t="e">
            <v>#DIV/0!</v>
          </cell>
          <cell r="AH854" t="e">
            <v>#DIV/0!</v>
          </cell>
          <cell r="AI854" t="e">
            <v>#DIV/0!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 t="e">
            <v>#N/A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0.9</v>
          </cell>
          <cell r="BH854">
            <v>1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 t="e">
            <v>#DIV/0!</v>
          </cell>
          <cell r="BO854">
            <v>38</v>
          </cell>
          <cell r="BP854">
            <v>0</v>
          </cell>
          <cell r="BQ854" t="e">
            <v>#VALUE!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 t="str">
            <v/>
          </cell>
          <cell r="BX854" t="str">
            <v/>
          </cell>
          <cell r="BY854">
            <v>1.5</v>
          </cell>
          <cell r="BZ854">
            <v>1.1429999999999998</v>
          </cell>
        </row>
        <row r="855">
          <cell r="B855" t="str">
            <v/>
          </cell>
          <cell r="C855">
            <v>0</v>
          </cell>
          <cell r="D855" t="str">
            <v/>
          </cell>
          <cell r="F855" t="str">
            <v/>
          </cell>
          <cell r="H855" t="str">
            <v/>
          </cell>
          <cell r="I855" t="e">
            <v>#N/A</v>
          </cell>
          <cell r="J855" t="e">
            <v>#N/A</v>
          </cell>
          <cell r="K855" t="e">
            <v>#N/A</v>
          </cell>
          <cell r="M855">
            <v>2.2000000000000002</v>
          </cell>
          <cell r="N855">
            <v>2.2000000000000002</v>
          </cell>
          <cell r="O855">
            <v>2</v>
          </cell>
          <cell r="P855">
            <v>2</v>
          </cell>
          <cell r="Q855">
            <v>0</v>
          </cell>
          <cell r="R855">
            <v>0</v>
          </cell>
          <cell r="S855">
            <v>2.2000000000000002</v>
          </cell>
          <cell r="T855">
            <v>0</v>
          </cell>
          <cell r="U855" t="str">
            <v/>
          </cell>
          <cell r="V855" t="str">
            <v>A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 t="e">
            <v>#DIV/0!</v>
          </cell>
          <cell r="AH855" t="e">
            <v>#DIV/0!</v>
          </cell>
          <cell r="AI855" t="e">
            <v>#DIV/0!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 t="e">
            <v>#N/A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0.9</v>
          </cell>
          <cell r="BH855">
            <v>1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 t="e">
            <v>#DIV/0!</v>
          </cell>
          <cell r="BO855">
            <v>38</v>
          </cell>
          <cell r="BP855">
            <v>0</v>
          </cell>
          <cell r="BQ855" t="e">
            <v>#VALUE!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 t="str">
            <v/>
          </cell>
          <cell r="BX855" t="str">
            <v/>
          </cell>
          <cell r="BY855">
            <v>1.5</v>
          </cell>
          <cell r="BZ855">
            <v>1.1429999999999998</v>
          </cell>
        </row>
        <row r="856">
          <cell r="B856" t="str">
            <v/>
          </cell>
          <cell r="C856">
            <v>0</v>
          </cell>
          <cell r="D856" t="str">
            <v/>
          </cell>
          <cell r="F856" t="str">
            <v/>
          </cell>
          <cell r="H856" t="str">
            <v/>
          </cell>
          <cell r="I856" t="e">
            <v>#N/A</v>
          </cell>
          <cell r="J856" t="e">
            <v>#N/A</v>
          </cell>
          <cell r="K856" t="e">
            <v>#N/A</v>
          </cell>
          <cell r="M856">
            <v>2.2000000000000002</v>
          </cell>
          <cell r="N856">
            <v>2.2000000000000002</v>
          </cell>
          <cell r="O856">
            <v>2</v>
          </cell>
          <cell r="P856">
            <v>2</v>
          </cell>
          <cell r="Q856">
            <v>0</v>
          </cell>
          <cell r="R856">
            <v>0</v>
          </cell>
          <cell r="S856">
            <v>2.2000000000000002</v>
          </cell>
          <cell r="T856">
            <v>0</v>
          </cell>
          <cell r="U856" t="str">
            <v/>
          </cell>
          <cell r="V856" t="str">
            <v>A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 t="e">
            <v>#DIV/0!</v>
          </cell>
          <cell r="AH856" t="e">
            <v>#DIV/0!</v>
          </cell>
          <cell r="AI856" t="e">
            <v>#DIV/0!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 t="e">
            <v>#N/A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0.9</v>
          </cell>
          <cell r="BH856">
            <v>1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 t="e">
            <v>#DIV/0!</v>
          </cell>
          <cell r="BO856">
            <v>38</v>
          </cell>
          <cell r="BP856">
            <v>0</v>
          </cell>
          <cell r="BQ856" t="e">
            <v>#VALUE!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 t="str">
            <v/>
          </cell>
          <cell r="BX856" t="str">
            <v/>
          </cell>
          <cell r="BY856">
            <v>1.5</v>
          </cell>
          <cell r="BZ856">
            <v>1.1429999999999998</v>
          </cell>
        </row>
        <row r="857">
          <cell r="B857" t="str">
            <v/>
          </cell>
          <cell r="C857">
            <v>0</v>
          </cell>
          <cell r="D857" t="str">
            <v/>
          </cell>
          <cell r="F857" t="str">
            <v/>
          </cell>
          <cell r="H857" t="str">
            <v/>
          </cell>
          <cell r="I857" t="e">
            <v>#N/A</v>
          </cell>
          <cell r="J857" t="e">
            <v>#N/A</v>
          </cell>
          <cell r="K857" t="e">
            <v>#N/A</v>
          </cell>
          <cell r="M857">
            <v>2.2000000000000002</v>
          </cell>
          <cell r="N857">
            <v>2.2000000000000002</v>
          </cell>
          <cell r="O857">
            <v>2</v>
          </cell>
          <cell r="P857">
            <v>2</v>
          </cell>
          <cell r="Q857">
            <v>0</v>
          </cell>
          <cell r="R857">
            <v>0</v>
          </cell>
          <cell r="S857">
            <v>2.2000000000000002</v>
          </cell>
          <cell r="T857">
            <v>0</v>
          </cell>
          <cell r="U857" t="str">
            <v/>
          </cell>
          <cell r="V857" t="str">
            <v>A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 t="e">
            <v>#DIV/0!</v>
          </cell>
          <cell r="AH857" t="e">
            <v>#DIV/0!</v>
          </cell>
          <cell r="AI857" t="e">
            <v>#DIV/0!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 t="e">
            <v>#N/A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0.9</v>
          </cell>
          <cell r="BH857">
            <v>1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 t="e">
            <v>#DIV/0!</v>
          </cell>
          <cell r="BO857">
            <v>38</v>
          </cell>
          <cell r="BP857">
            <v>0</v>
          </cell>
          <cell r="BQ857" t="e">
            <v>#VALUE!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 t="str">
            <v/>
          </cell>
          <cell r="BX857" t="str">
            <v/>
          </cell>
          <cell r="BY857">
            <v>1.5</v>
          </cell>
          <cell r="BZ857">
            <v>1.1429999999999998</v>
          </cell>
        </row>
        <row r="858">
          <cell r="B858" t="str">
            <v/>
          </cell>
          <cell r="C858">
            <v>0</v>
          </cell>
          <cell r="D858" t="str">
            <v/>
          </cell>
          <cell r="F858" t="str">
            <v/>
          </cell>
          <cell r="H858" t="str">
            <v/>
          </cell>
          <cell r="I858" t="e">
            <v>#N/A</v>
          </cell>
          <cell r="J858" t="e">
            <v>#N/A</v>
          </cell>
          <cell r="K858" t="e">
            <v>#N/A</v>
          </cell>
          <cell r="M858">
            <v>2.2000000000000002</v>
          </cell>
          <cell r="N858">
            <v>2.2000000000000002</v>
          </cell>
          <cell r="O858">
            <v>2</v>
          </cell>
          <cell r="P858">
            <v>2</v>
          </cell>
          <cell r="Q858">
            <v>0</v>
          </cell>
          <cell r="R858">
            <v>0</v>
          </cell>
          <cell r="S858">
            <v>2.2000000000000002</v>
          </cell>
          <cell r="T858">
            <v>0</v>
          </cell>
          <cell r="U858" t="str">
            <v/>
          </cell>
          <cell r="V858" t="str">
            <v>A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 t="e">
            <v>#DIV/0!</v>
          </cell>
          <cell r="AH858" t="e">
            <v>#DIV/0!</v>
          </cell>
          <cell r="AI858" t="e">
            <v>#DIV/0!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 t="e">
            <v>#N/A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0.9</v>
          </cell>
          <cell r="BH858">
            <v>1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 t="e">
            <v>#DIV/0!</v>
          </cell>
          <cell r="BO858">
            <v>38</v>
          </cell>
          <cell r="BP858">
            <v>0</v>
          </cell>
          <cell r="BQ858" t="e">
            <v>#VALUE!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 t="str">
            <v/>
          </cell>
          <cell r="BX858" t="str">
            <v/>
          </cell>
          <cell r="BY858">
            <v>1.5</v>
          </cell>
          <cell r="BZ858">
            <v>1.1429999999999998</v>
          </cell>
        </row>
        <row r="859">
          <cell r="B859" t="str">
            <v/>
          </cell>
          <cell r="C859">
            <v>0</v>
          </cell>
          <cell r="D859" t="str">
            <v/>
          </cell>
          <cell r="F859" t="str">
            <v/>
          </cell>
          <cell r="H859" t="str">
            <v/>
          </cell>
          <cell r="I859" t="e">
            <v>#N/A</v>
          </cell>
          <cell r="J859" t="e">
            <v>#N/A</v>
          </cell>
          <cell r="K859" t="e">
            <v>#N/A</v>
          </cell>
          <cell r="M859">
            <v>2.2000000000000002</v>
          </cell>
          <cell r="N859">
            <v>2.2000000000000002</v>
          </cell>
          <cell r="O859">
            <v>2</v>
          </cell>
          <cell r="P859">
            <v>2</v>
          </cell>
          <cell r="Q859">
            <v>0</v>
          </cell>
          <cell r="R859">
            <v>0</v>
          </cell>
          <cell r="S859">
            <v>2.2000000000000002</v>
          </cell>
          <cell r="T859">
            <v>0</v>
          </cell>
          <cell r="U859" t="str">
            <v/>
          </cell>
          <cell r="V859" t="str">
            <v>A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 t="e">
            <v>#DIV/0!</v>
          </cell>
          <cell r="AH859" t="e">
            <v>#DIV/0!</v>
          </cell>
          <cell r="AI859" t="e">
            <v>#DIV/0!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 t="e">
            <v>#N/A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0.9</v>
          </cell>
          <cell r="BH859">
            <v>1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 t="e">
            <v>#DIV/0!</v>
          </cell>
          <cell r="BO859">
            <v>38</v>
          </cell>
          <cell r="BP859">
            <v>0</v>
          </cell>
          <cell r="BQ859" t="e">
            <v>#VALUE!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 t="str">
            <v/>
          </cell>
          <cell r="BX859" t="str">
            <v/>
          </cell>
          <cell r="BY859">
            <v>1.5</v>
          </cell>
          <cell r="BZ859">
            <v>1.1429999999999998</v>
          </cell>
        </row>
        <row r="860">
          <cell r="B860" t="str">
            <v/>
          </cell>
          <cell r="C860">
            <v>0</v>
          </cell>
          <cell r="D860" t="str">
            <v/>
          </cell>
          <cell r="F860" t="str">
            <v/>
          </cell>
          <cell r="H860" t="str">
            <v/>
          </cell>
          <cell r="I860" t="e">
            <v>#N/A</v>
          </cell>
          <cell r="J860" t="e">
            <v>#N/A</v>
          </cell>
          <cell r="K860" t="e">
            <v>#N/A</v>
          </cell>
          <cell r="M860">
            <v>2.2000000000000002</v>
          </cell>
          <cell r="N860">
            <v>2.2000000000000002</v>
          </cell>
          <cell r="O860">
            <v>2</v>
          </cell>
          <cell r="P860">
            <v>2</v>
          </cell>
          <cell r="Q860">
            <v>0</v>
          </cell>
          <cell r="R860">
            <v>0</v>
          </cell>
          <cell r="S860">
            <v>2.2000000000000002</v>
          </cell>
          <cell r="T860">
            <v>0</v>
          </cell>
          <cell r="U860" t="str">
            <v/>
          </cell>
          <cell r="V860" t="str">
            <v>A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 t="e">
            <v>#DIV/0!</v>
          </cell>
          <cell r="AH860" t="e">
            <v>#DIV/0!</v>
          </cell>
          <cell r="AI860" t="e">
            <v>#DIV/0!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 t="e">
            <v>#N/A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0.9</v>
          </cell>
          <cell r="BH860">
            <v>1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 t="e">
            <v>#DIV/0!</v>
          </cell>
          <cell r="BO860">
            <v>38</v>
          </cell>
          <cell r="BP860">
            <v>0</v>
          </cell>
          <cell r="BQ860" t="e">
            <v>#VALUE!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 t="str">
            <v/>
          </cell>
          <cell r="BX860" t="str">
            <v/>
          </cell>
          <cell r="BY860">
            <v>1.5</v>
          </cell>
          <cell r="BZ860">
            <v>1.1429999999999998</v>
          </cell>
        </row>
        <row r="861">
          <cell r="B861" t="str">
            <v/>
          </cell>
          <cell r="C861">
            <v>0</v>
          </cell>
          <cell r="D861" t="str">
            <v/>
          </cell>
          <cell r="F861" t="str">
            <v/>
          </cell>
          <cell r="H861" t="str">
            <v/>
          </cell>
          <cell r="I861" t="e">
            <v>#N/A</v>
          </cell>
          <cell r="J861" t="e">
            <v>#N/A</v>
          </cell>
          <cell r="K861" t="e">
            <v>#N/A</v>
          </cell>
          <cell r="M861">
            <v>2.2000000000000002</v>
          </cell>
          <cell r="N861">
            <v>2.2000000000000002</v>
          </cell>
          <cell r="O861">
            <v>2</v>
          </cell>
          <cell r="P861">
            <v>2</v>
          </cell>
          <cell r="Q861">
            <v>0</v>
          </cell>
          <cell r="R861">
            <v>0</v>
          </cell>
          <cell r="S861">
            <v>2.2000000000000002</v>
          </cell>
          <cell r="T861">
            <v>0</v>
          </cell>
          <cell r="U861" t="str">
            <v/>
          </cell>
          <cell r="V861" t="str">
            <v>A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 t="e">
            <v>#DIV/0!</v>
          </cell>
          <cell r="AH861" t="e">
            <v>#DIV/0!</v>
          </cell>
          <cell r="AI861" t="e">
            <v>#DIV/0!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 t="e">
            <v>#N/A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0.9</v>
          </cell>
          <cell r="BH861">
            <v>1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 t="e">
            <v>#DIV/0!</v>
          </cell>
          <cell r="BO861">
            <v>38</v>
          </cell>
          <cell r="BP861">
            <v>0</v>
          </cell>
          <cell r="BQ861" t="e">
            <v>#VALUE!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 t="str">
            <v/>
          </cell>
          <cell r="BX861" t="str">
            <v/>
          </cell>
          <cell r="BY861">
            <v>1.5</v>
          </cell>
          <cell r="BZ861">
            <v>1.1429999999999998</v>
          </cell>
        </row>
        <row r="862">
          <cell r="B862" t="str">
            <v/>
          </cell>
          <cell r="C862">
            <v>0</v>
          </cell>
          <cell r="D862" t="str">
            <v/>
          </cell>
          <cell r="F862" t="str">
            <v/>
          </cell>
          <cell r="H862" t="str">
            <v/>
          </cell>
          <cell r="I862" t="e">
            <v>#N/A</v>
          </cell>
          <cell r="J862" t="e">
            <v>#N/A</v>
          </cell>
          <cell r="K862" t="e">
            <v>#N/A</v>
          </cell>
          <cell r="M862">
            <v>2.2000000000000002</v>
          </cell>
          <cell r="N862">
            <v>2.2000000000000002</v>
          </cell>
          <cell r="O862">
            <v>2</v>
          </cell>
          <cell r="P862">
            <v>2</v>
          </cell>
          <cell r="Q862">
            <v>0</v>
          </cell>
          <cell r="R862">
            <v>0</v>
          </cell>
          <cell r="S862">
            <v>2.2000000000000002</v>
          </cell>
          <cell r="T862">
            <v>0</v>
          </cell>
          <cell r="U862" t="str">
            <v/>
          </cell>
          <cell r="V862" t="str">
            <v>A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 t="e">
            <v>#DIV/0!</v>
          </cell>
          <cell r="AH862" t="e">
            <v>#DIV/0!</v>
          </cell>
          <cell r="AI862" t="e">
            <v>#DIV/0!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 t="e">
            <v>#N/A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0.9</v>
          </cell>
          <cell r="BH862">
            <v>1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 t="e">
            <v>#DIV/0!</v>
          </cell>
          <cell r="BO862">
            <v>38</v>
          </cell>
          <cell r="BP862">
            <v>0</v>
          </cell>
          <cell r="BQ862" t="e">
            <v>#VALUE!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 t="str">
            <v/>
          </cell>
          <cell r="BX862" t="str">
            <v/>
          </cell>
          <cell r="BY862">
            <v>1.5</v>
          </cell>
          <cell r="BZ862">
            <v>1.1429999999999998</v>
          </cell>
        </row>
        <row r="863">
          <cell r="B863" t="str">
            <v/>
          </cell>
          <cell r="C863">
            <v>0</v>
          </cell>
          <cell r="D863" t="str">
            <v/>
          </cell>
          <cell r="F863" t="str">
            <v/>
          </cell>
          <cell r="H863" t="str">
            <v/>
          </cell>
          <cell r="I863" t="e">
            <v>#N/A</v>
          </cell>
          <cell r="J863" t="e">
            <v>#N/A</v>
          </cell>
          <cell r="K863" t="e">
            <v>#N/A</v>
          </cell>
          <cell r="M863">
            <v>2.2000000000000002</v>
          </cell>
          <cell r="N863">
            <v>2.2000000000000002</v>
          </cell>
          <cell r="O863">
            <v>2</v>
          </cell>
          <cell r="P863">
            <v>2</v>
          </cell>
          <cell r="Q863">
            <v>0</v>
          </cell>
          <cell r="R863">
            <v>0</v>
          </cell>
          <cell r="S863">
            <v>2.2000000000000002</v>
          </cell>
          <cell r="T863">
            <v>0</v>
          </cell>
          <cell r="U863" t="str">
            <v/>
          </cell>
          <cell r="V863" t="str">
            <v>A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 t="e">
            <v>#DIV/0!</v>
          </cell>
          <cell r="AH863" t="e">
            <v>#DIV/0!</v>
          </cell>
          <cell r="AI863" t="e">
            <v>#DIV/0!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 t="e">
            <v>#N/A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0.9</v>
          </cell>
          <cell r="BH863">
            <v>1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 t="e">
            <v>#DIV/0!</v>
          </cell>
          <cell r="BO863">
            <v>38</v>
          </cell>
          <cell r="BP863">
            <v>0</v>
          </cell>
          <cell r="BQ863" t="e">
            <v>#VALUE!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 t="str">
            <v/>
          </cell>
          <cell r="BX863" t="str">
            <v/>
          </cell>
          <cell r="BY863">
            <v>1.5</v>
          </cell>
          <cell r="BZ863">
            <v>1.1429999999999998</v>
          </cell>
        </row>
        <row r="864">
          <cell r="B864" t="str">
            <v/>
          </cell>
          <cell r="C864">
            <v>0</v>
          </cell>
          <cell r="D864" t="str">
            <v/>
          </cell>
          <cell r="F864" t="str">
            <v/>
          </cell>
          <cell r="H864" t="str">
            <v/>
          </cell>
          <cell r="I864" t="e">
            <v>#N/A</v>
          </cell>
          <cell r="J864" t="e">
            <v>#N/A</v>
          </cell>
          <cell r="K864" t="e">
            <v>#N/A</v>
          </cell>
          <cell r="M864">
            <v>2.2000000000000002</v>
          </cell>
          <cell r="N864">
            <v>2.2000000000000002</v>
          </cell>
          <cell r="O864">
            <v>2</v>
          </cell>
          <cell r="P864">
            <v>2</v>
          </cell>
          <cell r="Q864">
            <v>0</v>
          </cell>
          <cell r="R864">
            <v>0</v>
          </cell>
          <cell r="S864">
            <v>2.2000000000000002</v>
          </cell>
          <cell r="T864">
            <v>0</v>
          </cell>
          <cell r="U864" t="str">
            <v/>
          </cell>
          <cell r="V864" t="str">
            <v>A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 t="e">
            <v>#DIV/0!</v>
          </cell>
          <cell r="AH864" t="e">
            <v>#DIV/0!</v>
          </cell>
          <cell r="AI864" t="e">
            <v>#DIV/0!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 t="e">
            <v>#N/A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0.9</v>
          </cell>
          <cell r="BH864">
            <v>1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 t="e">
            <v>#DIV/0!</v>
          </cell>
          <cell r="BO864">
            <v>38</v>
          </cell>
          <cell r="BP864">
            <v>0</v>
          </cell>
          <cell r="BQ864" t="e">
            <v>#VALUE!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 t="str">
            <v/>
          </cell>
          <cell r="BX864" t="str">
            <v/>
          </cell>
          <cell r="BY864">
            <v>1.5</v>
          </cell>
          <cell r="BZ864">
            <v>1.1429999999999998</v>
          </cell>
        </row>
        <row r="865">
          <cell r="B865" t="str">
            <v/>
          </cell>
          <cell r="C865">
            <v>0</v>
          </cell>
          <cell r="D865" t="str">
            <v/>
          </cell>
          <cell r="F865" t="str">
            <v/>
          </cell>
          <cell r="H865" t="str">
            <v/>
          </cell>
          <cell r="I865" t="e">
            <v>#N/A</v>
          </cell>
          <cell r="J865" t="e">
            <v>#N/A</v>
          </cell>
          <cell r="K865" t="e">
            <v>#N/A</v>
          </cell>
          <cell r="M865">
            <v>2.2000000000000002</v>
          </cell>
          <cell r="N865">
            <v>2.2000000000000002</v>
          </cell>
          <cell r="O865">
            <v>2</v>
          </cell>
          <cell r="P865">
            <v>2</v>
          </cell>
          <cell r="Q865">
            <v>0</v>
          </cell>
          <cell r="R865">
            <v>0</v>
          </cell>
          <cell r="S865">
            <v>2.2000000000000002</v>
          </cell>
          <cell r="T865">
            <v>0</v>
          </cell>
          <cell r="U865" t="str">
            <v/>
          </cell>
          <cell r="V865" t="str">
            <v>A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 t="e">
            <v>#DIV/0!</v>
          </cell>
          <cell r="AH865" t="e">
            <v>#DIV/0!</v>
          </cell>
          <cell r="AI865" t="e">
            <v>#DIV/0!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 t="e">
            <v>#N/A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0.9</v>
          </cell>
          <cell r="BH865">
            <v>1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 t="e">
            <v>#DIV/0!</v>
          </cell>
          <cell r="BO865">
            <v>38</v>
          </cell>
          <cell r="BP865">
            <v>0</v>
          </cell>
          <cell r="BQ865" t="e">
            <v>#VALUE!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 t="str">
            <v/>
          </cell>
          <cell r="BX865" t="str">
            <v/>
          </cell>
          <cell r="BY865">
            <v>1.5</v>
          </cell>
          <cell r="BZ865">
            <v>1.1429999999999998</v>
          </cell>
        </row>
        <row r="866">
          <cell r="B866" t="str">
            <v/>
          </cell>
          <cell r="C866">
            <v>0</v>
          </cell>
          <cell r="D866" t="str">
            <v/>
          </cell>
          <cell r="F866" t="str">
            <v/>
          </cell>
          <cell r="H866" t="str">
            <v/>
          </cell>
          <cell r="I866" t="e">
            <v>#N/A</v>
          </cell>
          <cell r="J866" t="e">
            <v>#N/A</v>
          </cell>
          <cell r="K866" t="e">
            <v>#N/A</v>
          </cell>
          <cell r="M866">
            <v>2.2000000000000002</v>
          </cell>
          <cell r="N866">
            <v>2.2000000000000002</v>
          </cell>
          <cell r="O866">
            <v>2</v>
          </cell>
          <cell r="P866">
            <v>2</v>
          </cell>
          <cell r="Q866">
            <v>0</v>
          </cell>
          <cell r="R866">
            <v>0</v>
          </cell>
          <cell r="S866">
            <v>2.2000000000000002</v>
          </cell>
          <cell r="T866">
            <v>0</v>
          </cell>
          <cell r="U866" t="str">
            <v/>
          </cell>
          <cell r="V866" t="str">
            <v>A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 t="e">
            <v>#DIV/0!</v>
          </cell>
          <cell r="AH866" t="e">
            <v>#DIV/0!</v>
          </cell>
          <cell r="AI866" t="e">
            <v>#DIV/0!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 t="e">
            <v>#N/A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0.9</v>
          </cell>
          <cell r="BH866">
            <v>1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 t="e">
            <v>#DIV/0!</v>
          </cell>
          <cell r="BO866">
            <v>38</v>
          </cell>
          <cell r="BP866">
            <v>0</v>
          </cell>
          <cell r="BQ866" t="e">
            <v>#VALUE!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 t="str">
            <v/>
          </cell>
          <cell r="BX866" t="str">
            <v/>
          </cell>
          <cell r="BY866">
            <v>1.5</v>
          </cell>
          <cell r="BZ866">
            <v>1.1429999999999998</v>
          </cell>
        </row>
        <row r="867">
          <cell r="B867" t="str">
            <v/>
          </cell>
          <cell r="C867">
            <v>0</v>
          </cell>
          <cell r="D867" t="str">
            <v/>
          </cell>
          <cell r="F867" t="str">
            <v/>
          </cell>
          <cell r="H867" t="str">
            <v/>
          </cell>
          <cell r="I867" t="e">
            <v>#N/A</v>
          </cell>
          <cell r="J867" t="e">
            <v>#N/A</v>
          </cell>
          <cell r="K867" t="e">
            <v>#N/A</v>
          </cell>
          <cell r="M867">
            <v>2.2000000000000002</v>
          </cell>
          <cell r="N867">
            <v>2.2000000000000002</v>
          </cell>
          <cell r="O867">
            <v>2</v>
          </cell>
          <cell r="P867">
            <v>2</v>
          </cell>
          <cell r="Q867">
            <v>0</v>
          </cell>
          <cell r="R867">
            <v>0</v>
          </cell>
          <cell r="S867">
            <v>2.2000000000000002</v>
          </cell>
          <cell r="T867">
            <v>0</v>
          </cell>
          <cell r="U867" t="str">
            <v/>
          </cell>
          <cell r="V867" t="str">
            <v>A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 t="e">
            <v>#DIV/0!</v>
          </cell>
          <cell r="AH867" t="e">
            <v>#DIV/0!</v>
          </cell>
          <cell r="AI867" t="e">
            <v>#DIV/0!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 t="e">
            <v>#N/A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0.9</v>
          </cell>
          <cell r="BH867">
            <v>1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 t="e">
            <v>#DIV/0!</v>
          </cell>
          <cell r="BO867">
            <v>38</v>
          </cell>
          <cell r="BP867">
            <v>0</v>
          </cell>
          <cell r="BQ867" t="e">
            <v>#VALUE!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 t="str">
            <v/>
          </cell>
          <cell r="BX867" t="str">
            <v/>
          </cell>
          <cell r="BY867">
            <v>1.5</v>
          </cell>
          <cell r="BZ867">
            <v>1.1429999999999998</v>
          </cell>
        </row>
        <row r="868">
          <cell r="B868" t="str">
            <v/>
          </cell>
          <cell r="C868">
            <v>0</v>
          </cell>
          <cell r="D868" t="str">
            <v/>
          </cell>
          <cell r="F868" t="str">
            <v/>
          </cell>
          <cell r="H868" t="str">
            <v/>
          </cell>
          <cell r="I868" t="e">
            <v>#N/A</v>
          </cell>
          <cell r="J868" t="e">
            <v>#N/A</v>
          </cell>
          <cell r="K868" t="e">
            <v>#N/A</v>
          </cell>
          <cell r="M868">
            <v>2.2000000000000002</v>
          </cell>
          <cell r="N868">
            <v>2.2000000000000002</v>
          </cell>
          <cell r="O868">
            <v>2</v>
          </cell>
          <cell r="P868">
            <v>2</v>
          </cell>
          <cell r="Q868">
            <v>0</v>
          </cell>
          <cell r="R868">
            <v>0</v>
          </cell>
          <cell r="S868">
            <v>2.2000000000000002</v>
          </cell>
          <cell r="T868">
            <v>0</v>
          </cell>
          <cell r="U868" t="str">
            <v/>
          </cell>
          <cell r="V868" t="str">
            <v>A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 t="e">
            <v>#DIV/0!</v>
          </cell>
          <cell r="AH868" t="e">
            <v>#DIV/0!</v>
          </cell>
          <cell r="AI868" t="e">
            <v>#DIV/0!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 t="e">
            <v>#N/A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0.9</v>
          </cell>
          <cell r="BH868">
            <v>1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 t="e">
            <v>#DIV/0!</v>
          </cell>
          <cell r="BO868">
            <v>38</v>
          </cell>
          <cell r="BP868">
            <v>0</v>
          </cell>
          <cell r="BQ868" t="e">
            <v>#VALUE!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 t="str">
            <v/>
          </cell>
          <cell r="BX868" t="str">
            <v/>
          </cell>
          <cell r="BY868">
            <v>1.5</v>
          </cell>
          <cell r="BZ868">
            <v>1.1429999999999998</v>
          </cell>
        </row>
        <row r="869">
          <cell r="B869" t="str">
            <v/>
          </cell>
          <cell r="C869">
            <v>0</v>
          </cell>
          <cell r="D869" t="str">
            <v/>
          </cell>
          <cell r="F869" t="str">
            <v/>
          </cell>
          <cell r="H869" t="str">
            <v/>
          </cell>
          <cell r="I869" t="e">
            <v>#N/A</v>
          </cell>
          <cell r="J869" t="e">
            <v>#N/A</v>
          </cell>
          <cell r="K869" t="e">
            <v>#N/A</v>
          </cell>
          <cell r="M869">
            <v>2.2000000000000002</v>
          </cell>
          <cell r="N869">
            <v>2.2000000000000002</v>
          </cell>
          <cell r="O869">
            <v>2</v>
          </cell>
          <cell r="P869">
            <v>2</v>
          </cell>
          <cell r="Q869">
            <v>0</v>
          </cell>
          <cell r="R869">
            <v>0</v>
          </cell>
          <cell r="S869">
            <v>2.2000000000000002</v>
          </cell>
          <cell r="T869">
            <v>0</v>
          </cell>
          <cell r="U869" t="str">
            <v/>
          </cell>
          <cell r="V869" t="str">
            <v>A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 t="e">
            <v>#DIV/0!</v>
          </cell>
          <cell r="AH869" t="e">
            <v>#DIV/0!</v>
          </cell>
          <cell r="AI869" t="e">
            <v>#DIV/0!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 t="e">
            <v>#N/A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0.9</v>
          </cell>
          <cell r="BH869">
            <v>1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 t="e">
            <v>#DIV/0!</v>
          </cell>
          <cell r="BO869">
            <v>38</v>
          </cell>
          <cell r="BP869">
            <v>0</v>
          </cell>
          <cell r="BQ869" t="e">
            <v>#VALUE!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 t="str">
            <v/>
          </cell>
          <cell r="BX869" t="str">
            <v/>
          </cell>
          <cell r="BY869">
            <v>1.5</v>
          </cell>
          <cell r="BZ869">
            <v>1.1429999999999998</v>
          </cell>
        </row>
        <row r="870">
          <cell r="B870" t="str">
            <v/>
          </cell>
          <cell r="C870">
            <v>0</v>
          </cell>
          <cell r="D870" t="str">
            <v/>
          </cell>
          <cell r="F870" t="str">
            <v/>
          </cell>
          <cell r="H870" t="str">
            <v/>
          </cell>
          <cell r="I870" t="e">
            <v>#N/A</v>
          </cell>
          <cell r="J870" t="e">
            <v>#N/A</v>
          </cell>
          <cell r="K870" t="e">
            <v>#N/A</v>
          </cell>
          <cell r="M870">
            <v>2.2000000000000002</v>
          </cell>
          <cell r="N870">
            <v>2.2000000000000002</v>
          </cell>
          <cell r="O870">
            <v>2</v>
          </cell>
          <cell r="P870">
            <v>2</v>
          </cell>
          <cell r="Q870">
            <v>0</v>
          </cell>
          <cell r="R870">
            <v>0</v>
          </cell>
          <cell r="S870">
            <v>2.2000000000000002</v>
          </cell>
          <cell r="T870">
            <v>0</v>
          </cell>
          <cell r="U870" t="str">
            <v/>
          </cell>
          <cell r="V870" t="str">
            <v>A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 t="e">
            <v>#DIV/0!</v>
          </cell>
          <cell r="AH870" t="e">
            <v>#DIV/0!</v>
          </cell>
          <cell r="AI870" t="e">
            <v>#DIV/0!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 t="e">
            <v>#N/A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0.9</v>
          </cell>
          <cell r="BH870">
            <v>1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 t="e">
            <v>#DIV/0!</v>
          </cell>
          <cell r="BO870">
            <v>38</v>
          </cell>
          <cell r="BP870">
            <v>0</v>
          </cell>
          <cell r="BQ870" t="e">
            <v>#VALUE!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 t="str">
            <v/>
          </cell>
          <cell r="BX870" t="str">
            <v/>
          </cell>
          <cell r="BY870">
            <v>1.5</v>
          </cell>
          <cell r="BZ870">
            <v>1.1429999999999998</v>
          </cell>
        </row>
        <row r="871">
          <cell r="B871" t="str">
            <v/>
          </cell>
          <cell r="C871">
            <v>0</v>
          </cell>
          <cell r="D871" t="str">
            <v/>
          </cell>
          <cell r="F871" t="str">
            <v/>
          </cell>
          <cell r="H871" t="str">
            <v/>
          </cell>
          <cell r="I871" t="e">
            <v>#N/A</v>
          </cell>
          <cell r="J871" t="e">
            <v>#N/A</v>
          </cell>
          <cell r="K871" t="e">
            <v>#N/A</v>
          </cell>
          <cell r="M871">
            <v>2.2000000000000002</v>
          </cell>
          <cell r="N871">
            <v>2.2000000000000002</v>
          </cell>
          <cell r="O871">
            <v>2</v>
          </cell>
          <cell r="P871">
            <v>2</v>
          </cell>
          <cell r="Q871">
            <v>0</v>
          </cell>
          <cell r="R871">
            <v>0</v>
          </cell>
          <cell r="S871">
            <v>2.2000000000000002</v>
          </cell>
          <cell r="T871">
            <v>0</v>
          </cell>
          <cell r="U871" t="str">
            <v/>
          </cell>
          <cell r="V871" t="str">
            <v>A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 t="e">
            <v>#DIV/0!</v>
          </cell>
          <cell r="AH871" t="e">
            <v>#DIV/0!</v>
          </cell>
          <cell r="AI871" t="e">
            <v>#DIV/0!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 t="e">
            <v>#N/A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0.9</v>
          </cell>
          <cell r="BH871">
            <v>1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 t="e">
            <v>#DIV/0!</v>
          </cell>
          <cell r="BO871">
            <v>38</v>
          </cell>
          <cell r="BP871">
            <v>0</v>
          </cell>
          <cell r="BQ871" t="e">
            <v>#VALUE!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 t="str">
            <v/>
          </cell>
          <cell r="BX871" t="str">
            <v/>
          </cell>
          <cell r="BY871">
            <v>1.5</v>
          </cell>
          <cell r="BZ871">
            <v>1.1429999999999998</v>
          </cell>
        </row>
        <row r="872">
          <cell r="B872" t="str">
            <v/>
          </cell>
          <cell r="C872">
            <v>0</v>
          </cell>
          <cell r="D872" t="str">
            <v/>
          </cell>
          <cell r="F872" t="str">
            <v/>
          </cell>
          <cell r="H872" t="str">
            <v/>
          </cell>
          <cell r="I872" t="e">
            <v>#N/A</v>
          </cell>
          <cell r="J872" t="e">
            <v>#N/A</v>
          </cell>
          <cell r="K872" t="e">
            <v>#N/A</v>
          </cell>
          <cell r="M872">
            <v>2.2000000000000002</v>
          </cell>
          <cell r="N872">
            <v>2.2000000000000002</v>
          </cell>
          <cell r="O872">
            <v>2</v>
          </cell>
          <cell r="P872">
            <v>2</v>
          </cell>
          <cell r="Q872">
            <v>0</v>
          </cell>
          <cell r="R872">
            <v>0</v>
          </cell>
          <cell r="S872">
            <v>2.2000000000000002</v>
          </cell>
          <cell r="T872">
            <v>0</v>
          </cell>
          <cell r="U872" t="str">
            <v/>
          </cell>
          <cell r="V872" t="str">
            <v>A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 t="e">
            <v>#DIV/0!</v>
          </cell>
          <cell r="AH872" t="e">
            <v>#DIV/0!</v>
          </cell>
          <cell r="AI872" t="e">
            <v>#DIV/0!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 t="e">
            <v>#N/A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0.9</v>
          </cell>
          <cell r="BH872">
            <v>1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 t="e">
            <v>#DIV/0!</v>
          </cell>
          <cell r="BO872">
            <v>38</v>
          </cell>
          <cell r="BP872">
            <v>0</v>
          </cell>
          <cell r="BQ872" t="e">
            <v>#VALUE!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 t="str">
            <v/>
          </cell>
          <cell r="BX872" t="str">
            <v/>
          </cell>
          <cell r="BY872">
            <v>1.5</v>
          </cell>
          <cell r="BZ872">
            <v>1.1429999999999998</v>
          </cell>
        </row>
        <row r="873">
          <cell r="B873" t="str">
            <v/>
          </cell>
          <cell r="C873">
            <v>0</v>
          </cell>
          <cell r="D873" t="str">
            <v/>
          </cell>
          <cell r="F873" t="str">
            <v/>
          </cell>
          <cell r="H873" t="str">
            <v/>
          </cell>
          <cell r="I873" t="e">
            <v>#N/A</v>
          </cell>
          <cell r="J873" t="e">
            <v>#N/A</v>
          </cell>
          <cell r="K873" t="e">
            <v>#N/A</v>
          </cell>
          <cell r="M873">
            <v>2.2000000000000002</v>
          </cell>
          <cell r="N873">
            <v>2.2000000000000002</v>
          </cell>
          <cell r="O873">
            <v>2</v>
          </cell>
          <cell r="P873">
            <v>2</v>
          </cell>
          <cell r="Q873">
            <v>0</v>
          </cell>
          <cell r="R873">
            <v>0</v>
          </cell>
          <cell r="S873">
            <v>2.2000000000000002</v>
          </cell>
          <cell r="T873">
            <v>0</v>
          </cell>
          <cell r="U873" t="str">
            <v/>
          </cell>
          <cell r="V873" t="str">
            <v>A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 t="e">
            <v>#DIV/0!</v>
          </cell>
          <cell r="AH873" t="e">
            <v>#DIV/0!</v>
          </cell>
          <cell r="AI873" t="e">
            <v>#DIV/0!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 t="e">
            <v>#N/A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0.9</v>
          </cell>
          <cell r="BH873">
            <v>1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 t="e">
            <v>#DIV/0!</v>
          </cell>
          <cell r="BO873">
            <v>38</v>
          </cell>
          <cell r="BP873">
            <v>0</v>
          </cell>
          <cell r="BQ873" t="e">
            <v>#VALUE!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 t="str">
            <v/>
          </cell>
          <cell r="BX873" t="str">
            <v/>
          </cell>
          <cell r="BY873">
            <v>1.5</v>
          </cell>
          <cell r="BZ873">
            <v>1.1429999999999998</v>
          </cell>
        </row>
        <row r="874">
          <cell r="B874" t="str">
            <v/>
          </cell>
          <cell r="C874">
            <v>0</v>
          </cell>
          <cell r="D874" t="str">
            <v/>
          </cell>
          <cell r="F874" t="str">
            <v/>
          </cell>
          <cell r="H874" t="str">
            <v/>
          </cell>
          <cell r="I874" t="e">
            <v>#N/A</v>
          </cell>
          <cell r="J874" t="e">
            <v>#N/A</v>
          </cell>
          <cell r="K874" t="e">
            <v>#N/A</v>
          </cell>
          <cell r="M874">
            <v>2.2000000000000002</v>
          </cell>
          <cell r="N874">
            <v>2.2000000000000002</v>
          </cell>
          <cell r="O874">
            <v>2</v>
          </cell>
          <cell r="P874">
            <v>2</v>
          </cell>
          <cell r="Q874">
            <v>0</v>
          </cell>
          <cell r="R874">
            <v>0</v>
          </cell>
          <cell r="S874">
            <v>2.2000000000000002</v>
          </cell>
          <cell r="T874">
            <v>0</v>
          </cell>
          <cell r="U874" t="str">
            <v/>
          </cell>
          <cell r="V874" t="str">
            <v>A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 t="e">
            <v>#DIV/0!</v>
          </cell>
          <cell r="AH874" t="e">
            <v>#DIV/0!</v>
          </cell>
          <cell r="AI874" t="e">
            <v>#DIV/0!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 t="e">
            <v>#N/A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0.9</v>
          </cell>
          <cell r="BH874">
            <v>1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 t="e">
            <v>#DIV/0!</v>
          </cell>
          <cell r="BO874">
            <v>38</v>
          </cell>
          <cell r="BP874">
            <v>0</v>
          </cell>
          <cell r="BQ874" t="e">
            <v>#VALUE!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 t="str">
            <v/>
          </cell>
          <cell r="BX874" t="str">
            <v/>
          </cell>
          <cell r="BY874">
            <v>1.5</v>
          </cell>
          <cell r="BZ874">
            <v>1.1429999999999998</v>
          </cell>
        </row>
        <row r="875">
          <cell r="B875" t="str">
            <v/>
          </cell>
          <cell r="C875">
            <v>0</v>
          </cell>
          <cell r="D875" t="str">
            <v/>
          </cell>
          <cell r="F875" t="str">
            <v/>
          </cell>
          <cell r="H875" t="str">
            <v/>
          </cell>
          <cell r="I875" t="e">
            <v>#N/A</v>
          </cell>
          <cell r="J875" t="e">
            <v>#N/A</v>
          </cell>
          <cell r="K875" t="e">
            <v>#N/A</v>
          </cell>
          <cell r="M875">
            <v>2.2000000000000002</v>
          </cell>
          <cell r="N875">
            <v>2.2000000000000002</v>
          </cell>
          <cell r="O875">
            <v>2</v>
          </cell>
          <cell r="P875">
            <v>2</v>
          </cell>
          <cell r="Q875">
            <v>0</v>
          </cell>
          <cell r="R875">
            <v>0</v>
          </cell>
          <cell r="S875">
            <v>2.2000000000000002</v>
          </cell>
          <cell r="T875">
            <v>0</v>
          </cell>
          <cell r="U875" t="str">
            <v/>
          </cell>
          <cell r="V875" t="str">
            <v>A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 t="e">
            <v>#DIV/0!</v>
          </cell>
          <cell r="AH875" t="e">
            <v>#DIV/0!</v>
          </cell>
          <cell r="AI875" t="e">
            <v>#DIV/0!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 t="e">
            <v>#N/A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0.9</v>
          </cell>
          <cell r="BH875">
            <v>1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 t="e">
            <v>#DIV/0!</v>
          </cell>
          <cell r="BO875">
            <v>38</v>
          </cell>
          <cell r="BP875">
            <v>0</v>
          </cell>
          <cell r="BQ875" t="e">
            <v>#VALUE!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 t="str">
            <v/>
          </cell>
          <cell r="BX875" t="str">
            <v/>
          </cell>
          <cell r="BY875">
            <v>1.5</v>
          </cell>
          <cell r="BZ875">
            <v>1.1429999999999998</v>
          </cell>
        </row>
        <row r="876">
          <cell r="B876" t="str">
            <v/>
          </cell>
          <cell r="C876">
            <v>0</v>
          </cell>
          <cell r="D876" t="str">
            <v/>
          </cell>
          <cell r="F876" t="str">
            <v/>
          </cell>
          <cell r="H876" t="str">
            <v/>
          </cell>
          <cell r="I876" t="e">
            <v>#N/A</v>
          </cell>
          <cell r="J876" t="e">
            <v>#N/A</v>
          </cell>
          <cell r="K876" t="e">
            <v>#N/A</v>
          </cell>
          <cell r="M876">
            <v>2.2000000000000002</v>
          </cell>
          <cell r="N876">
            <v>2.2000000000000002</v>
          </cell>
          <cell r="O876">
            <v>2</v>
          </cell>
          <cell r="P876">
            <v>2</v>
          </cell>
          <cell r="Q876">
            <v>0</v>
          </cell>
          <cell r="R876">
            <v>0</v>
          </cell>
          <cell r="S876">
            <v>2.2000000000000002</v>
          </cell>
          <cell r="T876">
            <v>0</v>
          </cell>
          <cell r="U876" t="str">
            <v/>
          </cell>
          <cell r="V876" t="str">
            <v>A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 t="e">
            <v>#DIV/0!</v>
          </cell>
          <cell r="AH876" t="e">
            <v>#DIV/0!</v>
          </cell>
          <cell r="AI876" t="e">
            <v>#DIV/0!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 t="e">
            <v>#N/A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0.9</v>
          </cell>
          <cell r="BH876">
            <v>1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 t="e">
            <v>#DIV/0!</v>
          </cell>
          <cell r="BO876">
            <v>38</v>
          </cell>
          <cell r="BP876">
            <v>0</v>
          </cell>
          <cell r="BQ876" t="e">
            <v>#VALUE!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 t="str">
            <v/>
          </cell>
          <cell r="BX876" t="str">
            <v/>
          </cell>
          <cell r="BY876">
            <v>1.5</v>
          </cell>
          <cell r="BZ876">
            <v>1.1429999999999998</v>
          </cell>
        </row>
        <row r="877">
          <cell r="B877" t="str">
            <v/>
          </cell>
          <cell r="C877">
            <v>0</v>
          </cell>
          <cell r="D877" t="str">
            <v/>
          </cell>
          <cell r="F877" t="str">
            <v/>
          </cell>
          <cell r="H877" t="str">
            <v/>
          </cell>
          <cell r="I877" t="e">
            <v>#N/A</v>
          </cell>
          <cell r="J877" t="e">
            <v>#N/A</v>
          </cell>
          <cell r="K877" t="e">
            <v>#N/A</v>
          </cell>
          <cell r="M877">
            <v>2.2000000000000002</v>
          </cell>
          <cell r="N877">
            <v>2.2000000000000002</v>
          </cell>
          <cell r="O877">
            <v>2</v>
          </cell>
          <cell r="P877">
            <v>2</v>
          </cell>
          <cell r="Q877">
            <v>0</v>
          </cell>
          <cell r="R877">
            <v>0</v>
          </cell>
          <cell r="S877">
            <v>2.2000000000000002</v>
          </cell>
          <cell r="T877">
            <v>0</v>
          </cell>
          <cell r="U877" t="str">
            <v/>
          </cell>
          <cell r="V877" t="str">
            <v>A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 t="e">
            <v>#DIV/0!</v>
          </cell>
          <cell r="AH877" t="e">
            <v>#DIV/0!</v>
          </cell>
          <cell r="AI877" t="e">
            <v>#DIV/0!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 t="e">
            <v>#N/A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0.9</v>
          </cell>
          <cell r="BH877">
            <v>1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 t="e">
            <v>#DIV/0!</v>
          </cell>
          <cell r="BO877">
            <v>38</v>
          </cell>
          <cell r="BP877">
            <v>0</v>
          </cell>
          <cell r="BQ877" t="e">
            <v>#VALUE!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 t="str">
            <v/>
          </cell>
          <cell r="BX877" t="str">
            <v/>
          </cell>
          <cell r="BY877">
            <v>1.5</v>
          </cell>
          <cell r="BZ877">
            <v>1.1429999999999998</v>
          </cell>
        </row>
        <row r="878">
          <cell r="B878" t="str">
            <v/>
          </cell>
          <cell r="C878">
            <v>0</v>
          </cell>
          <cell r="D878" t="str">
            <v/>
          </cell>
          <cell r="F878" t="str">
            <v/>
          </cell>
          <cell r="H878" t="str">
            <v/>
          </cell>
          <cell r="I878" t="e">
            <v>#N/A</v>
          </cell>
          <cell r="J878" t="e">
            <v>#N/A</v>
          </cell>
          <cell r="K878" t="e">
            <v>#N/A</v>
          </cell>
          <cell r="M878">
            <v>2.2000000000000002</v>
          </cell>
          <cell r="N878">
            <v>2.2000000000000002</v>
          </cell>
          <cell r="O878">
            <v>2</v>
          </cell>
          <cell r="P878">
            <v>2</v>
          </cell>
          <cell r="Q878">
            <v>0</v>
          </cell>
          <cell r="R878">
            <v>0</v>
          </cell>
          <cell r="S878">
            <v>2.2000000000000002</v>
          </cell>
          <cell r="T878">
            <v>0</v>
          </cell>
          <cell r="U878" t="str">
            <v/>
          </cell>
          <cell r="V878" t="str">
            <v>A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 t="e">
            <v>#DIV/0!</v>
          </cell>
          <cell r="AH878" t="e">
            <v>#DIV/0!</v>
          </cell>
          <cell r="AI878" t="e">
            <v>#DIV/0!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 t="e">
            <v>#N/A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0.9</v>
          </cell>
          <cell r="BH878">
            <v>1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 t="e">
            <v>#DIV/0!</v>
          </cell>
          <cell r="BO878">
            <v>38</v>
          </cell>
          <cell r="BP878">
            <v>0</v>
          </cell>
          <cell r="BQ878" t="e">
            <v>#VALUE!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 t="str">
            <v/>
          </cell>
          <cell r="BX878" t="str">
            <v/>
          </cell>
          <cell r="BY878">
            <v>1.5</v>
          </cell>
          <cell r="BZ878">
            <v>1.1429999999999998</v>
          </cell>
        </row>
        <row r="879">
          <cell r="B879" t="str">
            <v/>
          </cell>
          <cell r="C879">
            <v>0</v>
          </cell>
          <cell r="D879" t="str">
            <v/>
          </cell>
          <cell r="F879" t="str">
            <v/>
          </cell>
          <cell r="H879" t="str">
            <v/>
          </cell>
          <cell r="I879" t="e">
            <v>#N/A</v>
          </cell>
          <cell r="J879" t="e">
            <v>#N/A</v>
          </cell>
          <cell r="K879" t="e">
            <v>#N/A</v>
          </cell>
          <cell r="M879">
            <v>2.2000000000000002</v>
          </cell>
          <cell r="N879">
            <v>2.2000000000000002</v>
          </cell>
          <cell r="O879">
            <v>2</v>
          </cell>
          <cell r="P879">
            <v>2</v>
          </cell>
          <cell r="Q879">
            <v>0</v>
          </cell>
          <cell r="R879">
            <v>0</v>
          </cell>
          <cell r="S879">
            <v>2.2000000000000002</v>
          </cell>
          <cell r="T879">
            <v>0</v>
          </cell>
          <cell r="U879" t="str">
            <v/>
          </cell>
          <cell r="V879" t="str">
            <v>A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 t="e">
            <v>#DIV/0!</v>
          </cell>
          <cell r="AH879" t="e">
            <v>#DIV/0!</v>
          </cell>
          <cell r="AI879" t="e">
            <v>#DIV/0!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 t="e">
            <v>#N/A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0.9</v>
          </cell>
          <cell r="BH879">
            <v>1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 t="e">
            <v>#DIV/0!</v>
          </cell>
          <cell r="BO879">
            <v>38</v>
          </cell>
          <cell r="BP879">
            <v>0</v>
          </cell>
          <cell r="BQ879" t="e">
            <v>#VALUE!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 t="str">
            <v/>
          </cell>
          <cell r="BX879" t="str">
            <v/>
          </cell>
          <cell r="BY879">
            <v>1.5</v>
          </cell>
          <cell r="BZ879">
            <v>1.1429999999999998</v>
          </cell>
        </row>
        <row r="880">
          <cell r="B880" t="str">
            <v/>
          </cell>
          <cell r="C880">
            <v>0</v>
          </cell>
          <cell r="D880" t="str">
            <v/>
          </cell>
          <cell r="F880" t="str">
            <v/>
          </cell>
          <cell r="H880" t="str">
            <v/>
          </cell>
          <cell r="I880" t="e">
            <v>#N/A</v>
          </cell>
          <cell r="J880" t="e">
            <v>#N/A</v>
          </cell>
          <cell r="K880" t="e">
            <v>#N/A</v>
          </cell>
          <cell r="M880">
            <v>2.2000000000000002</v>
          </cell>
          <cell r="N880">
            <v>2.2000000000000002</v>
          </cell>
          <cell r="O880">
            <v>2</v>
          </cell>
          <cell r="P880">
            <v>2</v>
          </cell>
          <cell r="Q880">
            <v>0</v>
          </cell>
          <cell r="R880">
            <v>0</v>
          </cell>
          <cell r="S880">
            <v>2.2000000000000002</v>
          </cell>
          <cell r="T880">
            <v>0</v>
          </cell>
          <cell r="U880" t="str">
            <v/>
          </cell>
          <cell r="V880" t="str">
            <v>A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 t="e">
            <v>#DIV/0!</v>
          </cell>
          <cell r="AH880" t="e">
            <v>#DIV/0!</v>
          </cell>
          <cell r="AI880" t="e">
            <v>#DIV/0!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 t="e">
            <v>#N/A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0.9</v>
          </cell>
          <cell r="BH880">
            <v>1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 t="e">
            <v>#DIV/0!</v>
          </cell>
          <cell r="BO880">
            <v>38</v>
          </cell>
          <cell r="BP880">
            <v>0</v>
          </cell>
          <cell r="BQ880" t="e">
            <v>#VALUE!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 t="str">
            <v/>
          </cell>
          <cell r="BX880" t="str">
            <v/>
          </cell>
          <cell r="BY880">
            <v>1.5</v>
          </cell>
          <cell r="BZ880">
            <v>1.1429999999999998</v>
          </cell>
        </row>
        <row r="881">
          <cell r="B881" t="str">
            <v/>
          </cell>
          <cell r="C881">
            <v>0</v>
          </cell>
          <cell r="D881" t="str">
            <v/>
          </cell>
          <cell r="F881" t="str">
            <v/>
          </cell>
          <cell r="H881" t="str">
            <v/>
          </cell>
          <cell r="I881" t="e">
            <v>#N/A</v>
          </cell>
          <cell r="J881" t="e">
            <v>#N/A</v>
          </cell>
          <cell r="K881" t="e">
            <v>#N/A</v>
          </cell>
          <cell r="M881">
            <v>2.2000000000000002</v>
          </cell>
          <cell r="N881">
            <v>2.2000000000000002</v>
          </cell>
          <cell r="O881">
            <v>2</v>
          </cell>
          <cell r="P881">
            <v>2</v>
          </cell>
          <cell r="Q881">
            <v>0</v>
          </cell>
          <cell r="R881">
            <v>0</v>
          </cell>
          <cell r="S881">
            <v>2.2000000000000002</v>
          </cell>
          <cell r="T881">
            <v>0</v>
          </cell>
          <cell r="U881" t="str">
            <v/>
          </cell>
          <cell r="V881" t="str">
            <v>A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 t="e">
            <v>#DIV/0!</v>
          </cell>
          <cell r="AH881" t="e">
            <v>#DIV/0!</v>
          </cell>
          <cell r="AI881" t="e">
            <v>#DIV/0!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 t="e">
            <v>#N/A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0.9</v>
          </cell>
          <cell r="BH881">
            <v>1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 t="e">
            <v>#DIV/0!</v>
          </cell>
          <cell r="BO881">
            <v>38</v>
          </cell>
          <cell r="BP881">
            <v>0</v>
          </cell>
          <cell r="BQ881" t="e">
            <v>#VALUE!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 t="str">
            <v/>
          </cell>
          <cell r="BX881" t="str">
            <v/>
          </cell>
          <cell r="BY881">
            <v>1.5</v>
          </cell>
          <cell r="BZ881">
            <v>1.1429999999999998</v>
          </cell>
        </row>
        <row r="882">
          <cell r="B882" t="str">
            <v/>
          </cell>
          <cell r="C882">
            <v>0</v>
          </cell>
          <cell r="D882" t="str">
            <v/>
          </cell>
          <cell r="F882" t="str">
            <v/>
          </cell>
          <cell r="H882" t="str">
            <v/>
          </cell>
          <cell r="I882" t="e">
            <v>#N/A</v>
          </cell>
          <cell r="J882" t="e">
            <v>#N/A</v>
          </cell>
          <cell r="K882" t="e">
            <v>#N/A</v>
          </cell>
          <cell r="M882">
            <v>2.2000000000000002</v>
          </cell>
          <cell r="N882">
            <v>2.2000000000000002</v>
          </cell>
          <cell r="O882">
            <v>2</v>
          </cell>
          <cell r="P882">
            <v>2</v>
          </cell>
          <cell r="Q882">
            <v>0</v>
          </cell>
          <cell r="R882">
            <v>0</v>
          </cell>
          <cell r="S882">
            <v>2.2000000000000002</v>
          </cell>
          <cell r="T882">
            <v>0</v>
          </cell>
          <cell r="U882" t="str">
            <v/>
          </cell>
          <cell r="V882" t="str">
            <v>A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 t="e">
            <v>#DIV/0!</v>
          </cell>
          <cell r="AH882" t="e">
            <v>#DIV/0!</v>
          </cell>
          <cell r="AI882" t="e">
            <v>#DIV/0!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 t="e">
            <v>#N/A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0.9</v>
          </cell>
          <cell r="BH882">
            <v>1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 t="e">
            <v>#DIV/0!</v>
          </cell>
          <cell r="BO882">
            <v>38</v>
          </cell>
          <cell r="BP882">
            <v>0</v>
          </cell>
          <cell r="BQ882" t="e">
            <v>#VALUE!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 t="str">
            <v/>
          </cell>
          <cell r="BX882" t="str">
            <v/>
          </cell>
          <cell r="BY882">
            <v>1.5</v>
          </cell>
          <cell r="BZ882">
            <v>1.1429999999999998</v>
          </cell>
        </row>
        <row r="883">
          <cell r="B883" t="str">
            <v/>
          </cell>
          <cell r="C883">
            <v>0</v>
          </cell>
          <cell r="D883" t="str">
            <v/>
          </cell>
          <cell r="F883" t="str">
            <v/>
          </cell>
          <cell r="H883" t="str">
            <v/>
          </cell>
          <cell r="I883" t="e">
            <v>#N/A</v>
          </cell>
          <cell r="J883" t="e">
            <v>#N/A</v>
          </cell>
          <cell r="K883" t="e">
            <v>#N/A</v>
          </cell>
          <cell r="M883">
            <v>2.2000000000000002</v>
          </cell>
          <cell r="N883">
            <v>2.2000000000000002</v>
          </cell>
          <cell r="O883">
            <v>2</v>
          </cell>
          <cell r="P883">
            <v>2</v>
          </cell>
          <cell r="Q883">
            <v>0</v>
          </cell>
          <cell r="R883">
            <v>0</v>
          </cell>
          <cell r="S883">
            <v>2.2000000000000002</v>
          </cell>
          <cell r="T883">
            <v>0</v>
          </cell>
          <cell r="U883" t="str">
            <v/>
          </cell>
          <cell r="V883" t="str">
            <v>A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 t="e">
            <v>#DIV/0!</v>
          </cell>
          <cell r="AH883" t="e">
            <v>#DIV/0!</v>
          </cell>
          <cell r="AI883" t="e">
            <v>#DIV/0!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 t="e">
            <v>#N/A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0.9</v>
          </cell>
          <cell r="BH883">
            <v>1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 t="e">
            <v>#DIV/0!</v>
          </cell>
          <cell r="BO883">
            <v>38</v>
          </cell>
          <cell r="BP883">
            <v>0</v>
          </cell>
          <cell r="BQ883" t="e">
            <v>#VALUE!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 t="str">
            <v/>
          </cell>
          <cell r="BX883" t="str">
            <v/>
          </cell>
          <cell r="BY883">
            <v>1.5</v>
          </cell>
          <cell r="BZ883">
            <v>1.1429999999999998</v>
          </cell>
        </row>
        <row r="884">
          <cell r="B884" t="str">
            <v/>
          </cell>
          <cell r="C884">
            <v>0</v>
          </cell>
          <cell r="D884" t="str">
            <v/>
          </cell>
          <cell r="F884" t="str">
            <v/>
          </cell>
          <cell r="H884" t="str">
            <v/>
          </cell>
          <cell r="I884" t="e">
            <v>#N/A</v>
          </cell>
          <cell r="J884" t="e">
            <v>#N/A</v>
          </cell>
          <cell r="K884" t="e">
            <v>#N/A</v>
          </cell>
          <cell r="M884">
            <v>2.2000000000000002</v>
          </cell>
          <cell r="N884">
            <v>2.2000000000000002</v>
          </cell>
          <cell r="O884">
            <v>2</v>
          </cell>
          <cell r="P884">
            <v>2</v>
          </cell>
          <cell r="Q884">
            <v>0</v>
          </cell>
          <cell r="R884">
            <v>0</v>
          </cell>
          <cell r="S884">
            <v>2.2000000000000002</v>
          </cell>
          <cell r="T884">
            <v>0</v>
          </cell>
          <cell r="U884" t="str">
            <v/>
          </cell>
          <cell r="V884" t="str">
            <v>A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 t="e">
            <v>#DIV/0!</v>
          </cell>
          <cell r="AH884" t="e">
            <v>#DIV/0!</v>
          </cell>
          <cell r="AI884" t="e">
            <v>#DIV/0!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 t="e">
            <v>#N/A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0.9</v>
          </cell>
          <cell r="BH884">
            <v>1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 t="e">
            <v>#DIV/0!</v>
          </cell>
          <cell r="BO884">
            <v>38</v>
          </cell>
          <cell r="BP884">
            <v>0</v>
          </cell>
          <cell r="BQ884" t="e">
            <v>#VALUE!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 t="str">
            <v/>
          </cell>
          <cell r="BX884" t="str">
            <v/>
          </cell>
          <cell r="BY884">
            <v>1.5</v>
          </cell>
          <cell r="BZ884">
            <v>1.1429999999999998</v>
          </cell>
        </row>
        <row r="885">
          <cell r="B885" t="str">
            <v/>
          </cell>
          <cell r="C885">
            <v>0</v>
          </cell>
          <cell r="D885" t="str">
            <v/>
          </cell>
          <cell r="F885" t="str">
            <v/>
          </cell>
          <cell r="H885" t="str">
            <v/>
          </cell>
          <cell r="I885" t="e">
            <v>#N/A</v>
          </cell>
          <cell r="J885" t="e">
            <v>#N/A</v>
          </cell>
          <cell r="K885" t="e">
            <v>#N/A</v>
          </cell>
          <cell r="M885">
            <v>2.2000000000000002</v>
          </cell>
          <cell r="N885">
            <v>2.2000000000000002</v>
          </cell>
          <cell r="O885">
            <v>2</v>
          </cell>
          <cell r="P885">
            <v>2</v>
          </cell>
          <cell r="Q885">
            <v>0</v>
          </cell>
          <cell r="R885">
            <v>0</v>
          </cell>
          <cell r="S885">
            <v>2.2000000000000002</v>
          </cell>
          <cell r="T885">
            <v>0</v>
          </cell>
          <cell r="U885" t="str">
            <v/>
          </cell>
          <cell r="V885" t="str">
            <v>A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 t="e">
            <v>#DIV/0!</v>
          </cell>
          <cell r="AH885" t="e">
            <v>#DIV/0!</v>
          </cell>
          <cell r="AI885" t="e">
            <v>#DIV/0!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 t="e">
            <v>#N/A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0.9</v>
          </cell>
          <cell r="BH885">
            <v>1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 t="e">
            <v>#DIV/0!</v>
          </cell>
          <cell r="BO885">
            <v>38</v>
          </cell>
          <cell r="BP885">
            <v>0</v>
          </cell>
          <cell r="BQ885" t="e">
            <v>#VALUE!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 t="str">
            <v/>
          </cell>
          <cell r="BX885" t="str">
            <v/>
          </cell>
          <cell r="BY885">
            <v>1.5</v>
          </cell>
          <cell r="BZ885">
            <v>1.1429999999999998</v>
          </cell>
        </row>
        <row r="886">
          <cell r="B886" t="str">
            <v/>
          </cell>
          <cell r="C886">
            <v>0</v>
          </cell>
          <cell r="D886" t="str">
            <v/>
          </cell>
          <cell r="F886" t="str">
            <v/>
          </cell>
          <cell r="H886" t="str">
            <v/>
          </cell>
          <cell r="I886" t="e">
            <v>#N/A</v>
          </cell>
          <cell r="J886" t="e">
            <v>#N/A</v>
          </cell>
          <cell r="K886" t="e">
            <v>#N/A</v>
          </cell>
          <cell r="M886">
            <v>2.2000000000000002</v>
          </cell>
          <cell r="N886">
            <v>2.2000000000000002</v>
          </cell>
          <cell r="O886">
            <v>2</v>
          </cell>
          <cell r="P886">
            <v>2</v>
          </cell>
          <cell r="Q886">
            <v>0</v>
          </cell>
          <cell r="R886">
            <v>0</v>
          </cell>
          <cell r="S886">
            <v>2.2000000000000002</v>
          </cell>
          <cell r="T886">
            <v>0</v>
          </cell>
          <cell r="U886" t="str">
            <v/>
          </cell>
          <cell r="V886" t="str">
            <v>A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 t="e">
            <v>#DIV/0!</v>
          </cell>
          <cell r="AH886" t="e">
            <v>#DIV/0!</v>
          </cell>
          <cell r="AI886" t="e">
            <v>#DIV/0!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 t="e">
            <v>#N/A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0.9</v>
          </cell>
          <cell r="BH886">
            <v>1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 t="e">
            <v>#DIV/0!</v>
          </cell>
          <cell r="BO886">
            <v>38</v>
          </cell>
          <cell r="BP886">
            <v>0</v>
          </cell>
          <cell r="BQ886" t="e">
            <v>#VALUE!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 t="str">
            <v/>
          </cell>
          <cell r="BX886" t="str">
            <v/>
          </cell>
          <cell r="BY886">
            <v>1.5</v>
          </cell>
          <cell r="BZ886">
            <v>1.1429999999999998</v>
          </cell>
        </row>
        <row r="887">
          <cell r="B887" t="str">
            <v/>
          </cell>
          <cell r="C887">
            <v>0</v>
          </cell>
          <cell r="D887" t="str">
            <v/>
          </cell>
          <cell r="F887" t="str">
            <v/>
          </cell>
          <cell r="H887" t="str">
            <v/>
          </cell>
          <cell r="I887" t="e">
            <v>#N/A</v>
          </cell>
          <cell r="J887" t="e">
            <v>#N/A</v>
          </cell>
          <cell r="K887" t="e">
            <v>#N/A</v>
          </cell>
          <cell r="M887">
            <v>2.2000000000000002</v>
          </cell>
          <cell r="N887">
            <v>2.2000000000000002</v>
          </cell>
          <cell r="O887">
            <v>2</v>
          </cell>
          <cell r="P887">
            <v>2</v>
          </cell>
          <cell r="Q887">
            <v>0</v>
          </cell>
          <cell r="R887">
            <v>0</v>
          </cell>
          <cell r="S887">
            <v>2.2000000000000002</v>
          </cell>
          <cell r="T887">
            <v>0</v>
          </cell>
          <cell r="U887" t="str">
            <v/>
          </cell>
          <cell r="V887" t="str">
            <v>A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 t="e">
            <v>#DIV/0!</v>
          </cell>
          <cell r="AH887" t="e">
            <v>#DIV/0!</v>
          </cell>
          <cell r="AI887" t="e">
            <v>#DIV/0!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 t="e">
            <v>#N/A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0.9</v>
          </cell>
          <cell r="BH887">
            <v>1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 t="e">
            <v>#DIV/0!</v>
          </cell>
          <cell r="BO887">
            <v>38</v>
          </cell>
          <cell r="BP887">
            <v>0</v>
          </cell>
          <cell r="BQ887" t="e">
            <v>#VALUE!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 t="str">
            <v/>
          </cell>
          <cell r="BX887" t="str">
            <v/>
          </cell>
          <cell r="BY887">
            <v>1.5</v>
          </cell>
          <cell r="BZ887">
            <v>1.1429999999999998</v>
          </cell>
        </row>
        <row r="888">
          <cell r="B888" t="str">
            <v/>
          </cell>
          <cell r="C888">
            <v>0</v>
          </cell>
          <cell r="D888" t="str">
            <v/>
          </cell>
          <cell r="F888" t="str">
            <v/>
          </cell>
          <cell r="H888" t="str">
            <v/>
          </cell>
          <cell r="I888" t="e">
            <v>#N/A</v>
          </cell>
          <cell r="J888" t="e">
            <v>#N/A</v>
          </cell>
          <cell r="K888" t="e">
            <v>#N/A</v>
          </cell>
          <cell r="M888">
            <v>2.2000000000000002</v>
          </cell>
          <cell r="N888">
            <v>2.2000000000000002</v>
          </cell>
          <cell r="O888">
            <v>2</v>
          </cell>
          <cell r="P888">
            <v>2</v>
          </cell>
          <cell r="Q888">
            <v>0</v>
          </cell>
          <cell r="R888">
            <v>0</v>
          </cell>
          <cell r="S888">
            <v>2.2000000000000002</v>
          </cell>
          <cell r="T888">
            <v>0</v>
          </cell>
          <cell r="U888" t="str">
            <v/>
          </cell>
          <cell r="V888" t="str">
            <v>A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 t="e">
            <v>#DIV/0!</v>
          </cell>
          <cell r="AH888" t="e">
            <v>#DIV/0!</v>
          </cell>
          <cell r="AI888" t="e">
            <v>#DIV/0!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 t="e">
            <v>#N/A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0.9</v>
          </cell>
          <cell r="BH888">
            <v>1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 t="e">
            <v>#DIV/0!</v>
          </cell>
          <cell r="BO888">
            <v>38</v>
          </cell>
          <cell r="BP888">
            <v>0</v>
          </cell>
          <cell r="BQ888" t="e">
            <v>#VALUE!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 t="str">
            <v/>
          </cell>
          <cell r="BX888" t="str">
            <v/>
          </cell>
          <cell r="BY888">
            <v>1.5</v>
          </cell>
          <cell r="BZ888">
            <v>1.1429999999999998</v>
          </cell>
        </row>
        <row r="889">
          <cell r="B889" t="str">
            <v/>
          </cell>
          <cell r="C889">
            <v>0</v>
          </cell>
          <cell r="D889" t="str">
            <v/>
          </cell>
          <cell r="F889" t="str">
            <v/>
          </cell>
          <cell r="H889" t="str">
            <v/>
          </cell>
          <cell r="I889" t="e">
            <v>#N/A</v>
          </cell>
          <cell r="J889" t="e">
            <v>#N/A</v>
          </cell>
          <cell r="K889" t="e">
            <v>#N/A</v>
          </cell>
          <cell r="M889">
            <v>2.2000000000000002</v>
          </cell>
          <cell r="N889">
            <v>2.2000000000000002</v>
          </cell>
          <cell r="O889">
            <v>2</v>
          </cell>
          <cell r="P889">
            <v>2</v>
          </cell>
          <cell r="Q889">
            <v>0</v>
          </cell>
          <cell r="R889">
            <v>0</v>
          </cell>
          <cell r="S889">
            <v>2.2000000000000002</v>
          </cell>
          <cell r="T889">
            <v>0</v>
          </cell>
          <cell r="U889" t="str">
            <v/>
          </cell>
          <cell r="V889" t="str">
            <v>A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 t="e">
            <v>#DIV/0!</v>
          </cell>
          <cell r="AH889" t="e">
            <v>#DIV/0!</v>
          </cell>
          <cell r="AI889" t="e">
            <v>#DIV/0!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 t="e">
            <v>#N/A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0.9</v>
          </cell>
          <cell r="BH889">
            <v>1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 t="e">
            <v>#DIV/0!</v>
          </cell>
          <cell r="BO889">
            <v>38</v>
          </cell>
          <cell r="BP889">
            <v>0</v>
          </cell>
          <cell r="BQ889" t="e">
            <v>#VALUE!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 t="str">
            <v/>
          </cell>
          <cell r="BX889" t="str">
            <v/>
          </cell>
          <cell r="BY889">
            <v>1.5</v>
          </cell>
          <cell r="BZ889">
            <v>1.1429999999999998</v>
          </cell>
        </row>
        <row r="890">
          <cell r="B890" t="str">
            <v/>
          </cell>
          <cell r="C890">
            <v>0</v>
          </cell>
          <cell r="D890" t="str">
            <v/>
          </cell>
          <cell r="F890" t="str">
            <v/>
          </cell>
          <cell r="H890" t="str">
            <v/>
          </cell>
          <cell r="I890" t="e">
            <v>#N/A</v>
          </cell>
          <cell r="J890" t="e">
            <v>#N/A</v>
          </cell>
          <cell r="K890" t="e">
            <v>#N/A</v>
          </cell>
          <cell r="M890">
            <v>2.2000000000000002</v>
          </cell>
          <cell r="N890">
            <v>2.2000000000000002</v>
          </cell>
          <cell r="O890">
            <v>2</v>
          </cell>
          <cell r="P890">
            <v>2</v>
          </cell>
          <cell r="Q890">
            <v>0</v>
          </cell>
          <cell r="R890">
            <v>0</v>
          </cell>
          <cell r="S890">
            <v>2.2000000000000002</v>
          </cell>
          <cell r="T890">
            <v>0</v>
          </cell>
          <cell r="U890" t="str">
            <v/>
          </cell>
          <cell r="V890" t="str">
            <v>A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 t="e">
            <v>#DIV/0!</v>
          </cell>
          <cell r="AH890" t="e">
            <v>#DIV/0!</v>
          </cell>
          <cell r="AI890" t="e">
            <v>#DIV/0!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 t="e">
            <v>#N/A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0.9</v>
          </cell>
          <cell r="BH890">
            <v>1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 t="e">
            <v>#DIV/0!</v>
          </cell>
          <cell r="BO890">
            <v>38</v>
          </cell>
          <cell r="BP890">
            <v>0</v>
          </cell>
          <cell r="BQ890" t="e">
            <v>#VALUE!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 t="str">
            <v/>
          </cell>
          <cell r="BX890" t="str">
            <v/>
          </cell>
          <cell r="BY890">
            <v>1.5</v>
          </cell>
          <cell r="BZ890">
            <v>1.1429999999999998</v>
          </cell>
        </row>
        <row r="891">
          <cell r="B891" t="str">
            <v/>
          </cell>
          <cell r="C891">
            <v>0</v>
          </cell>
          <cell r="D891" t="str">
            <v/>
          </cell>
          <cell r="F891" t="str">
            <v/>
          </cell>
          <cell r="H891" t="str">
            <v/>
          </cell>
          <cell r="I891" t="e">
            <v>#N/A</v>
          </cell>
          <cell r="J891" t="e">
            <v>#N/A</v>
          </cell>
          <cell r="K891" t="e">
            <v>#N/A</v>
          </cell>
          <cell r="M891">
            <v>2.2000000000000002</v>
          </cell>
          <cell r="N891">
            <v>2.2000000000000002</v>
          </cell>
          <cell r="O891">
            <v>2</v>
          </cell>
          <cell r="P891">
            <v>2</v>
          </cell>
          <cell r="Q891">
            <v>0</v>
          </cell>
          <cell r="R891">
            <v>0</v>
          </cell>
          <cell r="S891">
            <v>2.2000000000000002</v>
          </cell>
          <cell r="T891">
            <v>0</v>
          </cell>
          <cell r="U891" t="str">
            <v/>
          </cell>
          <cell r="V891" t="str">
            <v>A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 t="e">
            <v>#DIV/0!</v>
          </cell>
          <cell r="AH891" t="e">
            <v>#DIV/0!</v>
          </cell>
          <cell r="AI891" t="e">
            <v>#DIV/0!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 t="e">
            <v>#N/A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0.9</v>
          </cell>
          <cell r="BH891">
            <v>1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 t="e">
            <v>#DIV/0!</v>
          </cell>
          <cell r="BO891">
            <v>38</v>
          </cell>
          <cell r="BP891">
            <v>0</v>
          </cell>
          <cell r="BQ891" t="e">
            <v>#VALUE!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 t="str">
            <v/>
          </cell>
          <cell r="BX891" t="str">
            <v/>
          </cell>
          <cell r="BY891">
            <v>1.5</v>
          </cell>
          <cell r="BZ891">
            <v>1.1429999999999998</v>
          </cell>
        </row>
        <row r="892">
          <cell r="B892" t="str">
            <v/>
          </cell>
          <cell r="C892">
            <v>0</v>
          </cell>
          <cell r="D892" t="str">
            <v/>
          </cell>
          <cell r="F892" t="str">
            <v/>
          </cell>
          <cell r="H892" t="str">
            <v/>
          </cell>
          <cell r="I892" t="e">
            <v>#N/A</v>
          </cell>
          <cell r="J892" t="e">
            <v>#N/A</v>
          </cell>
          <cell r="K892" t="e">
            <v>#N/A</v>
          </cell>
          <cell r="M892">
            <v>2.2000000000000002</v>
          </cell>
          <cell r="N892">
            <v>2.2000000000000002</v>
          </cell>
          <cell r="O892">
            <v>2</v>
          </cell>
          <cell r="P892">
            <v>2</v>
          </cell>
          <cell r="Q892">
            <v>0</v>
          </cell>
          <cell r="R892">
            <v>0</v>
          </cell>
          <cell r="S892">
            <v>2.2000000000000002</v>
          </cell>
          <cell r="T892">
            <v>0</v>
          </cell>
          <cell r="U892" t="str">
            <v/>
          </cell>
          <cell r="V892" t="str">
            <v>A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 t="e">
            <v>#DIV/0!</v>
          </cell>
          <cell r="AH892" t="e">
            <v>#DIV/0!</v>
          </cell>
          <cell r="AI892" t="e">
            <v>#DIV/0!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 t="e">
            <v>#N/A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0.9</v>
          </cell>
          <cell r="BH892">
            <v>1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 t="e">
            <v>#DIV/0!</v>
          </cell>
          <cell r="BO892">
            <v>38</v>
          </cell>
          <cell r="BP892">
            <v>0</v>
          </cell>
          <cell r="BQ892" t="e">
            <v>#VALUE!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 t="str">
            <v/>
          </cell>
          <cell r="BX892" t="str">
            <v/>
          </cell>
          <cell r="BY892">
            <v>1.5</v>
          </cell>
          <cell r="BZ892">
            <v>1.1429999999999998</v>
          </cell>
        </row>
        <row r="893">
          <cell r="B893" t="str">
            <v/>
          </cell>
          <cell r="C893">
            <v>0</v>
          </cell>
          <cell r="D893" t="str">
            <v/>
          </cell>
          <cell r="F893" t="str">
            <v/>
          </cell>
          <cell r="H893" t="str">
            <v/>
          </cell>
          <cell r="I893" t="e">
            <v>#N/A</v>
          </cell>
          <cell r="J893" t="e">
            <v>#N/A</v>
          </cell>
          <cell r="K893" t="e">
            <v>#N/A</v>
          </cell>
          <cell r="M893">
            <v>2.2000000000000002</v>
          </cell>
          <cell r="N893">
            <v>2.2000000000000002</v>
          </cell>
          <cell r="O893">
            <v>2</v>
          </cell>
          <cell r="P893">
            <v>2</v>
          </cell>
          <cell r="Q893">
            <v>0</v>
          </cell>
          <cell r="R893">
            <v>0</v>
          </cell>
          <cell r="S893">
            <v>2.2000000000000002</v>
          </cell>
          <cell r="T893">
            <v>0</v>
          </cell>
          <cell r="U893" t="str">
            <v/>
          </cell>
          <cell r="V893" t="str">
            <v>A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 t="e">
            <v>#DIV/0!</v>
          </cell>
          <cell r="AH893" t="e">
            <v>#DIV/0!</v>
          </cell>
          <cell r="AI893" t="e">
            <v>#DIV/0!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 t="e">
            <v>#N/A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0.9</v>
          </cell>
          <cell r="BH893">
            <v>1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 t="e">
            <v>#DIV/0!</v>
          </cell>
          <cell r="BO893">
            <v>38</v>
          </cell>
          <cell r="BP893">
            <v>0</v>
          </cell>
          <cell r="BQ893" t="e">
            <v>#VALUE!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 t="str">
            <v/>
          </cell>
          <cell r="BX893" t="str">
            <v/>
          </cell>
          <cell r="BY893">
            <v>1.5</v>
          </cell>
          <cell r="BZ893">
            <v>1.1429999999999998</v>
          </cell>
        </row>
        <row r="894">
          <cell r="B894" t="str">
            <v/>
          </cell>
          <cell r="C894">
            <v>0</v>
          </cell>
          <cell r="D894" t="str">
            <v/>
          </cell>
          <cell r="F894" t="str">
            <v/>
          </cell>
          <cell r="H894" t="str">
            <v/>
          </cell>
          <cell r="I894" t="e">
            <v>#N/A</v>
          </cell>
          <cell r="J894" t="e">
            <v>#N/A</v>
          </cell>
          <cell r="K894" t="e">
            <v>#N/A</v>
          </cell>
          <cell r="M894">
            <v>2.2000000000000002</v>
          </cell>
          <cell r="N894">
            <v>2.2000000000000002</v>
          </cell>
          <cell r="O894">
            <v>2</v>
          </cell>
          <cell r="P894">
            <v>2</v>
          </cell>
          <cell r="Q894">
            <v>0</v>
          </cell>
          <cell r="R894">
            <v>0</v>
          </cell>
          <cell r="S894">
            <v>2.2000000000000002</v>
          </cell>
          <cell r="T894">
            <v>0</v>
          </cell>
          <cell r="U894" t="str">
            <v/>
          </cell>
          <cell r="V894" t="str">
            <v>A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 t="e">
            <v>#DIV/0!</v>
          </cell>
          <cell r="AH894" t="e">
            <v>#DIV/0!</v>
          </cell>
          <cell r="AI894" t="e">
            <v>#DIV/0!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 t="e">
            <v>#N/A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0.9</v>
          </cell>
          <cell r="BH894">
            <v>1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 t="e">
            <v>#DIV/0!</v>
          </cell>
          <cell r="BO894">
            <v>38</v>
          </cell>
          <cell r="BP894">
            <v>0</v>
          </cell>
          <cell r="BQ894" t="e">
            <v>#VALUE!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 t="str">
            <v/>
          </cell>
          <cell r="BX894" t="str">
            <v/>
          </cell>
          <cell r="BY894">
            <v>1.5</v>
          </cell>
          <cell r="BZ894">
            <v>1.1429999999999998</v>
          </cell>
        </row>
        <row r="895">
          <cell r="B895" t="str">
            <v/>
          </cell>
          <cell r="C895">
            <v>0</v>
          </cell>
          <cell r="D895" t="str">
            <v/>
          </cell>
          <cell r="F895" t="str">
            <v/>
          </cell>
          <cell r="H895" t="str">
            <v/>
          </cell>
          <cell r="I895" t="e">
            <v>#N/A</v>
          </cell>
          <cell r="J895" t="e">
            <v>#N/A</v>
          </cell>
          <cell r="K895" t="e">
            <v>#N/A</v>
          </cell>
          <cell r="M895">
            <v>2.2000000000000002</v>
          </cell>
          <cell r="N895">
            <v>2.2000000000000002</v>
          </cell>
          <cell r="O895">
            <v>2</v>
          </cell>
          <cell r="P895">
            <v>2</v>
          </cell>
          <cell r="Q895">
            <v>0</v>
          </cell>
          <cell r="R895">
            <v>0</v>
          </cell>
          <cell r="S895">
            <v>2.2000000000000002</v>
          </cell>
          <cell r="T895">
            <v>0</v>
          </cell>
          <cell r="U895" t="str">
            <v/>
          </cell>
          <cell r="V895" t="str">
            <v>A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 t="e">
            <v>#DIV/0!</v>
          </cell>
          <cell r="AH895" t="e">
            <v>#DIV/0!</v>
          </cell>
          <cell r="AI895" t="e">
            <v>#DIV/0!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 t="e">
            <v>#N/A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0.9</v>
          </cell>
          <cell r="BH895">
            <v>1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 t="e">
            <v>#DIV/0!</v>
          </cell>
          <cell r="BO895">
            <v>38</v>
          </cell>
          <cell r="BP895">
            <v>0</v>
          </cell>
          <cell r="BQ895" t="e">
            <v>#VALUE!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 t="str">
            <v/>
          </cell>
          <cell r="BX895" t="str">
            <v/>
          </cell>
          <cell r="BY895">
            <v>1.5</v>
          </cell>
          <cell r="BZ895">
            <v>1.1429999999999998</v>
          </cell>
        </row>
        <row r="896">
          <cell r="B896" t="str">
            <v/>
          </cell>
          <cell r="C896">
            <v>0</v>
          </cell>
          <cell r="D896" t="str">
            <v/>
          </cell>
          <cell r="F896" t="str">
            <v/>
          </cell>
          <cell r="H896" t="str">
            <v/>
          </cell>
          <cell r="I896" t="e">
            <v>#N/A</v>
          </cell>
          <cell r="J896" t="e">
            <v>#N/A</v>
          </cell>
          <cell r="K896" t="e">
            <v>#N/A</v>
          </cell>
          <cell r="M896">
            <v>2.2000000000000002</v>
          </cell>
          <cell r="N896">
            <v>2.2000000000000002</v>
          </cell>
          <cell r="O896">
            <v>2</v>
          </cell>
          <cell r="P896">
            <v>2</v>
          </cell>
          <cell r="Q896">
            <v>0</v>
          </cell>
          <cell r="R896">
            <v>0</v>
          </cell>
          <cell r="S896">
            <v>2.2000000000000002</v>
          </cell>
          <cell r="T896">
            <v>0</v>
          </cell>
          <cell r="U896" t="str">
            <v/>
          </cell>
          <cell r="V896" t="str">
            <v>A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 t="e">
            <v>#DIV/0!</v>
          </cell>
          <cell r="AH896" t="e">
            <v>#DIV/0!</v>
          </cell>
          <cell r="AI896" t="e">
            <v>#DIV/0!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 t="e">
            <v>#N/A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0.9</v>
          </cell>
          <cell r="BH896">
            <v>1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 t="e">
            <v>#DIV/0!</v>
          </cell>
          <cell r="BO896">
            <v>38</v>
          </cell>
          <cell r="BP896">
            <v>0</v>
          </cell>
          <cell r="BQ896" t="e">
            <v>#VALUE!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 t="str">
            <v/>
          </cell>
          <cell r="BX896" t="str">
            <v/>
          </cell>
          <cell r="BY896">
            <v>1.5</v>
          </cell>
          <cell r="BZ896">
            <v>1.1429999999999998</v>
          </cell>
        </row>
        <row r="897">
          <cell r="B897" t="str">
            <v/>
          </cell>
          <cell r="C897">
            <v>0</v>
          </cell>
          <cell r="D897" t="str">
            <v/>
          </cell>
          <cell r="F897" t="str">
            <v/>
          </cell>
          <cell r="H897" t="str">
            <v/>
          </cell>
          <cell r="I897" t="e">
            <v>#N/A</v>
          </cell>
          <cell r="J897" t="e">
            <v>#N/A</v>
          </cell>
          <cell r="K897" t="e">
            <v>#N/A</v>
          </cell>
          <cell r="M897">
            <v>2.2000000000000002</v>
          </cell>
          <cell r="N897">
            <v>2.2000000000000002</v>
          </cell>
          <cell r="O897">
            <v>2</v>
          </cell>
          <cell r="P897">
            <v>2</v>
          </cell>
          <cell r="Q897">
            <v>0</v>
          </cell>
          <cell r="R897">
            <v>0</v>
          </cell>
          <cell r="S897">
            <v>2.2000000000000002</v>
          </cell>
          <cell r="T897">
            <v>0</v>
          </cell>
          <cell r="U897" t="str">
            <v/>
          </cell>
          <cell r="V897" t="str">
            <v>A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 t="e">
            <v>#DIV/0!</v>
          </cell>
          <cell r="AH897" t="e">
            <v>#DIV/0!</v>
          </cell>
          <cell r="AI897" t="e">
            <v>#DIV/0!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 t="e">
            <v>#N/A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0.9</v>
          </cell>
          <cell r="BH897">
            <v>1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 t="e">
            <v>#DIV/0!</v>
          </cell>
          <cell r="BO897">
            <v>38</v>
          </cell>
          <cell r="BP897">
            <v>0</v>
          </cell>
          <cell r="BQ897" t="e">
            <v>#VALUE!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 t="str">
            <v/>
          </cell>
          <cell r="BX897" t="str">
            <v/>
          </cell>
          <cell r="BY897">
            <v>1.5</v>
          </cell>
          <cell r="BZ897">
            <v>1.1429999999999998</v>
          </cell>
        </row>
        <row r="898">
          <cell r="B898" t="str">
            <v/>
          </cell>
          <cell r="C898">
            <v>0</v>
          </cell>
          <cell r="D898" t="str">
            <v/>
          </cell>
          <cell r="F898" t="str">
            <v/>
          </cell>
          <cell r="H898" t="str">
            <v/>
          </cell>
          <cell r="I898" t="e">
            <v>#N/A</v>
          </cell>
          <cell r="J898" t="e">
            <v>#N/A</v>
          </cell>
          <cell r="K898" t="e">
            <v>#N/A</v>
          </cell>
          <cell r="M898">
            <v>2.2000000000000002</v>
          </cell>
          <cell r="N898">
            <v>2.2000000000000002</v>
          </cell>
          <cell r="O898">
            <v>2</v>
          </cell>
          <cell r="P898">
            <v>2</v>
          </cell>
          <cell r="Q898">
            <v>0</v>
          </cell>
          <cell r="R898">
            <v>0</v>
          </cell>
          <cell r="S898">
            <v>2.2000000000000002</v>
          </cell>
          <cell r="T898">
            <v>0</v>
          </cell>
          <cell r="U898" t="str">
            <v/>
          </cell>
          <cell r="V898" t="str">
            <v>A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 t="e">
            <v>#DIV/0!</v>
          </cell>
          <cell r="AH898" t="e">
            <v>#DIV/0!</v>
          </cell>
          <cell r="AI898" t="e">
            <v>#DIV/0!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 t="e">
            <v>#N/A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0.9</v>
          </cell>
          <cell r="BH898">
            <v>1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 t="e">
            <v>#DIV/0!</v>
          </cell>
          <cell r="BO898">
            <v>38</v>
          </cell>
          <cell r="BP898">
            <v>0</v>
          </cell>
          <cell r="BQ898" t="e">
            <v>#VALUE!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 t="str">
            <v/>
          </cell>
          <cell r="BX898" t="str">
            <v/>
          </cell>
          <cell r="BY898">
            <v>1.5</v>
          </cell>
          <cell r="BZ898">
            <v>1.1429999999999998</v>
          </cell>
        </row>
        <row r="899">
          <cell r="B899" t="str">
            <v/>
          </cell>
          <cell r="C899">
            <v>0</v>
          </cell>
          <cell r="D899" t="str">
            <v/>
          </cell>
          <cell r="F899" t="str">
            <v/>
          </cell>
          <cell r="H899" t="str">
            <v/>
          </cell>
          <cell r="I899" t="e">
            <v>#N/A</v>
          </cell>
          <cell r="J899" t="e">
            <v>#N/A</v>
          </cell>
          <cell r="K899" t="e">
            <v>#N/A</v>
          </cell>
          <cell r="M899">
            <v>2.2000000000000002</v>
          </cell>
          <cell r="N899">
            <v>2.2000000000000002</v>
          </cell>
          <cell r="O899">
            <v>2</v>
          </cell>
          <cell r="P899">
            <v>2</v>
          </cell>
          <cell r="Q899">
            <v>0</v>
          </cell>
          <cell r="R899">
            <v>0</v>
          </cell>
          <cell r="S899">
            <v>2.2000000000000002</v>
          </cell>
          <cell r="T899">
            <v>0</v>
          </cell>
          <cell r="U899" t="str">
            <v/>
          </cell>
          <cell r="V899" t="str">
            <v>A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 t="e">
            <v>#DIV/0!</v>
          </cell>
          <cell r="AH899" t="e">
            <v>#DIV/0!</v>
          </cell>
          <cell r="AI899" t="e">
            <v>#DIV/0!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 t="e">
            <v>#N/A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0.9</v>
          </cell>
          <cell r="BH899">
            <v>1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 t="e">
            <v>#DIV/0!</v>
          </cell>
          <cell r="BO899">
            <v>38</v>
          </cell>
          <cell r="BP899">
            <v>0</v>
          </cell>
          <cell r="BQ899" t="e">
            <v>#VALUE!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 t="str">
            <v/>
          </cell>
          <cell r="BX899" t="str">
            <v/>
          </cell>
          <cell r="BY899">
            <v>1.5</v>
          </cell>
          <cell r="BZ899">
            <v>1.1429999999999998</v>
          </cell>
        </row>
        <row r="900">
          <cell r="B900" t="str">
            <v/>
          </cell>
          <cell r="C900">
            <v>0</v>
          </cell>
          <cell r="D900" t="str">
            <v/>
          </cell>
          <cell r="F900" t="str">
            <v/>
          </cell>
          <cell r="H900" t="str">
            <v/>
          </cell>
          <cell r="I900" t="e">
            <v>#N/A</v>
          </cell>
          <cell r="J900" t="e">
            <v>#N/A</v>
          </cell>
          <cell r="K900" t="e">
            <v>#N/A</v>
          </cell>
          <cell r="M900">
            <v>2.2000000000000002</v>
          </cell>
          <cell r="N900">
            <v>2.2000000000000002</v>
          </cell>
          <cell r="O900">
            <v>2</v>
          </cell>
          <cell r="P900">
            <v>2</v>
          </cell>
          <cell r="Q900">
            <v>0</v>
          </cell>
          <cell r="R900">
            <v>0</v>
          </cell>
          <cell r="S900">
            <v>2.2000000000000002</v>
          </cell>
          <cell r="T900">
            <v>0</v>
          </cell>
          <cell r="U900" t="str">
            <v/>
          </cell>
          <cell r="V900" t="str">
            <v>A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 t="e">
            <v>#DIV/0!</v>
          </cell>
          <cell r="AH900" t="e">
            <v>#DIV/0!</v>
          </cell>
          <cell r="AI900" t="e">
            <v>#DIV/0!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 t="e">
            <v>#N/A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0.9</v>
          </cell>
          <cell r="BH900">
            <v>1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 t="e">
            <v>#DIV/0!</v>
          </cell>
          <cell r="BO900">
            <v>38</v>
          </cell>
          <cell r="BP900">
            <v>0</v>
          </cell>
          <cell r="BQ900" t="e">
            <v>#VALUE!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 t="str">
            <v/>
          </cell>
          <cell r="BX900" t="str">
            <v/>
          </cell>
          <cell r="BY900">
            <v>1.5</v>
          </cell>
          <cell r="BZ900">
            <v>1.1429999999999998</v>
          </cell>
        </row>
        <row r="901">
          <cell r="B901" t="str">
            <v/>
          </cell>
          <cell r="C901">
            <v>0</v>
          </cell>
          <cell r="D901" t="str">
            <v/>
          </cell>
          <cell r="F901" t="str">
            <v/>
          </cell>
          <cell r="H901" t="str">
            <v/>
          </cell>
          <cell r="I901" t="e">
            <v>#N/A</v>
          </cell>
          <cell r="J901" t="e">
            <v>#N/A</v>
          </cell>
          <cell r="K901" t="e">
            <v>#N/A</v>
          </cell>
          <cell r="M901">
            <v>2.2000000000000002</v>
          </cell>
          <cell r="N901">
            <v>2.2000000000000002</v>
          </cell>
          <cell r="O901">
            <v>2</v>
          </cell>
          <cell r="P901">
            <v>2</v>
          </cell>
          <cell r="Q901">
            <v>0</v>
          </cell>
          <cell r="R901">
            <v>0</v>
          </cell>
          <cell r="S901">
            <v>2.2000000000000002</v>
          </cell>
          <cell r="T901">
            <v>0</v>
          </cell>
          <cell r="U901" t="str">
            <v/>
          </cell>
          <cell r="V901" t="str">
            <v>A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 t="e">
            <v>#DIV/0!</v>
          </cell>
          <cell r="AH901" t="e">
            <v>#DIV/0!</v>
          </cell>
          <cell r="AI901" t="e">
            <v>#DIV/0!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 t="e">
            <v>#N/A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0.9</v>
          </cell>
          <cell r="BH901">
            <v>1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 t="e">
            <v>#DIV/0!</v>
          </cell>
          <cell r="BO901">
            <v>38</v>
          </cell>
          <cell r="BP901">
            <v>0</v>
          </cell>
          <cell r="BQ901" t="e">
            <v>#VALUE!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 t="str">
            <v/>
          </cell>
          <cell r="BX901" t="str">
            <v/>
          </cell>
          <cell r="BY901">
            <v>1.5</v>
          </cell>
          <cell r="BZ901">
            <v>1.1429999999999998</v>
          </cell>
        </row>
        <row r="902">
          <cell r="B902" t="str">
            <v/>
          </cell>
          <cell r="C902">
            <v>0</v>
          </cell>
          <cell r="D902" t="str">
            <v/>
          </cell>
          <cell r="F902" t="str">
            <v/>
          </cell>
          <cell r="H902" t="str">
            <v/>
          </cell>
          <cell r="I902" t="e">
            <v>#N/A</v>
          </cell>
          <cell r="J902" t="e">
            <v>#N/A</v>
          </cell>
          <cell r="K902" t="e">
            <v>#N/A</v>
          </cell>
          <cell r="M902">
            <v>2.2000000000000002</v>
          </cell>
          <cell r="N902">
            <v>2.2000000000000002</v>
          </cell>
          <cell r="O902">
            <v>2</v>
          </cell>
          <cell r="P902">
            <v>2</v>
          </cell>
          <cell r="Q902">
            <v>0</v>
          </cell>
          <cell r="R902">
            <v>0</v>
          </cell>
          <cell r="S902">
            <v>2.2000000000000002</v>
          </cell>
          <cell r="T902">
            <v>0</v>
          </cell>
          <cell r="U902" t="str">
            <v/>
          </cell>
          <cell r="V902" t="str">
            <v>A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 t="e">
            <v>#DIV/0!</v>
          </cell>
          <cell r="AH902" t="e">
            <v>#DIV/0!</v>
          </cell>
          <cell r="AI902" t="e">
            <v>#DIV/0!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 t="e">
            <v>#N/A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0.9</v>
          </cell>
          <cell r="BH902">
            <v>1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 t="e">
            <v>#DIV/0!</v>
          </cell>
          <cell r="BO902">
            <v>38</v>
          </cell>
          <cell r="BP902">
            <v>0</v>
          </cell>
          <cell r="BQ902" t="e">
            <v>#VALUE!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 t="str">
            <v/>
          </cell>
          <cell r="BX902" t="str">
            <v/>
          </cell>
          <cell r="BY902">
            <v>1.5</v>
          </cell>
          <cell r="BZ902">
            <v>1.1429999999999998</v>
          </cell>
        </row>
        <row r="903">
          <cell r="B903" t="str">
            <v/>
          </cell>
          <cell r="C903">
            <v>0</v>
          </cell>
          <cell r="D903" t="str">
            <v/>
          </cell>
          <cell r="F903" t="str">
            <v/>
          </cell>
          <cell r="H903" t="str">
            <v/>
          </cell>
          <cell r="I903" t="e">
            <v>#N/A</v>
          </cell>
          <cell r="J903" t="e">
            <v>#N/A</v>
          </cell>
          <cell r="K903" t="e">
            <v>#N/A</v>
          </cell>
          <cell r="M903">
            <v>2.2000000000000002</v>
          </cell>
          <cell r="N903">
            <v>2.2000000000000002</v>
          </cell>
          <cell r="O903">
            <v>2</v>
          </cell>
          <cell r="P903">
            <v>2</v>
          </cell>
          <cell r="Q903">
            <v>0</v>
          </cell>
          <cell r="R903">
            <v>0</v>
          </cell>
          <cell r="S903">
            <v>2.2000000000000002</v>
          </cell>
          <cell r="T903">
            <v>0</v>
          </cell>
          <cell r="U903" t="str">
            <v/>
          </cell>
          <cell r="V903" t="str">
            <v>A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 t="e">
            <v>#DIV/0!</v>
          </cell>
          <cell r="AH903" t="e">
            <v>#DIV/0!</v>
          </cell>
          <cell r="AI903" t="e">
            <v>#DIV/0!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 t="e">
            <v>#N/A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0.9</v>
          </cell>
          <cell r="BH903">
            <v>1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 t="e">
            <v>#DIV/0!</v>
          </cell>
          <cell r="BO903">
            <v>38</v>
          </cell>
          <cell r="BP903">
            <v>0</v>
          </cell>
          <cell r="BQ903" t="e">
            <v>#VALUE!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 t="str">
            <v/>
          </cell>
          <cell r="BX903" t="str">
            <v/>
          </cell>
          <cell r="BY903">
            <v>1.5</v>
          </cell>
          <cell r="BZ903">
            <v>1.1429999999999998</v>
          </cell>
        </row>
        <row r="904">
          <cell r="B904" t="str">
            <v/>
          </cell>
          <cell r="C904">
            <v>0</v>
          </cell>
          <cell r="D904" t="str">
            <v/>
          </cell>
          <cell r="F904" t="str">
            <v/>
          </cell>
          <cell r="H904" t="str">
            <v/>
          </cell>
          <cell r="I904" t="e">
            <v>#N/A</v>
          </cell>
          <cell r="J904" t="e">
            <v>#N/A</v>
          </cell>
          <cell r="K904" t="e">
            <v>#N/A</v>
          </cell>
          <cell r="M904">
            <v>2.2000000000000002</v>
          </cell>
          <cell r="N904">
            <v>2.2000000000000002</v>
          </cell>
          <cell r="O904">
            <v>2</v>
          </cell>
          <cell r="P904">
            <v>2</v>
          </cell>
          <cell r="Q904">
            <v>0</v>
          </cell>
          <cell r="R904">
            <v>0</v>
          </cell>
          <cell r="S904">
            <v>2.2000000000000002</v>
          </cell>
          <cell r="T904">
            <v>0</v>
          </cell>
          <cell r="U904" t="str">
            <v/>
          </cell>
          <cell r="V904" t="str">
            <v>A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 t="e">
            <v>#DIV/0!</v>
          </cell>
          <cell r="AH904" t="e">
            <v>#DIV/0!</v>
          </cell>
          <cell r="AI904" t="e">
            <v>#DIV/0!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 t="e">
            <v>#N/A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0.9</v>
          </cell>
          <cell r="BH904">
            <v>1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 t="e">
            <v>#DIV/0!</v>
          </cell>
          <cell r="BO904">
            <v>38</v>
          </cell>
          <cell r="BP904">
            <v>0</v>
          </cell>
          <cell r="BQ904" t="e">
            <v>#VALUE!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 t="str">
            <v/>
          </cell>
          <cell r="BX904" t="str">
            <v/>
          </cell>
          <cell r="BY904">
            <v>1.5</v>
          </cell>
          <cell r="BZ904">
            <v>1.1429999999999998</v>
          </cell>
        </row>
        <row r="905">
          <cell r="B905" t="str">
            <v/>
          </cell>
          <cell r="C905">
            <v>0</v>
          </cell>
          <cell r="D905" t="str">
            <v/>
          </cell>
          <cell r="F905" t="str">
            <v/>
          </cell>
          <cell r="H905" t="str">
            <v/>
          </cell>
          <cell r="I905" t="e">
            <v>#N/A</v>
          </cell>
          <cell r="J905" t="e">
            <v>#N/A</v>
          </cell>
          <cell r="K905" t="e">
            <v>#N/A</v>
          </cell>
          <cell r="M905">
            <v>2.2000000000000002</v>
          </cell>
          <cell r="N905">
            <v>2.2000000000000002</v>
          </cell>
          <cell r="O905">
            <v>2</v>
          </cell>
          <cell r="P905">
            <v>2</v>
          </cell>
          <cell r="Q905">
            <v>0</v>
          </cell>
          <cell r="R905">
            <v>0</v>
          </cell>
          <cell r="S905">
            <v>2.2000000000000002</v>
          </cell>
          <cell r="T905">
            <v>0</v>
          </cell>
          <cell r="U905" t="str">
            <v/>
          </cell>
          <cell r="V905" t="str">
            <v>A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 t="e">
            <v>#DIV/0!</v>
          </cell>
          <cell r="AH905" t="e">
            <v>#DIV/0!</v>
          </cell>
          <cell r="AI905" t="e">
            <v>#DIV/0!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 t="e">
            <v>#N/A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0.9</v>
          </cell>
          <cell r="BH905">
            <v>1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 t="e">
            <v>#DIV/0!</v>
          </cell>
          <cell r="BO905">
            <v>38</v>
          </cell>
          <cell r="BP905">
            <v>0</v>
          </cell>
          <cell r="BQ905" t="e">
            <v>#VALUE!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 t="str">
            <v/>
          </cell>
          <cell r="BX905" t="str">
            <v/>
          </cell>
          <cell r="BY905">
            <v>1.5</v>
          </cell>
          <cell r="BZ905">
            <v>1.1429999999999998</v>
          </cell>
        </row>
        <row r="906">
          <cell r="B906" t="str">
            <v/>
          </cell>
          <cell r="C906">
            <v>0</v>
          </cell>
          <cell r="D906" t="str">
            <v/>
          </cell>
          <cell r="F906" t="str">
            <v/>
          </cell>
          <cell r="H906" t="str">
            <v/>
          </cell>
          <cell r="I906" t="e">
            <v>#N/A</v>
          </cell>
          <cell r="J906" t="e">
            <v>#N/A</v>
          </cell>
          <cell r="K906" t="e">
            <v>#N/A</v>
          </cell>
          <cell r="M906">
            <v>2.2000000000000002</v>
          </cell>
          <cell r="N906">
            <v>2.2000000000000002</v>
          </cell>
          <cell r="O906">
            <v>2</v>
          </cell>
          <cell r="P906">
            <v>2</v>
          </cell>
          <cell r="Q906">
            <v>0</v>
          </cell>
          <cell r="R906">
            <v>0</v>
          </cell>
          <cell r="S906">
            <v>2.2000000000000002</v>
          </cell>
          <cell r="T906">
            <v>0</v>
          </cell>
          <cell r="U906" t="str">
            <v/>
          </cell>
          <cell r="V906" t="str">
            <v>A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 t="e">
            <v>#DIV/0!</v>
          </cell>
          <cell r="AH906" t="e">
            <v>#DIV/0!</v>
          </cell>
          <cell r="AI906" t="e">
            <v>#DIV/0!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 t="e">
            <v>#N/A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0.9</v>
          </cell>
          <cell r="BH906">
            <v>1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 t="e">
            <v>#DIV/0!</v>
          </cell>
          <cell r="BO906">
            <v>38</v>
          </cell>
          <cell r="BP906">
            <v>0</v>
          </cell>
          <cell r="BQ906" t="e">
            <v>#VALUE!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 t="str">
            <v/>
          </cell>
          <cell r="BX906" t="str">
            <v/>
          </cell>
          <cell r="BY906">
            <v>1.5</v>
          </cell>
          <cell r="BZ906">
            <v>1.1429999999999998</v>
          </cell>
        </row>
        <row r="907">
          <cell r="B907" t="str">
            <v/>
          </cell>
          <cell r="C907">
            <v>0</v>
          </cell>
          <cell r="D907" t="str">
            <v/>
          </cell>
          <cell r="F907" t="str">
            <v/>
          </cell>
          <cell r="H907" t="str">
            <v/>
          </cell>
          <cell r="I907" t="e">
            <v>#N/A</v>
          </cell>
          <cell r="J907" t="e">
            <v>#N/A</v>
          </cell>
          <cell r="K907" t="e">
            <v>#N/A</v>
          </cell>
          <cell r="M907">
            <v>2.2000000000000002</v>
          </cell>
          <cell r="N907">
            <v>2.2000000000000002</v>
          </cell>
          <cell r="O907">
            <v>2</v>
          </cell>
          <cell r="P907">
            <v>2</v>
          </cell>
          <cell r="Q907">
            <v>0</v>
          </cell>
          <cell r="R907">
            <v>0</v>
          </cell>
          <cell r="S907">
            <v>2.2000000000000002</v>
          </cell>
          <cell r="T907">
            <v>0</v>
          </cell>
          <cell r="U907" t="str">
            <v/>
          </cell>
          <cell r="V907" t="str">
            <v>A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 t="e">
            <v>#DIV/0!</v>
          </cell>
          <cell r="AH907" t="e">
            <v>#DIV/0!</v>
          </cell>
          <cell r="AI907" t="e">
            <v>#DIV/0!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 t="e">
            <v>#N/A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0.9</v>
          </cell>
          <cell r="BH907">
            <v>1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 t="e">
            <v>#DIV/0!</v>
          </cell>
          <cell r="BO907">
            <v>38</v>
          </cell>
          <cell r="BP907">
            <v>0</v>
          </cell>
          <cell r="BQ907" t="e">
            <v>#VALUE!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 t="str">
            <v/>
          </cell>
          <cell r="BX907" t="str">
            <v/>
          </cell>
          <cell r="BY907">
            <v>1.5</v>
          </cell>
          <cell r="BZ907">
            <v>1.1429999999999998</v>
          </cell>
        </row>
        <row r="908">
          <cell r="B908" t="str">
            <v/>
          </cell>
          <cell r="C908">
            <v>0</v>
          </cell>
          <cell r="D908" t="str">
            <v/>
          </cell>
          <cell r="F908" t="str">
            <v/>
          </cell>
          <cell r="H908" t="str">
            <v/>
          </cell>
          <cell r="I908" t="e">
            <v>#N/A</v>
          </cell>
          <cell r="J908" t="e">
            <v>#N/A</v>
          </cell>
          <cell r="K908" t="e">
            <v>#N/A</v>
          </cell>
          <cell r="M908">
            <v>2.2000000000000002</v>
          </cell>
          <cell r="N908">
            <v>2.2000000000000002</v>
          </cell>
          <cell r="O908">
            <v>2</v>
          </cell>
          <cell r="P908">
            <v>2</v>
          </cell>
          <cell r="Q908">
            <v>0</v>
          </cell>
          <cell r="R908">
            <v>0</v>
          </cell>
          <cell r="S908">
            <v>2.2000000000000002</v>
          </cell>
          <cell r="T908">
            <v>0</v>
          </cell>
          <cell r="U908" t="str">
            <v/>
          </cell>
          <cell r="V908" t="str">
            <v>A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 t="e">
            <v>#DIV/0!</v>
          </cell>
          <cell r="AH908" t="e">
            <v>#DIV/0!</v>
          </cell>
          <cell r="AI908" t="e">
            <v>#DIV/0!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 t="e">
            <v>#N/A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0.9</v>
          </cell>
          <cell r="BH908">
            <v>1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 t="e">
            <v>#DIV/0!</v>
          </cell>
          <cell r="BO908">
            <v>38</v>
          </cell>
          <cell r="BP908">
            <v>0</v>
          </cell>
          <cell r="BQ908" t="e">
            <v>#VALUE!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 t="str">
            <v/>
          </cell>
          <cell r="BX908" t="str">
            <v/>
          </cell>
          <cell r="BY908">
            <v>1.5</v>
          </cell>
          <cell r="BZ908">
            <v>1.1429999999999998</v>
          </cell>
        </row>
        <row r="909">
          <cell r="B909" t="str">
            <v/>
          </cell>
          <cell r="C909">
            <v>0</v>
          </cell>
          <cell r="D909" t="str">
            <v/>
          </cell>
          <cell r="F909" t="str">
            <v/>
          </cell>
          <cell r="H909" t="str">
            <v/>
          </cell>
          <cell r="I909" t="e">
            <v>#N/A</v>
          </cell>
          <cell r="J909" t="e">
            <v>#N/A</v>
          </cell>
          <cell r="K909" t="e">
            <v>#N/A</v>
          </cell>
          <cell r="M909">
            <v>2.2000000000000002</v>
          </cell>
          <cell r="N909">
            <v>2.2000000000000002</v>
          </cell>
          <cell r="O909">
            <v>2</v>
          </cell>
          <cell r="P909">
            <v>2</v>
          </cell>
          <cell r="Q909">
            <v>0</v>
          </cell>
          <cell r="R909">
            <v>0</v>
          </cell>
          <cell r="S909">
            <v>2.2000000000000002</v>
          </cell>
          <cell r="T909">
            <v>0</v>
          </cell>
          <cell r="U909" t="str">
            <v/>
          </cell>
          <cell r="V909" t="str">
            <v>A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 t="e">
            <v>#DIV/0!</v>
          </cell>
          <cell r="AH909" t="e">
            <v>#DIV/0!</v>
          </cell>
          <cell r="AI909" t="e">
            <v>#DIV/0!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 t="e">
            <v>#N/A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0.9</v>
          </cell>
          <cell r="BH909">
            <v>1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 t="e">
            <v>#DIV/0!</v>
          </cell>
          <cell r="BO909">
            <v>38</v>
          </cell>
          <cell r="BP909">
            <v>0</v>
          </cell>
          <cell r="BQ909" t="e">
            <v>#VALUE!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 t="str">
            <v/>
          </cell>
          <cell r="BX909" t="str">
            <v/>
          </cell>
          <cell r="BY909">
            <v>1.5</v>
          </cell>
          <cell r="BZ909">
            <v>1.1429999999999998</v>
          </cell>
        </row>
        <row r="910">
          <cell r="B910" t="str">
            <v/>
          </cell>
          <cell r="C910">
            <v>0</v>
          </cell>
          <cell r="D910" t="str">
            <v/>
          </cell>
          <cell r="F910" t="str">
            <v/>
          </cell>
          <cell r="H910" t="str">
            <v/>
          </cell>
          <cell r="I910" t="e">
            <v>#N/A</v>
          </cell>
          <cell r="J910" t="e">
            <v>#N/A</v>
          </cell>
          <cell r="K910" t="e">
            <v>#N/A</v>
          </cell>
          <cell r="M910">
            <v>2.2000000000000002</v>
          </cell>
          <cell r="N910">
            <v>2.2000000000000002</v>
          </cell>
          <cell r="O910">
            <v>2</v>
          </cell>
          <cell r="P910">
            <v>2</v>
          </cell>
          <cell r="Q910">
            <v>0</v>
          </cell>
          <cell r="R910">
            <v>0</v>
          </cell>
          <cell r="S910">
            <v>2.2000000000000002</v>
          </cell>
          <cell r="T910">
            <v>0</v>
          </cell>
          <cell r="U910" t="str">
            <v/>
          </cell>
          <cell r="V910" t="str">
            <v>A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 t="e">
            <v>#DIV/0!</v>
          </cell>
          <cell r="AH910" t="e">
            <v>#DIV/0!</v>
          </cell>
          <cell r="AI910" t="e">
            <v>#DIV/0!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 t="e">
            <v>#N/A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0.9</v>
          </cell>
          <cell r="BH910">
            <v>1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 t="e">
            <v>#DIV/0!</v>
          </cell>
          <cell r="BO910">
            <v>38</v>
          </cell>
          <cell r="BP910">
            <v>0</v>
          </cell>
          <cell r="BQ910" t="e">
            <v>#VALUE!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 t="str">
            <v/>
          </cell>
          <cell r="BX910" t="str">
            <v/>
          </cell>
          <cell r="BY910">
            <v>1.5</v>
          </cell>
          <cell r="BZ910">
            <v>1.1429999999999998</v>
          </cell>
        </row>
        <row r="911">
          <cell r="B911" t="str">
            <v/>
          </cell>
          <cell r="C911">
            <v>0</v>
          </cell>
          <cell r="D911" t="str">
            <v/>
          </cell>
          <cell r="F911" t="str">
            <v/>
          </cell>
          <cell r="H911" t="str">
            <v/>
          </cell>
          <cell r="I911" t="e">
            <v>#N/A</v>
          </cell>
          <cell r="J911" t="e">
            <v>#N/A</v>
          </cell>
          <cell r="K911" t="e">
            <v>#N/A</v>
          </cell>
          <cell r="M911">
            <v>2.2000000000000002</v>
          </cell>
          <cell r="N911">
            <v>2.2000000000000002</v>
          </cell>
          <cell r="O911">
            <v>2</v>
          </cell>
          <cell r="P911">
            <v>2</v>
          </cell>
          <cell r="Q911">
            <v>0</v>
          </cell>
          <cell r="R911">
            <v>0</v>
          </cell>
          <cell r="S911">
            <v>2.2000000000000002</v>
          </cell>
          <cell r="T911">
            <v>0</v>
          </cell>
          <cell r="U911" t="str">
            <v/>
          </cell>
          <cell r="V911" t="str">
            <v>A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 t="e">
            <v>#DIV/0!</v>
          </cell>
          <cell r="AH911" t="e">
            <v>#DIV/0!</v>
          </cell>
          <cell r="AI911" t="e">
            <v>#DIV/0!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 t="e">
            <v>#N/A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0.9</v>
          </cell>
          <cell r="BH911">
            <v>1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 t="e">
            <v>#DIV/0!</v>
          </cell>
          <cell r="BO911">
            <v>38</v>
          </cell>
          <cell r="BP911">
            <v>0</v>
          </cell>
          <cell r="BQ911" t="e">
            <v>#VALUE!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 t="str">
            <v/>
          </cell>
          <cell r="BX911" t="str">
            <v/>
          </cell>
          <cell r="BY911">
            <v>1.5</v>
          </cell>
          <cell r="BZ911">
            <v>1.1429999999999998</v>
          </cell>
        </row>
        <row r="912">
          <cell r="B912" t="str">
            <v/>
          </cell>
          <cell r="C912">
            <v>0</v>
          </cell>
          <cell r="D912" t="str">
            <v/>
          </cell>
          <cell r="F912" t="str">
            <v/>
          </cell>
          <cell r="H912" t="str">
            <v/>
          </cell>
          <cell r="I912" t="e">
            <v>#N/A</v>
          </cell>
          <cell r="J912" t="e">
            <v>#N/A</v>
          </cell>
          <cell r="K912" t="e">
            <v>#N/A</v>
          </cell>
          <cell r="M912">
            <v>2.2000000000000002</v>
          </cell>
          <cell r="N912">
            <v>2.2000000000000002</v>
          </cell>
          <cell r="O912">
            <v>2</v>
          </cell>
          <cell r="P912">
            <v>2</v>
          </cell>
          <cell r="Q912">
            <v>0</v>
          </cell>
          <cell r="R912">
            <v>0</v>
          </cell>
          <cell r="S912">
            <v>2.2000000000000002</v>
          </cell>
          <cell r="T912">
            <v>0</v>
          </cell>
          <cell r="U912" t="str">
            <v/>
          </cell>
          <cell r="V912" t="str">
            <v>A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 t="e">
            <v>#DIV/0!</v>
          </cell>
          <cell r="AH912" t="e">
            <v>#DIV/0!</v>
          </cell>
          <cell r="AI912" t="e">
            <v>#DIV/0!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 t="e">
            <v>#N/A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0.9</v>
          </cell>
          <cell r="BH912">
            <v>1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 t="e">
            <v>#DIV/0!</v>
          </cell>
          <cell r="BO912">
            <v>38</v>
          </cell>
          <cell r="BP912">
            <v>0</v>
          </cell>
          <cell r="BQ912" t="e">
            <v>#VALUE!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 t="str">
            <v/>
          </cell>
          <cell r="BX912" t="str">
            <v/>
          </cell>
          <cell r="BY912">
            <v>1.5</v>
          </cell>
          <cell r="BZ912">
            <v>1.1429999999999998</v>
          </cell>
        </row>
        <row r="913">
          <cell r="B913" t="str">
            <v/>
          </cell>
          <cell r="C913">
            <v>0</v>
          </cell>
          <cell r="D913" t="str">
            <v/>
          </cell>
          <cell r="F913" t="str">
            <v/>
          </cell>
          <cell r="H913" t="str">
            <v/>
          </cell>
          <cell r="I913" t="e">
            <v>#N/A</v>
          </cell>
          <cell r="J913" t="e">
            <v>#N/A</v>
          </cell>
          <cell r="K913" t="e">
            <v>#N/A</v>
          </cell>
          <cell r="M913">
            <v>2.2000000000000002</v>
          </cell>
          <cell r="N913">
            <v>2.2000000000000002</v>
          </cell>
          <cell r="O913">
            <v>2</v>
          </cell>
          <cell r="P913">
            <v>2</v>
          </cell>
          <cell r="Q913">
            <v>0</v>
          </cell>
          <cell r="R913">
            <v>0</v>
          </cell>
          <cell r="S913">
            <v>2.2000000000000002</v>
          </cell>
          <cell r="T913">
            <v>0</v>
          </cell>
          <cell r="U913" t="str">
            <v/>
          </cell>
          <cell r="V913" t="str">
            <v>A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 t="e">
            <v>#DIV/0!</v>
          </cell>
          <cell r="AH913" t="e">
            <v>#DIV/0!</v>
          </cell>
          <cell r="AI913" t="e">
            <v>#DIV/0!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 t="e">
            <v>#N/A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0.9</v>
          </cell>
          <cell r="BH913">
            <v>1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 t="e">
            <v>#DIV/0!</v>
          </cell>
          <cell r="BO913">
            <v>38</v>
          </cell>
          <cell r="BP913">
            <v>0</v>
          </cell>
          <cell r="BQ913" t="e">
            <v>#VALUE!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 t="str">
            <v/>
          </cell>
          <cell r="BX913" t="str">
            <v/>
          </cell>
          <cell r="BY913">
            <v>1.5</v>
          </cell>
          <cell r="BZ913">
            <v>1.1429999999999998</v>
          </cell>
        </row>
        <row r="914">
          <cell r="B914" t="str">
            <v/>
          </cell>
          <cell r="C914">
            <v>0</v>
          </cell>
          <cell r="D914" t="str">
            <v/>
          </cell>
          <cell r="F914" t="str">
            <v/>
          </cell>
          <cell r="H914" t="str">
            <v/>
          </cell>
          <cell r="I914" t="e">
            <v>#N/A</v>
          </cell>
          <cell r="J914" t="e">
            <v>#N/A</v>
          </cell>
          <cell r="K914" t="e">
            <v>#N/A</v>
          </cell>
          <cell r="M914">
            <v>2.2000000000000002</v>
          </cell>
          <cell r="N914">
            <v>2.2000000000000002</v>
          </cell>
          <cell r="O914">
            <v>2</v>
          </cell>
          <cell r="P914">
            <v>2</v>
          </cell>
          <cell r="Q914">
            <v>0</v>
          </cell>
          <cell r="R914">
            <v>0</v>
          </cell>
          <cell r="S914">
            <v>2.2000000000000002</v>
          </cell>
          <cell r="T914">
            <v>0</v>
          </cell>
          <cell r="U914" t="str">
            <v/>
          </cell>
          <cell r="V914" t="str">
            <v>A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 t="e">
            <v>#DIV/0!</v>
          </cell>
          <cell r="AH914" t="e">
            <v>#DIV/0!</v>
          </cell>
          <cell r="AI914" t="e">
            <v>#DIV/0!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 t="e">
            <v>#N/A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0.9</v>
          </cell>
          <cell r="BH914">
            <v>1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 t="e">
            <v>#DIV/0!</v>
          </cell>
          <cell r="BO914">
            <v>38</v>
          </cell>
          <cell r="BP914">
            <v>0</v>
          </cell>
          <cell r="BQ914" t="e">
            <v>#VALUE!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 t="str">
            <v/>
          </cell>
          <cell r="BX914" t="str">
            <v/>
          </cell>
          <cell r="BY914">
            <v>1.5</v>
          </cell>
          <cell r="BZ914">
            <v>1.1429999999999998</v>
          </cell>
        </row>
        <row r="915">
          <cell r="B915" t="str">
            <v/>
          </cell>
          <cell r="C915">
            <v>0</v>
          </cell>
          <cell r="D915" t="str">
            <v/>
          </cell>
          <cell r="F915" t="str">
            <v/>
          </cell>
          <cell r="H915" t="str">
            <v/>
          </cell>
          <cell r="I915" t="e">
            <v>#N/A</v>
          </cell>
          <cell r="J915" t="e">
            <v>#N/A</v>
          </cell>
          <cell r="K915" t="e">
            <v>#N/A</v>
          </cell>
          <cell r="M915">
            <v>2.2000000000000002</v>
          </cell>
          <cell r="N915">
            <v>2.2000000000000002</v>
          </cell>
          <cell r="O915">
            <v>2</v>
          </cell>
          <cell r="P915">
            <v>2</v>
          </cell>
          <cell r="Q915">
            <v>0</v>
          </cell>
          <cell r="R915">
            <v>0</v>
          </cell>
          <cell r="S915">
            <v>2.2000000000000002</v>
          </cell>
          <cell r="T915">
            <v>0</v>
          </cell>
          <cell r="U915" t="str">
            <v/>
          </cell>
          <cell r="V915" t="str">
            <v>A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 t="e">
            <v>#DIV/0!</v>
          </cell>
          <cell r="AH915" t="e">
            <v>#DIV/0!</v>
          </cell>
          <cell r="AI915" t="e">
            <v>#DIV/0!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 t="e">
            <v>#N/A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0.9</v>
          </cell>
          <cell r="BH915">
            <v>1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 t="e">
            <v>#DIV/0!</v>
          </cell>
          <cell r="BO915">
            <v>38</v>
          </cell>
          <cell r="BP915">
            <v>0</v>
          </cell>
          <cell r="BQ915" t="e">
            <v>#VALUE!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 t="str">
            <v/>
          </cell>
          <cell r="BX915" t="str">
            <v/>
          </cell>
          <cell r="BY915">
            <v>1.5</v>
          </cell>
          <cell r="BZ915">
            <v>1.1429999999999998</v>
          </cell>
        </row>
        <row r="916">
          <cell r="B916" t="str">
            <v/>
          </cell>
          <cell r="C916">
            <v>0</v>
          </cell>
          <cell r="D916" t="str">
            <v/>
          </cell>
          <cell r="F916" t="str">
            <v/>
          </cell>
          <cell r="H916" t="str">
            <v/>
          </cell>
          <cell r="I916" t="e">
            <v>#N/A</v>
          </cell>
          <cell r="J916" t="e">
            <v>#N/A</v>
          </cell>
          <cell r="K916" t="e">
            <v>#N/A</v>
          </cell>
          <cell r="M916">
            <v>2.2000000000000002</v>
          </cell>
          <cell r="N916">
            <v>2.2000000000000002</v>
          </cell>
          <cell r="O916">
            <v>2</v>
          </cell>
          <cell r="P916">
            <v>2</v>
          </cell>
          <cell r="Q916">
            <v>0</v>
          </cell>
          <cell r="R916">
            <v>0</v>
          </cell>
          <cell r="S916">
            <v>2.2000000000000002</v>
          </cell>
          <cell r="T916">
            <v>0</v>
          </cell>
          <cell r="U916" t="str">
            <v/>
          </cell>
          <cell r="V916" t="str">
            <v>A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 t="e">
            <v>#DIV/0!</v>
          </cell>
          <cell r="AH916" t="e">
            <v>#DIV/0!</v>
          </cell>
          <cell r="AI916" t="e">
            <v>#DIV/0!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 t="e">
            <v>#N/A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0.9</v>
          </cell>
          <cell r="BH916">
            <v>1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 t="e">
            <v>#DIV/0!</v>
          </cell>
          <cell r="BO916">
            <v>38</v>
          </cell>
          <cell r="BP916">
            <v>0</v>
          </cell>
          <cell r="BQ916" t="e">
            <v>#VALUE!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 t="str">
            <v/>
          </cell>
          <cell r="BX916" t="str">
            <v/>
          </cell>
          <cell r="BY916">
            <v>1.5</v>
          </cell>
          <cell r="BZ916">
            <v>1.1429999999999998</v>
          </cell>
        </row>
        <row r="917">
          <cell r="B917" t="str">
            <v/>
          </cell>
          <cell r="C917">
            <v>0</v>
          </cell>
          <cell r="D917" t="str">
            <v/>
          </cell>
          <cell r="F917" t="str">
            <v/>
          </cell>
          <cell r="H917" t="str">
            <v/>
          </cell>
          <cell r="I917" t="e">
            <v>#N/A</v>
          </cell>
          <cell r="J917" t="e">
            <v>#N/A</v>
          </cell>
          <cell r="K917" t="e">
            <v>#N/A</v>
          </cell>
          <cell r="M917">
            <v>2.2000000000000002</v>
          </cell>
          <cell r="N917">
            <v>2.2000000000000002</v>
          </cell>
          <cell r="O917">
            <v>2</v>
          </cell>
          <cell r="P917">
            <v>2</v>
          </cell>
          <cell r="Q917">
            <v>0</v>
          </cell>
          <cell r="R917">
            <v>0</v>
          </cell>
          <cell r="S917">
            <v>2.2000000000000002</v>
          </cell>
          <cell r="T917">
            <v>0</v>
          </cell>
          <cell r="U917" t="str">
            <v/>
          </cell>
          <cell r="V917" t="str">
            <v>A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 t="e">
            <v>#DIV/0!</v>
          </cell>
          <cell r="AH917" t="e">
            <v>#DIV/0!</v>
          </cell>
          <cell r="AI917" t="e">
            <v>#DIV/0!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 t="e">
            <v>#N/A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0.9</v>
          </cell>
          <cell r="BH917">
            <v>1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 t="e">
            <v>#DIV/0!</v>
          </cell>
          <cell r="BO917">
            <v>38</v>
          </cell>
          <cell r="BP917">
            <v>0</v>
          </cell>
          <cell r="BQ917" t="e">
            <v>#VALUE!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 t="str">
            <v/>
          </cell>
          <cell r="BX917" t="str">
            <v/>
          </cell>
          <cell r="BY917">
            <v>1.5</v>
          </cell>
          <cell r="BZ917">
            <v>1.1429999999999998</v>
          </cell>
        </row>
        <row r="918">
          <cell r="B918" t="str">
            <v/>
          </cell>
          <cell r="C918">
            <v>0</v>
          </cell>
          <cell r="D918" t="str">
            <v/>
          </cell>
          <cell r="F918" t="str">
            <v/>
          </cell>
          <cell r="H918" t="str">
            <v/>
          </cell>
          <cell r="I918" t="e">
            <v>#N/A</v>
          </cell>
          <cell r="J918" t="e">
            <v>#N/A</v>
          </cell>
          <cell r="K918" t="e">
            <v>#N/A</v>
          </cell>
          <cell r="M918">
            <v>2.2000000000000002</v>
          </cell>
          <cell r="N918">
            <v>2.2000000000000002</v>
          </cell>
          <cell r="O918">
            <v>2</v>
          </cell>
          <cell r="P918">
            <v>2</v>
          </cell>
          <cell r="Q918">
            <v>0</v>
          </cell>
          <cell r="R918">
            <v>0</v>
          </cell>
          <cell r="S918">
            <v>2.2000000000000002</v>
          </cell>
          <cell r="T918">
            <v>0</v>
          </cell>
          <cell r="U918" t="str">
            <v/>
          </cell>
          <cell r="V918" t="str">
            <v>A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 t="e">
            <v>#DIV/0!</v>
          </cell>
          <cell r="AH918" t="e">
            <v>#DIV/0!</v>
          </cell>
          <cell r="AI918" t="e">
            <v>#DIV/0!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 t="e">
            <v>#N/A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0.9</v>
          </cell>
          <cell r="BH918">
            <v>1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 t="e">
            <v>#DIV/0!</v>
          </cell>
          <cell r="BO918">
            <v>38</v>
          </cell>
          <cell r="BP918">
            <v>0</v>
          </cell>
          <cell r="BQ918" t="e">
            <v>#VALUE!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 t="str">
            <v/>
          </cell>
          <cell r="BX918" t="str">
            <v/>
          </cell>
          <cell r="BY918">
            <v>1.5</v>
          </cell>
          <cell r="BZ918">
            <v>1.1429999999999998</v>
          </cell>
        </row>
        <row r="919">
          <cell r="B919" t="str">
            <v/>
          </cell>
          <cell r="C919">
            <v>0</v>
          </cell>
          <cell r="D919" t="str">
            <v/>
          </cell>
          <cell r="F919" t="str">
            <v/>
          </cell>
          <cell r="H919" t="str">
            <v/>
          </cell>
          <cell r="I919" t="e">
            <v>#N/A</v>
          </cell>
          <cell r="J919" t="e">
            <v>#N/A</v>
          </cell>
          <cell r="K919" t="e">
            <v>#N/A</v>
          </cell>
          <cell r="M919">
            <v>2.2000000000000002</v>
          </cell>
          <cell r="N919">
            <v>2.2000000000000002</v>
          </cell>
          <cell r="O919">
            <v>2</v>
          </cell>
          <cell r="P919">
            <v>2</v>
          </cell>
          <cell r="Q919">
            <v>0</v>
          </cell>
          <cell r="R919">
            <v>0</v>
          </cell>
          <cell r="S919">
            <v>2.2000000000000002</v>
          </cell>
          <cell r="T919">
            <v>0</v>
          </cell>
          <cell r="U919" t="str">
            <v/>
          </cell>
          <cell r="V919" t="str">
            <v>A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 t="e">
            <v>#DIV/0!</v>
          </cell>
          <cell r="AH919" t="e">
            <v>#DIV/0!</v>
          </cell>
          <cell r="AI919" t="e">
            <v>#DIV/0!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 t="e">
            <v>#N/A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0.9</v>
          </cell>
          <cell r="BH919">
            <v>1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 t="e">
            <v>#DIV/0!</v>
          </cell>
          <cell r="BO919">
            <v>38</v>
          </cell>
          <cell r="BP919">
            <v>0</v>
          </cell>
          <cell r="BQ919" t="e">
            <v>#VALUE!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 t="str">
            <v/>
          </cell>
          <cell r="BX919" t="str">
            <v/>
          </cell>
          <cell r="BY919">
            <v>1.5</v>
          </cell>
          <cell r="BZ919">
            <v>1.1429999999999998</v>
          </cell>
        </row>
        <row r="920">
          <cell r="B920" t="str">
            <v/>
          </cell>
          <cell r="C920">
            <v>0</v>
          </cell>
          <cell r="D920" t="str">
            <v/>
          </cell>
          <cell r="F920" t="str">
            <v/>
          </cell>
          <cell r="H920" t="str">
            <v/>
          </cell>
          <cell r="I920" t="e">
            <v>#N/A</v>
          </cell>
          <cell r="J920" t="e">
            <v>#N/A</v>
          </cell>
          <cell r="K920" t="e">
            <v>#N/A</v>
          </cell>
          <cell r="M920">
            <v>2.2000000000000002</v>
          </cell>
          <cell r="N920">
            <v>2.2000000000000002</v>
          </cell>
          <cell r="O920">
            <v>2</v>
          </cell>
          <cell r="P920">
            <v>2</v>
          </cell>
          <cell r="Q920">
            <v>0</v>
          </cell>
          <cell r="R920">
            <v>0</v>
          </cell>
          <cell r="S920">
            <v>2.2000000000000002</v>
          </cell>
          <cell r="T920">
            <v>0</v>
          </cell>
          <cell r="U920" t="str">
            <v/>
          </cell>
          <cell r="V920" t="str">
            <v>A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 t="e">
            <v>#DIV/0!</v>
          </cell>
          <cell r="AH920" t="e">
            <v>#DIV/0!</v>
          </cell>
          <cell r="AI920" t="e">
            <v>#DIV/0!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 t="e">
            <v>#N/A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0.9</v>
          </cell>
          <cell r="BH920">
            <v>1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 t="e">
            <v>#DIV/0!</v>
          </cell>
          <cell r="BO920">
            <v>38</v>
          </cell>
          <cell r="BP920">
            <v>0</v>
          </cell>
          <cell r="BQ920" t="e">
            <v>#VALUE!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 t="str">
            <v/>
          </cell>
          <cell r="BX920" t="str">
            <v/>
          </cell>
          <cell r="BY920">
            <v>1.5</v>
          </cell>
          <cell r="BZ920">
            <v>1.1429999999999998</v>
          </cell>
        </row>
        <row r="921">
          <cell r="B921" t="str">
            <v/>
          </cell>
          <cell r="C921">
            <v>0</v>
          </cell>
          <cell r="D921" t="str">
            <v/>
          </cell>
          <cell r="F921" t="str">
            <v/>
          </cell>
          <cell r="H921" t="str">
            <v/>
          </cell>
          <cell r="I921" t="e">
            <v>#N/A</v>
          </cell>
          <cell r="J921" t="e">
            <v>#N/A</v>
          </cell>
          <cell r="K921" t="e">
            <v>#N/A</v>
          </cell>
          <cell r="M921">
            <v>2.2000000000000002</v>
          </cell>
          <cell r="N921">
            <v>2.2000000000000002</v>
          </cell>
          <cell r="O921">
            <v>2</v>
          </cell>
          <cell r="P921">
            <v>2</v>
          </cell>
          <cell r="Q921">
            <v>0</v>
          </cell>
          <cell r="R921">
            <v>0</v>
          </cell>
          <cell r="S921">
            <v>2.2000000000000002</v>
          </cell>
          <cell r="T921">
            <v>0</v>
          </cell>
          <cell r="U921" t="str">
            <v/>
          </cell>
          <cell r="V921" t="str">
            <v>A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 t="e">
            <v>#DIV/0!</v>
          </cell>
          <cell r="AH921" t="e">
            <v>#DIV/0!</v>
          </cell>
          <cell r="AI921" t="e">
            <v>#DIV/0!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 t="e">
            <v>#N/A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0.9</v>
          </cell>
          <cell r="BH921">
            <v>1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 t="e">
            <v>#DIV/0!</v>
          </cell>
          <cell r="BO921">
            <v>38</v>
          </cell>
          <cell r="BP921">
            <v>0</v>
          </cell>
          <cell r="BQ921" t="e">
            <v>#VALUE!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 t="str">
            <v/>
          </cell>
          <cell r="BX921" t="str">
            <v/>
          </cell>
          <cell r="BY921">
            <v>1.5</v>
          </cell>
          <cell r="BZ921">
            <v>1.1429999999999998</v>
          </cell>
        </row>
        <row r="922">
          <cell r="B922" t="str">
            <v/>
          </cell>
          <cell r="C922">
            <v>0</v>
          </cell>
          <cell r="D922" t="str">
            <v/>
          </cell>
          <cell r="F922" t="str">
            <v/>
          </cell>
          <cell r="H922" t="str">
            <v/>
          </cell>
          <cell r="I922" t="e">
            <v>#N/A</v>
          </cell>
          <cell r="J922" t="e">
            <v>#N/A</v>
          </cell>
          <cell r="K922" t="e">
            <v>#N/A</v>
          </cell>
          <cell r="M922">
            <v>2.2000000000000002</v>
          </cell>
          <cell r="N922">
            <v>2.2000000000000002</v>
          </cell>
          <cell r="O922">
            <v>2</v>
          </cell>
          <cell r="P922">
            <v>2</v>
          </cell>
          <cell r="Q922">
            <v>0</v>
          </cell>
          <cell r="R922">
            <v>0</v>
          </cell>
          <cell r="S922">
            <v>2.2000000000000002</v>
          </cell>
          <cell r="T922">
            <v>0</v>
          </cell>
          <cell r="U922" t="str">
            <v/>
          </cell>
          <cell r="V922" t="str">
            <v>A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 t="e">
            <v>#DIV/0!</v>
          </cell>
          <cell r="AH922" t="e">
            <v>#DIV/0!</v>
          </cell>
          <cell r="AI922" t="e">
            <v>#DIV/0!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 t="e">
            <v>#N/A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0.9</v>
          </cell>
          <cell r="BH922">
            <v>1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 t="e">
            <v>#DIV/0!</v>
          </cell>
          <cell r="BO922">
            <v>38</v>
          </cell>
          <cell r="BP922">
            <v>0</v>
          </cell>
          <cell r="BQ922" t="e">
            <v>#VALUE!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 t="str">
            <v/>
          </cell>
          <cell r="BX922" t="str">
            <v/>
          </cell>
          <cell r="BY922">
            <v>1.5</v>
          </cell>
          <cell r="BZ922">
            <v>1.1429999999999998</v>
          </cell>
        </row>
        <row r="923">
          <cell r="B923" t="str">
            <v/>
          </cell>
          <cell r="C923">
            <v>0</v>
          </cell>
          <cell r="D923" t="str">
            <v/>
          </cell>
          <cell r="F923" t="str">
            <v/>
          </cell>
          <cell r="H923" t="str">
            <v/>
          </cell>
          <cell r="I923" t="e">
            <v>#N/A</v>
          </cell>
          <cell r="J923" t="e">
            <v>#N/A</v>
          </cell>
          <cell r="K923" t="e">
            <v>#N/A</v>
          </cell>
          <cell r="M923">
            <v>2.2000000000000002</v>
          </cell>
          <cell r="N923">
            <v>2.2000000000000002</v>
          </cell>
          <cell r="O923">
            <v>2</v>
          </cell>
          <cell r="P923">
            <v>2</v>
          </cell>
          <cell r="Q923">
            <v>0</v>
          </cell>
          <cell r="R923">
            <v>0</v>
          </cell>
          <cell r="S923">
            <v>2.2000000000000002</v>
          </cell>
          <cell r="T923">
            <v>0</v>
          </cell>
          <cell r="U923" t="str">
            <v/>
          </cell>
          <cell r="V923" t="str">
            <v>A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 t="e">
            <v>#DIV/0!</v>
          </cell>
          <cell r="AH923" t="e">
            <v>#DIV/0!</v>
          </cell>
          <cell r="AI923" t="e">
            <v>#DIV/0!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 t="e">
            <v>#N/A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0.9</v>
          </cell>
          <cell r="BH923">
            <v>1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 t="e">
            <v>#DIV/0!</v>
          </cell>
          <cell r="BO923">
            <v>38</v>
          </cell>
          <cell r="BP923">
            <v>0</v>
          </cell>
          <cell r="BQ923" t="e">
            <v>#VALUE!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 t="str">
            <v/>
          </cell>
          <cell r="BX923" t="str">
            <v/>
          </cell>
          <cell r="BY923">
            <v>1.5</v>
          </cell>
          <cell r="BZ923">
            <v>1.1429999999999998</v>
          </cell>
        </row>
        <row r="924">
          <cell r="B924" t="str">
            <v/>
          </cell>
          <cell r="C924">
            <v>0</v>
          </cell>
          <cell r="D924" t="str">
            <v/>
          </cell>
          <cell r="F924" t="str">
            <v/>
          </cell>
          <cell r="H924" t="str">
            <v/>
          </cell>
          <cell r="I924" t="e">
            <v>#N/A</v>
          </cell>
          <cell r="J924" t="e">
            <v>#N/A</v>
          </cell>
          <cell r="K924" t="e">
            <v>#N/A</v>
          </cell>
          <cell r="M924">
            <v>2.2000000000000002</v>
          </cell>
          <cell r="N924">
            <v>2.2000000000000002</v>
          </cell>
          <cell r="O924">
            <v>2</v>
          </cell>
          <cell r="P924">
            <v>2</v>
          </cell>
          <cell r="Q924">
            <v>0</v>
          </cell>
          <cell r="R924">
            <v>0</v>
          </cell>
          <cell r="S924">
            <v>2.2000000000000002</v>
          </cell>
          <cell r="T924">
            <v>0</v>
          </cell>
          <cell r="U924" t="str">
            <v/>
          </cell>
          <cell r="V924" t="str">
            <v>A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 t="e">
            <v>#DIV/0!</v>
          </cell>
          <cell r="AH924" t="e">
            <v>#DIV/0!</v>
          </cell>
          <cell r="AI924" t="e">
            <v>#DIV/0!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 t="e">
            <v>#N/A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0.9</v>
          </cell>
          <cell r="BH924">
            <v>1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 t="e">
            <v>#DIV/0!</v>
          </cell>
          <cell r="BO924">
            <v>38</v>
          </cell>
          <cell r="BP924">
            <v>0</v>
          </cell>
          <cell r="BQ924" t="e">
            <v>#VALUE!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 t="str">
            <v/>
          </cell>
          <cell r="BX924" t="str">
            <v/>
          </cell>
          <cell r="BY924">
            <v>1.5</v>
          </cell>
          <cell r="BZ924">
            <v>1.1429999999999998</v>
          </cell>
        </row>
        <row r="925">
          <cell r="B925" t="str">
            <v/>
          </cell>
          <cell r="C925">
            <v>0</v>
          </cell>
          <cell r="D925" t="str">
            <v/>
          </cell>
          <cell r="F925" t="str">
            <v/>
          </cell>
          <cell r="H925" t="str">
            <v/>
          </cell>
          <cell r="I925" t="e">
            <v>#N/A</v>
          </cell>
          <cell r="J925" t="e">
            <v>#N/A</v>
          </cell>
          <cell r="K925" t="e">
            <v>#N/A</v>
          </cell>
          <cell r="M925">
            <v>2.2000000000000002</v>
          </cell>
          <cell r="N925">
            <v>2.2000000000000002</v>
          </cell>
          <cell r="O925">
            <v>2</v>
          </cell>
          <cell r="P925">
            <v>2</v>
          </cell>
          <cell r="Q925">
            <v>0</v>
          </cell>
          <cell r="R925">
            <v>0</v>
          </cell>
          <cell r="S925">
            <v>2.2000000000000002</v>
          </cell>
          <cell r="T925">
            <v>0</v>
          </cell>
          <cell r="U925" t="str">
            <v/>
          </cell>
          <cell r="V925" t="str">
            <v>A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 t="e">
            <v>#DIV/0!</v>
          </cell>
          <cell r="AH925" t="e">
            <v>#DIV/0!</v>
          </cell>
          <cell r="AI925" t="e">
            <v>#DIV/0!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 t="e">
            <v>#N/A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0.9</v>
          </cell>
          <cell r="BH925">
            <v>1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 t="e">
            <v>#DIV/0!</v>
          </cell>
          <cell r="BO925">
            <v>38</v>
          </cell>
          <cell r="BP925">
            <v>0</v>
          </cell>
          <cell r="BQ925" t="e">
            <v>#VALUE!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 t="str">
            <v/>
          </cell>
          <cell r="BX925" t="str">
            <v/>
          </cell>
          <cell r="BY925">
            <v>1.5</v>
          </cell>
          <cell r="BZ925">
            <v>1.1429999999999998</v>
          </cell>
        </row>
        <row r="926">
          <cell r="B926" t="str">
            <v/>
          </cell>
          <cell r="C926">
            <v>0</v>
          </cell>
          <cell r="D926" t="str">
            <v/>
          </cell>
          <cell r="F926" t="str">
            <v/>
          </cell>
          <cell r="H926" t="str">
            <v/>
          </cell>
          <cell r="I926" t="e">
            <v>#N/A</v>
          </cell>
          <cell r="J926" t="e">
            <v>#N/A</v>
          </cell>
          <cell r="K926" t="e">
            <v>#N/A</v>
          </cell>
          <cell r="M926">
            <v>2.2000000000000002</v>
          </cell>
          <cell r="N926">
            <v>2.2000000000000002</v>
          </cell>
          <cell r="O926">
            <v>2</v>
          </cell>
          <cell r="P926">
            <v>2</v>
          </cell>
          <cell r="Q926">
            <v>0</v>
          </cell>
          <cell r="R926">
            <v>0</v>
          </cell>
          <cell r="S926">
            <v>2.2000000000000002</v>
          </cell>
          <cell r="T926">
            <v>0</v>
          </cell>
          <cell r="U926" t="str">
            <v/>
          </cell>
          <cell r="V926" t="str">
            <v>A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 t="e">
            <v>#DIV/0!</v>
          </cell>
          <cell r="AH926" t="e">
            <v>#DIV/0!</v>
          </cell>
          <cell r="AI926" t="e">
            <v>#DIV/0!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 t="e">
            <v>#N/A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0.9</v>
          </cell>
          <cell r="BH926">
            <v>1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 t="e">
            <v>#DIV/0!</v>
          </cell>
          <cell r="BO926">
            <v>38</v>
          </cell>
          <cell r="BP926">
            <v>0</v>
          </cell>
          <cell r="BQ926" t="e">
            <v>#VALUE!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 t="str">
            <v/>
          </cell>
          <cell r="BX926" t="str">
            <v/>
          </cell>
          <cell r="BY926">
            <v>1.5</v>
          </cell>
          <cell r="BZ926">
            <v>1.1429999999999998</v>
          </cell>
        </row>
        <row r="927">
          <cell r="B927" t="str">
            <v/>
          </cell>
          <cell r="C927">
            <v>0</v>
          </cell>
          <cell r="D927" t="str">
            <v/>
          </cell>
          <cell r="F927" t="str">
            <v/>
          </cell>
          <cell r="H927" t="str">
            <v/>
          </cell>
          <cell r="I927" t="e">
            <v>#N/A</v>
          </cell>
          <cell r="J927" t="e">
            <v>#N/A</v>
          </cell>
          <cell r="K927" t="e">
            <v>#N/A</v>
          </cell>
          <cell r="M927">
            <v>2.2000000000000002</v>
          </cell>
          <cell r="N927">
            <v>2.2000000000000002</v>
          </cell>
          <cell r="O927">
            <v>2</v>
          </cell>
          <cell r="P927">
            <v>2</v>
          </cell>
          <cell r="Q927">
            <v>0</v>
          </cell>
          <cell r="R927">
            <v>0</v>
          </cell>
          <cell r="S927">
            <v>2.2000000000000002</v>
          </cell>
          <cell r="T927">
            <v>0</v>
          </cell>
          <cell r="U927" t="str">
            <v/>
          </cell>
          <cell r="V927" t="str">
            <v>A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 t="e">
            <v>#DIV/0!</v>
          </cell>
          <cell r="AH927" t="e">
            <v>#DIV/0!</v>
          </cell>
          <cell r="AI927" t="e">
            <v>#DIV/0!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 t="e">
            <v>#N/A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0.9</v>
          </cell>
          <cell r="BH927">
            <v>1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 t="e">
            <v>#DIV/0!</v>
          </cell>
          <cell r="BO927">
            <v>38</v>
          </cell>
          <cell r="BP927">
            <v>0</v>
          </cell>
          <cell r="BQ927" t="e">
            <v>#VALUE!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 t="str">
            <v/>
          </cell>
          <cell r="BX927" t="str">
            <v/>
          </cell>
          <cell r="BY927">
            <v>1.5</v>
          </cell>
          <cell r="BZ927">
            <v>1.1429999999999998</v>
          </cell>
        </row>
        <row r="928">
          <cell r="B928" t="str">
            <v/>
          </cell>
          <cell r="C928">
            <v>0</v>
          </cell>
          <cell r="D928" t="str">
            <v/>
          </cell>
          <cell r="F928" t="str">
            <v/>
          </cell>
          <cell r="H928" t="str">
            <v/>
          </cell>
          <cell r="I928" t="e">
            <v>#N/A</v>
          </cell>
          <cell r="J928" t="e">
            <v>#N/A</v>
          </cell>
          <cell r="K928" t="e">
            <v>#N/A</v>
          </cell>
          <cell r="M928">
            <v>2.2000000000000002</v>
          </cell>
          <cell r="N928">
            <v>2.2000000000000002</v>
          </cell>
          <cell r="O928">
            <v>2</v>
          </cell>
          <cell r="P928">
            <v>2</v>
          </cell>
          <cell r="Q928">
            <v>0</v>
          </cell>
          <cell r="R928">
            <v>0</v>
          </cell>
          <cell r="S928">
            <v>2.2000000000000002</v>
          </cell>
          <cell r="T928">
            <v>0</v>
          </cell>
          <cell r="U928" t="str">
            <v/>
          </cell>
          <cell r="V928" t="str">
            <v>A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 t="e">
            <v>#DIV/0!</v>
          </cell>
          <cell r="AH928" t="e">
            <v>#DIV/0!</v>
          </cell>
          <cell r="AI928" t="e">
            <v>#DIV/0!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 t="e">
            <v>#N/A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0.9</v>
          </cell>
          <cell r="BH928">
            <v>1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 t="e">
            <v>#DIV/0!</v>
          </cell>
          <cell r="BO928">
            <v>38</v>
          </cell>
          <cell r="BP928">
            <v>0</v>
          </cell>
          <cell r="BQ928" t="e">
            <v>#VALUE!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 t="str">
            <v/>
          </cell>
          <cell r="BX928" t="str">
            <v/>
          </cell>
          <cell r="BY928">
            <v>1.5</v>
          </cell>
          <cell r="BZ928">
            <v>1.1429999999999998</v>
          </cell>
        </row>
        <row r="929">
          <cell r="B929" t="str">
            <v/>
          </cell>
          <cell r="C929">
            <v>0</v>
          </cell>
          <cell r="D929" t="str">
            <v/>
          </cell>
          <cell r="F929" t="str">
            <v/>
          </cell>
          <cell r="H929" t="str">
            <v/>
          </cell>
          <cell r="I929" t="e">
            <v>#N/A</v>
          </cell>
          <cell r="J929" t="e">
            <v>#N/A</v>
          </cell>
          <cell r="K929" t="e">
            <v>#N/A</v>
          </cell>
          <cell r="M929">
            <v>2.2000000000000002</v>
          </cell>
          <cell r="N929">
            <v>2.2000000000000002</v>
          </cell>
          <cell r="O929">
            <v>2</v>
          </cell>
          <cell r="P929">
            <v>2</v>
          </cell>
          <cell r="Q929">
            <v>0</v>
          </cell>
          <cell r="R929">
            <v>0</v>
          </cell>
          <cell r="S929">
            <v>2.2000000000000002</v>
          </cell>
          <cell r="T929">
            <v>0</v>
          </cell>
          <cell r="U929" t="str">
            <v/>
          </cell>
          <cell r="V929" t="str">
            <v>A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 t="e">
            <v>#DIV/0!</v>
          </cell>
          <cell r="AH929" t="e">
            <v>#DIV/0!</v>
          </cell>
          <cell r="AI929" t="e">
            <v>#DIV/0!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 t="e">
            <v>#N/A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0.9</v>
          </cell>
          <cell r="BH929">
            <v>1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 t="e">
            <v>#DIV/0!</v>
          </cell>
          <cell r="BO929">
            <v>38</v>
          </cell>
          <cell r="BP929">
            <v>0</v>
          </cell>
          <cell r="BQ929" t="e">
            <v>#VALUE!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 t="str">
            <v/>
          </cell>
          <cell r="BX929" t="str">
            <v/>
          </cell>
          <cell r="BY929">
            <v>1.5</v>
          </cell>
          <cell r="BZ929">
            <v>1.1429999999999998</v>
          </cell>
        </row>
        <row r="930">
          <cell r="B930" t="str">
            <v/>
          </cell>
          <cell r="C930">
            <v>0</v>
          </cell>
          <cell r="D930" t="str">
            <v/>
          </cell>
          <cell r="F930" t="str">
            <v/>
          </cell>
          <cell r="H930" t="str">
            <v/>
          </cell>
          <cell r="I930" t="e">
            <v>#N/A</v>
          </cell>
          <cell r="J930" t="e">
            <v>#N/A</v>
          </cell>
          <cell r="K930" t="e">
            <v>#N/A</v>
          </cell>
          <cell r="M930">
            <v>2.2000000000000002</v>
          </cell>
          <cell r="N930">
            <v>2.2000000000000002</v>
          </cell>
          <cell r="O930">
            <v>2</v>
          </cell>
          <cell r="P930">
            <v>2</v>
          </cell>
          <cell r="Q930">
            <v>0</v>
          </cell>
          <cell r="R930">
            <v>0</v>
          </cell>
          <cell r="S930">
            <v>2.2000000000000002</v>
          </cell>
          <cell r="T930">
            <v>0</v>
          </cell>
          <cell r="U930" t="str">
            <v/>
          </cell>
          <cell r="V930" t="str">
            <v>A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 t="e">
            <v>#DIV/0!</v>
          </cell>
          <cell r="AH930" t="e">
            <v>#DIV/0!</v>
          </cell>
          <cell r="AI930" t="e">
            <v>#DIV/0!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 t="e">
            <v>#N/A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0.9</v>
          </cell>
          <cell r="BH930">
            <v>1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 t="e">
            <v>#DIV/0!</v>
          </cell>
          <cell r="BO930">
            <v>38</v>
          </cell>
          <cell r="BP930">
            <v>0</v>
          </cell>
          <cell r="BQ930" t="e">
            <v>#VALUE!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 t="str">
            <v/>
          </cell>
          <cell r="BX930" t="str">
            <v/>
          </cell>
          <cell r="BY930">
            <v>1.5</v>
          </cell>
          <cell r="BZ930">
            <v>1.1429999999999998</v>
          </cell>
        </row>
        <row r="931">
          <cell r="B931" t="str">
            <v/>
          </cell>
          <cell r="C931">
            <v>0</v>
          </cell>
          <cell r="D931" t="str">
            <v/>
          </cell>
          <cell r="F931" t="str">
            <v/>
          </cell>
          <cell r="H931" t="str">
            <v/>
          </cell>
          <cell r="I931" t="e">
            <v>#N/A</v>
          </cell>
          <cell r="J931" t="e">
            <v>#N/A</v>
          </cell>
          <cell r="K931" t="e">
            <v>#N/A</v>
          </cell>
          <cell r="M931">
            <v>2.2000000000000002</v>
          </cell>
          <cell r="N931">
            <v>2.2000000000000002</v>
          </cell>
          <cell r="O931">
            <v>2</v>
          </cell>
          <cell r="P931">
            <v>2</v>
          </cell>
          <cell r="Q931">
            <v>0</v>
          </cell>
          <cell r="R931">
            <v>0</v>
          </cell>
          <cell r="S931">
            <v>2.2000000000000002</v>
          </cell>
          <cell r="T931">
            <v>0</v>
          </cell>
          <cell r="U931" t="str">
            <v/>
          </cell>
          <cell r="V931" t="str">
            <v>A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 t="e">
            <v>#DIV/0!</v>
          </cell>
          <cell r="AH931" t="e">
            <v>#DIV/0!</v>
          </cell>
          <cell r="AI931" t="e">
            <v>#DIV/0!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 t="e">
            <v>#N/A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0.9</v>
          </cell>
          <cell r="BH931">
            <v>1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 t="e">
            <v>#DIV/0!</v>
          </cell>
          <cell r="BO931">
            <v>38</v>
          </cell>
          <cell r="BP931">
            <v>0</v>
          </cell>
          <cell r="BQ931" t="e">
            <v>#VALUE!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 t="str">
            <v/>
          </cell>
          <cell r="BX931" t="str">
            <v/>
          </cell>
          <cell r="BY931">
            <v>1.5</v>
          </cell>
          <cell r="BZ931">
            <v>1.1429999999999998</v>
          </cell>
        </row>
        <row r="932">
          <cell r="B932" t="str">
            <v/>
          </cell>
          <cell r="C932">
            <v>0</v>
          </cell>
          <cell r="D932" t="str">
            <v/>
          </cell>
          <cell r="F932" t="str">
            <v/>
          </cell>
          <cell r="H932" t="str">
            <v/>
          </cell>
          <cell r="I932" t="e">
            <v>#N/A</v>
          </cell>
          <cell r="J932" t="e">
            <v>#N/A</v>
          </cell>
          <cell r="K932" t="e">
            <v>#N/A</v>
          </cell>
          <cell r="M932">
            <v>2.2000000000000002</v>
          </cell>
          <cell r="N932">
            <v>2.2000000000000002</v>
          </cell>
          <cell r="O932">
            <v>2</v>
          </cell>
          <cell r="P932">
            <v>2</v>
          </cell>
          <cell r="Q932">
            <v>0</v>
          </cell>
          <cell r="R932">
            <v>0</v>
          </cell>
          <cell r="S932">
            <v>2.2000000000000002</v>
          </cell>
          <cell r="T932">
            <v>0</v>
          </cell>
          <cell r="U932" t="str">
            <v/>
          </cell>
          <cell r="V932" t="str">
            <v>A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 t="e">
            <v>#DIV/0!</v>
          </cell>
          <cell r="AH932" t="e">
            <v>#DIV/0!</v>
          </cell>
          <cell r="AI932" t="e">
            <v>#DIV/0!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 t="e">
            <v>#N/A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0.9</v>
          </cell>
          <cell r="BH932">
            <v>1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 t="e">
            <v>#DIV/0!</v>
          </cell>
          <cell r="BO932">
            <v>38</v>
          </cell>
          <cell r="BP932">
            <v>0</v>
          </cell>
          <cell r="BQ932" t="e">
            <v>#VALUE!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 t="str">
            <v/>
          </cell>
          <cell r="BX932" t="str">
            <v/>
          </cell>
          <cell r="BY932">
            <v>1.5</v>
          </cell>
          <cell r="BZ932">
            <v>1.1429999999999998</v>
          </cell>
        </row>
        <row r="933">
          <cell r="B933" t="str">
            <v/>
          </cell>
          <cell r="C933">
            <v>0</v>
          </cell>
          <cell r="D933" t="str">
            <v/>
          </cell>
          <cell r="F933" t="str">
            <v/>
          </cell>
          <cell r="H933" t="str">
            <v/>
          </cell>
          <cell r="I933" t="e">
            <v>#N/A</v>
          </cell>
          <cell r="J933" t="e">
            <v>#N/A</v>
          </cell>
          <cell r="K933" t="e">
            <v>#N/A</v>
          </cell>
          <cell r="M933">
            <v>2.2000000000000002</v>
          </cell>
          <cell r="N933">
            <v>2.2000000000000002</v>
          </cell>
          <cell r="O933">
            <v>2</v>
          </cell>
          <cell r="P933">
            <v>2</v>
          </cell>
          <cell r="Q933">
            <v>0</v>
          </cell>
          <cell r="R933">
            <v>0</v>
          </cell>
          <cell r="S933">
            <v>2.2000000000000002</v>
          </cell>
          <cell r="T933">
            <v>0</v>
          </cell>
          <cell r="U933" t="str">
            <v/>
          </cell>
          <cell r="V933" t="str">
            <v>A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 t="e">
            <v>#DIV/0!</v>
          </cell>
          <cell r="AH933" t="e">
            <v>#DIV/0!</v>
          </cell>
          <cell r="AI933" t="e">
            <v>#DIV/0!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 t="e">
            <v>#N/A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0.9</v>
          </cell>
          <cell r="BH933">
            <v>1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 t="e">
            <v>#DIV/0!</v>
          </cell>
          <cell r="BO933">
            <v>38</v>
          </cell>
          <cell r="BP933">
            <v>0</v>
          </cell>
          <cell r="BQ933" t="e">
            <v>#VALUE!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 t="str">
            <v/>
          </cell>
          <cell r="BX933" t="str">
            <v/>
          </cell>
          <cell r="BY933">
            <v>1.5</v>
          </cell>
          <cell r="BZ933">
            <v>1.1429999999999998</v>
          </cell>
        </row>
        <row r="934">
          <cell r="B934" t="str">
            <v/>
          </cell>
          <cell r="C934">
            <v>0</v>
          </cell>
          <cell r="D934" t="str">
            <v/>
          </cell>
          <cell r="F934" t="str">
            <v/>
          </cell>
          <cell r="H934" t="str">
            <v/>
          </cell>
          <cell r="I934" t="e">
            <v>#N/A</v>
          </cell>
          <cell r="J934" t="e">
            <v>#N/A</v>
          </cell>
          <cell r="K934" t="e">
            <v>#N/A</v>
          </cell>
          <cell r="M934">
            <v>2.2000000000000002</v>
          </cell>
          <cell r="N934">
            <v>2.2000000000000002</v>
          </cell>
          <cell r="O934">
            <v>2</v>
          </cell>
          <cell r="P934">
            <v>2</v>
          </cell>
          <cell r="Q934">
            <v>0</v>
          </cell>
          <cell r="R934">
            <v>0</v>
          </cell>
          <cell r="S934">
            <v>2.2000000000000002</v>
          </cell>
          <cell r="T934">
            <v>0</v>
          </cell>
          <cell r="U934" t="str">
            <v/>
          </cell>
          <cell r="V934" t="str">
            <v>A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 t="e">
            <v>#DIV/0!</v>
          </cell>
          <cell r="AH934" t="e">
            <v>#DIV/0!</v>
          </cell>
          <cell r="AI934" t="e">
            <v>#DIV/0!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 t="e">
            <v>#N/A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0.9</v>
          </cell>
          <cell r="BH934">
            <v>1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 t="e">
            <v>#DIV/0!</v>
          </cell>
          <cell r="BO934">
            <v>38</v>
          </cell>
          <cell r="BP934">
            <v>0</v>
          </cell>
          <cell r="BQ934" t="e">
            <v>#VALUE!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 t="str">
            <v/>
          </cell>
          <cell r="BX934" t="str">
            <v/>
          </cell>
          <cell r="BY934">
            <v>1.5</v>
          </cell>
          <cell r="BZ934">
            <v>1.1429999999999998</v>
          </cell>
        </row>
        <row r="935">
          <cell r="B935" t="str">
            <v/>
          </cell>
          <cell r="C935">
            <v>0</v>
          </cell>
          <cell r="D935" t="str">
            <v/>
          </cell>
          <cell r="F935" t="str">
            <v/>
          </cell>
          <cell r="H935" t="str">
            <v/>
          </cell>
          <cell r="I935" t="e">
            <v>#N/A</v>
          </cell>
          <cell r="J935" t="e">
            <v>#N/A</v>
          </cell>
          <cell r="K935" t="e">
            <v>#N/A</v>
          </cell>
          <cell r="M935">
            <v>2.2000000000000002</v>
          </cell>
          <cell r="N935">
            <v>2.2000000000000002</v>
          </cell>
          <cell r="O935">
            <v>2</v>
          </cell>
          <cell r="P935">
            <v>2</v>
          </cell>
          <cell r="Q935">
            <v>0</v>
          </cell>
          <cell r="R935">
            <v>0</v>
          </cell>
          <cell r="S935">
            <v>2.2000000000000002</v>
          </cell>
          <cell r="T935">
            <v>0</v>
          </cell>
          <cell r="U935" t="str">
            <v/>
          </cell>
          <cell r="V935" t="str">
            <v>A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 t="e">
            <v>#DIV/0!</v>
          </cell>
          <cell r="AH935" t="e">
            <v>#DIV/0!</v>
          </cell>
          <cell r="AI935" t="e">
            <v>#DIV/0!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 t="e">
            <v>#N/A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0.9</v>
          </cell>
          <cell r="BH935">
            <v>1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 t="e">
            <v>#DIV/0!</v>
          </cell>
          <cell r="BO935">
            <v>38</v>
          </cell>
          <cell r="BP935">
            <v>0</v>
          </cell>
          <cell r="BQ935" t="e">
            <v>#VALUE!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 t="str">
            <v/>
          </cell>
          <cell r="BX935" t="str">
            <v/>
          </cell>
          <cell r="BY935">
            <v>1.5</v>
          </cell>
          <cell r="BZ935">
            <v>1.1429999999999998</v>
          </cell>
        </row>
        <row r="936">
          <cell r="B936" t="str">
            <v/>
          </cell>
          <cell r="C936">
            <v>0</v>
          </cell>
          <cell r="D936" t="str">
            <v/>
          </cell>
          <cell r="F936" t="str">
            <v/>
          </cell>
          <cell r="H936" t="str">
            <v/>
          </cell>
          <cell r="I936" t="e">
            <v>#N/A</v>
          </cell>
          <cell r="J936" t="e">
            <v>#N/A</v>
          </cell>
          <cell r="K936" t="e">
            <v>#N/A</v>
          </cell>
          <cell r="M936">
            <v>2.2000000000000002</v>
          </cell>
          <cell r="N936">
            <v>2.2000000000000002</v>
          </cell>
          <cell r="O936">
            <v>2</v>
          </cell>
          <cell r="P936">
            <v>2</v>
          </cell>
          <cell r="Q936">
            <v>0</v>
          </cell>
          <cell r="R936">
            <v>0</v>
          </cell>
          <cell r="S936">
            <v>2.2000000000000002</v>
          </cell>
          <cell r="T936">
            <v>0</v>
          </cell>
          <cell r="U936" t="str">
            <v/>
          </cell>
          <cell r="V936" t="str">
            <v>A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 t="e">
            <v>#DIV/0!</v>
          </cell>
          <cell r="AH936" t="e">
            <v>#DIV/0!</v>
          </cell>
          <cell r="AI936" t="e">
            <v>#DIV/0!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 t="e">
            <v>#N/A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0.9</v>
          </cell>
          <cell r="BH936">
            <v>1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 t="e">
            <v>#DIV/0!</v>
          </cell>
          <cell r="BO936">
            <v>38</v>
          </cell>
          <cell r="BP936">
            <v>0</v>
          </cell>
          <cell r="BQ936" t="e">
            <v>#VALUE!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 t="str">
            <v/>
          </cell>
          <cell r="BX936" t="str">
            <v/>
          </cell>
          <cell r="BY936">
            <v>1.5</v>
          </cell>
          <cell r="BZ936">
            <v>1.1429999999999998</v>
          </cell>
        </row>
        <row r="937">
          <cell r="B937" t="str">
            <v/>
          </cell>
          <cell r="C937">
            <v>0</v>
          </cell>
          <cell r="D937" t="str">
            <v/>
          </cell>
          <cell r="F937" t="str">
            <v/>
          </cell>
          <cell r="H937" t="str">
            <v/>
          </cell>
          <cell r="I937" t="e">
            <v>#N/A</v>
          </cell>
          <cell r="J937" t="e">
            <v>#N/A</v>
          </cell>
          <cell r="K937" t="e">
            <v>#N/A</v>
          </cell>
          <cell r="M937">
            <v>2.2000000000000002</v>
          </cell>
          <cell r="N937">
            <v>2.2000000000000002</v>
          </cell>
          <cell r="O937">
            <v>2</v>
          </cell>
          <cell r="P937">
            <v>2</v>
          </cell>
          <cell r="Q937">
            <v>0</v>
          </cell>
          <cell r="R937">
            <v>0</v>
          </cell>
          <cell r="S937">
            <v>2.2000000000000002</v>
          </cell>
          <cell r="T937">
            <v>0</v>
          </cell>
          <cell r="U937" t="str">
            <v/>
          </cell>
          <cell r="V937" t="str">
            <v>A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 t="e">
            <v>#DIV/0!</v>
          </cell>
          <cell r="AH937" t="e">
            <v>#DIV/0!</v>
          </cell>
          <cell r="AI937" t="e">
            <v>#DIV/0!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 t="e">
            <v>#N/A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0.9</v>
          </cell>
          <cell r="BH937">
            <v>1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 t="e">
            <v>#DIV/0!</v>
          </cell>
          <cell r="BO937">
            <v>38</v>
          </cell>
          <cell r="BP937">
            <v>0</v>
          </cell>
          <cell r="BQ937" t="e">
            <v>#VALUE!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 t="str">
            <v/>
          </cell>
          <cell r="BX937" t="str">
            <v/>
          </cell>
          <cell r="BY937">
            <v>1.5</v>
          </cell>
          <cell r="BZ937">
            <v>1.1429999999999998</v>
          </cell>
        </row>
        <row r="938">
          <cell r="B938" t="str">
            <v/>
          </cell>
          <cell r="C938">
            <v>0</v>
          </cell>
          <cell r="D938" t="str">
            <v/>
          </cell>
          <cell r="F938" t="str">
            <v/>
          </cell>
          <cell r="H938" t="str">
            <v/>
          </cell>
          <cell r="I938" t="e">
            <v>#N/A</v>
          </cell>
          <cell r="J938" t="e">
            <v>#N/A</v>
          </cell>
          <cell r="K938" t="e">
            <v>#N/A</v>
          </cell>
          <cell r="M938">
            <v>2.2000000000000002</v>
          </cell>
          <cell r="N938">
            <v>2.2000000000000002</v>
          </cell>
          <cell r="O938">
            <v>2</v>
          </cell>
          <cell r="P938">
            <v>2</v>
          </cell>
          <cell r="Q938">
            <v>0</v>
          </cell>
          <cell r="R938">
            <v>0</v>
          </cell>
          <cell r="S938">
            <v>2.2000000000000002</v>
          </cell>
          <cell r="T938">
            <v>0</v>
          </cell>
          <cell r="U938" t="str">
            <v/>
          </cell>
          <cell r="V938" t="str">
            <v>A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 t="e">
            <v>#DIV/0!</v>
          </cell>
          <cell r="AH938" t="e">
            <v>#DIV/0!</v>
          </cell>
          <cell r="AI938" t="e">
            <v>#DIV/0!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 t="e">
            <v>#N/A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0.9</v>
          </cell>
          <cell r="BH938">
            <v>1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 t="e">
            <v>#DIV/0!</v>
          </cell>
          <cell r="BO938">
            <v>38</v>
          </cell>
          <cell r="BP938">
            <v>0</v>
          </cell>
          <cell r="BQ938" t="e">
            <v>#VALUE!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 t="str">
            <v/>
          </cell>
          <cell r="BX938" t="str">
            <v/>
          </cell>
          <cell r="BY938">
            <v>1.5</v>
          </cell>
          <cell r="BZ938">
            <v>1.1429999999999998</v>
          </cell>
        </row>
        <row r="939">
          <cell r="B939" t="str">
            <v/>
          </cell>
          <cell r="C939">
            <v>0</v>
          </cell>
          <cell r="D939" t="str">
            <v/>
          </cell>
          <cell r="F939" t="str">
            <v/>
          </cell>
          <cell r="H939" t="str">
            <v/>
          </cell>
          <cell r="I939" t="e">
            <v>#N/A</v>
          </cell>
          <cell r="J939" t="e">
            <v>#N/A</v>
          </cell>
          <cell r="K939" t="e">
            <v>#N/A</v>
          </cell>
          <cell r="M939">
            <v>2.2000000000000002</v>
          </cell>
          <cell r="N939">
            <v>2.2000000000000002</v>
          </cell>
          <cell r="O939">
            <v>2</v>
          </cell>
          <cell r="P939">
            <v>2</v>
          </cell>
          <cell r="Q939">
            <v>0</v>
          </cell>
          <cell r="R939">
            <v>0</v>
          </cell>
          <cell r="S939">
            <v>2.2000000000000002</v>
          </cell>
          <cell r="T939">
            <v>0</v>
          </cell>
          <cell r="U939" t="str">
            <v/>
          </cell>
          <cell r="V939" t="str">
            <v>A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 t="e">
            <v>#DIV/0!</v>
          </cell>
          <cell r="AH939" t="e">
            <v>#DIV/0!</v>
          </cell>
          <cell r="AI939" t="e">
            <v>#DIV/0!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 t="e">
            <v>#N/A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0.9</v>
          </cell>
          <cell r="BH939">
            <v>1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 t="e">
            <v>#DIV/0!</v>
          </cell>
          <cell r="BO939">
            <v>38</v>
          </cell>
          <cell r="BP939">
            <v>0</v>
          </cell>
          <cell r="BQ939" t="e">
            <v>#VALUE!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 t="str">
            <v/>
          </cell>
          <cell r="BX939" t="str">
            <v/>
          </cell>
          <cell r="BY939">
            <v>1.5</v>
          </cell>
          <cell r="BZ939">
            <v>1.1429999999999998</v>
          </cell>
        </row>
        <row r="940">
          <cell r="B940" t="str">
            <v/>
          </cell>
          <cell r="C940">
            <v>0</v>
          </cell>
          <cell r="D940" t="str">
            <v/>
          </cell>
          <cell r="F940" t="str">
            <v/>
          </cell>
          <cell r="H940" t="str">
            <v/>
          </cell>
          <cell r="I940" t="e">
            <v>#N/A</v>
          </cell>
          <cell r="J940" t="e">
            <v>#N/A</v>
          </cell>
          <cell r="K940" t="e">
            <v>#N/A</v>
          </cell>
          <cell r="M940">
            <v>2.2000000000000002</v>
          </cell>
          <cell r="N940">
            <v>2.2000000000000002</v>
          </cell>
          <cell r="O940">
            <v>2</v>
          </cell>
          <cell r="P940">
            <v>2</v>
          </cell>
          <cell r="Q940">
            <v>0</v>
          </cell>
          <cell r="R940">
            <v>0</v>
          </cell>
          <cell r="S940">
            <v>2.2000000000000002</v>
          </cell>
          <cell r="T940">
            <v>0</v>
          </cell>
          <cell r="U940" t="str">
            <v/>
          </cell>
          <cell r="V940" t="str">
            <v>A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 t="e">
            <v>#DIV/0!</v>
          </cell>
          <cell r="AH940" t="e">
            <v>#DIV/0!</v>
          </cell>
          <cell r="AI940" t="e">
            <v>#DIV/0!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 t="e">
            <v>#N/A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0.9</v>
          </cell>
          <cell r="BH940">
            <v>1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 t="e">
            <v>#DIV/0!</v>
          </cell>
          <cell r="BO940">
            <v>38</v>
          </cell>
          <cell r="BP940">
            <v>0</v>
          </cell>
          <cell r="BQ940" t="e">
            <v>#VALUE!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 t="str">
            <v/>
          </cell>
          <cell r="BX940" t="str">
            <v/>
          </cell>
          <cell r="BY940">
            <v>1.5</v>
          </cell>
          <cell r="BZ940">
            <v>1.1429999999999998</v>
          </cell>
        </row>
        <row r="941">
          <cell r="B941" t="str">
            <v/>
          </cell>
          <cell r="C941">
            <v>0</v>
          </cell>
          <cell r="D941" t="str">
            <v/>
          </cell>
          <cell r="F941" t="str">
            <v/>
          </cell>
          <cell r="H941" t="str">
            <v/>
          </cell>
          <cell r="I941" t="e">
            <v>#N/A</v>
          </cell>
          <cell r="J941" t="e">
            <v>#N/A</v>
          </cell>
          <cell r="K941" t="e">
            <v>#N/A</v>
          </cell>
          <cell r="M941">
            <v>2.2000000000000002</v>
          </cell>
          <cell r="N941">
            <v>2.2000000000000002</v>
          </cell>
          <cell r="O941">
            <v>2</v>
          </cell>
          <cell r="P941">
            <v>2</v>
          </cell>
          <cell r="Q941">
            <v>0</v>
          </cell>
          <cell r="R941">
            <v>0</v>
          </cell>
          <cell r="S941">
            <v>2.2000000000000002</v>
          </cell>
          <cell r="T941">
            <v>0</v>
          </cell>
          <cell r="U941" t="str">
            <v/>
          </cell>
          <cell r="V941" t="str">
            <v>A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 t="e">
            <v>#DIV/0!</v>
          </cell>
          <cell r="AH941" t="e">
            <v>#DIV/0!</v>
          </cell>
          <cell r="AI941" t="e">
            <v>#DIV/0!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 t="e">
            <v>#N/A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0.9</v>
          </cell>
          <cell r="BH941">
            <v>1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 t="e">
            <v>#DIV/0!</v>
          </cell>
          <cell r="BO941">
            <v>38</v>
          </cell>
          <cell r="BP941">
            <v>0</v>
          </cell>
          <cell r="BQ941" t="e">
            <v>#VALUE!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 t="str">
            <v/>
          </cell>
          <cell r="BX941" t="str">
            <v/>
          </cell>
          <cell r="BY941">
            <v>1.5</v>
          </cell>
          <cell r="BZ941">
            <v>1.1429999999999998</v>
          </cell>
        </row>
        <row r="942">
          <cell r="B942" t="str">
            <v/>
          </cell>
          <cell r="C942">
            <v>0</v>
          </cell>
          <cell r="D942" t="str">
            <v/>
          </cell>
          <cell r="F942" t="str">
            <v/>
          </cell>
          <cell r="H942" t="str">
            <v/>
          </cell>
          <cell r="I942" t="e">
            <v>#N/A</v>
          </cell>
          <cell r="J942" t="e">
            <v>#N/A</v>
          </cell>
          <cell r="K942" t="e">
            <v>#N/A</v>
          </cell>
          <cell r="M942">
            <v>2.2000000000000002</v>
          </cell>
          <cell r="N942">
            <v>2.2000000000000002</v>
          </cell>
          <cell r="O942">
            <v>2</v>
          </cell>
          <cell r="P942">
            <v>2</v>
          </cell>
          <cell r="Q942">
            <v>0</v>
          </cell>
          <cell r="R942">
            <v>0</v>
          </cell>
          <cell r="S942">
            <v>2.2000000000000002</v>
          </cell>
          <cell r="T942">
            <v>0</v>
          </cell>
          <cell r="U942" t="str">
            <v/>
          </cell>
          <cell r="V942" t="str">
            <v>A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 t="e">
            <v>#DIV/0!</v>
          </cell>
          <cell r="AH942" t="e">
            <v>#DIV/0!</v>
          </cell>
          <cell r="AI942" t="e">
            <v>#DIV/0!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 t="e">
            <v>#N/A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0.9</v>
          </cell>
          <cell r="BH942">
            <v>1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 t="e">
            <v>#DIV/0!</v>
          </cell>
          <cell r="BO942">
            <v>38</v>
          </cell>
          <cell r="BP942">
            <v>0</v>
          </cell>
          <cell r="BQ942" t="e">
            <v>#VALUE!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 t="str">
            <v/>
          </cell>
          <cell r="BX942" t="str">
            <v/>
          </cell>
          <cell r="BY942">
            <v>1.5</v>
          </cell>
          <cell r="BZ942">
            <v>1.1429999999999998</v>
          </cell>
        </row>
        <row r="943">
          <cell r="B943" t="str">
            <v/>
          </cell>
          <cell r="C943">
            <v>0</v>
          </cell>
          <cell r="D943" t="str">
            <v/>
          </cell>
          <cell r="F943" t="str">
            <v/>
          </cell>
          <cell r="H943" t="str">
            <v/>
          </cell>
          <cell r="I943" t="e">
            <v>#N/A</v>
          </cell>
          <cell r="J943" t="e">
            <v>#N/A</v>
          </cell>
          <cell r="K943" t="e">
            <v>#N/A</v>
          </cell>
          <cell r="M943">
            <v>2.2000000000000002</v>
          </cell>
          <cell r="N943">
            <v>2.2000000000000002</v>
          </cell>
          <cell r="O943">
            <v>2</v>
          </cell>
          <cell r="P943">
            <v>2</v>
          </cell>
          <cell r="Q943">
            <v>0</v>
          </cell>
          <cell r="R943">
            <v>0</v>
          </cell>
          <cell r="S943">
            <v>2.2000000000000002</v>
          </cell>
          <cell r="T943">
            <v>0</v>
          </cell>
          <cell r="U943" t="str">
            <v/>
          </cell>
          <cell r="V943" t="str">
            <v>A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 t="e">
            <v>#DIV/0!</v>
          </cell>
          <cell r="AH943" t="e">
            <v>#DIV/0!</v>
          </cell>
          <cell r="AI943" t="e">
            <v>#DIV/0!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 t="e">
            <v>#N/A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0.9</v>
          </cell>
          <cell r="BH943">
            <v>1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 t="e">
            <v>#DIV/0!</v>
          </cell>
          <cell r="BO943">
            <v>38</v>
          </cell>
          <cell r="BP943">
            <v>0</v>
          </cell>
          <cell r="BQ943" t="e">
            <v>#VALUE!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 t="str">
            <v/>
          </cell>
          <cell r="BX943" t="str">
            <v/>
          </cell>
          <cell r="BY943">
            <v>1.5</v>
          </cell>
          <cell r="BZ943">
            <v>1.1429999999999998</v>
          </cell>
        </row>
        <row r="944">
          <cell r="B944" t="str">
            <v/>
          </cell>
          <cell r="C944">
            <v>0</v>
          </cell>
          <cell r="D944" t="str">
            <v/>
          </cell>
          <cell r="F944" t="str">
            <v/>
          </cell>
          <cell r="H944" t="str">
            <v/>
          </cell>
          <cell r="I944" t="e">
            <v>#N/A</v>
          </cell>
          <cell r="J944" t="e">
            <v>#N/A</v>
          </cell>
          <cell r="K944" t="e">
            <v>#N/A</v>
          </cell>
          <cell r="M944">
            <v>2.2000000000000002</v>
          </cell>
          <cell r="N944">
            <v>2.2000000000000002</v>
          </cell>
          <cell r="O944">
            <v>2</v>
          </cell>
          <cell r="P944">
            <v>2</v>
          </cell>
          <cell r="Q944">
            <v>0</v>
          </cell>
          <cell r="R944">
            <v>0</v>
          </cell>
          <cell r="S944">
            <v>2.2000000000000002</v>
          </cell>
          <cell r="T944">
            <v>0</v>
          </cell>
          <cell r="U944" t="str">
            <v/>
          </cell>
          <cell r="V944" t="str">
            <v>A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 t="e">
            <v>#DIV/0!</v>
          </cell>
          <cell r="AH944" t="e">
            <v>#DIV/0!</v>
          </cell>
          <cell r="AI944" t="e">
            <v>#DIV/0!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 t="e">
            <v>#N/A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0.9</v>
          </cell>
          <cell r="BH944">
            <v>1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 t="e">
            <v>#DIV/0!</v>
          </cell>
          <cell r="BO944">
            <v>38</v>
          </cell>
          <cell r="BP944">
            <v>0</v>
          </cell>
          <cell r="BQ944" t="e">
            <v>#VALUE!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 t="str">
            <v/>
          </cell>
          <cell r="BX944" t="str">
            <v/>
          </cell>
          <cell r="BY944">
            <v>1.5</v>
          </cell>
          <cell r="BZ944">
            <v>1.1429999999999998</v>
          </cell>
        </row>
        <row r="945">
          <cell r="B945" t="str">
            <v/>
          </cell>
          <cell r="C945">
            <v>0</v>
          </cell>
          <cell r="D945" t="str">
            <v/>
          </cell>
          <cell r="F945" t="str">
            <v/>
          </cell>
          <cell r="H945" t="str">
            <v/>
          </cell>
          <cell r="I945" t="e">
            <v>#N/A</v>
          </cell>
          <cell r="J945" t="e">
            <v>#N/A</v>
          </cell>
          <cell r="K945" t="e">
            <v>#N/A</v>
          </cell>
          <cell r="M945">
            <v>2.2000000000000002</v>
          </cell>
          <cell r="N945">
            <v>2.2000000000000002</v>
          </cell>
          <cell r="O945">
            <v>2</v>
          </cell>
          <cell r="P945">
            <v>2</v>
          </cell>
          <cell r="Q945">
            <v>0</v>
          </cell>
          <cell r="R945">
            <v>0</v>
          </cell>
          <cell r="S945">
            <v>2.2000000000000002</v>
          </cell>
          <cell r="T945">
            <v>0</v>
          </cell>
          <cell r="U945" t="str">
            <v/>
          </cell>
          <cell r="V945" t="str">
            <v>A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 t="e">
            <v>#DIV/0!</v>
          </cell>
          <cell r="AH945" t="e">
            <v>#DIV/0!</v>
          </cell>
          <cell r="AI945" t="e">
            <v>#DIV/0!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 t="e">
            <v>#N/A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0.9</v>
          </cell>
          <cell r="BH945">
            <v>1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 t="e">
            <v>#DIV/0!</v>
          </cell>
          <cell r="BO945">
            <v>38</v>
          </cell>
          <cell r="BP945">
            <v>0</v>
          </cell>
          <cell r="BQ945" t="e">
            <v>#VALUE!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 t="str">
            <v/>
          </cell>
          <cell r="BX945" t="str">
            <v/>
          </cell>
          <cell r="BY945">
            <v>1.5</v>
          </cell>
          <cell r="BZ945">
            <v>1.1429999999999998</v>
          </cell>
        </row>
        <row r="946">
          <cell r="B946" t="str">
            <v/>
          </cell>
          <cell r="C946">
            <v>0</v>
          </cell>
          <cell r="D946" t="str">
            <v/>
          </cell>
          <cell r="F946" t="str">
            <v/>
          </cell>
          <cell r="H946" t="str">
            <v/>
          </cell>
          <cell r="I946" t="e">
            <v>#N/A</v>
          </cell>
          <cell r="J946" t="e">
            <v>#N/A</v>
          </cell>
          <cell r="K946" t="e">
            <v>#N/A</v>
          </cell>
          <cell r="M946">
            <v>2.2000000000000002</v>
          </cell>
          <cell r="N946">
            <v>2.2000000000000002</v>
          </cell>
          <cell r="O946">
            <v>2</v>
          </cell>
          <cell r="P946">
            <v>2</v>
          </cell>
          <cell r="Q946">
            <v>0</v>
          </cell>
          <cell r="R946">
            <v>0</v>
          </cell>
          <cell r="S946">
            <v>2.2000000000000002</v>
          </cell>
          <cell r="T946">
            <v>0</v>
          </cell>
          <cell r="U946" t="str">
            <v/>
          </cell>
          <cell r="V946" t="str">
            <v>A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 t="e">
            <v>#DIV/0!</v>
          </cell>
          <cell r="AH946" t="e">
            <v>#DIV/0!</v>
          </cell>
          <cell r="AI946" t="e">
            <v>#DIV/0!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 t="e">
            <v>#N/A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0.9</v>
          </cell>
          <cell r="BH946">
            <v>1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 t="e">
            <v>#DIV/0!</v>
          </cell>
          <cell r="BO946">
            <v>38</v>
          </cell>
          <cell r="BP946">
            <v>0</v>
          </cell>
          <cell r="BQ946" t="e">
            <v>#VALUE!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 t="str">
            <v/>
          </cell>
          <cell r="BX946" t="str">
            <v/>
          </cell>
          <cell r="BY946">
            <v>1.5</v>
          </cell>
          <cell r="BZ946">
            <v>1.1429999999999998</v>
          </cell>
        </row>
        <row r="947">
          <cell r="B947" t="str">
            <v/>
          </cell>
          <cell r="C947">
            <v>0</v>
          </cell>
          <cell r="D947" t="str">
            <v/>
          </cell>
          <cell r="F947" t="str">
            <v/>
          </cell>
          <cell r="H947" t="str">
            <v/>
          </cell>
          <cell r="I947" t="e">
            <v>#N/A</v>
          </cell>
          <cell r="J947" t="e">
            <v>#N/A</v>
          </cell>
          <cell r="K947" t="e">
            <v>#N/A</v>
          </cell>
          <cell r="M947">
            <v>2.2000000000000002</v>
          </cell>
          <cell r="N947">
            <v>2.2000000000000002</v>
          </cell>
          <cell r="O947">
            <v>2</v>
          </cell>
          <cell r="P947">
            <v>2</v>
          </cell>
          <cell r="Q947">
            <v>0</v>
          </cell>
          <cell r="R947">
            <v>0</v>
          </cell>
          <cell r="S947">
            <v>2.2000000000000002</v>
          </cell>
          <cell r="T947">
            <v>0</v>
          </cell>
          <cell r="U947" t="str">
            <v/>
          </cell>
          <cell r="V947" t="str">
            <v>A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 t="e">
            <v>#DIV/0!</v>
          </cell>
          <cell r="AH947" t="e">
            <v>#DIV/0!</v>
          </cell>
          <cell r="AI947" t="e">
            <v>#DIV/0!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 t="e">
            <v>#N/A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0.9</v>
          </cell>
          <cell r="BH947">
            <v>1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 t="e">
            <v>#DIV/0!</v>
          </cell>
          <cell r="BO947">
            <v>38</v>
          </cell>
          <cell r="BP947">
            <v>0</v>
          </cell>
          <cell r="BQ947" t="e">
            <v>#VALUE!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 t="str">
            <v/>
          </cell>
          <cell r="BX947" t="str">
            <v/>
          </cell>
          <cell r="BY947">
            <v>1.5</v>
          </cell>
          <cell r="BZ947">
            <v>1.1429999999999998</v>
          </cell>
        </row>
        <row r="948">
          <cell r="B948" t="str">
            <v/>
          </cell>
          <cell r="C948">
            <v>0</v>
          </cell>
          <cell r="D948" t="str">
            <v/>
          </cell>
          <cell r="F948" t="str">
            <v/>
          </cell>
          <cell r="H948" t="str">
            <v/>
          </cell>
          <cell r="I948" t="e">
            <v>#N/A</v>
          </cell>
          <cell r="J948" t="e">
            <v>#N/A</v>
          </cell>
          <cell r="K948" t="e">
            <v>#N/A</v>
          </cell>
          <cell r="M948">
            <v>2.2000000000000002</v>
          </cell>
          <cell r="N948">
            <v>2.2000000000000002</v>
          </cell>
          <cell r="O948">
            <v>2</v>
          </cell>
          <cell r="P948">
            <v>2</v>
          </cell>
          <cell r="Q948">
            <v>0</v>
          </cell>
          <cell r="R948">
            <v>0</v>
          </cell>
          <cell r="S948">
            <v>2.2000000000000002</v>
          </cell>
          <cell r="T948">
            <v>0</v>
          </cell>
          <cell r="U948" t="str">
            <v/>
          </cell>
          <cell r="V948" t="str">
            <v>A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 t="e">
            <v>#DIV/0!</v>
          </cell>
          <cell r="AH948" t="e">
            <v>#DIV/0!</v>
          </cell>
          <cell r="AI948" t="e">
            <v>#DIV/0!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 t="e">
            <v>#N/A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0.9</v>
          </cell>
          <cell r="BH948">
            <v>1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 t="e">
            <v>#DIV/0!</v>
          </cell>
          <cell r="BO948">
            <v>38</v>
          </cell>
          <cell r="BP948">
            <v>0</v>
          </cell>
          <cell r="BQ948" t="e">
            <v>#VALUE!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 t="str">
            <v/>
          </cell>
          <cell r="BX948" t="str">
            <v/>
          </cell>
          <cell r="BY948">
            <v>1.5</v>
          </cell>
          <cell r="BZ948">
            <v>1.1429999999999998</v>
          </cell>
        </row>
        <row r="949">
          <cell r="B949" t="str">
            <v/>
          </cell>
          <cell r="C949">
            <v>0</v>
          </cell>
          <cell r="D949" t="str">
            <v/>
          </cell>
          <cell r="F949" t="str">
            <v/>
          </cell>
          <cell r="H949" t="str">
            <v/>
          </cell>
          <cell r="I949" t="e">
            <v>#N/A</v>
          </cell>
          <cell r="J949" t="e">
            <v>#N/A</v>
          </cell>
          <cell r="K949" t="e">
            <v>#N/A</v>
          </cell>
          <cell r="M949">
            <v>2.2000000000000002</v>
          </cell>
          <cell r="N949">
            <v>2.2000000000000002</v>
          </cell>
          <cell r="O949">
            <v>2</v>
          </cell>
          <cell r="P949">
            <v>2</v>
          </cell>
          <cell r="Q949">
            <v>0</v>
          </cell>
          <cell r="R949">
            <v>0</v>
          </cell>
          <cell r="S949">
            <v>2.2000000000000002</v>
          </cell>
          <cell r="T949">
            <v>0</v>
          </cell>
          <cell r="U949" t="str">
            <v/>
          </cell>
          <cell r="V949" t="str">
            <v>A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 t="e">
            <v>#DIV/0!</v>
          </cell>
          <cell r="AH949" t="e">
            <v>#DIV/0!</v>
          </cell>
          <cell r="AI949" t="e">
            <v>#DIV/0!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 t="e">
            <v>#N/A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0.9</v>
          </cell>
          <cell r="BH949">
            <v>1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 t="e">
            <v>#DIV/0!</v>
          </cell>
          <cell r="BO949">
            <v>38</v>
          </cell>
          <cell r="BP949">
            <v>0</v>
          </cell>
          <cell r="BQ949" t="e">
            <v>#VALUE!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 t="str">
            <v/>
          </cell>
          <cell r="BX949" t="str">
            <v/>
          </cell>
          <cell r="BY949">
            <v>1.5</v>
          </cell>
          <cell r="BZ949">
            <v>1.1429999999999998</v>
          </cell>
        </row>
        <row r="950">
          <cell r="B950" t="str">
            <v/>
          </cell>
          <cell r="C950">
            <v>0</v>
          </cell>
          <cell r="D950" t="str">
            <v/>
          </cell>
          <cell r="F950" t="str">
            <v/>
          </cell>
          <cell r="H950" t="str">
            <v/>
          </cell>
          <cell r="I950" t="e">
            <v>#N/A</v>
          </cell>
          <cell r="J950" t="e">
            <v>#N/A</v>
          </cell>
          <cell r="K950" t="e">
            <v>#N/A</v>
          </cell>
          <cell r="M950">
            <v>2.2000000000000002</v>
          </cell>
          <cell r="N950">
            <v>2.2000000000000002</v>
          </cell>
          <cell r="O950">
            <v>2</v>
          </cell>
          <cell r="P950">
            <v>2</v>
          </cell>
          <cell r="Q950">
            <v>0</v>
          </cell>
          <cell r="R950">
            <v>0</v>
          </cell>
          <cell r="S950">
            <v>2.2000000000000002</v>
          </cell>
          <cell r="T950">
            <v>0</v>
          </cell>
          <cell r="U950" t="str">
            <v/>
          </cell>
          <cell r="V950" t="str">
            <v>A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 t="e">
            <v>#DIV/0!</v>
          </cell>
          <cell r="AH950" t="e">
            <v>#DIV/0!</v>
          </cell>
          <cell r="AI950" t="e">
            <v>#DIV/0!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 t="e">
            <v>#N/A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0.9</v>
          </cell>
          <cell r="BH950">
            <v>1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 t="e">
            <v>#DIV/0!</v>
          </cell>
          <cell r="BO950">
            <v>38</v>
          </cell>
          <cell r="BP950">
            <v>0</v>
          </cell>
          <cell r="BQ950" t="e">
            <v>#VALUE!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 t="str">
            <v/>
          </cell>
          <cell r="BX950" t="str">
            <v/>
          </cell>
          <cell r="BY950">
            <v>1.5</v>
          </cell>
          <cell r="BZ950">
            <v>1.1429999999999998</v>
          </cell>
        </row>
        <row r="951">
          <cell r="B951" t="str">
            <v/>
          </cell>
          <cell r="C951">
            <v>0</v>
          </cell>
          <cell r="D951" t="str">
            <v/>
          </cell>
          <cell r="F951" t="str">
            <v/>
          </cell>
          <cell r="H951" t="str">
            <v/>
          </cell>
          <cell r="I951" t="e">
            <v>#N/A</v>
          </cell>
          <cell r="J951" t="e">
            <v>#N/A</v>
          </cell>
          <cell r="K951" t="e">
            <v>#N/A</v>
          </cell>
          <cell r="M951">
            <v>2.2000000000000002</v>
          </cell>
          <cell r="N951">
            <v>2.2000000000000002</v>
          </cell>
          <cell r="O951">
            <v>2</v>
          </cell>
          <cell r="P951">
            <v>2</v>
          </cell>
          <cell r="Q951">
            <v>0</v>
          </cell>
          <cell r="R951">
            <v>0</v>
          </cell>
          <cell r="S951">
            <v>2.2000000000000002</v>
          </cell>
          <cell r="T951">
            <v>0</v>
          </cell>
          <cell r="U951" t="str">
            <v/>
          </cell>
          <cell r="V951" t="str">
            <v>A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 t="e">
            <v>#DIV/0!</v>
          </cell>
          <cell r="AH951" t="e">
            <v>#DIV/0!</v>
          </cell>
          <cell r="AI951" t="e">
            <v>#DIV/0!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 t="e">
            <v>#N/A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0.9</v>
          </cell>
          <cell r="BH951">
            <v>1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 t="e">
            <v>#DIV/0!</v>
          </cell>
          <cell r="BO951">
            <v>38</v>
          </cell>
          <cell r="BP951">
            <v>0</v>
          </cell>
          <cell r="BQ951" t="e">
            <v>#VALUE!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 t="str">
            <v/>
          </cell>
          <cell r="BX951" t="str">
            <v/>
          </cell>
          <cell r="BY951">
            <v>1.5</v>
          </cell>
          <cell r="BZ951">
            <v>1.1429999999999998</v>
          </cell>
        </row>
        <row r="952">
          <cell r="B952" t="str">
            <v/>
          </cell>
          <cell r="C952">
            <v>0</v>
          </cell>
          <cell r="D952" t="str">
            <v/>
          </cell>
          <cell r="F952" t="str">
            <v/>
          </cell>
          <cell r="H952" t="str">
            <v/>
          </cell>
          <cell r="I952" t="e">
            <v>#N/A</v>
          </cell>
          <cell r="J952" t="e">
            <v>#N/A</v>
          </cell>
          <cell r="K952" t="e">
            <v>#N/A</v>
          </cell>
          <cell r="M952">
            <v>2.2000000000000002</v>
          </cell>
          <cell r="N952">
            <v>2.2000000000000002</v>
          </cell>
          <cell r="O952">
            <v>2</v>
          </cell>
          <cell r="P952">
            <v>2</v>
          </cell>
          <cell r="Q952">
            <v>0</v>
          </cell>
          <cell r="R952">
            <v>0</v>
          </cell>
          <cell r="S952">
            <v>2.2000000000000002</v>
          </cell>
          <cell r="T952">
            <v>0</v>
          </cell>
          <cell r="U952" t="str">
            <v/>
          </cell>
          <cell r="V952" t="str">
            <v>A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 t="e">
            <v>#DIV/0!</v>
          </cell>
          <cell r="AH952" t="e">
            <v>#DIV/0!</v>
          </cell>
          <cell r="AI952" t="e">
            <v>#DIV/0!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 t="e">
            <v>#N/A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0.9</v>
          </cell>
          <cell r="BH952">
            <v>1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 t="e">
            <v>#DIV/0!</v>
          </cell>
          <cell r="BO952">
            <v>38</v>
          </cell>
          <cell r="BP952">
            <v>0</v>
          </cell>
          <cell r="BQ952" t="e">
            <v>#VALUE!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 t="str">
            <v/>
          </cell>
          <cell r="BX952" t="str">
            <v/>
          </cell>
          <cell r="BY952">
            <v>1.5</v>
          </cell>
          <cell r="BZ952">
            <v>1.1429999999999998</v>
          </cell>
        </row>
        <row r="953">
          <cell r="B953" t="str">
            <v/>
          </cell>
          <cell r="C953">
            <v>0</v>
          </cell>
          <cell r="D953" t="str">
            <v/>
          </cell>
          <cell r="F953" t="str">
            <v/>
          </cell>
          <cell r="H953" t="str">
            <v/>
          </cell>
          <cell r="I953" t="e">
            <v>#N/A</v>
          </cell>
          <cell r="J953" t="e">
            <v>#N/A</v>
          </cell>
          <cell r="K953" t="e">
            <v>#N/A</v>
          </cell>
          <cell r="M953">
            <v>2.2000000000000002</v>
          </cell>
          <cell r="N953">
            <v>2.2000000000000002</v>
          </cell>
          <cell r="O953">
            <v>2</v>
          </cell>
          <cell r="P953">
            <v>2</v>
          </cell>
          <cell r="Q953">
            <v>0</v>
          </cell>
          <cell r="R953">
            <v>0</v>
          </cell>
          <cell r="S953">
            <v>2.2000000000000002</v>
          </cell>
          <cell r="T953">
            <v>0</v>
          </cell>
          <cell r="U953" t="str">
            <v/>
          </cell>
          <cell r="V953" t="str">
            <v>A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 t="e">
            <v>#DIV/0!</v>
          </cell>
          <cell r="AH953" t="e">
            <v>#DIV/0!</v>
          </cell>
          <cell r="AI953" t="e">
            <v>#DIV/0!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 t="e">
            <v>#N/A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0.9</v>
          </cell>
          <cell r="BH953">
            <v>1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 t="e">
            <v>#DIV/0!</v>
          </cell>
          <cell r="BO953">
            <v>38</v>
          </cell>
          <cell r="BP953">
            <v>0</v>
          </cell>
          <cell r="BQ953" t="e">
            <v>#VALUE!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 t="str">
            <v/>
          </cell>
          <cell r="BX953" t="str">
            <v/>
          </cell>
          <cell r="BY953">
            <v>1.5</v>
          </cell>
          <cell r="BZ953">
            <v>1.1429999999999998</v>
          </cell>
        </row>
        <row r="954">
          <cell r="B954" t="str">
            <v/>
          </cell>
          <cell r="C954">
            <v>0</v>
          </cell>
          <cell r="D954" t="str">
            <v/>
          </cell>
          <cell r="F954" t="str">
            <v/>
          </cell>
          <cell r="H954" t="str">
            <v/>
          </cell>
          <cell r="I954" t="e">
            <v>#N/A</v>
          </cell>
          <cell r="J954" t="e">
            <v>#N/A</v>
          </cell>
          <cell r="K954" t="e">
            <v>#N/A</v>
          </cell>
          <cell r="M954">
            <v>2.2000000000000002</v>
          </cell>
          <cell r="N954">
            <v>2.2000000000000002</v>
          </cell>
          <cell r="O954">
            <v>2</v>
          </cell>
          <cell r="P954">
            <v>2</v>
          </cell>
          <cell r="Q954">
            <v>0</v>
          </cell>
          <cell r="R954">
            <v>0</v>
          </cell>
          <cell r="S954">
            <v>2.2000000000000002</v>
          </cell>
          <cell r="T954">
            <v>0</v>
          </cell>
          <cell r="U954" t="str">
            <v/>
          </cell>
          <cell r="V954" t="str">
            <v>A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 t="e">
            <v>#DIV/0!</v>
          </cell>
          <cell r="AH954" t="e">
            <v>#DIV/0!</v>
          </cell>
          <cell r="AI954" t="e">
            <v>#DIV/0!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 t="e">
            <v>#N/A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0.9</v>
          </cell>
          <cell r="BH954">
            <v>1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 t="e">
            <v>#DIV/0!</v>
          </cell>
          <cell r="BO954">
            <v>38</v>
          </cell>
          <cell r="BP954">
            <v>0</v>
          </cell>
          <cell r="BQ954" t="e">
            <v>#VALUE!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 t="str">
            <v/>
          </cell>
          <cell r="BX954" t="str">
            <v/>
          </cell>
          <cell r="BY954">
            <v>1.5</v>
          </cell>
          <cell r="BZ954">
            <v>1.1429999999999998</v>
          </cell>
        </row>
        <row r="955">
          <cell r="B955" t="str">
            <v/>
          </cell>
          <cell r="C955">
            <v>0</v>
          </cell>
          <cell r="D955" t="str">
            <v/>
          </cell>
          <cell r="F955" t="str">
            <v/>
          </cell>
          <cell r="H955" t="str">
            <v/>
          </cell>
          <cell r="I955" t="e">
            <v>#N/A</v>
          </cell>
          <cell r="J955" t="e">
            <v>#N/A</v>
          </cell>
          <cell r="K955" t="e">
            <v>#N/A</v>
          </cell>
          <cell r="M955">
            <v>2.2000000000000002</v>
          </cell>
          <cell r="N955">
            <v>2.2000000000000002</v>
          </cell>
          <cell r="O955">
            <v>2</v>
          </cell>
          <cell r="P955">
            <v>2</v>
          </cell>
          <cell r="Q955">
            <v>0</v>
          </cell>
          <cell r="R955">
            <v>0</v>
          </cell>
          <cell r="S955">
            <v>2.2000000000000002</v>
          </cell>
          <cell r="T955">
            <v>0</v>
          </cell>
          <cell r="U955" t="str">
            <v/>
          </cell>
          <cell r="V955" t="str">
            <v>A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 t="e">
            <v>#DIV/0!</v>
          </cell>
          <cell r="AH955" t="e">
            <v>#DIV/0!</v>
          </cell>
          <cell r="AI955" t="e">
            <v>#DIV/0!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 t="e">
            <v>#N/A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0.9</v>
          </cell>
          <cell r="BH955">
            <v>1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 t="e">
            <v>#DIV/0!</v>
          </cell>
          <cell r="BO955">
            <v>38</v>
          </cell>
          <cell r="BP955">
            <v>0</v>
          </cell>
          <cell r="BQ955" t="e">
            <v>#VALUE!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 t="str">
            <v/>
          </cell>
          <cell r="BX955" t="str">
            <v/>
          </cell>
          <cell r="BY955">
            <v>1.5</v>
          </cell>
          <cell r="BZ955">
            <v>1.1429999999999998</v>
          </cell>
        </row>
        <row r="956">
          <cell r="B956" t="str">
            <v/>
          </cell>
          <cell r="C956">
            <v>0</v>
          </cell>
          <cell r="D956" t="str">
            <v/>
          </cell>
          <cell r="F956" t="str">
            <v/>
          </cell>
          <cell r="H956" t="str">
            <v/>
          </cell>
          <cell r="I956" t="e">
            <v>#N/A</v>
          </cell>
          <cell r="J956" t="e">
            <v>#N/A</v>
          </cell>
          <cell r="K956" t="e">
            <v>#N/A</v>
          </cell>
          <cell r="M956">
            <v>2.2000000000000002</v>
          </cell>
          <cell r="N956">
            <v>2.2000000000000002</v>
          </cell>
          <cell r="O956">
            <v>2</v>
          </cell>
          <cell r="P956">
            <v>2</v>
          </cell>
          <cell r="Q956">
            <v>0</v>
          </cell>
          <cell r="R956">
            <v>0</v>
          </cell>
          <cell r="S956">
            <v>2.2000000000000002</v>
          </cell>
          <cell r="T956">
            <v>0</v>
          </cell>
          <cell r="U956" t="str">
            <v/>
          </cell>
          <cell r="V956" t="str">
            <v>A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 t="e">
            <v>#DIV/0!</v>
          </cell>
          <cell r="AH956" t="e">
            <v>#DIV/0!</v>
          </cell>
          <cell r="AI956" t="e">
            <v>#DIV/0!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 t="e">
            <v>#N/A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0.9</v>
          </cell>
          <cell r="BH956">
            <v>1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 t="e">
            <v>#DIV/0!</v>
          </cell>
          <cell r="BO956">
            <v>38</v>
          </cell>
          <cell r="BP956">
            <v>0</v>
          </cell>
          <cell r="BQ956" t="e">
            <v>#VALUE!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 t="str">
            <v/>
          </cell>
          <cell r="BX956" t="str">
            <v/>
          </cell>
          <cell r="BY956">
            <v>1.5</v>
          </cell>
          <cell r="BZ956">
            <v>1.1429999999999998</v>
          </cell>
        </row>
        <row r="957">
          <cell r="B957" t="str">
            <v/>
          </cell>
          <cell r="C957">
            <v>0</v>
          </cell>
          <cell r="D957" t="str">
            <v/>
          </cell>
          <cell r="F957" t="str">
            <v/>
          </cell>
          <cell r="H957" t="str">
            <v/>
          </cell>
          <cell r="I957" t="e">
            <v>#N/A</v>
          </cell>
          <cell r="J957" t="e">
            <v>#N/A</v>
          </cell>
          <cell r="K957" t="e">
            <v>#N/A</v>
          </cell>
          <cell r="M957">
            <v>2.2000000000000002</v>
          </cell>
          <cell r="N957">
            <v>2.2000000000000002</v>
          </cell>
          <cell r="O957">
            <v>2</v>
          </cell>
          <cell r="P957">
            <v>2</v>
          </cell>
          <cell r="Q957">
            <v>0</v>
          </cell>
          <cell r="R957">
            <v>0</v>
          </cell>
          <cell r="S957">
            <v>2.2000000000000002</v>
          </cell>
          <cell r="T957">
            <v>0</v>
          </cell>
          <cell r="U957" t="str">
            <v/>
          </cell>
          <cell r="V957" t="str">
            <v>A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 t="e">
            <v>#DIV/0!</v>
          </cell>
          <cell r="AH957" t="e">
            <v>#DIV/0!</v>
          </cell>
          <cell r="AI957" t="e">
            <v>#DIV/0!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 t="e">
            <v>#N/A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0.9</v>
          </cell>
          <cell r="BH957">
            <v>1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 t="e">
            <v>#DIV/0!</v>
          </cell>
          <cell r="BO957">
            <v>38</v>
          </cell>
          <cell r="BP957">
            <v>0</v>
          </cell>
          <cell r="BQ957" t="e">
            <v>#VALUE!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 t="str">
            <v/>
          </cell>
          <cell r="BX957" t="str">
            <v/>
          </cell>
          <cell r="BY957">
            <v>1.5</v>
          </cell>
          <cell r="BZ957">
            <v>1.1429999999999998</v>
          </cell>
        </row>
        <row r="958">
          <cell r="B958" t="str">
            <v/>
          </cell>
          <cell r="C958">
            <v>0</v>
          </cell>
          <cell r="D958" t="str">
            <v/>
          </cell>
          <cell r="F958" t="str">
            <v/>
          </cell>
          <cell r="H958" t="str">
            <v/>
          </cell>
          <cell r="I958" t="e">
            <v>#N/A</v>
          </cell>
          <cell r="J958" t="e">
            <v>#N/A</v>
          </cell>
          <cell r="K958" t="e">
            <v>#N/A</v>
          </cell>
          <cell r="M958">
            <v>2.2000000000000002</v>
          </cell>
          <cell r="N958">
            <v>2.2000000000000002</v>
          </cell>
          <cell r="O958">
            <v>2</v>
          </cell>
          <cell r="P958">
            <v>2</v>
          </cell>
          <cell r="Q958">
            <v>0</v>
          </cell>
          <cell r="R958">
            <v>0</v>
          </cell>
          <cell r="S958">
            <v>2.2000000000000002</v>
          </cell>
          <cell r="T958">
            <v>0</v>
          </cell>
          <cell r="U958" t="str">
            <v/>
          </cell>
          <cell r="V958" t="str">
            <v>A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 t="e">
            <v>#DIV/0!</v>
          </cell>
          <cell r="AH958" t="e">
            <v>#DIV/0!</v>
          </cell>
          <cell r="AI958" t="e">
            <v>#DIV/0!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 t="e">
            <v>#N/A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0.9</v>
          </cell>
          <cell r="BH958">
            <v>1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 t="e">
            <v>#DIV/0!</v>
          </cell>
          <cell r="BO958">
            <v>38</v>
          </cell>
          <cell r="BP958">
            <v>0</v>
          </cell>
          <cell r="BQ958" t="e">
            <v>#VALUE!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 t="str">
            <v/>
          </cell>
          <cell r="BX958" t="str">
            <v/>
          </cell>
          <cell r="BY958">
            <v>1.5</v>
          </cell>
          <cell r="BZ958">
            <v>1.1429999999999998</v>
          </cell>
        </row>
        <row r="959">
          <cell r="B959" t="str">
            <v/>
          </cell>
          <cell r="C959">
            <v>0</v>
          </cell>
          <cell r="D959" t="str">
            <v/>
          </cell>
          <cell r="F959" t="str">
            <v/>
          </cell>
          <cell r="H959" t="str">
            <v/>
          </cell>
          <cell r="I959" t="e">
            <v>#N/A</v>
          </cell>
          <cell r="J959" t="e">
            <v>#N/A</v>
          </cell>
          <cell r="K959" t="e">
            <v>#N/A</v>
          </cell>
          <cell r="M959">
            <v>2.2000000000000002</v>
          </cell>
          <cell r="N959">
            <v>2.2000000000000002</v>
          </cell>
          <cell r="O959">
            <v>2</v>
          </cell>
          <cell r="P959">
            <v>2</v>
          </cell>
          <cell r="Q959">
            <v>0</v>
          </cell>
          <cell r="R959">
            <v>0</v>
          </cell>
          <cell r="S959">
            <v>2.2000000000000002</v>
          </cell>
          <cell r="T959">
            <v>0</v>
          </cell>
          <cell r="U959" t="str">
            <v/>
          </cell>
          <cell r="V959" t="str">
            <v>A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 t="e">
            <v>#DIV/0!</v>
          </cell>
          <cell r="AH959" t="e">
            <v>#DIV/0!</v>
          </cell>
          <cell r="AI959" t="e">
            <v>#DIV/0!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 t="e">
            <v>#N/A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0.9</v>
          </cell>
          <cell r="BH959">
            <v>1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 t="e">
            <v>#DIV/0!</v>
          </cell>
          <cell r="BO959">
            <v>38</v>
          </cell>
          <cell r="BP959">
            <v>0</v>
          </cell>
          <cell r="BQ959" t="e">
            <v>#VALUE!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 t="str">
            <v/>
          </cell>
          <cell r="BX959" t="str">
            <v/>
          </cell>
          <cell r="BY959">
            <v>1.5</v>
          </cell>
          <cell r="BZ959">
            <v>1.1429999999999998</v>
          </cell>
        </row>
        <row r="960">
          <cell r="B960" t="str">
            <v/>
          </cell>
          <cell r="C960">
            <v>0</v>
          </cell>
          <cell r="D960" t="str">
            <v/>
          </cell>
          <cell r="F960" t="str">
            <v/>
          </cell>
          <cell r="H960" t="str">
            <v/>
          </cell>
          <cell r="I960" t="e">
            <v>#N/A</v>
          </cell>
          <cell r="J960" t="e">
            <v>#N/A</v>
          </cell>
          <cell r="K960" t="e">
            <v>#N/A</v>
          </cell>
          <cell r="M960">
            <v>2.2000000000000002</v>
          </cell>
          <cell r="N960">
            <v>2.2000000000000002</v>
          </cell>
          <cell r="O960">
            <v>2</v>
          </cell>
          <cell r="P960">
            <v>2</v>
          </cell>
          <cell r="Q960">
            <v>0</v>
          </cell>
          <cell r="R960">
            <v>0</v>
          </cell>
          <cell r="S960">
            <v>2.2000000000000002</v>
          </cell>
          <cell r="T960">
            <v>0</v>
          </cell>
          <cell r="U960" t="str">
            <v/>
          </cell>
          <cell r="V960" t="str">
            <v>A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 t="e">
            <v>#DIV/0!</v>
          </cell>
          <cell r="AH960" t="e">
            <v>#DIV/0!</v>
          </cell>
          <cell r="AI960" t="e">
            <v>#DIV/0!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 t="e">
            <v>#N/A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0.9</v>
          </cell>
          <cell r="BH960">
            <v>1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 t="e">
            <v>#DIV/0!</v>
          </cell>
          <cell r="BO960">
            <v>38</v>
          </cell>
          <cell r="BP960">
            <v>0</v>
          </cell>
          <cell r="BQ960" t="e">
            <v>#VALUE!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 t="str">
            <v/>
          </cell>
          <cell r="BX960" t="str">
            <v/>
          </cell>
          <cell r="BY960">
            <v>1.5</v>
          </cell>
          <cell r="BZ960">
            <v>1.1429999999999998</v>
          </cell>
        </row>
        <row r="961">
          <cell r="B961" t="str">
            <v/>
          </cell>
          <cell r="C961">
            <v>0</v>
          </cell>
          <cell r="D961" t="str">
            <v/>
          </cell>
          <cell r="F961" t="str">
            <v/>
          </cell>
          <cell r="H961" t="str">
            <v/>
          </cell>
          <cell r="I961" t="e">
            <v>#N/A</v>
          </cell>
          <cell r="J961" t="e">
            <v>#N/A</v>
          </cell>
          <cell r="K961" t="e">
            <v>#N/A</v>
          </cell>
          <cell r="M961">
            <v>2.2000000000000002</v>
          </cell>
          <cell r="N961">
            <v>2.2000000000000002</v>
          </cell>
          <cell r="O961">
            <v>2</v>
          </cell>
          <cell r="P961">
            <v>2</v>
          </cell>
          <cell r="Q961">
            <v>0</v>
          </cell>
          <cell r="R961">
            <v>0</v>
          </cell>
          <cell r="S961">
            <v>2.2000000000000002</v>
          </cell>
          <cell r="T961">
            <v>0</v>
          </cell>
          <cell r="U961" t="str">
            <v/>
          </cell>
          <cell r="V961" t="str">
            <v>A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 t="e">
            <v>#DIV/0!</v>
          </cell>
          <cell r="AH961" t="e">
            <v>#DIV/0!</v>
          </cell>
          <cell r="AI961" t="e">
            <v>#DIV/0!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 t="e">
            <v>#N/A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0.9</v>
          </cell>
          <cell r="BH961">
            <v>1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 t="e">
            <v>#DIV/0!</v>
          </cell>
          <cell r="BO961">
            <v>38</v>
          </cell>
          <cell r="BP961">
            <v>0</v>
          </cell>
          <cell r="BQ961" t="e">
            <v>#VALUE!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 t="str">
            <v/>
          </cell>
          <cell r="BX961" t="str">
            <v/>
          </cell>
          <cell r="BY961">
            <v>1.5</v>
          </cell>
          <cell r="BZ961">
            <v>1.1429999999999998</v>
          </cell>
        </row>
        <row r="962">
          <cell r="B962" t="str">
            <v/>
          </cell>
          <cell r="C962">
            <v>0</v>
          </cell>
          <cell r="D962" t="str">
            <v/>
          </cell>
          <cell r="F962" t="str">
            <v/>
          </cell>
          <cell r="H962" t="str">
            <v/>
          </cell>
          <cell r="I962" t="e">
            <v>#N/A</v>
          </cell>
          <cell r="J962" t="e">
            <v>#N/A</v>
          </cell>
          <cell r="K962" t="e">
            <v>#N/A</v>
          </cell>
          <cell r="M962">
            <v>2.2000000000000002</v>
          </cell>
          <cell r="N962">
            <v>2.2000000000000002</v>
          </cell>
          <cell r="O962">
            <v>2</v>
          </cell>
          <cell r="P962">
            <v>2</v>
          </cell>
          <cell r="Q962">
            <v>0</v>
          </cell>
          <cell r="R962">
            <v>0</v>
          </cell>
          <cell r="S962">
            <v>2.2000000000000002</v>
          </cell>
          <cell r="T962">
            <v>0</v>
          </cell>
          <cell r="U962" t="str">
            <v/>
          </cell>
          <cell r="V962" t="str">
            <v>A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 t="e">
            <v>#DIV/0!</v>
          </cell>
          <cell r="AH962" t="e">
            <v>#DIV/0!</v>
          </cell>
          <cell r="AI962" t="e">
            <v>#DIV/0!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 t="e">
            <v>#N/A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0.9</v>
          </cell>
          <cell r="BH962">
            <v>1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 t="e">
            <v>#DIV/0!</v>
          </cell>
          <cell r="BO962">
            <v>38</v>
          </cell>
          <cell r="BP962">
            <v>0</v>
          </cell>
          <cell r="BQ962" t="e">
            <v>#VALUE!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 t="str">
            <v/>
          </cell>
          <cell r="BX962" t="str">
            <v/>
          </cell>
          <cell r="BY962">
            <v>1.5</v>
          </cell>
          <cell r="BZ962">
            <v>1.1429999999999998</v>
          </cell>
        </row>
        <row r="963">
          <cell r="B963" t="str">
            <v/>
          </cell>
          <cell r="C963">
            <v>0</v>
          </cell>
          <cell r="D963" t="str">
            <v/>
          </cell>
          <cell r="F963" t="str">
            <v/>
          </cell>
          <cell r="H963" t="str">
            <v/>
          </cell>
          <cell r="I963" t="e">
            <v>#N/A</v>
          </cell>
          <cell r="J963" t="e">
            <v>#N/A</v>
          </cell>
          <cell r="K963" t="e">
            <v>#N/A</v>
          </cell>
          <cell r="M963">
            <v>2.2000000000000002</v>
          </cell>
          <cell r="N963">
            <v>2.2000000000000002</v>
          </cell>
          <cell r="O963">
            <v>2</v>
          </cell>
          <cell r="P963">
            <v>2</v>
          </cell>
          <cell r="Q963">
            <v>0</v>
          </cell>
          <cell r="R963">
            <v>0</v>
          </cell>
          <cell r="S963">
            <v>2.2000000000000002</v>
          </cell>
          <cell r="T963">
            <v>0</v>
          </cell>
          <cell r="U963" t="str">
            <v/>
          </cell>
          <cell r="V963" t="str">
            <v>A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 t="e">
            <v>#DIV/0!</v>
          </cell>
          <cell r="AH963" t="e">
            <v>#DIV/0!</v>
          </cell>
          <cell r="AI963" t="e">
            <v>#DIV/0!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 t="e">
            <v>#N/A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0.9</v>
          </cell>
          <cell r="BH963">
            <v>1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 t="e">
            <v>#DIV/0!</v>
          </cell>
          <cell r="BO963">
            <v>38</v>
          </cell>
          <cell r="BP963">
            <v>0</v>
          </cell>
          <cell r="BQ963" t="e">
            <v>#VALUE!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 t="str">
            <v/>
          </cell>
          <cell r="BX963" t="str">
            <v/>
          </cell>
          <cell r="BY963">
            <v>1.5</v>
          </cell>
          <cell r="BZ963">
            <v>1.1429999999999998</v>
          </cell>
        </row>
        <row r="964">
          <cell r="B964" t="str">
            <v/>
          </cell>
          <cell r="C964">
            <v>0</v>
          </cell>
          <cell r="D964" t="str">
            <v/>
          </cell>
          <cell r="F964" t="str">
            <v/>
          </cell>
          <cell r="H964" t="str">
            <v/>
          </cell>
          <cell r="I964" t="e">
            <v>#N/A</v>
          </cell>
          <cell r="J964" t="e">
            <v>#N/A</v>
          </cell>
          <cell r="K964" t="e">
            <v>#N/A</v>
          </cell>
          <cell r="M964">
            <v>2.2000000000000002</v>
          </cell>
          <cell r="N964">
            <v>2.2000000000000002</v>
          </cell>
          <cell r="O964">
            <v>2</v>
          </cell>
          <cell r="P964">
            <v>2</v>
          </cell>
          <cell r="Q964">
            <v>0</v>
          </cell>
          <cell r="R964">
            <v>0</v>
          </cell>
          <cell r="S964">
            <v>2.2000000000000002</v>
          </cell>
          <cell r="T964">
            <v>0</v>
          </cell>
          <cell r="U964" t="str">
            <v/>
          </cell>
          <cell r="V964" t="str">
            <v>A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 t="e">
            <v>#DIV/0!</v>
          </cell>
          <cell r="AH964" t="e">
            <v>#DIV/0!</v>
          </cell>
          <cell r="AI964" t="e">
            <v>#DIV/0!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 t="e">
            <v>#N/A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0.9</v>
          </cell>
          <cell r="BH964">
            <v>1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 t="e">
            <v>#DIV/0!</v>
          </cell>
          <cell r="BO964">
            <v>38</v>
          </cell>
          <cell r="BP964">
            <v>0</v>
          </cell>
          <cell r="BQ964" t="e">
            <v>#VALUE!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 t="str">
            <v/>
          </cell>
          <cell r="BX964" t="str">
            <v/>
          </cell>
          <cell r="BY964">
            <v>1.5</v>
          </cell>
          <cell r="BZ964">
            <v>1.1429999999999998</v>
          </cell>
        </row>
        <row r="965">
          <cell r="B965" t="str">
            <v/>
          </cell>
          <cell r="C965">
            <v>0</v>
          </cell>
          <cell r="D965" t="str">
            <v/>
          </cell>
          <cell r="F965" t="str">
            <v/>
          </cell>
          <cell r="H965" t="str">
            <v/>
          </cell>
          <cell r="I965" t="e">
            <v>#N/A</v>
          </cell>
          <cell r="J965" t="e">
            <v>#N/A</v>
          </cell>
          <cell r="K965" t="e">
            <v>#N/A</v>
          </cell>
          <cell r="M965">
            <v>2.2000000000000002</v>
          </cell>
          <cell r="N965">
            <v>2.2000000000000002</v>
          </cell>
          <cell r="O965">
            <v>2</v>
          </cell>
          <cell r="P965">
            <v>2</v>
          </cell>
          <cell r="Q965">
            <v>0</v>
          </cell>
          <cell r="R965">
            <v>0</v>
          </cell>
          <cell r="S965">
            <v>2.2000000000000002</v>
          </cell>
          <cell r="T965">
            <v>0</v>
          </cell>
          <cell r="U965" t="str">
            <v/>
          </cell>
          <cell r="V965" t="str">
            <v>A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 t="e">
            <v>#DIV/0!</v>
          </cell>
          <cell r="AH965" t="e">
            <v>#DIV/0!</v>
          </cell>
          <cell r="AI965" t="e">
            <v>#DIV/0!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 t="e">
            <v>#N/A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0.9</v>
          </cell>
          <cell r="BH965">
            <v>1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 t="e">
            <v>#DIV/0!</v>
          </cell>
          <cell r="BO965">
            <v>38</v>
          </cell>
          <cell r="BP965">
            <v>0</v>
          </cell>
          <cell r="BQ965" t="e">
            <v>#VALUE!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 t="str">
            <v/>
          </cell>
          <cell r="BX965" t="str">
            <v/>
          </cell>
          <cell r="BY965">
            <v>1.5</v>
          </cell>
          <cell r="BZ965">
            <v>1.1429999999999998</v>
          </cell>
        </row>
        <row r="966">
          <cell r="B966" t="str">
            <v/>
          </cell>
          <cell r="C966">
            <v>0</v>
          </cell>
          <cell r="D966" t="str">
            <v/>
          </cell>
          <cell r="F966" t="str">
            <v/>
          </cell>
          <cell r="H966" t="str">
            <v/>
          </cell>
          <cell r="I966" t="e">
            <v>#N/A</v>
          </cell>
          <cell r="J966" t="e">
            <v>#N/A</v>
          </cell>
          <cell r="K966" t="e">
            <v>#N/A</v>
          </cell>
          <cell r="M966">
            <v>2.2000000000000002</v>
          </cell>
          <cell r="N966">
            <v>2.2000000000000002</v>
          </cell>
          <cell r="O966">
            <v>2</v>
          </cell>
          <cell r="P966">
            <v>2</v>
          </cell>
          <cell r="Q966">
            <v>0</v>
          </cell>
          <cell r="R966">
            <v>0</v>
          </cell>
          <cell r="S966">
            <v>2.2000000000000002</v>
          </cell>
          <cell r="T966">
            <v>0</v>
          </cell>
          <cell r="U966" t="str">
            <v/>
          </cell>
          <cell r="V966" t="str">
            <v>A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 t="e">
            <v>#DIV/0!</v>
          </cell>
          <cell r="AH966" t="e">
            <v>#DIV/0!</v>
          </cell>
          <cell r="AI966" t="e">
            <v>#DIV/0!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 t="e">
            <v>#N/A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0.9</v>
          </cell>
          <cell r="BH966">
            <v>1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 t="e">
            <v>#DIV/0!</v>
          </cell>
          <cell r="BO966">
            <v>38</v>
          </cell>
          <cell r="BP966">
            <v>0</v>
          </cell>
          <cell r="BQ966" t="e">
            <v>#VALUE!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 t="str">
            <v/>
          </cell>
          <cell r="BX966" t="str">
            <v/>
          </cell>
          <cell r="BY966">
            <v>1.5</v>
          </cell>
          <cell r="BZ966">
            <v>1.1429999999999998</v>
          </cell>
        </row>
        <row r="967">
          <cell r="B967" t="str">
            <v/>
          </cell>
          <cell r="C967">
            <v>0</v>
          </cell>
          <cell r="D967" t="str">
            <v/>
          </cell>
          <cell r="F967" t="str">
            <v/>
          </cell>
          <cell r="H967" t="str">
            <v/>
          </cell>
          <cell r="I967" t="e">
            <v>#N/A</v>
          </cell>
          <cell r="J967" t="e">
            <v>#N/A</v>
          </cell>
          <cell r="K967" t="e">
            <v>#N/A</v>
          </cell>
          <cell r="M967">
            <v>2.2000000000000002</v>
          </cell>
          <cell r="N967">
            <v>2.2000000000000002</v>
          </cell>
          <cell r="O967">
            <v>2</v>
          </cell>
          <cell r="P967">
            <v>2</v>
          </cell>
          <cell r="Q967">
            <v>0</v>
          </cell>
          <cell r="R967">
            <v>0</v>
          </cell>
          <cell r="S967">
            <v>2.2000000000000002</v>
          </cell>
          <cell r="T967">
            <v>0</v>
          </cell>
          <cell r="U967" t="str">
            <v/>
          </cell>
          <cell r="V967" t="str">
            <v>A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 t="e">
            <v>#DIV/0!</v>
          </cell>
          <cell r="AH967" t="e">
            <v>#DIV/0!</v>
          </cell>
          <cell r="AI967" t="e">
            <v>#DIV/0!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 t="e">
            <v>#N/A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0.9</v>
          </cell>
          <cell r="BH967">
            <v>1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 t="e">
            <v>#DIV/0!</v>
          </cell>
          <cell r="BO967">
            <v>38</v>
          </cell>
          <cell r="BP967">
            <v>0</v>
          </cell>
          <cell r="BQ967" t="e">
            <v>#VALUE!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 t="str">
            <v/>
          </cell>
          <cell r="BX967" t="str">
            <v/>
          </cell>
          <cell r="BY967">
            <v>1.5</v>
          </cell>
          <cell r="BZ967">
            <v>1.1429999999999998</v>
          </cell>
        </row>
        <row r="968">
          <cell r="B968" t="str">
            <v/>
          </cell>
          <cell r="C968">
            <v>0</v>
          </cell>
          <cell r="D968" t="str">
            <v/>
          </cell>
          <cell r="F968" t="str">
            <v/>
          </cell>
          <cell r="H968" t="str">
            <v/>
          </cell>
          <cell r="I968" t="e">
            <v>#N/A</v>
          </cell>
          <cell r="J968" t="e">
            <v>#N/A</v>
          </cell>
          <cell r="K968" t="e">
            <v>#N/A</v>
          </cell>
          <cell r="M968">
            <v>2.2000000000000002</v>
          </cell>
          <cell r="N968">
            <v>2.2000000000000002</v>
          </cell>
          <cell r="O968">
            <v>2</v>
          </cell>
          <cell r="P968">
            <v>2</v>
          </cell>
          <cell r="Q968">
            <v>0</v>
          </cell>
          <cell r="R968">
            <v>0</v>
          </cell>
          <cell r="S968">
            <v>2.2000000000000002</v>
          </cell>
          <cell r="T968">
            <v>0</v>
          </cell>
          <cell r="U968" t="str">
            <v/>
          </cell>
          <cell r="V968" t="str">
            <v>A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 t="e">
            <v>#DIV/0!</v>
          </cell>
          <cell r="AH968" t="e">
            <v>#DIV/0!</v>
          </cell>
          <cell r="AI968" t="e">
            <v>#DIV/0!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 t="e">
            <v>#N/A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0.9</v>
          </cell>
          <cell r="BH968">
            <v>1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 t="e">
            <v>#DIV/0!</v>
          </cell>
          <cell r="BO968">
            <v>38</v>
          </cell>
          <cell r="BP968">
            <v>0</v>
          </cell>
          <cell r="BQ968" t="e">
            <v>#VALUE!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 t="str">
            <v/>
          </cell>
          <cell r="BX968" t="str">
            <v/>
          </cell>
          <cell r="BY968">
            <v>1.5</v>
          </cell>
          <cell r="BZ968">
            <v>1.1429999999999998</v>
          </cell>
        </row>
        <row r="969">
          <cell r="B969" t="str">
            <v/>
          </cell>
          <cell r="C969">
            <v>0</v>
          </cell>
          <cell r="D969" t="str">
            <v/>
          </cell>
          <cell r="F969" t="str">
            <v/>
          </cell>
          <cell r="H969" t="str">
            <v/>
          </cell>
          <cell r="I969" t="e">
            <v>#N/A</v>
          </cell>
          <cell r="J969" t="e">
            <v>#N/A</v>
          </cell>
          <cell r="K969" t="e">
            <v>#N/A</v>
          </cell>
          <cell r="M969">
            <v>2.2000000000000002</v>
          </cell>
          <cell r="N969">
            <v>2.2000000000000002</v>
          </cell>
          <cell r="O969">
            <v>2</v>
          </cell>
          <cell r="P969">
            <v>2</v>
          </cell>
          <cell r="Q969">
            <v>0</v>
          </cell>
          <cell r="R969">
            <v>0</v>
          </cell>
          <cell r="S969">
            <v>2.2000000000000002</v>
          </cell>
          <cell r="T969">
            <v>0</v>
          </cell>
          <cell r="U969" t="str">
            <v/>
          </cell>
          <cell r="V969" t="str">
            <v>A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 t="e">
            <v>#DIV/0!</v>
          </cell>
          <cell r="AH969" t="e">
            <v>#DIV/0!</v>
          </cell>
          <cell r="AI969" t="e">
            <v>#DIV/0!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 t="e">
            <v>#N/A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0.9</v>
          </cell>
          <cell r="BH969">
            <v>1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 t="e">
            <v>#DIV/0!</v>
          </cell>
          <cell r="BO969">
            <v>38</v>
          </cell>
          <cell r="BP969">
            <v>0</v>
          </cell>
          <cell r="BQ969" t="e">
            <v>#VALUE!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 t="str">
            <v/>
          </cell>
          <cell r="BX969" t="str">
            <v/>
          </cell>
          <cell r="BY969">
            <v>1.5</v>
          </cell>
          <cell r="BZ969">
            <v>1.1429999999999998</v>
          </cell>
        </row>
        <row r="970">
          <cell r="B970" t="str">
            <v/>
          </cell>
          <cell r="C970">
            <v>0</v>
          </cell>
          <cell r="D970" t="str">
            <v/>
          </cell>
          <cell r="F970" t="str">
            <v/>
          </cell>
          <cell r="H970" t="str">
            <v/>
          </cell>
          <cell r="I970" t="e">
            <v>#N/A</v>
          </cell>
          <cell r="J970" t="e">
            <v>#N/A</v>
          </cell>
          <cell r="K970" t="e">
            <v>#N/A</v>
          </cell>
          <cell r="M970">
            <v>2.2000000000000002</v>
          </cell>
          <cell r="N970">
            <v>2.2000000000000002</v>
          </cell>
          <cell r="O970">
            <v>2</v>
          </cell>
          <cell r="P970">
            <v>2</v>
          </cell>
          <cell r="Q970">
            <v>0</v>
          </cell>
          <cell r="R970">
            <v>0</v>
          </cell>
          <cell r="S970">
            <v>2.2000000000000002</v>
          </cell>
          <cell r="T970">
            <v>0</v>
          </cell>
          <cell r="U970" t="str">
            <v/>
          </cell>
          <cell r="V970" t="str">
            <v>A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 t="e">
            <v>#DIV/0!</v>
          </cell>
          <cell r="AH970" t="e">
            <v>#DIV/0!</v>
          </cell>
          <cell r="AI970" t="e">
            <v>#DIV/0!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 t="e">
            <v>#N/A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0.9</v>
          </cell>
          <cell r="BH970">
            <v>1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 t="e">
            <v>#DIV/0!</v>
          </cell>
          <cell r="BO970">
            <v>38</v>
          </cell>
          <cell r="BP970">
            <v>0</v>
          </cell>
          <cell r="BQ970" t="e">
            <v>#VALUE!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 t="str">
            <v/>
          </cell>
          <cell r="BX970" t="str">
            <v/>
          </cell>
          <cell r="BY970">
            <v>1.5</v>
          </cell>
          <cell r="BZ970">
            <v>1.1429999999999998</v>
          </cell>
        </row>
        <row r="971">
          <cell r="B971" t="str">
            <v/>
          </cell>
          <cell r="C971">
            <v>0</v>
          </cell>
          <cell r="D971" t="str">
            <v/>
          </cell>
          <cell r="F971" t="str">
            <v/>
          </cell>
          <cell r="H971" t="str">
            <v/>
          </cell>
          <cell r="I971" t="e">
            <v>#N/A</v>
          </cell>
          <cell r="J971" t="e">
            <v>#N/A</v>
          </cell>
          <cell r="K971" t="e">
            <v>#N/A</v>
          </cell>
          <cell r="M971">
            <v>2.2000000000000002</v>
          </cell>
          <cell r="N971">
            <v>2.2000000000000002</v>
          </cell>
          <cell r="O971">
            <v>2</v>
          </cell>
          <cell r="P971">
            <v>2</v>
          </cell>
          <cell r="Q971">
            <v>0</v>
          </cell>
          <cell r="R971">
            <v>0</v>
          </cell>
          <cell r="S971">
            <v>2.2000000000000002</v>
          </cell>
          <cell r="T971">
            <v>0</v>
          </cell>
          <cell r="U971" t="str">
            <v/>
          </cell>
          <cell r="V971" t="str">
            <v>A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 t="e">
            <v>#DIV/0!</v>
          </cell>
          <cell r="AH971" t="e">
            <v>#DIV/0!</v>
          </cell>
          <cell r="AI971" t="e">
            <v>#DIV/0!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 t="e">
            <v>#N/A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0.9</v>
          </cell>
          <cell r="BH971">
            <v>1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 t="e">
            <v>#DIV/0!</v>
          </cell>
          <cell r="BO971">
            <v>38</v>
          </cell>
          <cell r="BP971">
            <v>0</v>
          </cell>
          <cell r="BQ971" t="e">
            <v>#VALUE!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 t="str">
            <v/>
          </cell>
          <cell r="BX971" t="str">
            <v/>
          </cell>
          <cell r="BY971">
            <v>1.5</v>
          </cell>
          <cell r="BZ971">
            <v>1.1429999999999998</v>
          </cell>
        </row>
        <row r="972">
          <cell r="B972" t="str">
            <v/>
          </cell>
          <cell r="C972">
            <v>0</v>
          </cell>
          <cell r="D972" t="str">
            <v/>
          </cell>
          <cell r="F972" t="str">
            <v/>
          </cell>
          <cell r="H972" t="str">
            <v/>
          </cell>
          <cell r="I972" t="e">
            <v>#N/A</v>
          </cell>
          <cell r="J972" t="e">
            <v>#N/A</v>
          </cell>
          <cell r="K972" t="e">
            <v>#N/A</v>
          </cell>
          <cell r="M972">
            <v>2.2000000000000002</v>
          </cell>
          <cell r="N972">
            <v>2.2000000000000002</v>
          </cell>
          <cell r="O972">
            <v>2</v>
          </cell>
          <cell r="P972">
            <v>2</v>
          </cell>
          <cell r="Q972">
            <v>0</v>
          </cell>
          <cell r="R972">
            <v>0</v>
          </cell>
          <cell r="S972">
            <v>2.2000000000000002</v>
          </cell>
          <cell r="T972">
            <v>0</v>
          </cell>
          <cell r="U972" t="str">
            <v/>
          </cell>
          <cell r="V972" t="str">
            <v>A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 t="e">
            <v>#DIV/0!</v>
          </cell>
          <cell r="AH972" t="e">
            <v>#DIV/0!</v>
          </cell>
          <cell r="AI972" t="e">
            <v>#DIV/0!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 t="e">
            <v>#N/A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0.9</v>
          </cell>
          <cell r="BH972">
            <v>1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 t="e">
            <v>#DIV/0!</v>
          </cell>
          <cell r="BO972">
            <v>38</v>
          </cell>
          <cell r="BP972">
            <v>0</v>
          </cell>
          <cell r="BQ972" t="e">
            <v>#VALUE!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 t="str">
            <v/>
          </cell>
          <cell r="BX972" t="str">
            <v/>
          </cell>
          <cell r="BY972">
            <v>1.5</v>
          </cell>
          <cell r="BZ972">
            <v>1.1429999999999998</v>
          </cell>
        </row>
        <row r="973">
          <cell r="B973" t="str">
            <v/>
          </cell>
          <cell r="C973">
            <v>0</v>
          </cell>
          <cell r="D973" t="str">
            <v/>
          </cell>
          <cell r="F973" t="str">
            <v/>
          </cell>
          <cell r="H973" t="str">
            <v/>
          </cell>
          <cell r="I973" t="e">
            <v>#N/A</v>
          </cell>
          <cell r="J973" t="e">
            <v>#N/A</v>
          </cell>
          <cell r="K973" t="e">
            <v>#N/A</v>
          </cell>
          <cell r="M973">
            <v>2.2000000000000002</v>
          </cell>
          <cell r="N973">
            <v>2.2000000000000002</v>
          </cell>
          <cell r="O973">
            <v>2</v>
          </cell>
          <cell r="P973">
            <v>2</v>
          </cell>
          <cell r="Q973">
            <v>0</v>
          </cell>
          <cell r="R973">
            <v>0</v>
          </cell>
          <cell r="S973">
            <v>2.2000000000000002</v>
          </cell>
          <cell r="T973">
            <v>0</v>
          </cell>
          <cell r="U973" t="str">
            <v/>
          </cell>
          <cell r="V973" t="str">
            <v>A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 t="e">
            <v>#DIV/0!</v>
          </cell>
          <cell r="AH973" t="e">
            <v>#DIV/0!</v>
          </cell>
          <cell r="AI973" t="e">
            <v>#DIV/0!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 t="e">
            <v>#N/A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0.9</v>
          </cell>
          <cell r="BH973">
            <v>1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 t="e">
            <v>#DIV/0!</v>
          </cell>
          <cell r="BO973">
            <v>38</v>
          </cell>
          <cell r="BP973">
            <v>0</v>
          </cell>
          <cell r="BQ973" t="e">
            <v>#VALUE!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 t="str">
            <v/>
          </cell>
          <cell r="BX973" t="str">
            <v/>
          </cell>
          <cell r="BY973">
            <v>1.5</v>
          </cell>
          <cell r="BZ973">
            <v>1.1429999999999998</v>
          </cell>
        </row>
        <row r="974">
          <cell r="B974" t="str">
            <v/>
          </cell>
          <cell r="C974">
            <v>0</v>
          </cell>
          <cell r="D974" t="str">
            <v/>
          </cell>
          <cell r="F974" t="str">
            <v/>
          </cell>
          <cell r="H974" t="str">
            <v/>
          </cell>
          <cell r="I974" t="e">
            <v>#N/A</v>
          </cell>
          <cell r="J974" t="e">
            <v>#N/A</v>
          </cell>
          <cell r="K974" t="e">
            <v>#N/A</v>
          </cell>
          <cell r="M974">
            <v>2.2000000000000002</v>
          </cell>
          <cell r="N974">
            <v>2.2000000000000002</v>
          </cell>
          <cell r="O974">
            <v>2</v>
          </cell>
          <cell r="P974">
            <v>2</v>
          </cell>
          <cell r="Q974">
            <v>0</v>
          </cell>
          <cell r="R974">
            <v>0</v>
          </cell>
          <cell r="S974">
            <v>2.2000000000000002</v>
          </cell>
          <cell r="T974">
            <v>0</v>
          </cell>
          <cell r="U974" t="str">
            <v/>
          </cell>
          <cell r="V974" t="str">
            <v>A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 t="e">
            <v>#DIV/0!</v>
          </cell>
          <cell r="AH974" t="e">
            <v>#DIV/0!</v>
          </cell>
          <cell r="AI974" t="e">
            <v>#DIV/0!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 t="e">
            <v>#N/A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0.9</v>
          </cell>
          <cell r="BH974">
            <v>1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 t="e">
            <v>#DIV/0!</v>
          </cell>
          <cell r="BO974">
            <v>38</v>
          </cell>
          <cell r="BP974">
            <v>0</v>
          </cell>
          <cell r="BQ974" t="e">
            <v>#VALUE!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 t="str">
            <v/>
          </cell>
          <cell r="BX974" t="str">
            <v/>
          </cell>
          <cell r="BY974">
            <v>1.5</v>
          </cell>
          <cell r="BZ974">
            <v>1.1429999999999998</v>
          </cell>
        </row>
        <row r="975">
          <cell r="B975" t="str">
            <v/>
          </cell>
          <cell r="C975">
            <v>0</v>
          </cell>
          <cell r="D975" t="str">
            <v/>
          </cell>
          <cell r="F975" t="str">
            <v/>
          </cell>
          <cell r="H975" t="str">
            <v/>
          </cell>
          <cell r="I975" t="e">
            <v>#N/A</v>
          </cell>
          <cell r="J975" t="e">
            <v>#N/A</v>
          </cell>
          <cell r="K975" t="e">
            <v>#N/A</v>
          </cell>
          <cell r="M975">
            <v>2.2000000000000002</v>
          </cell>
          <cell r="N975">
            <v>2.2000000000000002</v>
          </cell>
          <cell r="O975">
            <v>2</v>
          </cell>
          <cell r="P975">
            <v>2</v>
          </cell>
          <cell r="Q975">
            <v>0</v>
          </cell>
          <cell r="R975">
            <v>0</v>
          </cell>
          <cell r="S975">
            <v>2.2000000000000002</v>
          </cell>
          <cell r="T975">
            <v>0</v>
          </cell>
          <cell r="U975" t="str">
            <v/>
          </cell>
          <cell r="V975" t="str">
            <v>A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 t="e">
            <v>#DIV/0!</v>
          </cell>
          <cell r="AH975" t="e">
            <v>#DIV/0!</v>
          </cell>
          <cell r="AI975" t="e">
            <v>#DIV/0!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 t="e">
            <v>#N/A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0.9</v>
          </cell>
          <cell r="BH975">
            <v>1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 t="e">
            <v>#DIV/0!</v>
          </cell>
          <cell r="BO975">
            <v>38</v>
          </cell>
          <cell r="BP975">
            <v>0</v>
          </cell>
          <cell r="BQ975" t="e">
            <v>#VALUE!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 t="str">
            <v/>
          </cell>
          <cell r="BX975" t="str">
            <v/>
          </cell>
          <cell r="BY975">
            <v>1.5</v>
          </cell>
          <cell r="BZ975">
            <v>1.1429999999999998</v>
          </cell>
        </row>
        <row r="976">
          <cell r="B976" t="str">
            <v/>
          </cell>
          <cell r="C976">
            <v>0</v>
          </cell>
          <cell r="D976" t="str">
            <v/>
          </cell>
          <cell r="F976" t="str">
            <v/>
          </cell>
          <cell r="H976" t="str">
            <v/>
          </cell>
          <cell r="I976" t="e">
            <v>#N/A</v>
          </cell>
          <cell r="J976" t="e">
            <v>#N/A</v>
          </cell>
          <cell r="K976" t="e">
            <v>#N/A</v>
          </cell>
          <cell r="M976">
            <v>2.2000000000000002</v>
          </cell>
          <cell r="N976">
            <v>2.2000000000000002</v>
          </cell>
          <cell r="O976">
            <v>2</v>
          </cell>
          <cell r="P976">
            <v>2</v>
          </cell>
          <cell r="Q976">
            <v>0</v>
          </cell>
          <cell r="R976">
            <v>0</v>
          </cell>
          <cell r="S976">
            <v>2.2000000000000002</v>
          </cell>
          <cell r="T976">
            <v>0</v>
          </cell>
          <cell r="U976" t="str">
            <v/>
          </cell>
          <cell r="V976" t="str">
            <v>A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 t="e">
            <v>#DIV/0!</v>
          </cell>
          <cell r="AH976" t="e">
            <v>#DIV/0!</v>
          </cell>
          <cell r="AI976" t="e">
            <v>#DIV/0!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 t="e">
            <v>#N/A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0.9</v>
          </cell>
          <cell r="BH976">
            <v>1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 t="e">
            <v>#DIV/0!</v>
          </cell>
          <cell r="BO976">
            <v>38</v>
          </cell>
          <cell r="BP976">
            <v>0</v>
          </cell>
          <cell r="BQ976" t="e">
            <v>#VALUE!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 t="str">
            <v/>
          </cell>
          <cell r="BX976" t="str">
            <v/>
          </cell>
          <cell r="BY976">
            <v>1.5</v>
          </cell>
          <cell r="BZ976">
            <v>1.1429999999999998</v>
          </cell>
        </row>
        <row r="977">
          <cell r="B977" t="str">
            <v/>
          </cell>
          <cell r="C977">
            <v>0</v>
          </cell>
          <cell r="D977" t="str">
            <v/>
          </cell>
          <cell r="F977" t="str">
            <v/>
          </cell>
          <cell r="H977" t="str">
            <v/>
          </cell>
          <cell r="I977" t="e">
            <v>#N/A</v>
          </cell>
          <cell r="J977" t="e">
            <v>#N/A</v>
          </cell>
          <cell r="K977" t="e">
            <v>#N/A</v>
          </cell>
          <cell r="M977">
            <v>2.2000000000000002</v>
          </cell>
          <cell r="N977">
            <v>2.2000000000000002</v>
          </cell>
          <cell r="O977">
            <v>2</v>
          </cell>
          <cell r="P977">
            <v>2</v>
          </cell>
          <cell r="Q977">
            <v>0</v>
          </cell>
          <cell r="R977">
            <v>0</v>
          </cell>
          <cell r="S977">
            <v>2.2000000000000002</v>
          </cell>
          <cell r="T977">
            <v>0</v>
          </cell>
          <cell r="U977" t="str">
            <v/>
          </cell>
          <cell r="V977" t="str">
            <v>A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 t="e">
            <v>#DIV/0!</v>
          </cell>
          <cell r="AH977" t="e">
            <v>#DIV/0!</v>
          </cell>
          <cell r="AI977" t="e">
            <v>#DIV/0!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 t="e">
            <v>#N/A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0.9</v>
          </cell>
          <cell r="BH977">
            <v>1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 t="e">
            <v>#DIV/0!</v>
          </cell>
          <cell r="BO977">
            <v>38</v>
          </cell>
          <cell r="BP977">
            <v>0</v>
          </cell>
          <cell r="BQ977" t="e">
            <v>#VALUE!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 t="str">
            <v/>
          </cell>
          <cell r="BX977" t="str">
            <v/>
          </cell>
          <cell r="BY977">
            <v>1.5</v>
          </cell>
          <cell r="BZ977">
            <v>1.1429999999999998</v>
          </cell>
        </row>
        <row r="978">
          <cell r="B978" t="str">
            <v/>
          </cell>
          <cell r="C978">
            <v>0</v>
          </cell>
          <cell r="D978" t="str">
            <v/>
          </cell>
          <cell r="F978" t="str">
            <v/>
          </cell>
          <cell r="H978" t="str">
            <v/>
          </cell>
          <cell r="I978" t="e">
            <v>#N/A</v>
          </cell>
          <cell r="J978" t="e">
            <v>#N/A</v>
          </cell>
          <cell r="K978" t="e">
            <v>#N/A</v>
          </cell>
          <cell r="M978">
            <v>2.2000000000000002</v>
          </cell>
          <cell r="N978">
            <v>2.2000000000000002</v>
          </cell>
          <cell r="O978">
            <v>2</v>
          </cell>
          <cell r="P978">
            <v>2</v>
          </cell>
          <cell r="Q978">
            <v>0</v>
          </cell>
          <cell r="R978">
            <v>0</v>
          </cell>
          <cell r="S978">
            <v>2.2000000000000002</v>
          </cell>
          <cell r="T978">
            <v>0</v>
          </cell>
          <cell r="U978" t="str">
            <v/>
          </cell>
          <cell r="V978" t="str">
            <v>A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 t="e">
            <v>#DIV/0!</v>
          </cell>
          <cell r="AH978" t="e">
            <v>#DIV/0!</v>
          </cell>
          <cell r="AI978" t="e">
            <v>#DIV/0!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 t="e">
            <v>#N/A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0.9</v>
          </cell>
          <cell r="BH978">
            <v>1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 t="e">
            <v>#DIV/0!</v>
          </cell>
          <cell r="BO978">
            <v>38</v>
          </cell>
          <cell r="BP978">
            <v>0</v>
          </cell>
          <cell r="BQ978" t="e">
            <v>#VALUE!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 t="str">
            <v/>
          </cell>
          <cell r="BX978" t="str">
            <v/>
          </cell>
          <cell r="BY978">
            <v>1.5</v>
          </cell>
          <cell r="BZ978">
            <v>1.1429999999999998</v>
          </cell>
        </row>
        <row r="979">
          <cell r="B979" t="str">
            <v/>
          </cell>
          <cell r="C979">
            <v>0</v>
          </cell>
          <cell r="D979" t="str">
            <v/>
          </cell>
          <cell r="F979" t="str">
            <v/>
          </cell>
          <cell r="H979" t="str">
            <v/>
          </cell>
          <cell r="I979" t="e">
            <v>#N/A</v>
          </cell>
          <cell r="J979" t="e">
            <v>#N/A</v>
          </cell>
          <cell r="K979" t="e">
            <v>#N/A</v>
          </cell>
          <cell r="M979">
            <v>2.2000000000000002</v>
          </cell>
          <cell r="N979">
            <v>2.2000000000000002</v>
          </cell>
          <cell r="O979">
            <v>2</v>
          </cell>
          <cell r="P979">
            <v>2</v>
          </cell>
          <cell r="Q979">
            <v>0</v>
          </cell>
          <cell r="R979">
            <v>0</v>
          </cell>
          <cell r="S979">
            <v>2.2000000000000002</v>
          </cell>
          <cell r="T979">
            <v>0</v>
          </cell>
          <cell r="U979" t="str">
            <v/>
          </cell>
          <cell r="V979" t="str">
            <v>A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 t="e">
            <v>#DIV/0!</v>
          </cell>
          <cell r="AH979" t="e">
            <v>#DIV/0!</v>
          </cell>
          <cell r="AI979" t="e">
            <v>#DIV/0!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 t="e">
            <v>#N/A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0.9</v>
          </cell>
          <cell r="BH979">
            <v>1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 t="e">
            <v>#DIV/0!</v>
          </cell>
          <cell r="BO979">
            <v>38</v>
          </cell>
          <cell r="BP979">
            <v>0</v>
          </cell>
          <cell r="BQ979" t="e">
            <v>#VALUE!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 t="str">
            <v/>
          </cell>
          <cell r="BX979" t="str">
            <v/>
          </cell>
          <cell r="BY979">
            <v>1.5</v>
          </cell>
          <cell r="BZ979">
            <v>1.1429999999999998</v>
          </cell>
        </row>
        <row r="980">
          <cell r="B980" t="str">
            <v/>
          </cell>
          <cell r="C980">
            <v>0</v>
          </cell>
          <cell r="D980" t="str">
            <v/>
          </cell>
          <cell r="F980" t="str">
            <v/>
          </cell>
          <cell r="H980" t="str">
            <v/>
          </cell>
          <cell r="I980" t="e">
            <v>#N/A</v>
          </cell>
          <cell r="J980" t="e">
            <v>#N/A</v>
          </cell>
          <cell r="K980" t="e">
            <v>#N/A</v>
          </cell>
          <cell r="M980">
            <v>2.2000000000000002</v>
          </cell>
          <cell r="N980">
            <v>2.2000000000000002</v>
          </cell>
          <cell r="O980">
            <v>2</v>
          </cell>
          <cell r="P980">
            <v>2</v>
          </cell>
          <cell r="Q980">
            <v>0</v>
          </cell>
          <cell r="R980">
            <v>0</v>
          </cell>
          <cell r="S980">
            <v>2.2000000000000002</v>
          </cell>
          <cell r="T980">
            <v>0</v>
          </cell>
          <cell r="U980" t="str">
            <v/>
          </cell>
          <cell r="V980" t="str">
            <v>A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 t="e">
            <v>#DIV/0!</v>
          </cell>
          <cell r="AH980" t="e">
            <v>#DIV/0!</v>
          </cell>
          <cell r="AI980" t="e">
            <v>#DIV/0!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 t="e">
            <v>#N/A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0.9</v>
          </cell>
          <cell r="BH980">
            <v>1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 t="e">
            <v>#DIV/0!</v>
          </cell>
          <cell r="BO980">
            <v>38</v>
          </cell>
          <cell r="BP980">
            <v>0</v>
          </cell>
          <cell r="BQ980" t="e">
            <v>#VALUE!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 t="str">
            <v/>
          </cell>
          <cell r="BX980" t="str">
            <v/>
          </cell>
          <cell r="BY980">
            <v>1.5</v>
          </cell>
          <cell r="BZ980">
            <v>1.1429999999999998</v>
          </cell>
        </row>
        <row r="981">
          <cell r="B981" t="str">
            <v/>
          </cell>
          <cell r="C981">
            <v>0</v>
          </cell>
          <cell r="D981" t="str">
            <v/>
          </cell>
          <cell r="F981" t="str">
            <v/>
          </cell>
          <cell r="H981" t="str">
            <v/>
          </cell>
          <cell r="I981" t="e">
            <v>#N/A</v>
          </cell>
          <cell r="J981" t="e">
            <v>#N/A</v>
          </cell>
          <cell r="K981" t="e">
            <v>#N/A</v>
          </cell>
          <cell r="M981">
            <v>2.2000000000000002</v>
          </cell>
          <cell r="N981">
            <v>2.2000000000000002</v>
          </cell>
          <cell r="O981">
            <v>2</v>
          </cell>
          <cell r="P981">
            <v>2</v>
          </cell>
          <cell r="Q981">
            <v>0</v>
          </cell>
          <cell r="R981">
            <v>0</v>
          </cell>
          <cell r="S981">
            <v>2.2000000000000002</v>
          </cell>
          <cell r="T981">
            <v>0</v>
          </cell>
          <cell r="U981" t="str">
            <v/>
          </cell>
          <cell r="V981" t="str">
            <v>A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 t="e">
            <v>#DIV/0!</v>
          </cell>
          <cell r="AH981" t="e">
            <v>#DIV/0!</v>
          </cell>
          <cell r="AI981" t="e">
            <v>#DIV/0!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 t="e">
            <v>#N/A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0.9</v>
          </cell>
          <cell r="BH981">
            <v>1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 t="e">
            <v>#DIV/0!</v>
          </cell>
          <cell r="BO981">
            <v>38</v>
          </cell>
          <cell r="BP981">
            <v>0</v>
          </cell>
          <cell r="BQ981" t="e">
            <v>#VALUE!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 t="str">
            <v/>
          </cell>
          <cell r="BX981" t="str">
            <v/>
          </cell>
          <cell r="BY981">
            <v>1.5</v>
          </cell>
          <cell r="BZ981">
            <v>1.1429999999999998</v>
          </cell>
        </row>
        <row r="982">
          <cell r="B982" t="str">
            <v/>
          </cell>
          <cell r="C982">
            <v>0</v>
          </cell>
          <cell r="D982" t="str">
            <v/>
          </cell>
          <cell r="F982" t="str">
            <v/>
          </cell>
          <cell r="H982" t="str">
            <v/>
          </cell>
          <cell r="I982" t="e">
            <v>#N/A</v>
          </cell>
          <cell r="J982" t="e">
            <v>#N/A</v>
          </cell>
          <cell r="K982" t="e">
            <v>#N/A</v>
          </cell>
          <cell r="M982">
            <v>2.2000000000000002</v>
          </cell>
          <cell r="N982">
            <v>2.2000000000000002</v>
          </cell>
          <cell r="O982">
            <v>2</v>
          </cell>
          <cell r="P982">
            <v>2</v>
          </cell>
          <cell r="Q982">
            <v>0</v>
          </cell>
          <cell r="R982">
            <v>0</v>
          </cell>
          <cell r="S982">
            <v>2.2000000000000002</v>
          </cell>
          <cell r="T982">
            <v>0</v>
          </cell>
          <cell r="U982" t="str">
            <v/>
          </cell>
          <cell r="V982" t="str">
            <v>A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 t="e">
            <v>#DIV/0!</v>
          </cell>
          <cell r="AH982" t="e">
            <v>#DIV/0!</v>
          </cell>
          <cell r="AI982" t="e">
            <v>#DIV/0!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 t="e">
            <v>#N/A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0.9</v>
          </cell>
          <cell r="BH982">
            <v>1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 t="e">
            <v>#DIV/0!</v>
          </cell>
          <cell r="BO982">
            <v>38</v>
          </cell>
          <cell r="BP982">
            <v>0</v>
          </cell>
          <cell r="BQ982" t="e">
            <v>#VALUE!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 t="str">
            <v/>
          </cell>
          <cell r="BX982" t="str">
            <v/>
          </cell>
          <cell r="BY982">
            <v>1.5</v>
          </cell>
          <cell r="BZ982">
            <v>1.1429999999999998</v>
          </cell>
        </row>
        <row r="983">
          <cell r="B983" t="str">
            <v/>
          </cell>
          <cell r="C983">
            <v>0</v>
          </cell>
          <cell r="D983" t="str">
            <v/>
          </cell>
          <cell r="F983" t="str">
            <v/>
          </cell>
          <cell r="H983" t="str">
            <v/>
          </cell>
          <cell r="I983" t="e">
            <v>#N/A</v>
          </cell>
          <cell r="J983" t="e">
            <v>#N/A</v>
          </cell>
          <cell r="K983" t="e">
            <v>#N/A</v>
          </cell>
          <cell r="M983">
            <v>2.2000000000000002</v>
          </cell>
          <cell r="N983">
            <v>2.2000000000000002</v>
          </cell>
          <cell r="O983">
            <v>2</v>
          </cell>
          <cell r="P983">
            <v>2</v>
          </cell>
          <cell r="Q983">
            <v>0</v>
          </cell>
          <cell r="R983">
            <v>0</v>
          </cell>
          <cell r="S983">
            <v>2.2000000000000002</v>
          </cell>
          <cell r="T983">
            <v>0</v>
          </cell>
          <cell r="U983" t="str">
            <v/>
          </cell>
          <cell r="V983" t="str">
            <v>A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 t="e">
            <v>#DIV/0!</v>
          </cell>
          <cell r="AH983" t="e">
            <v>#DIV/0!</v>
          </cell>
          <cell r="AI983" t="e">
            <v>#DIV/0!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 t="e">
            <v>#N/A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0.9</v>
          </cell>
          <cell r="BH983">
            <v>1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 t="e">
            <v>#DIV/0!</v>
          </cell>
          <cell r="BO983">
            <v>38</v>
          </cell>
          <cell r="BP983">
            <v>0</v>
          </cell>
          <cell r="BQ983" t="e">
            <v>#VALUE!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 t="str">
            <v/>
          </cell>
          <cell r="BX983" t="str">
            <v/>
          </cell>
          <cell r="BY983">
            <v>1.5</v>
          </cell>
          <cell r="BZ983">
            <v>1.1429999999999998</v>
          </cell>
        </row>
        <row r="984">
          <cell r="B984" t="str">
            <v/>
          </cell>
          <cell r="C984">
            <v>0</v>
          </cell>
          <cell r="D984" t="str">
            <v/>
          </cell>
          <cell r="F984" t="str">
            <v/>
          </cell>
          <cell r="H984" t="str">
            <v/>
          </cell>
          <cell r="I984" t="e">
            <v>#N/A</v>
          </cell>
          <cell r="J984" t="e">
            <v>#N/A</v>
          </cell>
          <cell r="K984" t="e">
            <v>#N/A</v>
          </cell>
          <cell r="M984">
            <v>2.2000000000000002</v>
          </cell>
          <cell r="N984">
            <v>2.2000000000000002</v>
          </cell>
          <cell r="O984">
            <v>2</v>
          </cell>
          <cell r="P984">
            <v>2</v>
          </cell>
          <cell r="Q984">
            <v>0</v>
          </cell>
          <cell r="R984">
            <v>0</v>
          </cell>
          <cell r="S984">
            <v>2.2000000000000002</v>
          </cell>
          <cell r="T984">
            <v>0</v>
          </cell>
          <cell r="U984" t="str">
            <v/>
          </cell>
          <cell r="V984" t="str">
            <v>A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 t="e">
            <v>#DIV/0!</v>
          </cell>
          <cell r="AH984" t="e">
            <v>#DIV/0!</v>
          </cell>
          <cell r="AI984" t="e">
            <v>#DIV/0!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 t="e">
            <v>#N/A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0.9</v>
          </cell>
          <cell r="BH984">
            <v>1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 t="e">
            <v>#DIV/0!</v>
          </cell>
          <cell r="BO984">
            <v>38</v>
          </cell>
          <cell r="BP984">
            <v>0</v>
          </cell>
          <cell r="BQ984" t="e">
            <v>#VALUE!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 t="str">
            <v/>
          </cell>
          <cell r="BX984" t="str">
            <v/>
          </cell>
          <cell r="BY984">
            <v>1.5</v>
          </cell>
          <cell r="BZ984">
            <v>1.1429999999999998</v>
          </cell>
        </row>
        <row r="985">
          <cell r="B985" t="str">
            <v/>
          </cell>
          <cell r="C985">
            <v>0</v>
          </cell>
          <cell r="D985" t="str">
            <v/>
          </cell>
          <cell r="F985" t="str">
            <v/>
          </cell>
          <cell r="H985" t="str">
            <v/>
          </cell>
          <cell r="I985" t="e">
            <v>#N/A</v>
          </cell>
          <cell r="J985" t="e">
            <v>#N/A</v>
          </cell>
          <cell r="K985" t="e">
            <v>#N/A</v>
          </cell>
          <cell r="M985">
            <v>2.2000000000000002</v>
          </cell>
          <cell r="N985">
            <v>2.2000000000000002</v>
          </cell>
          <cell r="O985">
            <v>2</v>
          </cell>
          <cell r="P985">
            <v>2</v>
          </cell>
          <cell r="Q985">
            <v>0</v>
          </cell>
          <cell r="R985">
            <v>0</v>
          </cell>
          <cell r="S985">
            <v>2.2000000000000002</v>
          </cell>
          <cell r="T985">
            <v>0</v>
          </cell>
          <cell r="U985" t="str">
            <v/>
          </cell>
          <cell r="V985" t="str">
            <v>A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 t="e">
            <v>#DIV/0!</v>
          </cell>
          <cell r="AH985" t="e">
            <v>#DIV/0!</v>
          </cell>
          <cell r="AI985" t="e">
            <v>#DIV/0!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 t="e">
            <v>#N/A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0.9</v>
          </cell>
          <cell r="BH985">
            <v>1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 t="e">
            <v>#DIV/0!</v>
          </cell>
          <cell r="BO985">
            <v>38</v>
          </cell>
          <cell r="BP985">
            <v>0</v>
          </cell>
          <cell r="BQ985" t="e">
            <v>#VALUE!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 t="str">
            <v/>
          </cell>
          <cell r="BX985" t="str">
            <v/>
          </cell>
          <cell r="BY985">
            <v>1.5</v>
          </cell>
          <cell r="BZ985">
            <v>1.1429999999999998</v>
          </cell>
        </row>
        <row r="986">
          <cell r="B986" t="str">
            <v/>
          </cell>
          <cell r="C986">
            <v>0</v>
          </cell>
          <cell r="D986" t="str">
            <v/>
          </cell>
          <cell r="F986" t="str">
            <v/>
          </cell>
          <cell r="H986" t="str">
            <v/>
          </cell>
          <cell r="I986" t="e">
            <v>#N/A</v>
          </cell>
          <cell r="J986" t="e">
            <v>#N/A</v>
          </cell>
          <cell r="K986" t="e">
            <v>#N/A</v>
          </cell>
          <cell r="M986">
            <v>2.2000000000000002</v>
          </cell>
          <cell r="N986">
            <v>2.2000000000000002</v>
          </cell>
          <cell r="O986">
            <v>2</v>
          </cell>
          <cell r="P986">
            <v>2</v>
          </cell>
          <cell r="Q986">
            <v>0</v>
          </cell>
          <cell r="R986">
            <v>0</v>
          </cell>
          <cell r="S986">
            <v>2.2000000000000002</v>
          </cell>
          <cell r="T986">
            <v>0</v>
          </cell>
          <cell r="U986" t="str">
            <v/>
          </cell>
          <cell r="V986" t="str">
            <v>A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 t="e">
            <v>#DIV/0!</v>
          </cell>
          <cell r="AH986" t="e">
            <v>#DIV/0!</v>
          </cell>
          <cell r="AI986" t="e">
            <v>#DIV/0!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 t="e">
            <v>#N/A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0.9</v>
          </cell>
          <cell r="BH986">
            <v>1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 t="e">
            <v>#DIV/0!</v>
          </cell>
          <cell r="BO986">
            <v>38</v>
          </cell>
          <cell r="BP986">
            <v>0</v>
          </cell>
          <cell r="BQ986" t="e">
            <v>#VALUE!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 t="str">
            <v/>
          </cell>
          <cell r="BX986" t="str">
            <v/>
          </cell>
          <cell r="BY986">
            <v>1.5</v>
          </cell>
          <cell r="BZ986">
            <v>1.1429999999999998</v>
          </cell>
        </row>
        <row r="987">
          <cell r="B987" t="str">
            <v/>
          </cell>
          <cell r="C987">
            <v>0</v>
          </cell>
          <cell r="D987" t="str">
            <v/>
          </cell>
          <cell r="F987" t="str">
            <v/>
          </cell>
          <cell r="H987" t="str">
            <v/>
          </cell>
          <cell r="I987" t="e">
            <v>#N/A</v>
          </cell>
          <cell r="J987" t="e">
            <v>#N/A</v>
          </cell>
          <cell r="K987" t="e">
            <v>#N/A</v>
          </cell>
          <cell r="M987">
            <v>2.2000000000000002</v>
          </cell>
          <cell r="N987">
            <v>2.2000000000000002</v>
          </cell>
          <cell r="O987">
            <v>2</v>
          </cell>
          <cell r="P987">
            <v>2</v>
          </cell>
          <cell r="Q987">
            <v>0</v>
          </cell>
          <cell r="R987">
            <v>0</v>
          </cell>
          <cell r="S987">
            <v>2.2000000000000002</v>
          </cell>
          <cell r="T987">
            <v>0</v>
          </cell>
          <cell r="U987" t="str">
            <v/>
          </cell>
          <cell r="V987" t="str">
            <v>A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 t="e">
            <v>#DIV/0!</v>
          </cell>
          <cell r="AH987" t="e">
            <v>#DIV/0!</v>
          </cell>
          <cell r="AI987" t="e">
            <v>#DIV/0!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 t="e">
            <v>#N/A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0.9</v>
          </cell>
          <cell r="BH987">
            <v>1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 t="e">
            <v>#DIV/0!</v>
          </cell>
          <cell r="BO987">
            <v>38</v>
          </cell>
          <cell r="BP987">
            <v>0</v>
          </cell>
          <cell r="BQ987" t="e">
            <v>#VALUE!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 t="str">
            <v/>
          </cell>
          <cell r="BX987" t="str">
            <v/>
          </cell>
          <cell r="BY987">
            <v>1.5</v>
          </cell>
          <cell r="BZ987">
            <v>1.1429999999999998</v>
          </cell>
        </row>
        <row r="988">
          <cell r="B988" t="str">
            <v/>
          </cell>
          <cell r="C988">
            <v>0</v>
          </cell>
          <cell r="D988" t="str">
            <v/>
          </cell>
          <cell r="F988" t="str">
            <v/>
          </cell>
          <cell r="H988" t="str">
            <v/>
          </cell>
          <cell r="I988" t="e">
            <v>#N/A</v>
          </cell>
          <cell r="J988" t="e">
            <v>#N/A</v>
          </cell>
          <cell r="K988" t="e">
            <v>#N/A</v>
          </cell>
          <cell r="M988">
            <v>2.2000000000000002</v>
          </cell>
          <cell r="N988">
            <v>2.2000000000000002</v>
          </cell>
          <cell r="O988">
            <v>2</v>
          </cell>
          <cell r="P988">
            <v>2</v>
          </cell>
          <cell r="Q988">
            <v>0</v>
          </cell>
          <cell r="R988">
            <v>0</v>
          </cell>
          <cell r="S988">
            <v>2.2000000000000002</v>
          </cell>
          <cell r="T988">
            <v>0</v>
          </cell>
          <cell r="U988" t="str">
            <v/>
          </cell>
          <cell r="V988" t="str">
            <v>A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 t="e">
            <v>#DIV/0!</v>
          </cell>
          <cell r="AH988" t="e">
            <v>#DIV/0!</v>
          </cell>
          <cell r="AI988" t="e">
            <v>#DIV/0!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 t="e">
            <v>#N/A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0.9</v>
          </cell>
          <cell r="BH988">
            <v>1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 t="e">
            <v>#DIV/0!</v>
          </cell>
          <cell r="BO988">
            <v>38</v>
          </cell>
          <cell r="BP988">
            <v>0</v>
          </cell>
          <cell r="BQ988" t="e">
            <v>#VALUE!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 t="str">
            <v/>
          </cell>
          <cell r="BX988" t="str">
            <v/>
          </cell>
          <cell r="BY988">
            <v>1.5</v>
          </cell>
          <cell r="BZ988">
            <v>1.1429999999999998</v>
          </cell>
        </row>
        <row r="989">
          <cell r="B989" t="str">
            <v/>
          </cell>
          <cell r="C989">
            <v>0</v>
          </cell>
          <cell r="D989" t="str">
            <v/>
          </cell>
          <cell r="F989" t="str">
            <v/>
          </cell>
          <cell r="H989" t="str">
            <v/>
          </cell>
          <cell r="I989" t="e">
            <v>#N/A</v>
          </cell>
          <cell r="J989" t="e">
            <v>#N/A</v>
          </cell>
          <cell r="K989" t="e">
            <v>#N/A</v>
          </cell>
          <cell r="M989">
            <v>2.2000000000000002</v>
          </cell>
          <cell r="N989">
            <v>2.2000000000000002</v>
          </cell>
          <cell r="O989">
            <v>2</v>
          </cell>
          <cell r="P989">
            <v>2</v>
          </cell>
          <cell r="Q989">
            <v>0</v>
          </cell>
          <cell r="R989">
            <v>0</v>
          </cell>
          <cell r="S989">
            <v>2.2000000000000002</v>
          </cell>
          <cell r="T989">
            <v>0</v>
          </cell>
          <cell r="U989" t="str">
            <v/>
          </cell>
          <cell r="V989" t="str">
            <v>A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 t="e">
            <v>#DIV/0!</v>
          </cell>
          <cell r="AH989" t="e">
            <v>#DIV/0!</v>
          </cell>
          <cell r="AI989" t="e">
            <v>#DIV/0!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 t="e">
            <v>#N/A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0.9</v>
          </cell>
          <cell r="BH989">
            <v>1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 t="e">
            <v>#DIV/0!</v>
          </cell>
          <cell r="BO989">
            <v>38</v>
          </cell>
          <cell r="BP989">
            <v>0</v>
          </cell>
          <cell r="BQ989" t="e">
            <v>#VALUE!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 t="str">
            <v/>
          </cell>
          <cell r="BX989" t="str">
            <v/>
          </cell>
          <cell r="BY989">
            <v>1.5</v>
          </cell>
          <cell r="BZ989">
            <v>1.1429999999999998</v>
          </cell>
        </row>
        <row r="990">
          <cell r="B990" t="str">
            <v/>
          </cell>
          <cell r="C990">
            <v>0</v>
          </cell>
          <cell r="D990" t="str">
            <v/>
          </cell>
          <cell r="F990" t="str">
            <v/>
          </cell>
          <cell r="H990" t="str">
            <v/>
          </cell>
          <cell r="I990" t="e">
            <v>#N/A</v>
          </cell>
          <cell r="J990" t="e">
            <v>#N/A</v>
          </cell>
          <cell r="K990" t="e">
            <v>#N/A</v>
          </cell>
          <cell r="M990">
            <v>2.2000000000000002</v>
          </cell>
          <cell r="N990">
            <v>2.2000000000000002</v>
          </cell>
          <cell r="O990">
            <v>2</v>
          </cell>
          <cell r="P990">
            <v>2</v>
          </cell>
          <cell r="Q990">
            <v>0</v>
          </cell>
          <cell r="R990">
            <v>0</v>
          </cell>
          <cell r="S990">
            <v>2.2000000000000002</v>
          </cell>
          <cell r="T990">
            <v>0</v>
          </cell>
          <cell r="U990" t="str">
            <v/>
          </cell>
          <cell r="V990" t="str">
            <v>A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 t="e">
            <v>#DIV/0!</v>
          </cell>
          <cell r="AH990" t="e">
            <v>#DIV/0!</v>
          </cell>
          <cell r="AI990" t="e">
            <v>#DIV/0!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 t="e">
            <v>#N/A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0.9</v>
          </cell>
          <cell r="BH990">
            <v>1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 t="e">
            <v>#DIV/0!</v>
          </cell>
          <cell r="BO990">
            <v>38</v>
          </cell>
          <cell r="BP990">
            <v>0</v>
          </cell>
          <cell r="BQ990" t="e">
            <v>#VALUE!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 t="str">
            <v/>
          </cell>
          <cell r="BX990" t="str">
            <v/>
          </cell>
          <cell r="BY990">
            <v>1.5</v>
          </cell>
          <cell r="BZ990">
            <v>1.1429999999999998</v>
          </cell>
        </row>
        <row r="991">
          <cell r="B991" t="str">
            <v/>
          </cell>
          <cell r="C991">
            <v>0</v>
          </cell>
          <cell r="D991" t="str">
            <v/>
          </cell>
          <cell r="F991" t="str">
            <v/>
          </cell>
          <cell r="H991" t="str">
            <v/>
          </cell>
          <cell r="I991" t="e">
            <v>#N/A</v>
          </cell>
          <cell r="J991" t="e">
            <v>#N/A</v>
          </cell>
          <cell r="K991" t="e">
            <v>#N/A</v>
          </cell>
          <cell r="M991">
            <v>2.2000000000000002</v>
          </cell>
          <cell r="N991">
            <v>2.2000000000000002</v>
          </cell>
          <cell r="O991">
            <v>2</v>
          </cell>
          <cell r="P991">
            <v>2</v>
          </cell>
          <cell r="Q991">
            <v>0</v>
          </cell>
          <cell r="R991">
            <v>0</v>
          </cell>
          <cell r="S991">
            <v>2.2000000000000002</v>
          </cell>
          <cell r="T991">
            <v>0</v>
          </cell>
          <cell r="U991" t="str">
            <v/>
          </cell>
          <cell r="V991" t="str">
            <v>A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 t="e">
            <v>#DIV/0!</v>
          </cell>
          <cell r="AH991" t="e">
            <v>#DIV/0!</v>
          </cell>
          <cell r="AI991" t="e">
            <v>#DIV/0!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 t="e">
            <v>#N/A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0.9</v>
          </cell>
          <cell r="BH991">
            <v>1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 t="e">
            <v>#DIV/0!</v>
          </cell>
          <cell r="BO991">
            <v>38</v>
          </cell>
          <cell r="BP991">
            <v>0</v>
          </cell>
          <cell r="BQ991" t="e">
            <v>#VALUE!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 t="str">
            <v/>
          </cell>
          <cell r="BX991" t="str">
            <v/>
          </cell>
          <cell r="BY991">
            <v>1.5</v>
          </cell>
          <cell r="BZ991">
            <v>1.1429999999999998</v>
          </cell>
        </row>
        <row r="992">
          <cell r="B992" t="str">
            <v/>
          </cell>
          <cell r="C992">
            <v>0</v>
          </cell>
          <cell r="D992" t="str">
            <v/>
          </cell>
          <cell r="F992" t="str">
            <v/>
          </cell>
          <cell r="H992" t="str">
            <v/>
          </cell>
          <cell r="I992" t="e">
            <v>#N/A</v>
          </cell>
          <cell r="J992" t="e">
            <v>#N/A</v>
          </cell>
          <cell r="K992" t="e">
            <v>#N/A</v>
          </cell>
          <cell r="M992">
            <v>2.2000000000000002</v>
          </cell>
          <cell r="N992">
            <v>2.2000000000000002</v>
          </cell>
          <cell r="O992">
            <v>2</v>
          </cell>
          <cell r="P992">
            <v>2</v>
          </cell>
          <cell r="Q992">
            <v>0</v>
          </cell>
          <cell r="R992">
            <v>0</v>
          </cell>
          <cell r="S992">
            <v>2.2000000000000002</v>
          </cell>
          <cell r="T992">
            <v>0</v>
          </cell>
          <cell r="U992" t="str">
            <v/>
          </cell>
          <cell r="V992" t="str">
            <v>A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 t="e">
            <v>#DIV/0!</v>
          </cell>
          <cell r="AH992" t="e">
            <v>#DIV/0!</v>
          </cell>
          <cell r="AI992" t="e">
            <v>#DIV/0!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 t="e">
            <v>#N/A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0.9</v>
          </cell>
          <cell r="BH992">
            <v>1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 t="e">
            <v>#DIV/0!</v>
          </cell>
          <cell r="BO992">
            <v>38</v>
          </cell>
          <cell r="BP992">
            <v>0</v>
          </cell>
          <cell r="BQ992" t="e">
            <v>#VALUE!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 t="str">
            <v/>
          </cell>
          <cell r="BX992" t="str">
            <v/>
          </cell>
          <cell r="BY992">
            <v>1.5</v>
          </cell>
          <cell r="BZ992">
            <v>1.1429999999999998</v>
          </cell>
        </row>
        <row r="993">
          <cell r="B993" t="str">
            <v/>
          </cell>
          <cell r="C993">
            <v>0</v>
          </cell>
          <cell r="D993" t="str">
            <v/>
          </cell>
          <cell r="F993" t="str">
            <v/>
          </cell>
          <cell r="H993" t="str">
            <v/>
          </cell>
          <cell r="I993" t="e">
            <v>#N/A</v>
          </cell>
          <cell r="J993" t="e">
            <v>#N/A</v>
          </cell>
          <cell r="K993" t="e">
            <v>#N/A</v>
          </cell>
          <cell r="M993">
            <v>2.2000000000000002</v>
          </cell>
          <cell r="N993">
            <v>2.2000000000000002</v>
          </cell>
          <cell r="O993">
            <v>2</v>
          </cell>
          <cell r="P993">
            <v>2</v>
          </cell>
          <cell r="Q993">
            <v>0</v>
          </cell>
          <cell r="R993">
            <v>0</v>
          </cell>
          <cell r="S993">
            <v>2.2000000000000002</v>
          </cell>
          <cell r="T993">
            <v>0</v>
          </cell>
          <cell r="U993" t="str">
            <v/>
          </cell>
          <cell r="V993" t="str">
            <v>A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 t="e">
            <v>#DIV/0!</v>
          </cell>
          <cell r="AH993" t="e">
            <v>#DIV/0!</v>
          </cell>
          <cell r="AI993" t="e">
            <v>#DIV/0!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 t="e">
            <v>#N/A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0.9</v>
          </cell>
          <cell r="BH993">
            <v>1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 t="e">
            <v>#DIV/0!</v>
          </cell>
          <cell r="BO993">
            <v>38</v>
          </cell>
          <cell r="BP993">
            <v>0</v>
          </cell>
          <cell r="BQ993" t="e">
            <v>#VALUE!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 t="str">
            <v/>
          </cell>
          <cell r="BX993" t="str">
            <v/>
          </cell>
          <cell r="BY993">
            <v>1.5</v>
          </cell>
          <cell r="BZ993">
            <v>1.1429999999999998</v>
          </cell>
        </row>
        <row r="994">
          <cell r="B994" t="str">
            <v/>
          </cell>
          <cell r="C994">
            <v>0</v>
          </cell>
          <cell r="D994" t="str">
            <v/>
          </cell>
          <cell r="F994" t="str">
            <v/>
          </cell>
          <cell r="H994" t="str">
            <v/>
          </cell>
          <cell r="I994" t="e">
            <v>#N/A</v>
          </cell>
          <cell r="J994" t="e">
            <v>#N/A</v>
          </cell>
          <cell r="K994" t="e">
            <v>#N/A</v>
          </cell>
          <cell r="M994">
            <v>2.2000000000000002</v>
          </cell>
          <cell r="N994">
            <v>2.2000000000000002</v>
          </cell>
          <cell r="O994">
            <v>2</v>
          </cell>
          <cell r="P994">
            <v>2</v>
          </cell>
          <cell r="Q994">
            <v>0</v>
          </cell>
          <cell r="R994">
            <v>0</v>
          </cell>
          <cell r="S994">
            <v>2.2000000000000002</v>
          </cell>
          <cell r="T994">
            <v>0</v>
          </cell>
          <cell r="U994" t="str">
            <v/>
          </cell>
          <cell r="V994" t="str">
            <v>A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 t="e">
            <v>#DIV/0!</v>
          </cell>
          <cell r="AH994" t="e">
            <v>#DIV/0!</v>
          </cell>
          <cell r="AI994" t="e">
            <v>#DIV/0!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 t="e">
            <v>#N/A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0.9</v>
          </cell>
          <cell r="BH994">
            <v>1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 t="e">
            <v>#DIV/0!</v>
          </cell>
          <cell r="BO994">
            <v>38</v>
          </cell>
          <cell r="BP994">
            <v>0</v>
          </cell>
          <cell r="BQ994" t="e">
            <v>#VALUE!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 t="str">
            <v/>
          </cell>
          <cell r="BX994" t="str">
            <v/>
          </cell>
          <cell r="BY994">
            <v>1.5</v>
          </cell>
          <cell r="BZ994">
            <v>1.1429999999999998</v>
          </cell>
        </row>
        <row r="995">
          <cell r="A995" t="str">
            <v>Nayef Aguerd</v>
          </cell>
          <cell r="B995" t="str">
            <v/>
          </cell>
          <cell r="C995">
            <v>0</v>
          </cell>
          <cell r="D995" t="str">
            <v/>
          </cell>
          <cell r="F995" t="str">
            <v/>
          </cell>
          <cell r="H995" t="str">
            <v/>
          </cell>
          <cell r="I995" t="e">
            <v>#N/A</v>
          </cell>
          <cell r="J995" t="e">
            <v>#N/A</v>
          </cell>
          <cell r="K995" t="e">
            <v>#N/A</v>
          </cell>
          <cell r="M995">
            <v>2.2000000000000002</v>
          </cell>
          <cell r="N995">
            <v>2.2000000000000002</v>
          </cell>
          <cell r="O995">
            <v>2</v>
          </cell>
          <cell r="P995">
            <v>2</v>
          </cell>
          <cell r="Q995">
            <v>0</v>
          </cell>
          <cell r="R995">
            <v>0</v>
          </cell>
          <cell r="S995">
            <v>2.2000000000000002</v>
          </cell>
          <cell r="T995">
            <v>0</v>
          </cell>
          <cell r="U995" t="str">
            <v/>
          </cell>
          <cell r="V995" t="str">
            <v>A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 t="e">
            <v>#DIV/0!</v>
          </cell>
          <cell r="AH995" t="e">
            <v>#DIV/0!</v>
          </cell>
          <cell r="AI995" t="e">
            <v>#DIV/0!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 t="e">
            <v>#N/A</v>
          </cell>
          <cell r="BC995">
            <v>2</v>
          </cell>
          <cell r="BD995">
            <v>2</v>
          </cell>
          <cell r="BE995">
            <v>1</v>
          </cell>
          <cell r="BF995">
            <v>90</v>
          </cell>
          <cell r="BG995">
            <v>1</v>
          </cell>
          <cell r="BH995">
            <v>1</v>
          </cell>
          <cell r="BI995">
            <v>0</v>
          </cell>
          <cell r="BJ995">
            <v>0</v>
          </cell>
          <cell r="BK995">
            <v>0</v>
          </cell>
          <cell r="BL995">
            <v>1</v>
          </cell>
          <cell r="BM995">
            <v>0</v>
          </cell>
          <cell r="BN995">
            <v>1</v>
          </cell>
          <cell r="BO995">
            <v>38</v>
          </cell>
          <cell r="BP995">
            <v>0</v>
          </cell>
          <cell r="BQ995" t="e">
            <v>#VALUE!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 t="str">
            <v/>
          </cell>
          <cell r="BX995" t="str">
            <v/>
          </cell>
          <cell r="BY995">
            <v>1.5</v>
          </cell>
          <cell r="BZ995">
            <v>1.1429999999999998</v>
          </cell>
        </row>
        <row r="996">
          <cell r="A996" t="str">
            <v>Emil Krafth</v>
          </cell>
          <cell r="B996" t="str">
            <v/>
          </cell>
          <cell r="C996">
            <v>0</v>
          </cell>
          <cell r="D996" t="str">
            <v/>
          </cell>
          <cell r="F996" t="str">
            <v/>
          </cell>
          <cell r="H996" t="str">
            <v/>
          </cell>
          <cell r="I996">
            <v>1</v>
          </cell>
          <cell r="J996">
            <v>1.4333333333333333</v>
          </cell>
          <cell r="K996">
            <v>1.9</v>
          </cell>
          <cell r="M996">
            <v>2.2000000000000002</v>
          </cell>
          <cell r="N996">
            <v>2.2000000000000002</v>
          </cell>
          <cell r="O996">
            <v>2</v>
          </cell>
          <cell r="P996">
            <v>2</v>
          </cell>
          <cell r="Q996">
            <v>0</v>
          </cell>
          <cell r="R996">
            <v>0</v>
          </cell>
          <cell r="S996">
            <v>2.2000000000000002</v>
          </cell>
          <cell r="T996">
            <v>0</v>
          </cell>
          <cell r="U996" t="str">
            <v/>
          </cell>
          <cell r="V996" t="str">
            <v>A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 t="e">
            <v>#DIV/0!</v>
          </cell>
          <cell r="AH996" t="e">
            <v>#DIV/0!</v>
          </cell>
          <cell r="AI996" t="e">
            <v>#DIV/0!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 t="e">
            <v>#N/A</v>
          </cell>
          <cell r="BC996">
            <v>1</v>
          </cell>
          <cell r="BD996">
            <v>0</v>
          </cell>
          <cell r="BE996">
            <v>0</v>
          </cell>
          <cell r="BF996">
            <v>45</v>
          </cell>
          <cell r="BG996">
            <v>0.5</v>
          </cell>
          <cell r="BH996">
            <v>1</v>
          </cell>
          <cell r="BI996">
            <v>0</v>
          </cell>
          <cell r="BJ996">
            <v>0</v>
          </cell>
          <cell r="BK996">
            <v>9</v>
          </cell>
          <cell r="BL996">
            <v>0.1</v>
          </cell>
          <cell r="BM996">
            <v>0</v>
          </cell>
          <cell r="BN996">
            <v>0.1</v>
          </cell>
          <cell r="BO996">
            <v>38</v>
          </cell>
          <cell r="BP996">
            <v>0</v>
          </cell>
          <cell r="BQ996" t="e">
            <v>#VALUE!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 t="str">
            <v/>
          </cell>
          <cell r="BX996" t="str">
            <v/>
          </cell>
          <cell r="BY996">
            <v>1.5</v>
          </cell>
          <cell r="BZ996">
            <v>1.1429999999999998</v>
          </cell>
        </row>
        <row r="997">
          <cell r="A997" t="str">
            <v>Sam Byram</v>
          </cell>
          <cell r="B997" t="str">
            <v/>
          </cell>
          <cell r="C997">
            <v>0</v>
          </cell>
          <cell r="D997" t="str">
            <v/>
          </cell>
          <cell r="F997" t="str">
            <v/>
          </cell>
          <cell r="H997" t="str">
            <v/>
          </cell>
          <cell r="I997" t="e">
            <v>#N/A</v>
          </cell>
          <cell r="J997" t="e">
            <v>#N/A</v>
          </cell>
          <cell r="K997" t="e">
            <v>#N/A</v>
          </cell>
          <cell r="M997">
            <v>2.2000000000000002</v>
          </cell>
          <cell r="N997">
            <v>2.2000000000000002</v>
          </cell>
          <cell r="O997">
            <v>2</v>
          </cell>
          <cell r="P997">
            <v>2</v>
          </cell>
          <cell r="Q997">
            <v>0</v>
          </cell>
          <cell r="R997">
            <v>0</v>
          </cell>
          <cell r="S997">
            <v>2.2000000000000002</v>
          </cell>
          <cell r="T997">
            <v>0</v>
          </cell>
          <cell r="U997" t="str">
            <v>LB</v>
          </cell>
          <cell r="V997" t="str">
            <v>A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 t="e">
            <v>#DIV/0!</v>
          </cell>
          <cell r="AH997" t="e">
            <v>#DIV/0!</v>
          </cell>
          <cell r="AI997" t="e">
            <v>#DIV/0!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e">
            <v>#N/A</v>
          </cell>
          <cell r="BB997" t="e">
            <v>#N/A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0.9</v>
          </cell>
          <cell r="BH997">
            <v>1</v>
          </cell>
          <cell r="BI997">
            <v>2</v>
          </cell>
          <cell r="BJ997">
            <v>5</v>
          </cell>
          <cell r="BK997">
            <v>16</v>
          </cell>
          <cell r="BL997">
            <v>0</v>
          </cell>
          <cell r="BM997">
            <v>0.11111111111111116</v>
          </cell>
          <cell r="BN997" t="e">
            <v>#DIV/0!</v>
          </cell>
          <cell r="BO997">
            <v>38</v>
          </cell>
          <cell r="BP997">
            <v>0</v>
          </cell>
          <cell r="BQ997" t="e">
            <v>#VALUE!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 t="str">
            <v/>
          </cell>
          <cell r="BX997" t="str">
            <v/>
          </cell>
          <cell r="BY997">
            <v>1.5</v>
          </cell>
          <cell r="BZ997">
            <v>1.1429999999999998</v>
          </cell>
        </row>
        <row r="998">
          <cell r="A998" t="str">
            <v>Darko Gyabi</v>
          </cell>
          <cell r="B998" t="str">
            <v/>
          </cell>
          <cell r="C998" t="str">
            <v>Gyabi</v>
          </cell>
          <cell r="D998" t="str">
            <v/>
          </cell>
          <cell r="F998" t="str">
            <v/>
          </cell>
          <cell r="H998" t="str">
            <v/>
          </cell>
          <cell r="I998" t="e">
            <v>#N/A</v>
          </cell>
          <cell r="J998" t="e">
            <v>#N/A</v>
          </cell>
          <cell r="K998" t="e">
            <v>#N/A</v>
          </cell>
          <cell r="M998">
            <v>2.1911862824519064</v>
          </cell>
          <cell r="N998">
            <v>0</v>
          </cell>
          <cell r="O998">
            <v>2</v>
          </cell>
          <cell r="P998">
            <v>2.0620787225712078</v>
          </cell>
          <cell r="Q998">
            <v>0</v>
          </cell>
          <cell r="R998">
            <v>0</v>
          </cell>
          <cell r="S998">
            <v>2.1911862824519064</v>
          </cell>
          <cell r="T998" t="str">
            <v>MID</v>
          </cell>
          <cell r="U998" t="str">
            <v>CM</v>
          </cell>
          <cell r="V998" t="str">
            <v>HUL</v>
          </cell>
          <cell r="W998" t="str">
            <v>Hull City</v>
          </cell>
          <cell r="X998">
            <v>4.5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 t="e">
            <v>#DIV/0!</v>
          </cell>
          <cell r="AH998" t="e">
            <v>#DIV/0!</v>
          </cell>
          <cell r="AI998" t="e">
            <v>#DIV/0!</v>
          </cell>
          <cell r="AJ998">
            <v>2.9999999999998916E-3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297</v>
          </cell>
          <cell r="AP998" t="str">
            <v>Gyabi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e">
            <v>#N/A</v>
          </cell>
          <cell r="BB998" t="str">
            <v/>
          </cell>
          <cell r="BC998">
            <v>0</v>
          </cell>
          <cell r="BD998">
            <v>0</v>
          </cell>
          <cell r="BE998">
            <v>0</v>
          </cell>
          <cell r="BF998">
            <v>73</v>
          </cell>
          <cell r="BG998">
            <v>0.9</v>
          </cell>
          <cell r="BH998">
            <v>1</v>
          </cell>
          <cell r="BI998">
            <v>14</v>
          </cell>
          <cell r="BJ998">
            <v>19</v>
          </cell>
          <cell r="BK998">
            <v>0</v>
          </cell>
          <cell r="BL998">
            <v>0</v>
          </cell>
          <cell r="BM998">
            <v>1</v>
          </cell>
          <cell r="BN998">
            <v>0.26027397260273971</v>
          </cell>
          <cell r="BO998">
            <v>38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38</v>
          </cell>
          <cell r="BY998">
            <v>2.3684210526315788</v>
          </cell>
          <cell r="BZ998">
            <v>0.27457894736842103</v>
          </cell>
        </row>
        <row r="999">
          <cell r="A999" t="str">
            <v>Borna Sosa</v>
          </cell>
          <cell r="B999" t="str">
            <v/>
          </cell>
          <cell r="C999" t="str">
            <v>Sosa</v>
          </cell>
          <cell r="D999" t="str">
            <v/>
          </cell>
          <cell r="F999" t="str">
            <v/>
          </cell>
          <cell r="H999" t="str">
            <v/>
          </cell>
          <cell r="I999">
            <v>1.3</v>
          </cell>
          <cell r="J999">
            <v>1.3</v>
          </cell>
          <cell r="K999">
            <v>1.3</v>
          </cell>
          <cell r="M999">
            <v>2.1214976909385723</v>
          </cell>
          <cell r="N999">
            <v>4.9090909090909101</v>
          </cell>
          <cell r="O999">
            <v>1.2636363636363637</v>
          </cell>
          <cell r="P999">
            <v>2.0494324705303271</v>
          </cell>
          <cell r="Q999">
            <v>4.9090909090909101</v>
          </cell>
          <cell r="R999">
            <v>0</v>
          </cell>
          <cell r="S999">
            <v>2.1214976909385723</v>
          </cell>
          <cell r="T999" t="str">
            <v>DEF</v>
          </cell>
          <cell r="U999" t="str">
            <v>LB</v>
          </cell>
          <cell r="V999" t="str">
            <v>CRY</v>
          </cell>
          <cell r="W999" t="str">
            <v>Crystal Palace</v>
          </cell>
          <cell r="X999">
            <v>4.5</v>
          </cell>
          <cell r="Y999">
            <v>6</v>
          </cell>
          <cell r="Z999">
            <v>0</v>
          </cell>
          <cell r="AA999">
            <v>6</v>
          </cell>
          <cell r="AB999">
            <v>99</v>
          </cell>
          <cell r="AC999">
            <v>99</v>
          </cell>
          <cell r="AD999">
            <v>0.19047619047619047</v>
          </cell>
          <cell r="AE999">
            <v>0</v>
          </cell>
          <cell r="AF999">
            <v>0</v>
          </cell>
          <cell r="AG999">
            <v>-3.6363636363636362E-2</v>
          </cell>
          <cell r="AH999">
            <v>-6.3636363636363644E-2</v>
          </cell>
          <cell r="AI999">
            <v>-0.1</v>
          </cell>
          <cell r="AJ999">
            <v>9.9999999999988987E-4</v>
          </cell>
          <cell r="AK999">
            <v>0</v>
          </cell>
          <cell r="AL999">
            <v>9</v>
          </cell>
          <cell r="AM999">
            <v>1</v>
          </cell>
          <cell r="AN999">
            <v>0</v>
          </cell>
          <cell r="AO999">
            <v>205</v>
          </cell>
          <cell r="AP999" t="str">
            <v>Sosa</v>
          </cell>
          <cell r="AQ999">
            <v>4.9090909090909101</v>
          </cell>
          <cell r="AR999">
            <v>0</v>
          </cell>
          <cell r="AS999">
            <v>2.454545454545455</v>
          </cell>
          <cell r="AT999">
            <v>7.3636363636363633</v>
          </cell>
          <cell r="AU999">
            <v>2.454545454545455</v>
          </cell>
          <cell r="AV999">
            <v>7.3636363636363633</v>
          </cell>
          <cell r="AW999">
            <v>7.3636363636363633</v>
          </cell>
          <cell r="AX999">
            <v>0.21399999999999997</v>
          </cell>
          <cell r="AY999">
            <v>0</v>
          </cell>
          <cell r="AZ999">
            <v>0.9</v>
          </cell>
          <cell r="BA999" t="e">
            <v>#N/A</v>
          </cell>
          <cell r="BB999" t="str">
            <v/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0.9</v>
          </cell>
          <cell r="BH999">
            <v>1</v>
          </cell>
          <cell r="BI999">
            <v>7</v>
          </cell>
          <cell r="BJ999">
            <v>14</v>
          </cell>
          <cell r="BK999">
            <v>23</v>
          </cell>
          <cell r="BL999">
            <v>0</v>
          </cell>
          <cell r="BM999">
            <v>0.23333333333333328</v>
          </cell>
          <cell r="BN999" t="e">
            <v>#DIV/0!</v>
          </cell>
          <cell r="BO999">
            <v>38</v>
          </cell>
          <cell r="BP999">
            <v>0</v>
          </cell>
          <cell r="BQ999">
            <v>2.8947368421052631E-2</v>
          </cell>
          <cell r="BR999">
            <v>0.04</v>
          </cell>
          <cell r="BS999">
            <v>3.6363636363636362E-2</v>
          </cell>
          <cell r="BT999">
            <v>7.0000000000000007E-2</v>
          </cell>
          <cell r="BU999">
            <v>6.3636363636363644E-2</v>
          </cell>
          <cell r="BV999">
            <v>0.1</v>
          </cell>
          <cell r="BW999">
            <v>0</v>
          </cell>
          <cell r="BX999">
            <v>38</v>
          </cell>
          <cell r="BY999">
            <v>1.631578947368421</v>
          </cell>
          <cell r="BZ999">
            <v>1.0114210526315788</v>
          </cell>
        </row>
        <row r="1000">
          <cell r="A1000" t="str">
            <v>Diego Coppola</v>
          </cell>
          <cell r="B1000" t="str">
            <v/>
          </cell>
          <cell r="C1000" t="str">
            <v>Coppola</v>
          </cell>
          <cell r="D1000" t="str">
            <v/>
          </cell>
          <cell r="F1000" t="str">
            <v/>
          </cell>
          <cell r="H1000" t="str">
            <v/>
          </cell>
          <cell r="I1000" t="e">
            <v>#N/A</v>
          </cell>
          <cell r="J1000" t="e">
            <v>#N/A</v>
          </cell>
          <cell r="K1000" t="e">
            <v>#N/A</v>
          </cell>
          <cell r="M1000">
            <v>1.9102342916459025</v>
          </cell>
          <cell r="N1000">
            <v>3.6476683937823831</v>
          </cell>
          <cell r="O1000">
            <v>1.2373056994818652</v>
          </cell>
          <cell r="P1000">
            <v>1.9102342916459025</v>
          </cell>
          <cell r="Q1000">
            <v>4.5595854922279786</v>
          </cell>
          <cell r="R1000">
            <v>0</v>
          </cell>
          <cell r="S1000">
            <v>1.9102342916459025</v>
          </cell>
          <cell r="T1000" t="str">
            <v>DEF</v>
          </cell>
          <cell r="U1000" t="str">
            <v/>
          </cell>
          <cell r="V1000" t="str">
            <v>BHA</v>
          </cell>
          <cell r="W1000" t="str">
            <v>Brighton</v>
          </cell>
          <cell r="X1000">
            <v>4.5</v>
          </cell>
          <cell r="Y1000">
            <v>10</v>
          </cell>
          <cell r="Z1000">
            <v>0</v>
          </cell>
          <cell r="AA1000">
            <v>10</v>
          </cell>
          <cell r="AB1000">
            <v>193</v>
          </cell>
          <cell r="AC1000">
            <v>193</v>
          </cell>
          <cell r="AD1000">
            <v>0.44444444444444442</v>
          </cell>
          <cell r="AE1000">
            <v>0</v>
          </cell>
          <cell r="AF1000">
            <v>0</v>
          </cell>
          <cell r="AG1000">
            <v>0</v>
          </cell>
          <cell r="AH1000">
            <v>-4.6632124352331611E-3</v>
          </cell>
          <cell r="AI1000">
            <v>-4.6632124352331611E-3</v>
          </cell>
          <cell r="AJ1000">
            <v>9.9999999999988987E-4</v>
          </cell>
          <cell r="AK1000">
            <v>0</v>
          </cell>
          <cell r="AL1000">
            <v>32</v>
          </cell>
          <cell r="AM1000">
            <v>2</v>
          </cell>
          <cell r="AN1000">
            <v>0</v>
          </cell>
          <cell r="AO1000">
            <v>117</v>
          </cell>
          <cell r="AP1000" t="str">
            <v>Coppola</v>
          </cell>
          <cell r="AQ1000">
            <v>7.2953367875647661</v>
          </cell>
          <cell r="AR1000">
            <v>0</v>
          </cell>
          <cell r="AS1000">
            <v>2.7357512953367875</v>
          </cell>
          <cell r="AT1000">
            <v>8.2072538860103617</v>
          </cell>
          <cell r="AU1000">
            <v>0.91191709844559576</v>
          </cell>
          <cell r="AV1000">
            <v>8.2072538860103617</v>
          </cell>
          <cell r="AW1000">
            <v>8.2072538860103617</v>
          </cell>
          <cell r="AX1000">
            <v>0.31607772020725378</v>
          </cell>
          <cell r="AY1000">
            <v>0</v>
          </cell>
          <cell r="AZ1000">
            <v>2</v>
          </cell>
          <cell r="BA1000" t="e">
            <v>#N/A</v>
          </cell>
          <cell r="BB1000" t="str">
            <v/>
          </cell>
          <cell r="BC1000">
            <v>2</v>
          </cell>
          <cell r="BD1000">
            <v>1</v>
          </cell>
          <cell r="BE1000">
            <v>0.5</v>
          </cell>
          <cell r="BF1000">
            <v>88</v>
          </cell>
          <cell r="BG1000">
            <v>0.97777777777777775</v>
          </cell>
          <cell r="BH1000">
            <v>1</v>
          </cell>
          <cell r="BI1000">
            <v>3</v>
          </cell>
          <cell r="BJ1000">
            <v>6</v>
          </cell>
          <cell r="BK1000">
            <v>17</v>
          </cell>
          <cell r="BL1000">
            <v>9.0909090909090912E-2</v>
          </cell>
          <cell r="BM1000">
            <v>0.13636363636363635</v>
          </cell>
          <cell r="BN1000">
            <v>0.15289256198347106</v>
          </cell>
          <cell r="BO1000">
            <v>38</v>
          </cell>
          <cell r="BP1000">
            <v>0</v>
          </cell>
          <cell r="BQ1000">
            <v>5.6432748538011696E-2</v>
          </cell>
          <cell r="BR1000">
            <v>0</v>
          </cell>
          <cell r="BS1000">
            <v>0</v>
          </cell>
          <cell r="BT1000">
            <v>0.01</v>
          </cell>
          <cell r="BU1000">
            <v>4.6632124352331611E-3</v>
          </cell>
          <cell r="BV1000">
            <v>4.6632124352331611E-3</v>
          </cell>
          <cell r="BW1000">
            <v>0</v>
          </cell>
          <cell r="BX1000">
            <v>38</v>
          </cell>
          <cell r="BY1000">
            <v>1.4144736842105263</v>
          </cell>
          <cell r="BZ1000">
            <v>1.2285263157894735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C2EB-5EE5-4466-8475-C029E3CDA551}">
  <dimension ref="A1:W1000"/>
  <sheetViews>
    <sheetView tabSelected="1" workbookViewId="0">
      <pane ySplit="1" topLeftCell="A30" activePane="bottomLeft" state="frozen"/>
      <selection pane="bottomLeft" activeCell="G39" sqref="G39"/>
    </sheetView>
  </sheetViews>
  <sheetFormatPr defaultRowHeight="15" x14ac:dyDescent="0.25"/>
  <cols>
    <col min="1" max="1" width="31.25" style="14" customWidth="1"/>
    <col min="2" max="2" width="3.875" style="20" bestFit="1" customWidth="1"/>
    <col min="3" max="4" width="5.75" style="3" customWidth="1"/>
    <col min="5" max="6" width="9.75" style="3" customWidth="1"/>
    <col min="7" max="7" width="8.375" style="5" customWidth="1"/>
    <col min="8" max="8" width="8" style="12" customWidth="1"/>
    <col min="9" max="9" width="7.875" customWidth="1"/>
    <col min="10" max="10" width="8" style="12" customWidth="1"/>
    <col min="11" max="11" width="6.875" style="9" bestFit="1" customWidth="1"/>
    <col min="12" max="12" width="5.875" style="3" customWidth="1"/>
    <col min="13" max="13" width="6.25" customWidth="1"/>
    <col min="14" max="14" width="6.125" style="3" customWidth="1"/>
    <col min="15" max="15" width="6.25" customWidth="1"/>
    <col min="16" max="16" width="3.875" style="10" bestFit="1" customWidth="1"/>
    <col min="17" max="17" width="3.875" style="10" customWidth="1"/>
  </cols>
  <sheetData>
    <row r="1" spans="1:23" s="1" customFormat="1" ht="75" customHeight="1" thickBot="1" x14ac:dyDescent="0.3">
      <c r="A1" s="13" t="str">
        <f>[1]FINAL!$A1</f>
        <v>Player Name</v>
      </c>
      <c r="B1" s="20" t="s">
        <v>9</v>
      </c>
      <c r="C1" s="2" t="s">
        <v>12</v>
      </c>
      <c r="D1" s="2" t="s">
        <v>13</v>
      </c>
      <c r="E1" s="2" t="s">
        <v>7</v>
      </c>
      <c r="F1" s="2" t="s">
        <v>14</v>
      </c>
      <c r="G1" s="4" t="s">
        <v>0</v>
      </c>
      <c r="H1" s="11" t="s">
        <v>8</v>
      </c>
      <c r="I1" s="4" t="s">
        <v>1</v>
      </c>
      <c r="J1" s="11" t="s">
        <v>2</v>
      </c>
      <c r="K1" s="8" t="s">
        <v>10</v>
      </c>
      <c r="L1" s="2" t="s">
        <v>3</v>
      </c>
      <c r="M1" s="2" t="s">
        <v>4</v>
      </c>
      <c r="N1" s="2" t="s">
        <v>5</v>
      </c>
      <c r="O1" s="2" t="s">
        <v>6</v>
      </c>
      <c r="P1" s="10" t="s">
        <v>11</v>
      </c>
      <c r="Q1" s="19" t="s">
        <v>18</v>
      </c>
      <c r="S1" s="2" t="s">
        <v>15</v>
      </c>
      <c r="T1" s="17" t="s">
        <v>16</v>
      </c>
      <c r="U1" s="15">
        <v>0</v>
      </c>
      <c r="V1" s="17" t="s">
        <v>17</v>
      </c>
      <c r="W1" s="16">
        <f>1-U1</f>
        <v>1</v>
      </c>
    </row>
    <row r="2" spans="1:23" x14ac:dyDescent="0.25">
      <c r="A2" s="14" t="str">
        <f>[1]FINAL!$A3</f>
        <v>Fábio Freitas Gouveia Carvalho</v>
      </c>
      <c r="B2" s="20" t="str">
        <f>IFERROR(VLOOKUP($A2,[1]FINAL!$A$1:$Z$1000,MATCH([1]FINAL!$T$1,[1]FINAL!$A$1:$Z$1,0),0),"")</f>
        <v>MID</v>
      </c>
      <c r="C2" s="3" t="str">
        <f>IFERROR(VLOOKUP($A2,[1]FINAL!$A$1:$Z$1000,MATCH([1]FINAL!$U$1,[1]FINAL!$A$1:$Z$1,0),0),"")</f>
        <v>AM</v>
      </c>
      <c r="D2" s="3" t="str">
        <f>IFERROR(VLOOKUP($A2,[1]FINAL!$A$1:$Z$1000,MATCH([1]FINAL!$V$1,[1]FINAL!$A$1:$Z$1,0),0),"")</f>
        <v>BRE</v>
      </c>
      <c r="E2" s="6">
        <f t="shared" ref="E2:E65" si="0">IF($Q$1="ON",((G2*100000)+(I2*100000)+(M2*10000)+(O2*10000)+(K2*10))*Q2,((G2*100000)+(I2*100000)+(M2*10000)+(O2*10000)+(K2*10)))</f>
        <v>3</v>
      </c>
      <c r="F2" s="5">
        <f t="shared" ref="F2:F65" si="1">IFERROR(IF($Q$1="ON",((G2*$W$1)+(I2*$U$1))*Q2,((G2*$W$1)+(I2*$U$1))),0)</f>
        <v>1.0000000000000001E-5</v>
      </c>
      <c r="G2" s="5">
        <f>IFERROR(IF(H2&lt;&gt;"",H2,VLOOKUP($A2,[1]FINAL!$A$1:$BZ$1000,MATCH([1]FINAL!$BL$1,[1]FINAL!$A$1:$BZ$1,0),0)),0)</f>
        <v>0.1</v>
      </c>
      <c r="I2" s="5">
        <f>IFERROR(IF(J2&lt;&gt;"",J2,(IF(VLOOKUP($A2,#REF!,MATCH(#REF!,#REF!,0),0)=0,G2,VLOOKUP($A2,#REF!,MATCH(#REF!,#REF!,0),0)))),G2)</f>
        <v>0.1</v>
      </c>
      <c r="K2" s="6">
        <f>IFERROR(VLOOKUP($A2,#REF!,MATCH(#REF!,#REF!,0),0),0)</f>
        <v>0</v>
      </c>
      <c r="L2" s="6">
        <f>IFERROR(VLOOKUP($A2,[1]FINAL!$A$1:$BZ$1000,MATCH([1]FINAL!$BF$1,[1]FINAL!$A$1:$BZ$1,0),0),0)</f>
        <v>90</v>
      </c>
      <c r="M2" s="7">
        <f t="shared" ref="M2:M65" si="2">L2/90</f>
        <v>1</v>
      </c>
      <c r="N2" s="6">
        <f>IFERROR(VLOOKUP($A2,#REF!,MATCH(#REF!,#REF!,0),0),0)</f>
        <v>0</v>
      </c>
      <c r="O2" s="7">
        <f t="shared" ref="O2:O65" si="3">N2/90</f>
        <v>0</v>
      </c>
      <c r="P2" s="10">
        <f>IFERROR(VLOOKUP($A2,[1]FINAL!$A$1:$BZ$1000,MATCH([1]FINAL!$BB$1,[1]FINAL!$A$1:$BZ$1,0),0),"")</f>
        <v>0</v>
      </c>
      <c r="Q2" s="18">
        <f t="shared" ref="Q2:Q65" si="4">IF(P2="",1,IF(P2=0,0.0001,P2/100))</f>
        <v>1E-4</v>
      </c>
      <c r="S2" s="3"/>
      <c r="T2" s="3"/>
      <c r="U2" s="3"/>
      <c r="V2" s="3"/>
      <c r="W2" s="3"/>
    </row>
    <row r="3" spans="1:23" x14ac:dyDescent="0.25">
      <c r="A3" s="14" t="str">
        <f>[1]FINAL!$A4</f>
        <v>Erling Haaland</v>
      </c>
      <c r="B3" s="20" t="str">
        <f>IFERROR(VLOOKUP($A3,[1]FINAL!$A$1:$Z$1000,MATCH([1]FINAL!$T$1,[1]FINAL!$A$1:$Z$1,0),0),"")</f>
        <v>FWD</v>
      </c>
      <c r="C3" s="3" t="str">
        <f>IFERROR(VLOOKUP($A3,[1]FINAL!$A$1:$Z$1000,MATCH([1]FINAL!$U$1,[1]FINAL!$A$1:$Z$1,0),0),"")</f>
        <v>CF</v>
      </c>
      <c r="D3" s="3" t="str">
        <f>IFERROR(VLOOKUP($A3,[1]FINAL!$A$1:$Z$1000,MATCH([1]FINAL!$V$1,[1]FINAL!$A$1:$Z$1,0),0),"")</f>
        <v>MCI</v>
      </c>
      <c r="E3" s="6">
        <f t="shared" si="0"/>
        <v>209555.55555555556</v>
      </c>
      <c r="F3" s="5">
        <f t="shared" si="1"/>
        <v>1</v>
      </c>
      <c r="G3" s="5">
        <f>IFERROR(IF(H3&lt;&gt;"",H3,VLOOKUP($A3,[1]FINAL!$A$1:$BZ$1000,MATCH([1]FINAL!$BL$1,[1]FINAL!$A$1:$BZ$1,0),0)),0)</f>
        <v>1</v>
      </c>
      <c r="H3" s="12">
        <v>1</v>
      </c>
      <c r="I3" s="5">
        <f>IFERROR(IF(J3&lt;&gt;"",J3,(IF(VLOOKUP($A3,#REF!,MATCH(#REF!,#REF!,0),0)=0,G3,VLOOKUP($A3,#REF!,MATCH(#REF!,#REF!,0),0)))),G3)</f>
        <v>1</v>
      </c>
      <c r="K3" s="6">
        <f>IFERROR(VLOOKUP($A3,#REF!,MATCH(#REF!,#REF!,0),0),0)</f>
        <v>0</v>
      </c>
      <c r="L3" s="6">
        <f>IFERROR(VLOOKUP($A3,[1]FINAL!$A$1:$BZ$1000,MATCH([1]FINAL!$BF$1,[1]FINAL!$A$1:$BZ$1,0),0),0)</f>
        <v>86</v>
      </c>
      <c r="M3" s="7">
        <f t="shared" si="2"/>
        <v>0.9555555555555556</v>
      </c>
      <c r="N3" s="6">
        <f>IFERROR(VLOOKUP($A3,#REF!,MATCH(#REF!,#REF!,0),0),0)</f>
        <v>0</v>
      </c>
      <c r="O3" s="7">
        <f t="shared" si="3"/>
        <v>0</v>
      </c>
      <c r="P3" s="10" t="str">
        <f>IFERROR(VLOOKUP($A3,[1]FINAL!$A$1:$BZ$1000,MATCH([1]FINAL!$BB$1,[1]FINAL!$A$1:$BZ$1,0),0),"")</f>
        <v/>
      </c>
      <c r="Q3" s="18">
        <f t="shared" si="4"/>
        <v>1</v>
      </c>
    </row>
    <row r="4" spans="1:23" x14ac:dyDescent="0.25">
      <c r="A4" s="14" t="str">
        <f>[1]FINAL!$A5</f>
        <v>Bruno Borges Fernandes</v>
      </c>
      <c r="B4" s="20" t="str">
        <f>IFERROR(VLOOKUP($A4,[1]FINAL!$A$1:$Z$1000,MATCH([1]FINAL!$T$1,[1]FINAL!$A$1:$Z$1,0),0),"")</f>
        <v>MID</v>
      </c>
      <c r="C4" s="3" t="str">
        <f>IFERROR(VLOOKUP($A4,[1]FINAL!$A$1:$Z$1000,MATCH([1]FINAL!$U$1,[1]FINAL!$A$1:$Z$1,0),0),"")</f>
        <v>AM</v>
      </c>
      <c r="D4" s="3" t="str">
        <f>IFERROR(VLOOKUP($A4,[1]FINAL!$A$1:$Z$1000,MATCH([1]FINAL!$V$1,[1]FINAL!$A$1:$Z$1,0),0),"")</f>
        <v>MUN</v>
      </c>
      <c r="E4" s="6">
        <f t="shared" si="0"/>
        <v>209777.77777777778</v>
      </c>
      <c r="F4" s="5">
        <f t="shared" si="1"/>
        <v>1</v>
      </c>
      <c r="G4" s="5">
        <f>IFERROR(IF(H4&lt;&gt;"",H4,VLOOKUP($A4,[1]FINAL!$A$1:$BZ$1000,MATCH([1]FINAL!$BL$1,[1]FINAL!$A$1:$BZ$1,0),0)),0)</f>
        <v>1</v>
      </c>
      <c r="H4" s="12">
        <v>1</v>
      </c>
      <c r="I4" s="5">
        <f>IFERROR(IF(J4&lt;&gt;"",J4,(IF(VLOOKUP($A4,#REF!,MATCH(#REF!,#REF!,0),0)=0,G4,VLOOKUP($A4,#REF!,MATCH(#REF!,#REF!,0),0)))),G4)</f>
        <v>1</v>
      </c>
      <c r="K4" s="6">
        <f>IFERROR(VLOOKUP($A4,#REF!,MATCH(#REF!,#REF!,0),0),0)</f>
        <v>0</v>
      </c>
      <c r="L4" s="6">
        <f>IFERROR(VLOOKUP($A4,[1]FINAL!$A$1:$BZ$1000,MATCH([1]FINAL!$BF$1,[1]FINAL!$A$1:$BZ$1,0),0),0)</f>
        <v>88</v>
      </c>
      <c r="M4" s="7">
        <f t="shared" si="2"/>
        <v>0.97777777777777775</v>
      </c>
      <c r="N4" s="6">
        <f>IFERROR(VLOOKUP($A4,#REF!,MATCH(#REF!,#REF!,0),0),0)</f>
        <v>0</v>
      </c>
      <c r="O4" s="7">
        <f t="shared" si="3"/>
        <v>0</v>
      </c>
      <c r="P4" s="10" t="str">
        <f>IFERROR(VLOOKUP($A4,[1]FINAL!$A$1:$BZ$1000,MATCH([1]FINAL!$BB$1,[1]FINAL!$A$1:$BZ$1,0),0),"")</f>
        <v/>
      </c>
      <c r="Q4" s="18">
        <f t="shared" si="4"/>
        <v>1</v>
      </c>
    </row>
    <row r="5" spans="1:23" x14ac:dyDescent="0.25">
      <c r="A5" s="14" t="str">
        <f>[1]FINAL!$A6</f>
        <v>Matt O'Riley</v>
      </c>
      <c r="B5" s="20" t="str">
        <f>IFERROR(VLOOKUP($A5,[1]FINAL!$A$1:$Z$1000,MATCH([1]FINAL!$T$1,[1]FINAL!$A$1:$Z$1,0),0),"")</f>
        <v>MID</v>
      </c>
      <c r="C5" s="3" t="str">
        <f>IFERROR(VLOOKUP($A5,[1]FINAL!$A$1:$Z$1000,MATCH([1]FINAL!$U$1,[1]FINAL!$A$1:$Z$1,0),0),"")</f>
        <v>CM</v>
      </c>
      <c r="D5" s="3" t="str">
        <f>IFERROR(VLOOKUP($A5,[1]FINAL!$A$1:$Z$1000,MATCH([1]FINAL!$V$1,[1]FINAL!$A$1:$Z$1,0),0),"")</f>
        <v>BHA</v>
      </c>
      <c r="E5" s="6">
        <f t="shared" si="0"/>
        <v>209888.88888888888</v>
      </c>
      <c r="F5" s="5">
        <f t="shared" si="1"/>
        <v>1</v>
      </c>
      <c r="G5" s="5">
        <f>IFERROR(IF(H5&lt;&gt;"",H5,VLOOKUP($A5,[1]FINAL!$A$1:$BZ$1000,MATCH([1]FINAL!$BL$1,[1]FINAL!$A$1:$BZ$1,0),0)),0)</f>
        <v>1</v>
      </c>
      <c r="H5" s="12">
        <v>1</v>
      </c>
      <c r="I5" s="5">
        <f>IFERROR(IF(J5&lt;&gt;"",J5,(IF(VLOOKUP($A5,#REF!,MATCH(#REF!,#REF!,0),0)=0,G5,VLOOKUP($A5,#REF!,MATCH(#REF!,#REF!,0),0)))),G5)</f>
        <v>1</v>
      </c>
      <c r="K5" s="6">
        <f>IFERROR(VLOOKUP($A5,#REF!,MATCH(#REF!,#REF!,0),0),0)</f>
        <v>0</v>
      </c>
      <c r="L5" s="6">
        <f>IFERROR(VLOOKUP($A5,[1]FINAL!$A$1:$BZ$1000,MATCH([1]FINAL!$BF$1,[1]FINAL!$A$1:$BZ$1,0),0),0)</f>
        <v>89</v>
      </c>
      <c r="M5" s="7">
        <f t="shared" si="2"/>
        <v>0.98888888888888893</v>
      </c>
      <c r="N5" s="6">
        <f>IFERROR(VLOOKUP($A5,#REF!,MATCH(#REF!,#REF!,0),0),0)</f>
        <v>0</v>
      </c>
      <c r="O5" s="7">
        <f t="shared" si="3"/>
        <v>0</v>
      </c>
      <c r="P5" s="10" t="str">
        <f>IFERROR(VLOOKUP($A5,[1]FINAL!$A$1:$BZ$1000,MATCH([1]FINAL!$BB$1,[1]FINAL!$A$1:$BZ$1,0),0),"")</f>
        <v/>
      </c>
      <c r="Q5" s="18">
        <f t="shared" si="4"/>
        <v>1</v>
      </c>
    </row>
    <row r="6" spans="1:23" x14ac:dyDescent="0.25">
      <c r="A6" s="14" t="str">
        <f>[1]FINAL!$A7</f>
        <v>Enes Ünal</v>
      </c>
      <c r="B6" s="20" t="str">
        <f>IFERROR(VLOOKUP($A6,[1]FINAL!$A$1:$Z$1000,MATCH([1]FINAL!$T$1,[1]FINAL!$A$1:$Z$1,0),0),"")</f>
        <v>FWD</v>
      </c>
      <c r="C6" s="3" t="str">
        <f>IFERROR(VLOOKUP($A6,[1]FINAL!$A$1:$Z$1000,MATCH([1]FINAL!$U$1,[1]FINAL!$A$1:$Z$1,0),0),"")</f>
        <v>CF</v>
      </c>
      <c r="D6" s="3" t="str">
        <f>IFERROR(VLOOKUP($A6,[1]FINAL!$A$1:$Z$1000,MATCH([1]FINAL!$V$1,[1]FINAL!$A$1:$Z$1,0),0),"")</f>
        <v>BOU</v>
      </c>
      <c r="E6" s="6">
        <f t="shared" si="0"/>
        <v>0</v>
      </c>
      <c r="F6" s="5">
        <f t="shared" si="1"/>
        <v>0</v>
      </c>
      <c r="G6" s="5">
        <f>IFERROR(IF(H6&lt;&gt;"",H6,VLOOKUP($A6,[1]FINAL!$A$1:$BZ$1000,MATCH([1]FINAL!$BL$1,[1]FINAL!$A$1:$BZ$1,0),0)),0)</f>
        <v>0</v>
      </c>
      <c r="I6" s="5">
        <f>IFERROR(IF(J6&lt;&gt;"",J6,(IF(VLOOKUP($A6,#REF!,MATCH(#REF!,#REF!,0),0)=0,G6,VLOOKUP($A6,#REF!,MATCH(#REF!,#REF!,0),0)))),G6)</f>
        <v>0</v>
      </c>
      <c r="K6" s="6">
        <f>IFERROR(VLOOKUP($A6,#REF!,MATCH(#REF!,#REF!,0),0),0)</f>
        <v>0</v>
      </c>
      <c r="L6" s="6">
        <f>IFERROR(VLOOKUP($A6,[1]FINAL!$A$1:$BZ$1000,MATCH([1]FINAL!$BF$1,[1]FINAL!$A$1:$BZ$1,0),0),0)</f>
        <v>0</v>
      </c>
      <c r="M6" s="7">
        <f t="shared" si="2"/>
        <v>0</v>
      </c>
      <c r="N6" s="6">
        <f>IFERROR(VLOOKUP($A6,#REF!,MATCH(#REF!,#REF!,0),0),0)</f>
        <v>0</v>
      </c>
      <c r="O6" s="7">
        <f t="shared" si="3"/>
        <v>0</v>
      </c>
      <c r="P6" s="10" t="str">
        <f>IFERROR(VLOOKUP($A6,[1]FINAL!$A$1:$BZ$1000,MATCH([1]FINAL!$BB$1,[1]FINAL!$A$1:$BZ$1,0),0),"")</f>
        <v/>
      </c>
      <c r="Q6" s="18">
        <f t="shared" si="4"/>
        <v>1</v>
      </c>
    </row>
    <row r="7" spans="1:23" x14ac:dyDescent="0.25">
      <c r="A7" s="14" t="str">
        <f>[1]FINAL!$A22</f>
        <v>Rio Ngumoha</v>
      </c>
      <c r="B7" s="20" t="str">
        <f>IFERROR(VLOOKUP($A7,[1]FINAL!$A$1:$Z$1000,MATCH([1]FINAL!$T$1,[1]FINAL!$A$1:$Z$1,0),0),"")</f>
        <v>MID</v>
      </c>
      <c r="C7" s="3" t="str">
        <f>IFERROR(VLOOKUP($A7,[1]FINAL!$A$1:$Z$1000,MATCH([1]FINAL!$U$1,[1]FINAL!$A$1:$Z$1,0),0),"")</f>
        <v>LW</v>
      </c>
      <c r="D7" s="3" t="str">
        <f>IFERROR(VLOOKUP($A7,[1]FINAL!$A$1:$Z$1000,MATCH([1]FINAL!$V$1,[1]FINAL!$A$1:$Z$1,0),0),"")</f>
        <v>LIV</v>
      </c>
      <c r="E7" s="6">
        <f t="shared" si="0"/>
        <v>35027.027027027027</v>
      </c>
      <c r="F7" s="5">
        <f t="shared" si="1"/>
        <v>0.13513513513513514</v>
      </c>
      <c r="G7" s="5">
        <f>IFERROR(IF(H7&lt;&gt;"",H7,VLOOKUP($A7,[1]FINAL!$A$1:$BZ$1000,MATCH([1]FINAL!$BL$1,[1]FINAL!$A$1:$BZ$1,0),0)),0)</f>
        <v>0.13513513513513514</v>
      </c>
      <c r="I7" s="5">
        <f>IFERROR(IF(J7&lt;&gt;"",J7,(IF(VLOOKUP($A7,#REF!,MATCH(#REF!,#REF!,0),0)=0,G7,VLOOKUP($A7,#REF!,MATCH(#REF!,#REF!,0),0)))),G7)</f>
        <v>0.13513513513513514</v>
      </c>
      <c r="K7" s="6">
        <f>IFERROR(VLOOKUP($A7,#REF!,MATCH(#REF!,#REF!,0),0),0)</f>
        <v>0</v>
      </c>
      <c r="L7" s="6">
        <f>IFERROR(VLOOKUP($A7,[1]FINAL!$A$1:$BZ$1000,MATCH([1]FINAL!$BF$1,[1]FINAL!$A$1:$BZ$1,0),0),0)</f>
        <v>72</v>
      </c>
      <c r="M7" s="7">
        <f t="shared" si="2"/>
        <v>0.8</v>
      </c>
      <c r="N7" s="6">
        <f>IFERROR(VLOOKUP($A7,#REF!,MATCH(#REF!,#REF!,0),0),0)</f>
        <v>0</v>
      </c>
      <c r="O7" s="7">
        <f t="shared" si="3"/>
        <v>0</v>
      </c>
      <c r="P7" s="10" t="str">
        <f>IFERROR(VLOOKUP($A7,[1]FINAL!$A$1:$BZ$1000,MATCH([1]FINAL!$BB$1,[1]FINAL!$A$1:$BZ$1,0),0),"")</f>
        <v/>
      </c>
      <c r="Q7" s="18">
        <f t="shared" si="4"/>
        <v>1</v>
      </c>
    </row>
    <row r="8" spans="1:23" x14ac:dyDescent="0.25">
      <c r="A8" s="14" t="str">
        <f>[1]FINAL!$A30</f>
        <v>Phil Foden</v>
      </c>
      <c r="B8" s="20" t="str">
        <f>IFERROR(VLOOKUP($A8,[1]FINAL!$A$1:$Z$1000,MATCH([1]FINAL!$T$1,[1]FINAL!$A$1:$Z$1,0),0),"")</f>
        <v>MID</v>
      </c>
      <c r="C8" s="3" t="str">
        <f>IFERROR(VLOOKUP($A8,[1]FINAL!$A$1:$Z$1000,MATCH([1]FINAL!$U$1,[1]FINAL!$A$1:$Z$1,0),0),"")</f>
        <v>AM</v>
      </c>
      <c r="D8" s="3" t="str">
        <f>IFERROR(VLOOKUP($A8,[1]FINAL!$A$1:$Z$1000,MATCH([1]FINAL!$V$1,[1]FINAL!$A$1:$Z$1,0),0),"")</f>
        <v>MCI</v>
      </c>
      <c r="E8" s="6">
        <f t="shared" si="0"/>
        <v>137000</v>
      </c>
      <c r="F8" s="5">
        <f t="shared" si="1"/>
        <v>0.63888888888888884</v>
      </c>
      <c r="G8" s="5">
        <f>IFERROR(IF(H8&lt;&gt;"",H8,VLOOKUP($A8,[1]FINAL!$A$1:$BZ$1000,MATCH([1]FINAL!$BL$1,[1]FINAL!$A$1:$BZ$1,0),0)),0)</f>
        <v>0.63888888888888884</v>
      </c>
      <c r="I8" s="5">
        <f>IFERROR(IF(J8&lt;&gt;"",J8,(IF(VLOOKUP($A8,#REF!,MATCH(#REF!,#REF!,0),0)=0,G8,VLOOKUP($A8,#REF!,MATCH(#REF!,#REF!,0),0)))),G8)</f>
        <v>0.63888888888888884</v>
      </c>
      <c r="K8" s="6">
        <f>IFERROR(VLOOKUP($A8,#REF!,MATCH(#REF!,#REF!,0),0),0)</f>
        <v>0</v>
      </c>
      <c r="L8" s="6">
        <f>IFERROR(VLOOKUP($A8,[1]FINAL!$A$1:$BZ$1000,MATCH([1]FINAL!$BF$1,[1]FINAL!$A$1:$BZ$1,0),0),0)</f>
        <v>83</v>
      </c>
      <c r="M8" s="7">
        <f t="shared" si="2"/>
        <v>0.92222222222222228</v>
      </c>
      <c r="N8" s="6">
        <f>IFERROR(VLOOKUP($A8,#REF!,MATCH(#REF!,#REF!,0),0),0)</f>
        <v>0</v>
      </c>
      <c r="O8" s="7">
        <f t="shared" si="3"/>
        <v>0</v>
      </c>
      <c r="P8" s="10" t="str">
        <f>IFERROR(VLOOKUP($A8,[1]FINAL!$A$1:$BZ$1000,MATCH([1]FINAL!$BB$1,[1]FINAL!$A$1:$BZ$1,0),0),"")</f>
        <v/>
      </c>
      <c r="Q8" s="18">
        <f t="shared" si="4"/>
        <v>1</v>
      </c>
    </row>
    <row r="9" spans="1:23" x14ac:dyDescent="0.25">
      <c r="A9" s="14" t="str">
        <f>[1]FINAL!$A49</f>
        <v>Mamadou Sarr</v>
      </c>
      <c r="B9" s="20" t="str">
        <f>IFERROR(VLOOKUP($A9,[1]FINAL!$A$1:$Z$1000,MATCH([1]FINAL!$T$1,[1]FINAL!$A$1:$Z$1,0),0),"")</f>
        <v>DEF</v>
      </c>
      <c r="C9" s="3" t="str">
        <f>IFERROR(VLOOKUP($A9,[1]FINAL!$A$1:$Z$1000,MATCH([1]FINAL!$U$1,[1]FINAL!$A$1:$Z$1,0),0),"")</f>
        <v>CB</v>
      </c>
      <c r="D9" s="3" t="str">
        <f>IFERROR(VLOOKUP($A9,[1]FINAL!$A$1:$Z$1000,MATCH([1]FINAL!$V$1,[1]FINAL!$A$1:$Z$1,0),0),"")</f>
        <v>CHE</v>
      </c>
      <c r="E9" s="6">
        <f t="shared" si="0"/>
        <v>29888.888888888891</v>
      </c>
      <c r="F9" s="5">
        <f t="shared" si="1"/>
        <v>0.1</v>
      </c>
      <c r="G9" s="5">
        <f>IFERROR(IF(H9&lt;&gt;"",H9,VLOOKUP($A9,[1]FINAL!$A$1:$BZ$1000,MATCH([1]FINAL!$BL$1,[1]FINAL!$A$1:$BZ$1,0),0)),0)</f>
        <v>0.1</v>
      </c>
      <c r="I9" s="5">
        <f>IFERROR(IF(J9&lt;&gt;"",J9,(IF(VLOOKUP($A9,#REF!,MATCH(#REF!,#REF!,0),0)=0,G9,VLOOKUP($A9,#REF!,MATCH(#REF!,#REF!,0),0)))),G9)</f>
        <v>0.1</v>
      </c>
      <c r="K9" s="6">
        <f>IFERROR(VLOOKUP($A9,#REF!,MATCH(#REF!,#REF!,0),0),0)</f>
        <v>0</v>
      </c>
      <c r="L9" s="6">
        <f>IFERROR(VLOOKUP($A9,[1]FINAL!$A$1:$BZ$1000,MATCH([1]FINAL!$BF$1,[1]FINAL!$A$1:$BZ$1,0),0),0)</f>
        <v>89</v>
      </c>
      <c r="M9" s="7">
        <f t="shared" si="2"/>
        <v>0.98888888888888893</v>
      </c>
      <c r="N9" s="6">
        <f>IFERROR(VLOOKUP($A9,#REF!,MATCH(#REF!,#REF!,0),0),0)</f>
        <v>0</v>
      </c>
      <c r="O9" s="7">
        <f t="shared" si="3"/>
        <v>0</v>
      </c>
      <c r="P9" s="10" t="str">
        <f>IFERROR(VLOOKUP($A9,[1]FINAL!$A$1:$BZ$1000,MATCH([1]FINAL!$BB$1,[1]FINAL!$A$1:$BZ$1,0),0),"")</f>
        <v/>
      </c>
      <c r="Q9" s="18">
        <f t="shared" si="4"/>
        <v>1</v>
      </c>
    </row>
    <row r="10" spans="1:23" x14ac:dyDescent="0.25">
      <c r="A10" s="14" t="str">
        <f>[1]FINAL!$A66</f>
        <v>Declan Rice</v>
      </c>
      <c r="B10" s="20" t="str">
        <f>IFERROR(VLOOKUP($A10,[1]FINAL!$A$1:$Z$1000,MATCH([1]FINAL!$T$1,[1]FINAL!$A$1:$Z$1,0),0),"")</f>
        <v>MID</v>
      </c>
      <c r="C10" s="3" t="str">
        <f>IFERROR(VLOOKUP($A10,[1]FINAL!$A$1:$Z$1000,MATCH([1]FINAL!$U$1,[1]FINAL!$A$1:$Z$1,0),0),"")</f>
        <v>CM</v>
      </c>
      <c r="D10" s="3" t="str">
        <f>IFERROR(VLOOKUP($A10,[1]FINAL!$A$1:$Z$1000,MATCH([1]FINAL!$V$1,[1]FINAL!$A$1:$Z$1,0),0),"")</f>
        <v>ARS</v>
      </c>
      <c r="E10" s="6">
        <f t="shared" si="0"/>
        <v>198966.96696696698</v>
      </c>
      <c r="F10" s="5">
        <f t="shared" si="1"/>
        <v>0.94594594594594594</v>
      </c>
      <c r="G10" s="5">
        <f>IFERROR(IF(H10&lt;&gt;"",H10,VLOOKUP($A10,[1]FINAL!$A$1:$BZ$1000,MATCH([1]FINAL!$BL$1,[1]FINAL!$A$1:$BZ$1,0),0)),0)</f>
        <v>0.94594594594594594</v>
      </c>
      <c r="I10" s="5">
        <f>IFERROR(IF(J10&lt;&gt;"",J10,(IF(VLOOKUP($A10,#REF!,MATCH(#REF!,#REF!,0),0)=0,G10,VLOOKUP($A10,#REF!,MATCH(#REF!,#REF!,0),0)))),G10)</f>
        <v>0.94594594594594594</v>
      </c>
      <c r="K10" s="6">
        <f>IFERROR(VLOOKUP($A10,#REF!,MATCH(#REF!,#REF!,0),0),0)</f>
        <v>0</v>
      </c>
      <c r="L10" s="6">
        <f>IFERROR(VLOOKUP($A10,[1]FINAL!$A$1:$BZ$1000,MATCH([1]FINAL!$BF$1,[1]FINAL!$A$1:$BZ$1,0),0),0)</f>
        <v>88</v>
      </c>
      <c r="M10" s="7">
        <f t="shared" si="2"/>
        <v>0.97777777777777775</v>
      </c>
      <c r="N10" s="6">
        <f>IFERROR(VLOOKUP($A10,#REF!,MATCH(#REF!,#REF!,0),0),0)</f>
        <v>0</v>
      </c>
      <c r="O10" s="7">
        <f t="shared" si="3"/>
        <v>0</v>
      </c>
      <c r="P10" s="10" t="str">
        <f>IFERROR(VLOOKUP($A10,[1]FINAL!$A$1:$BZ$1000,MATCH([1]FINAL!$BB$1,[1]FINAL!$A$1:$BZ$1,0),0),"")</f>
        <v/>
      </c>
      <c r="Q10" s="18">
        <f t="shared" si="4"/>
        <v>1</v>
      </c>
    </row>
    <row r="11" spans="1:23" x14ac:dyDescent="0.25">
      <c r="A11" s="14" t="str">
        <f>[1]FINAL!$A68</f>
        <v>Kepa Arrizabalaga Revuelta</v>
      </c>
      <c r="B11" s="20" t="str">
        <f>IFERROR(VLOOKUP($A11,[1]FINAL!$A$1:$Z$1000,MATCH([1]FINAL!$T$1,[1]FINAL!$A$1:$Z$1,0),0),"")</f>
        <v>GK</v>
      </c>
      <c r="C11" s="3" t="str">
        <f>IFERROR(VLOOKUP($A11,[1]FINAL!$A$1:$Z$1000,MATCH([1]FINAL!$U$1,[1]FINAL!$A$1:$Z$1,0),0),"")</f>
        <v/>
      </c>
      <c r="D11" s="3" t="str">
        <f>IFERROR(VLOOKUP($A11,[1]FINAL!$A$1:$Z$1000,MATCH([1]FINAL!$V$1,[1]FINAL!$A$1:$Z$1,0),0),"")</f>
        <v>ARS</v>
      </c>
      <c r="E11" s="6">
        <f t="shared" si="0"/>
        <v>0</v>
      </c>
      <c r="F11" s="5">
        <f t="shared" si="1"/>
        <v>0</v>
      </c>
      <c r="G11" s="5">
        <f>IFERROR(IF(H11&lt;&gt;"",H11,VLOOKUP($A11,[1]FINAL!$A$1:$BZ$1000,MATCH([1]FINAL!$BL$1,[1]FINAL!$A$1:$BZ$1,0),0)),0)</f>
        <v>0</v>
      </c>
      <c r="I11" s="5">
        <f>IFERROR(IF(J11&lt;&gt;"",J11,(IF(VLOOKUP($A11,#REF!,MATCH(#REF!,#REF!,0),0)=0,G11,VLOOKUP($A11,#REF!,MATCH(#REF!,#REF!,0),0)))),G11)</f>
        <v>0</v>
      </c>
      <c r="K11" s="6">
        <f>IFERROR(VLOOKUP($A11,#REF!,MATCH(#REF!,#REF!,0),0),0)</f>
        <v>0</v>
      </c>
      <c r="L11" s="6">
        <f>IFERROR(VLOOKUP($A11,[1]FINAL!$A$1:$BZ$1000,MATCH([1]FINAL!$BF$1,[1]FINAL!$A$1:$BZ$1,0),0),0)</f>
        <v>0</v>
      </c>
      <c r="M11" s="7">
        <f t="shared" si="2"/>
        <v>0</v>
      </c>
      <c r="N11" s="6">
        <f>IFERROR(VLOOKUP($A11,#REF!,MATCH(#REF!,#REF!,0),0),0)</f>
        <v>0</v>
      </c>
      <c r="O11" s="7">
        <f t="shared" si="3"/>
        <v>0</v>
      </c>
      <c r="P11" s="10" t="str">
        <f>IFERROR(VLOOKUP($A11,[1]FINAL!$A$1:$BZ$1000,MATCH([1]FINAL!$BB$1,[1]FINAL!$A$1:$BZ$1,0),0),"")</f>
        <v/>
      </c>
      <c r="Q11" s="18">
        <f t="shared" si="4"/>
        <v>1</v>
      </c>
    </row>
    <row r="12" spans="1:23" x14ac:dyDescent="0.25">
      <c r="A12" s="14" t="str">
        <f>[1]FINAL!$A79</f>
        <v>Piero Hincapié</v>
      </c>
      <c r="B12" s="20" t="str">
        <f>IFERROR(VLOOKUP($A12,[1]FINAL!$A$1:$Z$1000,MATCH([1]FINAL!$T$1,[1]FINAL!$A$1:$Z$1,0),0),"")</f>
        <v>DEF</v>
      </c>
      <c r="C12" s="3" t="str">
        <f>IFERROR(VLOOKUP($A12,[1]FINAL!$A$1:$Z$1000,MATCH([1]FINAL!$U$1,[1]FINAL!$A$1:$Z$1,0),0),"")</f>
        <v>CB</v>
      </c>
      <c r="D12" s="3" t="str">
        <f>IFERROR(VLOOKUP($A12,[1]FINAL!$A$1:$Z$1000,MATCH([1]FINAL!$V$1,[1]FINAL!$A$1:$Z$1,0),0),"")</f>
        <v>ARS</v>
      </c>
      <c r="E12" s="6">
        <f t="shared" si="0"/>
        <v>142777.77777777775</v>
      </c>
      <c r="F12" s="5">
        <f t="shared" si="1"/>
        <v>0.66666666666666663</v>
      </c>
      <c r="G12" s="5">
        <f>IFERROR(IF(H12&lt;&gt;"",H12,VLOOKUP($A12,[1]FINAL!$A$1:$BZ$1000,MATCH([1]FINAL!$BL$1,[1]FINAL!$A$1:$BZ$1,0),0)),0)</f>
        <v>0.66666666666666663</v>
      </c>
      <c r="I12" s="5">
        <f>IFERROR(IF(J12&lt;&gt;"",J12,(IF(VLOOKUP($A12,#REF!,MATCH(#REF!,#REF!,0),0)=0,G12,VLOOKUP($A12,#REF!,MATCH(#REF!,#REF!,0),0)))),G12)</f>
        <v>0.66666666666666663</v>
      </c>
      <c r="K12" s="6">
        <f>IFERROR(VLOOKUP($A12,#REF!,MATCH(#REF!,#REF!,0),0),0)</f>
        <v>0</v>
      </c>
      <c r="L12" s="6">
        <f>IFERROR(VLOOKUP($A12,[1]FINAL!$A$1:$BZ$1000,MATCH([1]FINAL!$BF$1,[1]FINAL!$A$1:$BZ$1,0),0),0)</f>
        <v>85</v>
      </c>
      <c r="M12" s="7">
        <f t="shared" si="2"/>
        <v>0.94444444444444442</v>
      </c>
      <c r="N12" s="6">
        <f>IFERROR(VLOOKUP($A12,#REF!,MATCH(#REF!,#REF!,0),0),0)</f>
        <v>0</v>
      </c>
      <c r="O12" s="7">
        <f t="shared" si="3"/>
        <v>0</v>
      </c>
      <c r="P12" s="10" t="str">
        <f>IFERROR(VLOOKUP($A12,[1]FINAL!$A$1:$BZ$1000,MATCH([1]FINAL!$BB$1,[1]FINAL!$A$1:$BZ$1,0),0),"")</f>
        <v/>
      </c>
      <c r="Q12" s="18">
        <f t="shared" si="4"/>
        <v>1</v>
      </c>
    </row>
    <row r="13" spans="1:23" x14ac:dyDescent="0.25">
      <c r="A13" s="14" t="str">
        <f>[1]FINAL!$A92</f>
        <v>Martin Dubravka</v>
      </c>
      <c r="B13" s="20" t="str">
        <f>IFERROR(VLOOKUP($A13,[1]FINAL!$A$1:$Z$1000,MATCH([1]FINAL!$T$1,[1]FINAL!$A$1:$Z$1,0),0),"")</f>
        <v>GK</v>
      </c>
      <c r="C13" s="3" t="str">
        <f>IFERROR(VLOOKUP($A13,[1]FINAL!$A$1:$Z$1000,MATCH([1]FINAL!$U$1,[1]FINAL!$A$1:$Z$1,0),0),"")</f>
        <v/>
      </c>
      <c r="D13" s="3" t="str">
        <f>IFERROR(VLOOKUP($A13,[1]FINAL!$A$1:$Z$1000,MATCH([1]FINAL!$V$1,[1]FINAL!$A$1:$Z$1,0),0),"")</f>
        <v>TOT</v>
      </c>
      <c r="E13" s="6">
        <f t="shared" si="0"/>
        <v>0</v>
      </c>
      <c r="F13" s="5">
        <f t="shared" si="1"/>
        <v>0</v>
      </c>
      <c r="G13" s="5">
        <f>IFERROR(IF(H13&lt;&gt;"",H13,VLOOKUP($A13,[1]FINAL!$A$1:$BZ$1000,MATCH([1]FINAL!$BL$1,[1]FINAL!$A$1:$BZ$1,0),0)),0)</f>
        <v>0</v>
      </c>
      <c r="I13" s="5">
        <f>IFERROR(IF(J13&lt;&gt;"",J13,(IF(VLOOKUP($A13,#REF!,MATCH(#REF!,#REF!,0),0)=0,G13,VLOOKUP($A13,#REF!,MATCH(#REF!,#REF!,0),0)))),G13)</f>
        <v>0</v>
      </c>
      <c r="K13" s="6">
        <f>IFERROR(VLOOKUP($A13,#REF!,MATCH(#REF!,#REF!,0),0),0)</f>
        <v>0</v>
      </c>
      <c r="L13" s="6">
        <f>IFERROR(VLOOKUP($A13,[1]FINAL!$A$1:$BZ$1000,MATCH([1]FINAL!$BF$1,[1]FINAL!$A$1:$BZ$1,0),0),0)</f>
        <v>0</v>
      </c>
      <c r="M13" s="7">
        <f t="shared" si="2"/>
        <v>0</v>
      </c>
      <c r="N13" s="6">
        <f>IFERROR(VLOOKUP($A13,#REF!,MATCH(#REF!,#REF!,0),0),0)</f>
        <v>0</v>
      </c>
      <c r="O13" s="7">
        <f t="shared" si="3"/>
        <v>0</v>
      </c>
      <c r="P13" s="10" t="str">
        <f>IFERROR(VLOOKUP($A13,[1]FINAL!$A$1:$BZ$1000,MATCH([1]FINAL!$BB$1,[1]FINAL!$A$1:$BZ$1,0),0),"")</f>
        <v/>
      </c>
      <c r="Q13" s="18">
        <f t="shared" si="4"/>
        <v>1</v>
      </c>
    </row>
    <row r="14" spans="1:23" x14ac:dyDescent="0.25">
      <c r="A14" s="14" t="str">
        <f>[1]FINAL!$A96</f>
        <v>Matthijs de Ligt</v>
      </c>
      <c r="B14" s="20" t="str">
        <f>IFERROR(VLOOKUP($A14,[1]FINAL!$A$1:$Z$1000,MATCH([1]FINAL!$T$1,[1]FINAL!$A$1:$Z$1,0),0),"")</f>
        <v>DEF</v>
      </c>
      <c r="C14" s="3" t="str">
        <f>IFERROR(VLOOKUP($A14,[1]FINAL!$A$1:$Z$1000,MATCH([1]FINAL!$U$1,[1]FINAL!$A$1:$Z$1,0),0),"")</f>
        <v>CB</v>
      </c>
      <c r="D14" s="3" t="str">
        <f>IFERROR(VLOOKUP($A14,[1]FINAL!$A$1:$Z$1000,MATCH([1]FINAL!$V$1,[1]FINAL!$A$1:$Z$1,0),0),"")</f>
        <v>MUN</v>
      </c>
      <c r="E14" s="6">
        <f t="shared" si="0"/>
        <v>21</v>
      </c>
      <c r="F14" s="5">
        <f t="shared" si="1"/>
        <v>1E-4</v>
      </c>
      <c r="G14" s="5">
        <f>IFERROR(IF(H14&lt;&gt;"",H14,VLOOKUP($A14,[1]FINAL!$A$1:$BZ$1000,MATCH([1]FINAL!$BL$1,[1]FINAL!$A$1:$BZ$1,0),0)),0)</f>
        <v>1</v>
      </c>
      <c r="I14" s="5">
        <f>IFERROR(IF(J14&lt;&gt;"",J14,(IF(VLOOKUP($A14,#REF!,MATCH(#REF!,#REF!,0),0)=0,G14,VLOOKUP($A14,#REF!,MATCH(#REF!,#REF!,0),0)))),G14)</f>
        <v>1</v>
      </c>
      <c r="K14" s="6">
        <f>IFERROR(VLOOKUP($A14,#REF!,MATCH(#REF!,#REF!,0),0),0)</f>
        <v>0</v>
      </c>
      <c r="L14" s="6">
        <f>IFERROR(VLOOKUP($A14,[1]FINAL!$A$1:$BZ$1000,MATCH([1]FINAL!$BF$1,[1]FINAL!$A$1:$BZ$1,0),0),0)</f>
        <v>90</v>
      </c>
      <c r="M14" s="7">
        <f t="shared" si="2"/>
        <v>1</v>
      </c>
      <c r="N14" s="6">
        <f>IFERROR(VLOOKUP($A14,#REF!,MATCH(#REF!,#REF!,0),0),0)</f>
        <v>0</v>
      </c>
      <c r="O14" s="7">
        <f t="shared" si="3"/>
        <v>0</v>
      </c>
      <c r="P14" s="10">
        <f>IFERROR(VLOOKUP($A14,[1]FINAL!$A$1:$BZ$1000,MATCH([1]FINAL!$BB$1,[1]FINAL!$A$1:$BZ$1,0),0),"")</f>
        <v>0</v>
      </c>
      <c r="Q14" s="18">
        <f t="shared" si="4"/>
        <v>1E-4</v>
      </c>
    </row>
    <row r="15" spans="1:23" x14ac:dyDescent="0.25">
      <c r="A15" s="14" t="str">
        <f>[1]FINAL!$A97</f>
        <v>Jack Hinshelwood</v>
      </c>
      <c r="B15" s="20" t="str">
        <f>IFERROR(VLOOKUP($A15,[1]FINAL!$A$1:$Z$1000,MATCH([1]FINAL!$T$1,[1]FINAL!$A$1:$Z$1,0),0),"")</f>
        <v>MID</v>
      </c>
      <c r="C15" s="3" t="str">
        <f>IFERROR(VLOOKUP($A15,[1]FINAL!$A$1:$Z$1000,MATCH([1]FINAL!$U$1,[1]FINAL!$A$1:$Z$1,0),0),"")</f>
        <v>DM</v>
      </c>
      <c r="D15" s="3" t="str">
        <f>IFERROR(VLOOKUP($A15,[1]FINAL!$A$1:$Z$1000,MATCH([1]FINAL!$V$1,[1]FINAL!$A$1:$Z$1,0),0),"")</f>
        <v>BHA</v>
      </c>
      <c r="E15" s="6">
        <f t="shared" si="0"/>
        <v>146375.47892720308</v>
      </c>
      <c r="F15" s="5">
        <f t="shared" si="1"/>
        <v>0.68965517241379315</v>
      </c>
      <c r="G15" s="5">
        <f>IFERROR(IF(H15&lt;&gt;"",H15,VLOOKUP($A15,[1]FINAL!$A$1:$BZ$1000,MATCH([1]FINAL!$BL$1,[1]FINAL!$A$1:$BZ$1,0),0)),0)</f>
        <v>0.68965517241379315</v>
      </c>
      <c r="I15" s="5">
        <f>IFERROR(IF(J15&lt;&gt;"",J15,(IF(VLOOKUP($A15,#REF!,MATCH(#REF!,#REF!,0),0)=0,G15,VLOOKUP($A15,#REF!,MATCH(#REF!,#REF!,0),0)))),G15)</f>
        <v>0.68965517241379315</v>
      </c>
      <c r="K15" s="6">
        <f>IFERROR(VLOOKUP($A15,#REF!,MATCH(#REF!,#REF!,0),0),0)</f>
        <v>0</v>
      </c>
      <c r="L15" s="6">
        <f>IFERROR(VLOOKUP($A15,[1]FINAL!$A$1:$BZ$1000,MATCH([1]FINAL!$BF$1,[1]FINAL!$A$1:$BZ$1,0),0),0)</f>
        <v>76</v>
      </c>
      <c r="M15" s="7">
        <f t="shared" si="2"/>
        <v>0.84444444444444444</v>
      </c>
      <c r="N15" s="6">
        <f>IFERROR(VLOOKUP($A15,#REF!,MATCH(#REF!,#REF!,0),0),0)</f>
        <v>0</v>
      </c>
      <c r="O15" s="7">
        <f t="shared" si="3"/>
        <v>0</v>
      </c>
      <c r="P15" s="10" t="str">
        <f>IFERROR(VLOOKUP($A15,[1]FINAL!$A$1:$BZ$1000,MATCH([1]FINAL!$BB$1,[1]FINAL!$A$1:$BZ$1,0),0),"")</f>
        <v/>
      </c>
      <c r="Q15" s="18">
        <f t="shared" si="4"/>
        <v>1</v>
      </c>
    </row>
    <row r="16" spans="1:23" x14ac:dyDescent="0.25">
      <c r="A16" s="14" t="str">
        <f>[1]FINAL!$A127</f>
        <v>Nick Woltemade</v>
      </c>
      <c r="B16" s="20" t="str">
        <f>IFERROR(VLOOKUP($A16,[1]FINAL!$A$1:$Z$1000,MATCH([1]FINAL!$T$1,[1]FINAL!$A$1:$Z$1,0),0),"")</f>
        <v>FWD</v>
      </c>
      <c r="C16" s="3" t="str">
        <f>IFERROR(VLOOKUP($A16,[1]FINAL!$A$1:$Z$1000,MATCH([1]FINAL!$U$1,[1]FINAL!$A$1:$Z$1,0),0),"")</f>
        <v>CF</v>
      </c>
      <c r="D16" s="3" t="str">
        <f>IFERROR(VLOOKUP($A16,[1]FINAL!$A$1:$Z$1000,MATCH([1]FINAL!$V$1,[1]FINAL!$A$1:$Z$1,0),0),"")</f>
        <v>NEW</v>
      </c>
      <c r="E16" s="6">
        <f t="shared" si="0"/>
        <v>149287.58169934643</v>
      </c>
      <c r="F16" s="5">
        <f t="shared" si="1"/>
        <v>0.70588235294117652</v>
      </c>
      <c r="G16" s="5">
        <f>IFERROR(IF(H16&lt;&gt;"",H16,VLOOKUP($A16,[1]FINAL!$A$1:$BZ$1000,MATCH([1]FINAL!$BL$1,[1]FINAL!$A$1:$BZ$1,0),0)),0)</f>
        <v>0.70588235294117652</v>
      </c>
      <c r="I16" s="5">
        <f>IFERROR(IF(J16&lt;&gt;"",J16,(IF(VLOOKUP($A16,#REF!,MATCH(#REF!,#REF!,0),0)=0,G16,VLOOKUP($A16,#REF!,MATCH(#REF!,#REF!,0),0)))),G16)</f>
        <v>0.70588235294117652</v>
      </c>
      <c r="K16" s="6">
        <f>IFERROR(VLOOKUP($A16,#REF!,MATCH(#REF!,#REF!,0),0),0)</f>
        <v>0</v>
      </c>
      <c r="L16" s="6">
        <f>IFERROR(VLOOKUP($A16,[1]FINAL!$A$1:$BZ$1000,MATCH([1]FINAL!$BF$1,[1]FINAL!$A$1:$BZ$1,0),0),0)</f>
        <v>73</v>
      </c>
      <c r="M16" s="7">
        <f t="shared" si="2"/>
        <v>0.81111111111111112</v>
      </c>
      <c r="N16" s="6">
        <f>IFERROR(VLOOKUP($A16,#REF!,MATCH(#REF!,#REF!,0),0),0)</f>
        <v>0</v>
      </c>
      <c r="O16" s="7">
        <f t="shared" si="3"/>
        <v>0</v>
      </c>
      <c r="P16" s="10" t="str">
        <f>IFERROR(VLOOKUP($A16,[1]FINAL!$A$1:$BZ$1000,MATCH([1]FINAL!$BB$1,[1]FINAL!$A$1:$BZ$1,0),0),"")</f>
        <v/>
      </c>
      <c r="Q16" s="18">
        <f t="shared" si="4"/>
        <v>1</v>
      </c>
    </row>
    <row r="17" spans="1:17" x14ac:dyDescent="0.25">
      <c r="A17" s="14" t="str">
        <f>[1]FINAL!$A139</f>
        <v>Diego Gómez Amarilla</v>
      </c>
      <c r="B17" s="20" t="str">
        <f>IFERROR(VLOOKUP($A17,[1]FINAL!$A$1:$Z$1000,MATCH([1]FINAL!$T$1,[1]FINAL!$A$1:$Z$1,0),0),"")</f>
        <v>MID</v>
      </c>
      <c r="C17" s="3" t="str">
        <f>IFERROR(VLOOKUP($A17,[1]FINAL!$A$1:$Z$1000,MATCH([1]FINAL!$U$1,[1]FINAL!$A$1:$Z$1,0),0),"")</f>
        <v>CM</v>
      </c>
      <c r="D17" s="3" t="str">
        <f>IFERROR(VLOOKUP($A17,[1]FINAL!$A$1:$Z$1000,MATCH([1]FINAL!$V$1,[1]FINAL!$A$1:$Z$1,0),0),"")</f>
        <v>BHA</v>
      </c>
      <c r="E17" s="6">
        <f t="shared" si="0"/>
        <v>170833.33333333334</v>
      </c>
      <c r="F17" s="5">
        <f t="shared" si="1"/>
        <v>0.8125</v>
      </c>
      <c r="G17" s="5">
        <f>IFERROR(IF(H17&lt;&gt;"",H17,VLOOKUP($A17,[1]FINAL!$A$1:$BZ$1000,MATCH([1]FINAL!$BL$1,[1]FINAL!$A$1:$BZ$1,0),0)),0)</f>
        <v>0.8125</v>
      </c>
      <c r="I17" s="5">
        <f>IFERROR(IF(J17&lt;&gt;"",J17,(IF(VLOOKUP($A17,#REF!,MATCH(#REF!,#REF!,0),0)=0,G17,VLOOKUP($A17,#REF!,MATCH(#REF!,#REF!,0),0)))),G17)</f>
        <v>0.8125</v>
      </c>
      <c r="K17" s="6">
        <f>IFERROR(VLOOKUP($A17,#REF!,MATCH(#REF!,#REF!,0),0),0)</f>
        <v>0</v>
      </c>
      <c r="L17" s="6">
        <f>IFERROR(VLOOKUP($A17,[1]FINAL!$A$1:$BZ$1000,MATCH([1]FINAL!$BF$1,[1]FINAL!$A$1:$BZ$1,0),0),0)</f>
        <v>75</v>
      </c>
      <c r="M17" s="7">
        <f t="shared" si="2"/>
        <v>0.83333333333333337</v>
      </c>
      <c r="N17" s="6">
        <f>IFERROR(VLOOKUP($A17,#REF!,MATCH(#REF!,#REF!,0),0),0)</f>
        <v>0</v>
      </c>
      <c r="O17" s="7">
        <f t="shared" si="3"/>
        <v>0</v>
      </c>
      <c r="P17" s="10" t="str">
        <f>IFERROR(VLOOKUP($A17,[1]FINAL!$A$1:$BZ$1000,MATCH([1]FINAL!$BB$1,[1]FINAL!$A$1:$BZ$1,0),0),"")</f>
        <v/>
      </c>
      <c r="Q17" s="18">
        <f t="shared" si="4"/>
        <v>1</v>
      </c>
    </row>
    <row r="18" spans="1:17" x14ac:dyDescent="0.25">
      <c r="A18" s="14" t="str">
        <f>[1]FINAL!$A143</f>
        <v>Alisson Becker</v>
      </c>
      <c r="B18" s="20" t="str">
        <f>IFERROR(VLOOKUP($A18,[1]FINAL!$A$1:$Z$1000,MATCH([1]FINAL!$T$1,[1]FINAL!$A$1:$Z$1,0),0),"")</f>
        <v>GK</v>
      </c>
      <c r="C18" s="3" t="str">
        <f>IFERROR(VLOOKUP($A18,[1]FINAL!$A$1:$Z$1000,MATCH([1]FINAL!$U$1,[1]FINAL!$A$1:$Z$1,0),0),"")</f>
        <v>GK</v>
      </c>
      <c r="D18" s="3" t="str">
        <f>IFERROR(VLOOKUP($A18,[1]FINAL!$A$1:$Z$1000,MATCH([1]FINAL!$V$1,[1]FINAL!$A$1:$Z$1,0),0),"")</f>
        <v>LIV</v>
      </c>
      <c r="E18" s="6">
        <f t="shared" si="0"/>
        <v>210000</v>
      </c>
      <c r="F18" s="5">
        <f t="shared" si="1"/>
        <v>1</v>
      </c>
      <c r="G18" s="5">
        <f>IFERROR(IF(H18&lt;&gt;"",H18,VLOOKUP($A18,[1]FINAL!$A$1:$BZ$1000,MATCH([1]FINAL!$BL$1,[1]FINAL!$A$1:$BZ$1,0),0)),0)</f>
        <v>1</v>
      </c>
      <c r="I18" s="5">
        <f>IFERROR(IF(J18&lt;&gt;"",J18,(IF(VLOOKUP($A18,#REF!,MATCH(#REF!,#REF!,0),0)=0,G18,VLOOKUP($A18,#REF!,MATCH(#REF!,#REF!,0),0)))),G18)</f>
        <v>1</v>
      </c>
      <c r="K18" s="6">
        <f>IFERROR(VLOOKUP($A18,#REF!,MATCH(#REF!,#REF!,0),0),0)</f>
        <v>0</v>
      </c>
      <c r="L18" s="6">
        <f>IFERROR(VLOOKUP($A18,[1]FINAL!$A$1:$BZ$1000,MATCH([1]FINAL!$BF$1,[1]FINAL!$A$1:$BZ$1,0),0),0)</f>
        <v>90</v>
      </c>
      <c r="M18" s="7">
        <f t="shared" si="2"/>
        <v>1</v>
      </c>
      <c r="N18" s="6">
        <f>IFERROR(VLOOKUP($A18,#REF!,MATCH(#REF!,#REF!,0),0),0)</f>
        <v>0</v>
      </c>
      <c r="O18" s="7">
        <f t="shared" si="3"/>
        <v>0</v>
      </c>
      <c r="P18" s="10" t="str">
        <f>IFERROR(VLOOKUP($A18,[1]FINAL!$A$1:$BZ$1000,MATCH([1]FINAL!$BB$1,[1]FINAL!$A$1:$BZ$1,0),0),"")</f>
        <v/>
      </c>
      <c r="Q18" s="18">
        <f t="shared" si="4"/>
        <v>1</v>
      </c>
    </row>
    <row r="19" spans="1:17" x14ac:dyDescent="0.25">
      <c r="A19" s="14" t="str">
        <f>[1]FINAL!$A144</f>
        <v>Omari Hutchinson</v>
      </c>
      <c r="B19" s="20" t="str">
        <f>IFERROR(VLOOKUP($A19,[1]FINAL!$A$1:$Z$1000,MATCH([1]FINAL!$T$1,[1]FINAL!$A$1:$Z$1,0),0),"")</f>
        <v>MID</v>
      </c>
      <c r="C19" s="3" t="str">
        <f>IFERROR(VLOOKUP($A19,[1]FINAL!$A$1:$Z$1000,MATCH([1]FINAL!$U$1,[1]FINAL!$A$1:$Z$1,0),0),"")</f>
        <v>RW</v>
      </c>
      <c r="D19" s="3" t="str">
        <f>IFERROR(VLOOKUP($A19,[1]FINAL!$A$1:$Z$1000,MATCH([1]FINAL!$V$1,[1]FINAL!$A$1:$Z$1,0),0),"")</f>
        <v>NFO</v>
      </c>
      <c r="E19" s="6">
        <f t="shared" si="0"/>
        <v>103111.11111111111</v>
      </c>
      <c r="F19" s="5">
        <f t="shared" si="1"/>
        <v>0.47222222222222221</v>
      </c>
      <c r="G19" s="5">
        <f>IFERROR(IF(H19&lt;&gt;"",H19,VLOOKUP($A19,[1]FINAL!$A$1:$BZ$1000,MATCH([1]FINAL!$BL$1,[1]FINAL!$A$1:$BZ$1,0),0)),0)</f>
        <v>0.47222222222222221</v>
      </c>
      <c r="I19" s="5">
        <f>IFERROR(IF(J19&lt;&gt;"",J19,(IF(VLOOKUP($A19,#REF!,MATCH(#REF!,#REF!,0),0)=0,G19,VLOOKUP($A19,#REF!,MATCH(#REF!,#REF!,0),0)))),G19)</f>
        <v>0.47222222222222221</v>
      </c>
      <c r="K19" s="6">
        <f>IFERROR(VLOOKUP($A19,#REF!,MATCH(#REF!,#REF!,0),0),0)</f>
        <v>0</v>
      </c>
      <c r="L19" s="6">
        <f>IFERROR(VLOOKUP($A19,[1]FINAL!$A$1:$BZ$1000,MATCH([1]FINAL!$BF$1,[1]FINAL!$A$1:$BZ$1,0),0),0)</f>
        <v>78</v>
      </c>
      <c r="M19" s="7">
        <f t="shared" si="2"/>
        <v>0.8666666666666667</v>
      </c>
      <c r="N19" s="6">
        <f>IFERROR(VLOOKUP($A19,#REF!,MATCH(#REF!,#REF!,0),0),0)</f>
        <v>0</v>
      </c>
      <c r="O19" s="7">
        <f t="shared" si="3"/>
        <v>0</v>
      </c>
      <c r="P19" s="10" t="str">
        <f>IFERROR(VLOOKUP($A19,[1]FINAL!$A$1:$BZ$1000,MATCH([1]FINAL!$BB$1,[1]FINAL!$A$1:$BZ$1,0),0),"")</f>
        <v/>
      </c>
      <c r="Q19" s="18">
        <f t="shared" si="4"/>
        <v>1</v>
      </c>
    </row>
    <row r="20" spans="1:17" x14ac:dyDescent="0.25">
      <c r="A20" s="14" t="str">
        <f>[1]FINAL!$A178</f>
        <v>Tyrique George</v>
      </c>
      <c r="B20" s="20" t="str">
        <f>IFERROR(VLOOKUP($A20,[1]FINAL!$A$1:$Z$1000,MATCH([1]FINAL!$T$1,[1]FINAL!$A$1:$Z$1,0),0),"")</f>
        <v>MID</v>
      </c>
      <c r="C20" s="3" t="str">
        <f>IFERROR(VLOOKUP($A20,[1]FINAL!$A$1:$Z$1000,MATCH([1]FINAL!$U$1,[1]FINAL!$A$1:$Z$1,0),0),"")</f>
        <v>LW</v>
      </c>
      <c r="D20" s="3" t="str">
        <f>IFERROR(VLOOKUP($A20,[1]FINAL!$A$1:$Z$1000,MATCH([1]FINAL!$V$1,[1]FINAL!$A$1:$Z$1,0),0),"")</f>
        <v>EVE</v>
      </c>
      <c r="E20" s="6">
        <f t="shared" si="0"/>
        <v>22162.393162393164</v>
      </c>
      <c r="F20" s="5">
        <f t="shared" si="1"/>
        <v>7.6923076923076927E-2</v>
      </c>
      <c r="G20" s="5">
        <f>IFERROR(IF(H20&lt;&gt;"",H20,VLOOKUP($A20,[1]FINAL!$A$1:$BZ$1000,MATCH([1]FINAL!$BL$1,[1]FINAL!$A$1:$BZ$1,0),0)),0)</f>
        <v>7.6923076923076927E-2</v>
      </c>
      <c r="I20" s="5">
        <f>IFERROR(IF(J20&lt;&gt;"",J20,(IF(VLOOKUP($A20,#REF!,MATCH(#REF!,#REF!,0),0)=0,G20,VLOOKUP($A20,#REF!,MATCH(#REF!,#REF!,0),0)))),G20)</f>
        <v>7.6923076923076927E-2</v>
      </c>
      <c r="K20" s="6">
        <f>IFERROR(VLOOKUP($A20,#REF!,MATCH(#REF!,#REF!,0),0),0)</f>
        <v>0</v>
      </c>
      <c r="L20" s="6">
        <f>IFERROR(VLOOKUP($A20,[1]FINAL!$A$1:$BZ$1000,MATCH([1]FINAL!$BF$1,[1]FINAL!$A$1:$BZ$1,0),0),0)</f>
        <v>61</v>
      </c>
      <c r="M20" s="7">
        <f t="shared" si="2"/>
        <v>0.67777777777777781</v>
      </c>
      <c r="N20" s="6">
        <f>IFERROR(VLOOKUP($A20,#REF!,MATCH(#REF!,#REF!,0),0),0)</f>
        <v>0</v>
      </c>
      <c r="O20" s="7">
        <f t="shared" si="3"/>
        <v>0</v>
      </c>
      <c r="P20" s="10" t="str">
        <f>IFERROR(VLOOKUP($A20,[1]FINAL!$A$1:$BZ$1000,MATCH([1]FINAL!$BB$1,[1]FINAL!$A$1:$BZ$1,0),0),"")</f>
        <v/>
      </c>
      <c r="Q20" s="18">
        <f t="shared" si="4"/>
        <v>1</v>
      </c>
    </row>
    <row r="21" spans="1:17" x14ac:dyDescent="0.25">
      <c r="A21" s="14" t="str">
        <f>[1]FINAL!$A194</f>
        <v>Jamie Bynoe-Gittens</v>
      </c>
      <c r="B21" s="20" t="str">
        <f>IFERROR(VLOOKUP($A21,[1]FINAL!$A$1:$Z$1000,MATCH([1]FINAL!$T$1,[1]FINAL!$A$1:$Z$1,0),0),"")</f>
        <v>MID</v>
      </c>
      <c r="C21" s="3" t="str">
        <f>IFERROR(VLOOKUP($A21,[1]FINAL!$A$1:$Z$1000,MATCH([1]FINAL!$U$1,[1]FINAL!$A$1:$Z$1,0),0),"")</f>
        <v>LW</v>
      </c>
      <c r="D21" s="3" t="str">
        <f>IFERROR(VLOOKUP($A21,[1]FINAL!$A$1:$Z$1000,MATCH([1]FINAL!$V$1,[1]FINAL!$A$1:$Z$1,0),0),"")</f>
        <v>CHE</v>
      </c>
      <c r="E21" s="6">
        <f t="shared" si="0"/>
        <v>51787.878787878792</v>
      </c>
      <c r="F21" s="5">
        <f t="shared" si="1"/>
        <v>0.22727272727272727</v>
      </c>
      <c r="G21" s="5">
        <f>IFERROR(IF(H21&lt;&gt;"",H21,VLOOKUP($A21,[1]FINAL!$A$1:$BZ$1000,MATCH([1]FINAL!$BL$1,[1]FINAL!$A$1:$BZ$1,0),0)),0)</f>
        <v>0.22727272727272727</v>
      </c>
      <c r="I21" s="5">
        <f>IFERROR(IF(J21&lt;&gt;"",J21,(IF(VLOOKUP($A21,#REF!,MATCH(#REF!,#REF!,0),0)=0,G21,VLOOKUP($A21,#REF!,MATCH(#REF!,#REF!,0),0)))),G21)</f>
        <v>0.22727272727272727</v>
      </c>
      <c r="K21" s="6">
        <f>IFERROR(VLOOKUP($A21,#REF!,MATCH(#REF!,#REF!,0),0),0)</f>
        <v>0</v>
      </c>
      <c r="L21" s="6">
        <f>IFERROR(VLOOKUP($A21,[1]FINAL!$A$1:$BZ$1000,MATCH([1]FINAL!$BF$1,[1]FINAL!$A$1:$BZ$1,0),0),0)</f>
        <v>57</v>
      </c>
      <c r="M21" s="7">
        <f t="shared" si="2"/>
        <v>0.6333333333333333</v>
      </c>
      <c r="N21" s="6">
        <f>IFERROR(VLOOKUP($A21,#REF!,MATCH(#REF!,#REF!,0),0),0)</f>
        <v>0</v>
      </c>
      <c r="O21" s="7">
        <f t="shared" si="3"/>
        <v>0</v>
      </c>
      <c r="P21" s="10" t="str">
        <f>IFERROR(VLOOKUP($A21,[1]FINAL!$A$1:$BZ$1000,MATCH([1]FINAL!$BB$1,[1]FINAL!$A$1:$BZ$1,0),0),"")</f>
        <v/>
      </c>
      <c r="Q21" s="18">
        <f t="shared" si="4"/>
        <v>1</v>
      </c>
    </row>
    <row r="22" spans="1:17" x14ac:dyDescent="0.25">
      <c r="A22" s="14" t="str">
        <f>[1]FINAL!$A199</f>
        <v>Tyrone Mings</v>
      </c>
      <c r="B22" s="20" t="str">
        <f>IFERROR(VLOOKUP($A22,[1]FINAL!$A$1:$Z$1000,MATCH([1]FINAL!$T$1,[1]FINAL!$A$1:$Z$1,0),0),"")</f>
        <v>DEF</v>
      </c>
      <c r="C22" s="3" t="str">
        <f>IFERROR(VLOOKUP($A22,[1]FINAL!$A$1:$Z$1000,MATCH([1]FINAL!$U$1,[1]FINAL!$A$1:$Z$1,0),0),"")</f>
        <v>CB</v>
      </c>
      <c r="D22" s="3" t="str">
        <f>IFERROR(VLOOKUP($A22,[1]FINAL!$A$1:$Z$1000,MATCH([1]FINAL!$V$1,[1]FINAL!$A$1:$Z$1,0),0),"")</f>
        <v>AVL</v>
      </c>
      <c r="E22" s="6">
        <f t="shared" si="0"/>
        <v>139990.33816425121</v>
      </c>
      <c r="F22" s="5">
        <f t="shared" si="1"/>
        <v>0.65217391304347827</v>
      </c>
      <c r="G22" s="5">
        <f>IFERROR(IF(H22&lt;&gt;"",H22,VLOOKUP($A22,[1]FINAL!$A$1:$BZ$1000,MATCH([1]FINAL!$BL$1,[1]FINAL!$A$1:$BZ$1,0),0)),0)</f>
        <v>0.65217391304347827</v>
      </c>
      <c r="I22" s="5">
        <f>IFERROR(IF(J22&lt;&gt;"",J22,(IF(VLOOKUP($A22,#REF!,MATCH(#REF!,#REF!,0),0)=0,G22,VLOOKUP($A22,#REF!,MATCH(#REF!,#REF!,0),0)))),G22)</f>
        <v>0.65217391304347827</v>
      </c>
      <c r="K22" s="6">
        <f>IFERROR(VLOOKUP($A22,#REF!,MATCH(#REF!,#REF!,0),0),0)</f>
        <v>0</v>
      </c>
      <c r="L22" s="6">
        <f>IFERROR(VLOOKUP($A22,[1]FINAL!$A$1:$BZ$1000,MATCH([1]FINAL!$BF$1,[1]FINAL!$A$1:$BZ$1,0),0),0)</f>
        <v>86</v>
      </c>
      <c r="M22" s="7">
        <f t="shared" si="2"/>
        <v>0.9555555555555556</v>
      </c>
      <c r="N22" s="6">
        <f>IFERROR(VLOOKUP($A22,#REF!,MATCH(#REF!,#REF!,0),0),0)</f>
        <v>0</v>
      </c>
      <c r="O22" s="7">
        <f t="shared" si="3"/>
        <v>0</v>
      </c>
      <c r="P22" s="10" t="str">
        <f>IFERROR(VLOOKUP($A22,[1]FINAL!$A$1:$BZ$1000,MATCH([1]FINAL!$BB$1,[1]FINAL!$A$1:$BZ$1,0),0),"")</f>
        <v/>
      </c>
      <c r="Q22" s="18">
        <f t="shared" si="4"/>
        <v>1</v>
      </c>
    </row>
    <row r="23" spans="1:17" x14ac:dyDescent="0.25">
      <c r="A23" s="14" t="str">
        <f>[1]FINAL!$A220</f>
        <v>Fabian Schär</v>
      </c>
      <c r="B23" s="20" t="str">
        <f>IFERROR(VLOOKUP($A23,[1]FINAL!$A$1:$Z$1000,MATCH([1]FINAL!$T$1,[1]FINAL!$A$1:$Z$1,0),0),"")</f>
        <v>DEF</v>
      </c>
      <c r="C23" s="3" t="str">
        <f>IFERROR(VLOOKUP($A23,[1]FINAL!$A$1:$Z$1000,MATCH([1]FINAL!$U$1,[1]FINAL!$A$1:$Z$1,0),0),"")</f>
        <v>CB</v>
      </c>
      <c r="D23" s="3" t="str">
        <f>IFERROR(VLOOKUP($A23,[1]FINAL!$A$1:$Z$1000,MATCH([1]FINAL!$V$1,[1]FINAL!$A$1:$Z$1,0),0),"")</f>
        <v>NEW</v>
      </c>
      <c r="E23" s="6">
        <f t="shared" si="0"/>
        <v>94175.438596491236</v>
      </c>
      <c r="F23" s="5">
        <f t="shared" si="1"/>
        <v>0.43421052631578949</v>
      </c>
      <c r="G23" s="5">
        <f>IFERROR(IF(H23&lt;&gt;"",H23,VLOOKUP($A23,[1]FINAL!$A$1:$BZ$1000,MATCH([1]FINAL!$BL$1,[1]FINAL!$A$1:$BZ$1,0),0)),0)</f>
        <v>0.57894736842105265</v>
      </c>
      <c r="I23" s="5">
        <f>IFERROR(IF(J23&lt;&gt;"",J23,(IF(VLOOKUP($A23,#REF!,MATCH(#REF!,#REF!,0),0)=0,G23,VLOOKUP($A23,#REF!,MATCH(#REF!,#REF!,0),0)))),G23)</f>
        <v>0.57894736842105265</v>
      </c>
      <c r="K23" s="6">
        <f>IFERROR(VLOOKUP($A23,#REF!,MATCH(#REF!,#REF!,0),0),0)</f>
        <v>0</v>
      </c>
      <c r="L23" s="6">
        <f>IFERROR(VLOOKUP($A23,[1]FINAL!$A$1:$BZ$1000,MATCH([1]FINAL!$BF$1,[1]FINAL!$A$1:$BZ$1,0),0),0)</f>
        <v>88</v>
      </c>
      <c r="M23" s="7">
        <f t="shared" si="2"/>
        <v>0.97777777777777775</v>
      </c>
      <c r="N23" s="6">
        <f>IFERROR(VLOOKUP($A23,#REF!,MATCH(#REF!,#REF!,0),0),0)</f>
        <v>0</v>
      </c>
      <c r="O23" s="7">
        <f t="shared" si="3"/>
        <v>0</v>
      </c>
      <c r="P23" s="10">
        <f>IFERROR(VLOOKUP($A23,[1]FINAL!$A$1:$BZ$1000,MATCH([1]FINAL!$BB$1,[1]FINAL!$A$1:$BZ$1,0),0),"")</f>
        <v>75</v>
      </c>
      <c r="Q23" s="18">
        <f t="shared" si="4"/>
        <v>0.75</v>
      </c>
    </row>
    <row r="24" spans="1:17" x14ac:dyDescent="0.25">
      <c r="A24" s="14" t="str">
        <f>[1]FINAL!$A221</f>
        <v>Gabriel Gudmundsson</v>
      </c>
      <c r="B24" s="20" t="str">
        <f>IFERROR(VLOOKUP($A24,[1]FINAL!$A$1:$Z$1000,MATCH([1]FINAL!$T$1,[1]FINAL!$A$1:$Z$1,0),0),"")</f>
        <v>DEF</v>
      </c>
      <c r="C24" s="3" t="str">
        <f>IFERROR(VLOOKUP($A24,[1]FINAL!$A$1:$Z$1000,MATCH([1]FINAL!$U$1,[1]FINAL!$A$1:$Z$1,0),0),"")</f>
        <v>LB</v>
      </c>
      <c r="D24" s="3" t="str">
        <f>IFERROR(VLOOKUP($A24,[1]FINAL!$A$1:$Z$1000,MATCH([1]FINAL!$V$1,[1]FINAL!$A$1:$Z$1,0),0),"")</f>
        <v>LEE</v>
      </c>
      <c r="E24" s="6">
        <f t="shared" si="0"/>
        <v>203083.33333333334</v>
      </c>
      <c r="F24" s="5">
        <f t="shared" si="1"/>
        <v>0.96875</v>
      </c>
      <c r="G24" s="5">
        <f>IFERROR(IF(H24&lt;&gt;"",H24,VLOOKUP($A24,[1]FINAL!$A$1:$BZ$1000,MATCH([1]FINAL!$BL$1,[1]FINAL!$A$1:$BZ$1,0),0)),0)</f>
        <v>0.96875</v>
      </c>
      <c r="I24" s="5">
        <f>IFERROR(IF(J24&lt;&gt;"",J24,(IF(VLOOKUP($A24,#REF!,MATCH(#REF!,#REF!,0),0)=0,G24,VLOOKUP($A24,#REF!,MATCH(#REF!,#REF!,0),0)))),G24)</f>
        <v>0.96875</v>
      </c>
      <c r="K24" s="6">
        <f>IFERROR(VLOOKUP($A24,#REF!,MATCH(#REF!,#REF!,0),0),0)</f>
        <v>0</v>
      </c>
      <c r="L24" s="6">
        <f>IFERROR(VLOOKUP($A24,[1]FINAL!$A$1:$BZ$1000,MATCH([1]FINAL!$BF$1,[1]FINAL!$A$1:$BZ$1,0),0),0)</f>
        <v>84</v>
      </c>
      <c r="M24" s="7">
        <f t="shared" si="2"/>
        <v>0.93333333333333335</v>
      </c>
      <c r="N24" s="6">
        <f>IFERROR(VLOOKUP($A24,#REF!,MATCH(#REF!,#REF!,0),0),0)</f>
        <v>0</v>
      </c>
      <c r="O24" s="7">
        <f t="shared" si="3"/>
        <v>0</v>
      </c>
      <c r="P24" s="10" t="str">
        <f>IFERROR(VLOOKUP($A24,[1]FINAL!$A$1:$BZ$1000,MATCH([1]FINAL!$BB$1,[1]FINAL!$A$1:$BZ$1,0),0),"")</f>
        <v/>
      </c>
      <c r="Q24" s="18">
        <f t="shared" si="4"/>
        <v>1</v>
      </c>
    </row>
    <row r="25" spans="1:17" x14ac:dyDescent="0.25">
      <c r="A25" s="14" t="str">
        <f>[1]FINAL!$A222</f>
        <v>Christantus Uche</v>
      </c>
      <c r="B25" s="20" t="str">
        <f>IFERROR(VLOOKUP($A25,[1]FINAL!$A$1:$Z$1000,MATCH([1]FINAL!$T$1,[1]FINAL!$A$1:$Z$1,0),0),"")</f>
        <v>FWD</v>
      </c>
      <c r="C25" s="3" t="str">
        <f>IFERROR(VLOOKUP($A25,[1]FINAL!$A$1:$Z$1000,MATCH([1]FINAL!$U$1,[1]FINAL!$A$1:$Z$1,0),0),"")</f>
        <v/>
      </c>
      <c r="D25" s="3" t="str">
        <f>IFERROR(VLOOKUP($A25,[1]FINAL!$A$1:$Z$1000,MATCH([1]FINAL!$V$1,[1]FINAL!$A$1:$Z$1,0),0),"")</f>
        <v>CRY</v>
      </c>
      <c r="E25" s="6">
        <f t="shared" si="0"/>
        <v>0</v>
      </c>
      <c r="F25" s="5">
        <f t="shared" si="1"/>
        <v>0</v>
      </c>
      <c r="G25" s="5">
        <f>IFERROR(IF(H25&lt;&gt;"",H25,VLOOKUP($A25,[1]FINAL!$A$1:$BZ$1000,MATCH([1]FINAL!$BL$1,[1]FINAL!$A$1:$BZ$1,0),0)),0)</f>
        <v>0</v>
      </c>
      <c r="I25" s="5">
        <f>IFERROR(IF(J25&lt;&gt;"",J25,(IF(VLOOKUP($A25,#REF!,MATCH(#REF!,#REF!,0),0)=0,G25,VLOOKUP($A25,#REF!,MATCH(#REF!,#REF!,0),0)))),G25)</f>
        <v>0</v>
      </c>
      <c r="K25" s="6">
        <f>IFERROR(VLOOKUP($A25,#REF!,MATCH(#REF!,#REF!,0),0),0)</f>
        <v>0</v>
      </c>
      <c r="L25" s="6">
        <f>IFERROR(VLOOKUP($A25,[1]FINAL!$A$1:$BZ$1000,MATCH([1]FINAL!$BF$1,[1]FINAL!$A$1:$BZ$1,0),0),0)</f>
        <v>0</v>
      </c>
      <c r="M25" s="7">
        <f t="shared" si="2"/>
        <v>0</v>
      </c>
      <c r="N25" s="6">
        <f>IFERROR(VLOOKUP($A25,#REF!,MATCH(#REF!,#REF!,0),0),0)</f>
        <v>0</v>
      </c>
      <c r="O25" s="7">
        <f t="shared" si="3"/>
        <v>0</v>
      </c>
      <c r="P25" s="10">
        <f>IFERROR(VLOOKUP($A25,[1]FINAL!$A$1:$BZ$1000,MATCH([1]FINAL!$BB$1,[1]FINAL!$A$1:$BZ$1,0),0),"")</f>
        <v>0</v>
      </c>
      <c r="Q25" s="18">
        <f t="shared" si="4"/>
        <v>1E-4</v>
      </c>
    </row>
    <row r="26" spans="1:17" x14ac:dyDescent="0.25">
      <c r="A26" s="14" t="str">
        <f>[1]FINAL!$A228</f>
        <v>Ethan Nwaneri</v>
      </c>
      <c r="B26" s="20" t="str">
        <f>IFERROR(VLOOKUP($A26,[1]FINAL!$A$1:$Z$1000,MATCH([1]FINAL!$T$1,[1]FINAL!$A$1:$Z$1,0),0),"")</f>
        <v>MID</v>
      </c>
      <c r="C26" s="3" t="str">
        <f>IFERROR(VLOOKUP($A26,[1]FINAL!$A$1:$Z$1000,MATCH([1]FINAL!$U$1,[1]FINAL!$A$1:$Z$1,0),0),"")</f>
        <v>AM</v>
      </c>
      <c r="D26" s="3" t="str">
        <f>IFERROR(VLOOKUP($A26,[1]FINAL!$A$1:$Z$1000,MATCH([1]FINAL!$V$1,[1]FINAL!$A$1:$Z$1,0),0),"")</f>
        <v>ARS</v>
      </c>
      <c r="E26" s="6">
        <f t="shared" si="0"/>
        <v>0</v>
      </c>
      <c r="F26" s="5">
        <f t="shared" si="1"/>
        <v>0</v>
      </c>
      <c r="G26" s="5">
        <f>IFERROR(IF(H26&lt;&gt;"",H26,VLOOKUP($A26,[1]FINAL!$A$1:$BZ$1000,MATCH([1]FINAL!$BL$1,[1]FINAL!$A$1:$BZ$1,0),0)),0)</f>
        <v>0</v>
      </c>
      <c r="I26" s="5">
        <f>IFERROR(IF(J26&lt;&gt;"",J26,(IF(VLOOKUP($A26,#REF!,MATCH(#REF!,#REF!,0),0)=0,G26,VLOOKUP($A26,#REF!,MATCH(#REF!,#REF!,0),0)))),G26)</f>
        <v>0</v>
      </c>
      <c r="K26" s="6">
        <f>IFERROR(VLOOKUP($A26,#REF!,MATCH(#REF!,#REF!,0),0),0)</f>
        <v>0</v>
      </c>
      <c r="L26" s="6">
        <f>IFERROR(VLOOKUP($A26,[1]FINAL!$A$1:$BZ$1000,MATCH([1]FINAL!$BF$1,[1]FINAL!$A$1:$BZ$1,0),0),0)</f>
        <v>0</v>
      </c>
      <c r="M26" s="7">
        <f t="shared" si="2"/>
        <v>0</v>
      </c>
      <c r="N26" s="6">
        <f>IFERROR(VLOOKUP($A26,#REF!,MATCH(#REF!,#REF!,0),0),0)</f>
        <v>0</v>
      </c>
      <c r="O26" s="7">
        <f t="shared" si="3"/>
        <v>0</v>
      </c>
      <c r="P26" s="10" t="str">
        <f>IFERROR(VLOOKUP($A26,[1]FINAL!$A$1:$BZ$1000,MATCH([1]FINAL!$BB$1,[1]FINAL!$A$1:$BZ$1,0),0),"")</f>
        <v/>
      </c>
      <c r="Q26" s="18">
        <f t="shared" si="4"/>
        <v>1</v>
      </c>
    </row>
    <row r="27" spans="1:17" x14ac:dyDescent="0.25">
      <c r="A27" s="14" t="str">
        <f>[1]FINAL!$A235</f>
        <v>Pau Torres</v>
      </c>
      <c r="B27" s="20" t="str">
        <f>IFERROR(VLOOKUP($A27,[1]FINAL!$A$1:$Z$1000,MATCH([1]FINAL!$T$1,[1]FINAL!$A$1:$Z$1,0),0),"")</f>
        <v>DEF</v>
      </c>
      <c r="C27" s="3" t="str">
        <f>IFERROR(VLOOKUP($A27,[1]FINAL!$A$1:$Z$1000,MATCH([1]FINAL!$U$1,[1]FINAL!$A$1:$Z$1,0),0),"")</f>
        <v>CB</v>
      </c>
      <c r="D27" s="3" t="str">
        <f>IFERROR(VLOOKUP($A27,[1]FINAL!$A$1:$Z$1000,MATCH([1]FINAL!$V$1,[1]FINAL!$A$1:$Z$1,0),0),"")</f>
        <v>AVL</v>
      </c>
      <c r="E27" s="6">
        <f t="shared" si="0"/>
        <v>122277.77777777778</v>
      </c>
      <c r="F27" s="5">
        <f t="shared" si="1"/>
        <v>0.5625</v>
      </c>
      <c r="G27" s="5">
        <f>IFERROR(IF(H27&lt;&gt;"",H27,VLOOKUP($A27,[1]FINAL!$A$1:$BZ$1000,MATCH([1]FINAL!$BL$1,[1]FINAL!$A$1:$BZ$1,0),0)),0)</f>
        <v>0.5625</v>
      </c>
      <c r="I27" s="5">
        <f>IFERROR(IF(J27&lt;&gt;"",J27,(IF(VLOOKUP($A27,#REF!,MATCH(#REF!,#REF!,0),0)=0,G27,VLOOKUP($A27,#REF!,MATCH(#REF!,#REF!,0),0)))),G27)</f>
        <v>0.5625</v>
      </c>
      <c r="K27" s="6">
        <f>IFERROR(VLOOKUP($A27,#REF!,MATCH(#REF!,#REF!,0),0),0)</f>
        <v>0</v>
      </c>
      <c r="L27" s="6">
        <f>IFERROR(VLOOKUP($A27,[1]FINAL!$A$1:$BZ$1000,MATCH([1]FINAL!$BF$1,[1]FINAL!$A$1:$BZ$1,0),0),0)</f>
        <v>88</v>
      </c>
      <c r="M27" s="7">
        <f t="shared" si="2"/>
        <v>0.97777777777777775</v>
      </c>
      <c r="N27" s="6">
        <f>IFERROR(VLOOKUP($A27,#REF!,MATCH(#REF!,#REF!,0),0),0)</f>
        <v>0</v>
      </c>
      <c r="O27" s="7">
        <f t="shared" si="3"/>
        <v>0</v>
      </c>
      <c r="P27" s="10" t="str">
        <f>IFERROR(VLOOKUP($A27,[1]FINAL!$A$1:$BZ$1000,MATCH([1]FINAL!$BB$1,[1]FINAL!$A$1:$BZ$1,0),0),"")</f>
        <v/>
      </c>
      <c r="Q27" s="18">
        <f t="shared" si="4"/>
        <v>1</v>
      </c>
    </row>
    <row r="28" spans="1:17" x14ac:dyDescent="0.25">
      <c r="A28" s="14" t="str">
        <f>[1]FINAL!$A316</f>
        <v>Jonah Kusi-Asare</v>
      </c>
      <c r="B28" s="20" t="str">
        <f>IFERROR(VLOOKUP($A28,[1]FINAL!$A$1:$Z$1000,MATCH([1]FINAL!$T$1,[1]FINAL!$A$1:$Z$1,0),0),"")</f>
        <v>FWD</v>
      </c>
      <c r="C28" s="3" t="str">
        <f>IFERROR(VLOOKUP($A28,[1]FINAL!$A$1:$Z$1000,MATCH([1]FINAL!$U$1,[1]FINAL!$A$1:$Z$1,0),0),"")</f>
        <v>CF</v>
      </c>
      <c r="D28" s="3" t="str">
        <f>IFERROR(VLOOKUP($A28,[1]FINAL!$A$1:$Z$1000,MATCH([1]FINAL!$V$1,[1]FINAL!$A$1:$Z$1,0),0),"")</f>
        <v>FUL</v>
      </c>
      <c r="E28" s="6">
        <f t="shared" si="0"/>
        <v>0</v>
      </c>
      <c r="F28" s="5">
        <f t="shared" si="1"/>
        <v>0</v>
      </c>
      <c r="G28" s="5">
        <f>IFERROR(IF(H28&lt;&gt;"",H28,VLOOKUP($A28,[1]FINAL!$A$1:$BZ$1000,MATCH([1]FINAL!$BL$1,[1]FINAL!$A$1:$BZ$1,0),0)),0)</f>
        <v>0</v>
      </c>
      <c r="I28" s="5">
        <f>IFERROR(IF(J28&lt;&gt;"",J28,(IF(VLOOKUP($A28,#REF!,MATCH(#REF!,#REF!,0),0)=0,G28,VLOOKUP($A28,#REF!,MATCH(#REF!,#REF!,0),0)))),G28)</f>
        <v>0</v>
      </c>
      <c r="K28" s="6">
        <f>IFERROR(VLOOKUP($A28,#REF!,MATCH(#REF!,#REF!,0),0),0)</f>
        <v>0</v>
      </c>
      <c r="L28" s="6">
        <f>IFERROR(VLOOKUP($A28,[1]FINAL!$A$1:$BZ$1000,MATCH([1]FINAL!$BF$1,[1]FINAL!$A$1:$BZ$1,0),0),0)</f>
        <v>0</v>
      </c>
      <c r="M28" s="7">
        <f t="shared" si="2"/>
        <v>0</v>
      </c>
      <c r="N28" s="6">
        <f>IFERROR(VLOOKUP($A28,#REF!,MATCH(#REF!,#REF!,0),0),0)</f>
        <v>0</v>
      </c>
      <c r="O28" s="7">
        <f t="shared" si="3"/>
        <v>0</v>
      </c>
      <c r="P28" s="10" t="str">
        <f>IFERROR(VLOOKUP($A28,[1]FINAL!$A$1:$BZ$1000,MATCH([1]FINAL!$BB$1,[1]FINAL!$A$1:$BZ$1,0),0),"")</f>
        <v/>
      </c>
      <c r="Q28" s="18">
        <f t="shared" si="4"/>
        <v>1</v>
      </c>
    </row>
    <row r="29" spans="1:17" x14ac:dyDescent="0.25">
      <c r="A29" s="14" t="str">
        <f>[1]FINAL!$A344</f>
        <v>Loum Tchaouna</v>
      </c>
      <c r="B29" s="20" t="str">
        <f>IFERROR(VLOOKUP($A29,[1]FINAL!$A$1:$Z$1000,MATCH([1]FINAL!$T$1,[1]FINAL!$A$1:$Z$1,0),0),"")</f>
        <v>MID</v>
      </c>
      <c r="C29" s="3" t="str">
        <f>IFERROR(VLOOKUP($A29,[1]FINAL!$A$1:$Z$1000,MATCH([1]FINAL!$U$1,[1]FINAL!$A$1:$Z$1,0),0),"")</f>
        <v>RW</v>
      </c>
      <c r="D29" s="3" t="str">
        <f>IFERROR(VLOOKUP($A29,[1]FINAL!$A$1:$Z$1000,MATCH([1]FINAL!$V$1,[1]FINAL!$A$1:$Z$1,0),0),"")</f>
        <v>COV</v>
      </c>
      <c r="E29" s="6">
        <f t="shared" si="0"/>
        <v>81573.099415204677</v>
      </c>
      <c r="F29" s="5">
        <f t="shared" si="1"/>
        <v>0.36842105263157893</v>
      </c>
      <c r="G29" s="5">
        <f>IFERROR(IF(H29&lt;&gt;"",H29,VLOOKUP($A29,[1]FINAL!$A$1:$BZ$1000,MATCH([1]FINAL!$BL$1,[1]FINAL!$A$1:$BZ$1,0),0)),0)</f>
        <v>0.36842105263157893</v>
      </c>
      <c r="I29" s="5">
        <f>IFERROR(IF(J29&lt;&gt;"",J29,(IF(VLOOKUP($A29,#REF!,MATCH(#REF!,#REF!,0),0)=0,G29,VLOOKUP($A29,#REF!,MATCH(#REF!,#REF!,0),0)))),G29)</f>
        <v>0.36842105263157893</v>
      </c>
      <c r="K29" s="6">
        <f>IFERROR(VLOOKUP($A29,#REF!,MATCH(#REF!,#REF!,0),0),0)</f>
        <v>0</v>
      </c>
      <c r="L29" s="6">
        <f>IFERROR(VLOOKUP($A29,[1]FINAL!$A$1:$BZ$1000,MATCH([1]FINAL!$BF$1,[1]FINAL!$A$1:$BZ$1,0),0),0)</f>
        <v>71</v>
      </c>
      <c r="M29" s="7">
        <f t="shared" si="2"/>
        <v>0.78888888888888886</v>
      </c>
      <c r="N29" s="6">
        <f>IFERROR(VLOOKUP($A29,#REF!,MATCH(#REF!,#REF!,0),0),0)</f>
        <v>0</v>
      </c>
      <c r="O29" s="7">
        <f t="shared" si="3"/>
        <v>0</v>
      </c>
      <c r="P29" s="10" t="str">
        <f>IFERROR(VLOOKUP($A29,[1]FINAL!$A$1:$BZ$1000,MATCH([1]FINAL!$BB$1,[1]FINAL!$A$1:$BZ$1,0),0),"")</f>
        <v/>
      </c>
      <c r="Q29" s="18">
        <f t="shared" si="4"/>
        <v>1</v>
      </c>
    </row>
    <row r="30" spans="1:17" x14ac:dyDescent="0.25">
      <c r="A30" s="14" t="str">
        <f>[1]FINAL!$A356</f>
        <v>Will Hughes</v>
      </c>
      <c r="B30" s="20" t="str">
        <f>IFERROR(VLOOKUP($A30,[1]FINAL!$A$1:$Z$1000,MATCH([1]FINAL!$T$1,[1]FINAL!$A$1:$Z$1,0),0),"")</f>
        <v>MID</v>
      </c>
      <c r="C30" s="3" t="str">
        <f>IFERROR(VLOOKUP($A30,[1]FINAL!$A$1:$Z$1000,MATCH([1]FINAL!$U$1,[1]FINAL!$A$1:$Z$1,0),0),"")</f>
        <v>CM</v>
      </c>
      <c r="D30" s="3" t="str">
        <f>IFERROR(VLOOKUP($A30,[1]FINAL!$A$1:$Z$1000,MATCH([1]FINAL!$V$1,[1]FINAL!$A$1:$Z$1,0),0),"")</f>
        <v>CRY</v>
      </c>
      <c r="E30" s="6">
        <f t="shared" si="0"/>
        <v>110813.8138138138</v>
      </c>
      <c r="F30" s="5">
        <f t="shared" si="1"/>
        <v>0.51351351351351349</v>
      </c>
      <c r="G30" s="5">
        <f>IFERROR(IF(H30&lt;&gt;"",H30,VLOOKUP($A30,[1]FINAL!$A$1:$BZ$1000,MATCH([1]FINAL!$BL$1,[1]FINAL!$A$1:$BZ$1,0),0)),0)</f>
        <v>0.51351351351351349</v>
      </c>
      <c r="I30" s="5">
        <f>IFERROR(IF(J30&lt;&gt;"",J30,(IF(VLOOKUP($A30,#REF!,MATCH(#REF!,#REF!,0),0)=0,G30,VLOOKUP($A30,#REF!,MATCH(#REF!,#REF!,0),0)))),G30)</f>
        <v>0.51351351351351349</v>
      </c>
      <c r="K30" s="6">
        <f>IFERROR(VLOOKUP($A30,#REF!,MATCH(#REF!,#REF!,0),0),0)</f>
        <v>0</v>
      </c>
      <c r="L30" s="6">
        <f>IFERROR(VLOOKUP($A30,[1]FINAL!$A$1:$BZ$1000,MATCH([1]FINAL!$BF$1,[1]FINAL!$A$1:$BZ$1,0),0),0)</f>
        <v>73</v>
      </c>
      <c r="M30" s="7">
        <f t="shared" si="2"/>
        <v>0.81111111111111112</v>
      </c>
      <c r="N30" s="6">
        <f>IFERROR(VLOOKUP($A30,#REF!,MATCH(#REF!,#REF!,0),0),0)</f>
        <v>0</v>
      </c>
      <c r="O30" s="7">
        <f t="shared" si="3"/>
        <v>0</v>
      </c>
      <c r="P30" s="10" t="str">
        <f>IFERROR(VLOOKUP($A30,[1]FINAL!$A$1:$BZ$1000,MATCH([1]FINAL!$BB$1,[1]FINAL!$A$1:$BZ$1,0),0),"")</f>
        <v/>
      </c>
      <c r="Q30" s="18">
        <f t="shared" si="4"/>
        <v>1</v>
      </c>
    </row>
    <row r="31" spans="1:17" x14ac:dyDescent="0.25">
      <c r="A31" s="14" t="str">
        <f>[1]FINAL!$A376</f>
        <v>Reinildo Mandava</v>
      </c>
      <c r="B31" s="20" t="str">
        <f>IFERROR(VLOOKUP($A31,[1]FINAL!$A$1:$Z$1000,MATCH([1]FINAL!$T$1,[1]FINAL!$A$1:$Z$1,0),0),"")</f>
        <v>DEF</v>
      </c>
      <c r="C31" s="3" t="str">
        <f>IFERROR(VLOOKUP($A31,[1]FINAL!$A$1:$Z$1000,MATCH([1]FINAL!$U$1,[1]FINAL!$A$1:$Z$1,0),0),"")</f>
        <v>LB</v>
      </c>
      <c r="D31" s="3" t="str">
        <f>IFERROR(VLOOKUP($A31,[1]FINAL!$A$1:$Z$1000,MATCH([1]FINAL!$V$1,[1]FINAL!$A$1:$Z$1,0),0),"")</f>
        <v>SUN</v>
      </c>
      <c r="E31" s="6">
        <f t="shared" si="0"/>
        <v>193222.22222222222</v>
      </c>
      <c r="F31" s="5">
        <f t="shared" si="1"/>
        <v>0.92</v>
      </c>
      <c r="G31" s="5">
        <f>IFERROR(IF(H31&lt;&gt;"",H31,VLOOKUP($A31,[1]FINAL!$A$1:$BZ$1000,MATCH([1]FINAL!$BL$1,[1]FINAL!$A$1:$BZ$1,0),0)),0)</f>
        <v>0.92</v>
      </c>
      <c r="I31" s="5">
        <f>IFERROR(IF(J31&lt;&gt;"",J31,(IF(VLOOKUP($A31,#REF!,MATCH(#REF!,#REF!,0),0)=0,G31,VLOOKUP($A31,#REF!,MATCH(#REF!,#REF!,0),0)))),G31)</f>
        <v>0.92</v>
      </c>
      <c r="K31" s="6">
        <f>IFERROR(VLOOKUP($A31,#REF!,MATCH(#REF!,#REF!,0),0),0)</f>
        <v>0</v>
      </c>
      <c r="L31" s="6">
        <f>IFERROR(VLOOKUP($A31,[1]FINAL!$A$1:$BZ$1000,MATCH([1]FINAL!$BF$1,[1]FINAL!$A$1:$BZ$1,0),0),0)</f>
        <v>83</v>
      </c>
      <c r="M31" s="7">
        <f t="shared" si="2"/>
        <v>0.92222222222222228</v>
      </c>
      <c r="N31" s="6">
        <f>IFERROR(VLOOKUP($A31,#REF!,MATCH(#REF!,#REF!,0),0),0)</f>
        <v>0</v>
      </c>
      <c r="O31" s="7">
        <f t="shared" si="3"/>
        <v>0</v>
      </c>
      <c r="P31" s="10" t="str">
        <f>IFERROR(VLOOKUP($A31,[1]FINAL!$A$1:$BZ$1000,MATCH([1]FINAL!$BB$1,[1]FINAL!$A$1:$BZ$1,0),0),"")</f>
        <v/>
      </c>
      <c r="Q31" s="18">
        <f t="shared" si="4"/>
        <v>1</v>
      </c>
    </row>
    <row r="32" spans="1:17" x14ac:dyDescent="0.25">
      <c r="A32" s="14" t="str">
        <f>[1]FINAL!$A379</f>
        <v>Joao Gomes</v>
      </c>
      <c r="B32" s="20" t="str">
        <f>IFERROR(VLOOKUP($A32,[1]FINAL!$A$1:$Z$1000,MATCH([1]FINAL!$T$1,[1]FINAL!$A$1:$Z$1,0),0),"")</f>
        <v>MID</v>
      </c>
      <c r="C32" s="3" t="str">
        <f>IFERROR(VLOOKUP($A32,[1]FINAL!$A$1:$Z$1000,MATCH([1]FINAL!$U$1,[1]FINAL!$A$1:$Z$1,0),0),"")</f>
        <v/>
      </c>
      <c r="D32" s="3" t="str">
        <f>IFERROR(VLOOKUP($A32,[1]FINAL!$A$1:$Z$1000,MATCH([1]FINAL!$V$1,[1]FINAL!$A$1:$Z$1,0),0),"")</f>
        <v>AVL</v>
      </c>
      <c r="E32" s="6">
        <f t="shared" si="0"/>
        <v>0</v>
      </c>
      <c r="F32" s="5">
        <f t="shared" si="1"/>
        <v>0</v>
      </c>
      <c r="G32" s="5">
        <f>IFERROR(IF(H32&lt;&gt;"",H32,VLOOKUP($A32,[1]FINAL!$A$1:$BZ$1000,MATCH([1]FINAL!$BL$1,[1]FINAL!$A$1:$BZ$1,0),0)),0)</f>
        <v>0</v>
      </c>
      <c r="I32" s="5">
        <f>IFERROR(IF(J32&lt;&gt;"",J32,(IF(VLOOKUP($A32,#REF!,MATCH(#REF!,#REF!,0),0)=0,G32,VLOOKUP($A32,#REF!,MATCH(#REF!,#REF!,0),0)))),G32)</f>
        <v>0</v>
      </c>
      <c r="K32" s="6">
        <f>IFERROR(VLOOKUP($A32,#REF!,MATCH(#REF!,#REF!,0),0),0)</f>
        <v>0</v>
      </c>
      <c r="L32" s="6">
        <f>IFERROR(VLOOKUP($A32,[1]FINAL!$A$1:$BZ$1000,MATCH([1]FINAL!$BF$1,[1]FINAL!$A$1:$BZ$1,0),0),0)</f>
        <v>0</v>
      </c>
      <c r="M32" s="7">
        <f t="shared" si="2"/>
        <v>0</v>
      </c>
      <c r="N32" s="6">
        <f>IFERROR(VLOOKUP($A32,#REF!,MATCH(#REF!,#REF!,0),0),0)</f>
        <v>0</v>
      </c>
      <c r="O32" s="7">
        <f t="shared" si="3"/>
        <v>0</v>
      </c>
      <c r="P32" s="10" t="str">
        <f>IFERROR(VLOOKUP($A32,[1]FINAL!$A$1:$BZ$1000,MATCH([1]FINAL!$BB$1,[1]FINAL!$A$1:$BZ$1,0),0),"")</f>
        <v/>
      </c>
      <c r="Q32" s="18">
        <f t="shared" si="4"/>
        <v>1</v>
      </c>
    </row>
    <row r="33" spans="1:17" x14ac:dyDescent="0.25">
      <c r="A33" s="14" t="str">
        <f>[1]FINAL!$A382</f>
        <v>Jenson Seelt</v>
      </c>
      <c r="B33" s="20" t="str">
        <f>IFERROR(VLOOKUP($A33,[1]FINAL!$A$1:$Z$1000,MATCH([1]FINAL!$T$1,[1]FINAL!$A$1:$Z$1,0),0),"")</f>
        <v>DEF</v>
      </c>
      <c r="C33" s="3" t="str">
        <f>IFERROR(VLOOKUP($A33,[1]FINAL!$A$1:$Z$1000,MATCH([1]FINAL!$U$1,[1]FINAL!$A$1:$Z$1,0),0),"")</f>
        <v>CB</v>
      </c>
      <c r="D33" s="3" t="str">
        <f>IFERROR(VLOOKUP($A33,[1]FINAL!$A$1:$Z$1000,MATCH([1]FINAL!$V$1,[1]FINAL!$A$1:$Z$1,0),0),"")</f>
        <v>SUN</v>
      </c>
      <c r="E33" s="6">
        <f t="shared" si="0"/>
        <v>72444.444444444438</v>
      </c>
      <c r="F33" s="5">
        <f t="shared" si="1"/>
        <v>0.33333333333333331</v>
      </c>
      <c r="G33" s="5">
        <f>IFERROR(IF(H33&lt;&gt;"",H33,VLOOKUP($A33,[1]FINAL!$A$1:$BZ$1000,MATCH([1]FINAL!$BL$1,[1]FINAL!$A$1:$BZ$1,0),0)),0)</f>
        <v>0.33333333333333331</v>
      </c>
      <c r="I33" s="5">
        <f>IFERROR(IF(J33&lt;&gt;"",J33,(IF(VLOOKUP($A33,#REF!,MATCH(#REF!,#REF!,0),0)=0,G33,VLOOKUP($A33,#REF!,MATCH(#REF!,#REF!,0),0)))),G33)</f>
        <v>0.33333333333333331</v>
      </c>
      <c r="K33" s="6">
        <f>IFERROR(VLOOKUP($A33,#REF!,MATCH(#REF!,#REF!,0),0),0)</f>
        <v>0</v>
      </c>
      <c r="L33" s="6">
        <f>IFERROR(VLOOKUP($A33,[1]FINAL!$A$1:$BZ$1000,MATCH([1]FINAL!$BF$1,[1]FINAL!$A$1:$BZ$1,0),0),0)</f>
        <v>52</v>
      </c>
      <c r="M33" s="7">
        <f t="shared" si="2"/>
        <v>0.57777777777777772</v>
      </c>
      <c r="N33" s="6">
        <f>IFERROR(VLOOKUP($A33,#REF!,MATCH(#REF!,#REF!,0),0),0)</f>
        <v>0</v>
      </c>
      <c r="O33" s="7">
        <f t="shared" si="3"/>
        <v>0</v>
      </c>
      <c r="P33" s="10" t="str">
        <f>IFERROR(VLOOKUP($A33,[1]FINAL!$A$1:$BZ$1000,MATCH([1]FINAL!$BB$1,[1]FINAL!$A$1:$BZ$1,0),0),"")</f>
        <v/>
      </c>
      <c r="Q33" s="18">
        <f t="shared" si="4"/>
        <v>1</v>
      </c>
    </row>
    <row r="34" spans="1:17" x14ac:dyDescent="0.25">
      <c r="A34" s="14" t="str">
        <f>[1]FINAL!$A389</f>
        <v>Remi Matthews</v>
      </c>
      <c r="B34" s="20" t="str">
        <f>IFERROR(VLOOKUP($A34,[1]FINAL!$A$1:$Z$1000,MATCH([1]FINAL!$T$1,[1]FINAL!$A$1:$Z$1,0),0),"")</f>
        <v>GK</v>
      </c>
      <c r="C34" s="3" t="str">
        <f>IFERROR(VLOOKUP($A34,[1]FINAL!$A$1:$Z$1000,MATCH([1]FINAL!$U$1,[1]FINAL!$A$1:$Z$1,0),0),"")</f>
        <v>GK</v>
      </c>
      <c r="D34" s="3" t="str">
        <f>IFERROR(VLOOKUP($A34,[1]FINAL!$A$1:$Z$1000,MATCH([1]FINAL!$V$1,[1]FINAL!$A$1:$Z$1,0),0),"")</f>
        <v>CRY</v>
      </c>
      <c r="E34" s="6">
        <f t="shared" si="0"/>
        <v>0</v>
      </c>
      <c r="F34" s="5">
        <f t="shared" si="1"/>
        <v>0</v>
      </c>
      <c r="G34" s="5">
        <f>IFERROR(IF(H34&lt;&gt;"",H34,VLOOKUP($A34,[1]FINAL!$A$1:$BZ$1000,MATCH([1]FINAL!$BL$1,[1]FINAL!$A$1:$BZ$1,0),0)),0)</f>
        <v>0</v>
      </c>
      <c r="I34" s="5">
        <f>IFERROR(IF(J34&lt;&gt;"",J34,(IF(VLOOKUP($A34,#REF!,MATCH(#REF!,#REF!,0),0)=0,G34,VLOOKUP($A34,#REF!,MATCH(#REF!,#REF!,0),0)))),G34)</f>
        <v>0</v>
      </c>
      <c r="K34" s="6">
        <f>IFERROR(VLOOKUP($A34,#REF!,MATCH(#REF!,#REF!,0),0),0)</f>
        <v>0</v>
      </c>
      <c r="L34" s="6">
        <f>IFERROR(VLOOKUP($A34,[1]FINAL!$A$1:$BZ$1000,MATCH([1]FINAL!$BF$1,[1]FINAL!$A$1:$BZ$1,0),0),0)</f>
        <v>0</v>
      </c>
      <c r="M34" s="7">
        <f t="shared" si="2"/>
        <v>0</v>
      </c>
      <c r="N34" s="6">
        <f>IFERROR(VLOOKUP($A34,#REF!,MATCH(#REF!,#REF!,0),0),0)</f>
        <v>0</v>
      </c>
      <c r="O34" s="7">
        <f t="shared" si="3"/>
        <v>0</v>
      </c>
      <c r="P34" s="10" t="str">
        <f>IFERROR(VLOOKUP($A34,[1]FINAL!$A$1:$BZ$1000,MATCH([1]FINAL!$BB$1,[1]FINAL!$A$1:$BZ$1,0),0),"")</f>
        <v/>
      </c>
      <c r="Q34" s="18">
        <f t="shared" si="4"/>
        <v>1</v>
      </c>
    </row>
    <row r="35" spans="1:17" x14ac:dyDescent="0.25">
      <c r="A35" s="14" t="str">
        <f>[1]FINAL!$A391</f>
        <v>Leo Fuhr Hjelde</v>
      </c>
      <c r="B35" s="20" t="str">
        <f>IFERROR(VLOOKUP($A35,[1]FINAL!$A$1:$Z$1000,MATCH([1]FINAL!$T$1,[1]FINAL!$A$1:$Z$1,0),0),"")</f>
        <v>DEF</v>
      </c>
      <c r="C35" s="3" t="str">
        <f>IFERROR(VLOOKUP($A35,[1]FINAL!$A$1:$Z$1000,MATCH([1]FINAL!$U$1,[1]FINAL!$A$1:$Z$1,0),0),"")</f>
        <v/>
      </c>
      <c r="D35" s="3" t="str">
        <f>IFERROR(VLOOKUP($A35,[1]FINAL!$A$1:$Z$1000,MATCH([1]FINAL!$V$1,[1]FINAL!$A$1:$Z$1,0),0),"")</f>
        <v>SUN</v>
      </c>
      <c r="E35" s="6">
        <f t="shared" si="0"/>
        <v>0</v>
      </c>
      <c r="F35" s="5">
        <f t="shared" si="1"/>
        <v>0</v>
      </c>
      <c r="G35" s="5">
        <f>IFERROR(IF(H35&lt;&gt;"",H35,VLOOKUP($A35,[1]FINAL!$A$1:$BZ$1000,MATCH([1]FINAL!$BL$1,[1]FINAL!$A$1:$BZ$1,0),0)),0)</f>
        <v>0</v>
      </c>
      <c r="I35" s="5">
        <f>IFERROR(IF(J35&lt;&gt;"",J35,(IF(VLOOKUP($A35,#REF!,MATCH(#REF!,#REF!,0),0)=0,G35,VLOOKUP($A35,#REF!,MATCH(#REF!,#REF!,0),0)))),G35)</f>
        <v>0</v>
      </c>
      <c r="K35" s="6">
        <f>IFERROR(VLOOKUP($A35,#REF!,MATCH(#REF!,#REF!,0),0),0)</f>
        <v>0</v>
      </c>
      <c r="L35" s="6">
        <f>IFERROR(VLOOKUP($A35,[1]FINAL!$A$1:$BZ$1000,MATCH([1]FINAL!$BF$1,[1]FINAL!$A$1:$BZ$1,0),0),0)</f>
        <v>0</v>
      </c>
      <c r="M35" s="7">
        <f t="shared" si="2"/>
        <v>0</v>
      </c>
      <c r="N35" s="6">
        <f>IFERROR(VLOOKUP($A35,#REF!,MATCH(#REF!,#REF!,0),0),0)</f>
        <v>0</v>
      </c>
      <c r="O35" s="7">
        <f t="shared" si="3"/>
        <v>0</v>
      </c>
      <c r="P35" s="10" t="str">
        <f>IFERROR(VLOOKUP($A35,[1]FINAL!$A$1:$BZ$1000,MATCH([1]FINAL!$BB$1,[1]FINAL!$A$1:$BZ$1,0),0),"")</f>
        <v/>
      </c>
      <c r="Q35" s="18">
        <f t="shared" si="4"/>
        <v>1</v>
      </c>
    </row>
    <row r="36" spans="1:17" x14ac:dyDescent="0.25">
      <c r="A36" s="14" t="str">
        <f>[1]FINAL!$A397</f>
        <v>Claudio Echeverri</v>
      </c>
      <c r="B36" s="20" t="str">
        <f>IFERROR(VLOOKUP($A36,[1]FINAL!$A$1:$Z$1000,MATCH([1]FINAL!$T$1,[1]FINAL!$A$1:$Z$1,0),0),"")</f>
        <v>MID</v>
      </c>
      <c r="C36" s="3" t="str">
        <f>IFERROR(VLOOKUP($A36,[1]FINAL!$A$1:$Z$1000,MATCH([1]FINAL!$U$1,[1]FINAL!$A$1:$Z$1,0),0),"")</f>
        <v>AM</v>
      </c>
      <c r="D36" s="3" t="str">
        <f>IFERROR(VLOOKUP($A36,[1]FINAL!$A$1:$Z$1000,MATCH([1]FINAL!$V$1,[1]FINAL!$A$1:$Z$1,0),0),"")</f>
        <v>MCI</v>
      </c>
      <c r="E36" s="6">
        <f t="shared" si="0"/>
        <v>0</v>
      </c>
      <c r="F36" s="5">
        <f t="shared" si="1"/>
        <v>0</v>
      </c>
      <c r="G36" s="5">
        <f>IFERROR(IF(H36&lt;&gt;"",H36,VLOOKUP($A36,[1]FINAL!$A$1:$BZ$1000,MATCH([1]FINAL!$BL$1,[1]FINAL!$A$1:$BZ$1,0),0)),0)</f>
        <v>0</v>
      </c>
      <c r="I36" s="5">
        <f>IFERROR(IF(J36&lt;&gt;"",J36,(IF(VLOOKUP($A36,#REF!,MATCH(#REF!,#REF!,0),0)=0,G36,VLOOKUP($A36,#REF!,MATCH(#REF!,#REF!,0),0)))),G36)</f>
        <v>0</v>
      </c>
      <c r="K36" s="6">
        <f>IFERROR(VLOOKUP($A36,#REF!,MATCH(#REF!,#REF!,0),0),0)</f>
        <v>0</v>
      </c>
      <c r="L36" s="6">
        <f>IFERROR(VLOOKUP($A36,[1]FINAL!$A$1:$BZ$1000,MATCH([1]FINAL!$BF$1,[1]FINAL!$A$1:$BZ$1,0),0),0)</f>
        <v>0</v>
      </c>
      <c r="M36" s="7">
        <f t="shared" si="2"/>
        <v>0</v>
      </c>
      <c r="N36" s="6">
        <f>IFERROR(VLOOKUP($A36,#REF!,MATCH(#REF!,#REF!,0),0),0)</f>
        <v>0</v>
      </c>
      <c r="O36" s="7">
        <f t="shared" si="3"/>
        <v>0</v>
      </c>
      <c r="P36" s="10" t="str">
        <f>IFERROR(VLOOKUP($A36,[1]FINAL!$A$1:$BZ$1000,MATCH([1]FINAL!$BB$1,[1]FINAL!$A$1:$BZ$1,0),0),"")</f>
        <v/>
      </c>
      <c r="Q36" s="18">
        <f t="shared" si="4"/>
        <v>1</v>
      </c>
    </row>
    <row r="37" spans="1:17" x14ac:dyDescent="0.25">
      <c r="A37" s="14" t="str">
        <f>[1]FINAL!$A402</f>
        <v>Stefan Bajčetić Maquieira</v>
      </c>
      <c r="B37" s="20" t="str">
        <f>IFERROR(VLOOKUP($A37,[1]FINAL!$A$1:$Z$1000,MATCH([1]FINAL!$T$1,[1]FINAL!$A$1:$Z$1,0),0),"")</f>
        <v>MID</v>
      </c>
      <c r="C37" s="3" t="str">
        <f>IFERROR(VLOOKUP($A37,[1]FINAL!$A$1:$Z$1000,MATCH([1]FINAL!$U$1,[1]FINAL!$A$1:$Z$1,0),0),"")</f>
        <v/>
      </c>
      <c r="D37" s="3" t="str">
        <f>IFERROR(VLOOKUP($A37,[1]FINAL!$A$1:$Z$1000,MATCH([1]FINAL!$V$1,[1]FINAL!$A$1:$Z$1,0),0),"")</f>
        <v>LIV</v>
      </c>
      <c r="E37" s="6">
        <f t="shared" si="0"/>
        <v>0</v>
      </c>
      <c r="F37" s="5">
        <f t="shared" si="1"/>
        <v>0</v>
      </c>
      <c r="G37" s="5">
        <f>IFERROR(IF(H37&lt;&gt;"",H37,VLOOKUP($A37,[1]FINAL!$A$1:$BZ$1000,MATCH([1]FINAL!$BL$1,[1]FINAL!$A$1:$BZ$1,0),0)),0)</f>
        <v>0</v>
      </c>
      <c r="I37" s="5">
        <f>IFERROR(IF(J37&lt;&gt;"",J37,(IF(VLOOKUP($A37,#REF!,MATCH(#REF!,#REF!,0),0)=0,G37,VLOOKUP($A37,#REF!,MATCH(#REF!,#REF!,0),0)))),G37)</f>
        <v>0</v>
      </c>
      <c r="K37" s="6">
        <f>IFERROR(VLOOKUP($A37,#REF!,MATCH(#REF!,#REF!,0),0),0)</f>
        <v>0</v>
      </c>
      <c r="L37" s="6">
        <f>IFERROR(VLOOKUP($A37,[1]FINAL!$A$1:$BZ$1000,MATCH([1]FINAL!$BF$1,[1]FINAL!$A$1:$BZ$1,0),0),0)</f>
        <v>0</v>
      </c>
      <c r="M37" s="7">
        <f t="shared" si="2"/>
        <v>0</v>
      </c>
      <c r="N37" s="6">
        <f>IFERROR(VLOOKUP($A37,#REF!,MATCH(#REF!,#REF!,0),0),0)</f>
        <v>0</v>
      </c>
      <c r="O37" s="7">
        <f t="shared" si="3"/>
        <v>0</v>
      </c>
      <c r="P37" s="10">
        <f>IFERROR(VLOOKUP($A37,[1]FINAL!$A$1:$BZ$1000,MATCH([1]FINAL!$BB$1,[1]FINAL!$A$1:$BZ$1,0),0),"")</f>
        <v>0</v>
      </c>
      <c r="Q37" s="18">
        <f t="shared" si="4"/>
        <v>1E-4</v>
      </c>
    </row>
    <row r="38" spans="1:17" x14ac:dyDescent="0.25">
      <c r="A38" s="14" t="str">
        <f>[1]FINAL!$A426</f>
        <v>Sean Neave</v>
      </c>
      <c r="B38" s="20" t="str">
        <f>IFERROR(VLOOKUP($A38,[1]FINAL!$A$1:$Z$1000,MATCH([1]FINAL!$T$1,[1]FINAL!$A$1:$Z$1,0),0),"")</f>
        <v>FWD</v>
      </c>
      <c r="C38" s="3" t="str">
        <f>IFERROR(VLOOKUP($A38,[1]FINAL!$A$1:$Z$1000,MATCH([1]FINAL!$U$1,[1]FINAL!$A$1:$Z$1,0),0),"")</f>
        <v/>
      </c>
      <c r="D38" s="3" t="str">
        <f>IFERROR(VLOOKUP($A38,[1]FINAL!$A$1:$Z$1000,MATCH([1]FINAL!$V$1,[1]FINAL!$A$1:$Z$1,0),0),"")</f>
        <v>NEW</v>
      </c>
      <c r="E38" s="6">
        <f t="shared" si="0"/>
        <v>0</v>
      </c>
      <c r="F38" s="5">
        <f t="shared" si="1"/>
        <v>0</v>
      </c>
      <c r="G38" s="5">
        <f>IFERROR(IF(H38&lt;&gt;"",H38,VLOOKUP($A38,[1]FINAL!$A$1:$BZ$1000,MATCH([1]FINAL!$BL$1,[1]FINAL!$A$1:$BZ$1,0),0)),0)</f>
        <v>0</v>
      </c>
      <c r="I38" s="5">
        <f>IFERROR(IF(J38&lt;&gt;"",J38,(IF(VLOOKUP($A38,#REF!,MATCH(#REF!,#REF!,0),0)=0,G38,VLOOKUP($A38,#REF!,MATCH(#REF!,#REF!,0),0)))),G38)</f>
        <v>0</v>
      </c>
      <c r="K38" s="6">
        <f>IFERROR(VLOOKUP($A38,#REF!,MATCH(#REF!,#REF!,0),0),0)</f>
        <v>0</v>
      </c>
      <c r="L38" s="6">
        <f>IFERROR(VLOOKUP($A38,[1]FINAL!$A$1:$BZ$1000,MATCH([1]FINAL!$BF$1,[1]FINAL!$A$1:$BZ$1,0),0),0)</f>
        <v>0</v>
      </c>
      <c r="M38" s="7">
        <f t="shared" si="2"/>
        <v>0</v>
      </c>
      <c r="N38" s="6">
        <f>IFERROR(VLOOKUP($A38,#REF!,MATCH(#REF!,#REF!,0),0),0)</f>
        <v>0</v>
      </c>
      <c r="O38" s="7">
        <f t="shared" si="3"/>
        <v>0</v>
      </c>
      <c r="P38" s="10" t="str">
        <f>IFERROR(VLOOKUP($A38,[1]FINAL!$A$1:$BZ$1000,MATCH([1]FINAL!$BB$1,[1]FINAL!$A$1:$BZ$1,0),0),"")</f>
        <v/>
      </c>
      <c r="Q38" s="18">
        <f t="shared" si="4"/>
        <v>1</v>
      </c>
    </row>
    <row r="39" spans="1:17" x14ac:dyDescent="0.25">
      <c r="A39" s="14" t="str">
        <f>[1]FINAL!$A540</f>
        <v>Álvaro Rodríguez</v>
      </c>
      <c r="B39" s="20" t="str">
        <f>IFERROR(VLOOKUP($A39,[1]FINAL!$A$1:$Z$1000,MATCH([1]FINAL!$T$1,[1]FINAL!$A$1:$Z$1,0),0),"")</f>
        <v>FWD</v>
      </c>
      <c r="C39" s="3" t="str">
        <f>IFERROR(VLOOKUP($A39,[1]FINAL!$A$1:$Z$1000,MATCH([1]FINAL!$U$1,[1]FINAL!$A$1:$Z$1,0),0),"")</f>
        <v>CF</v>
      </c>
      <c r="D39" s="3" t="str">
        <f>IFERROR(VLOOKUP($A39,[1]FINAL!$A$1:$Z$1000,MATCH([1]FINAL!$V$1,[1]FINAL!$A$1:$Z$1,0),0),"")</f>
        <v>BOU</v>
      </c>
      <c r="E39" s="6">
        <f t="shared" si="0"/>
        <v>0</v>
      </c>
      <c r="F39" s="5">
        <f t="shared" si="1"/>
        <v>0</v>
      </c>
      <c r="G39" s="5">
        <f>IFERROR(IF(H39&lt;&gt;"",H39,VLOOKUP($A39,[1]FINAL!$A$1:$BZ$1000,MATCH([1]FINAL!$BL$1,[1]FINAL!$A$1:$BZ$1,0),0)),0)</f>
        <v>0</v>
      </c>
      <c r="I39" s="5">
        <f>IFERROR(IF(J39&lt;&gt;"",J39,(IF(VLOOKUP($A39,#REF!,MATCH(#REF!,#REF!,0),0)=0,G39,VLOOKUP($A39,#REF!,MATCH(#REF!,#REF!,0),0)))),G39)</f>
        <v>0</v>
      </c>
      <c r="K39" s="6">
        <f>IFERROR(VLOOKUP($A39,#REF!,MATCH(#REF!,#REF!,0),0),0)</f>
        <v>0</v>
      </c>
      <c r="L39" s="6">
        <f>IFERROR(VLOOKUP($A39,[1]FINAL!$A$1:$BZ$1000,MATCH([1]FINAL!$BF$1,[1]FINAL!$A$1:$BZ$1,0),0),0)</f>
        <v>0</v>
      </c>
      <c r="M39" s="7">
        <f t="shared" si="2"/>
        <v>0</v>
      </c>
      <c r="N39" s="6">
        <f>IFERROR(VLOOKUP($A39,#REF!,MATCH(#REF!,#REF!,0),0),0)</f>
        <v>0</v>
      </c>
      <c r="O39" s="7">
        <f t="shared" si="3"/>
        <v>0</v>
      </c>
      <c r="P39" s="10" t="str">
        <f>IFERROR(VLOOKUP($A39,[1]FINAL!$A$1:$BZ$1000,MATCH([1]FINAL!$BB$1,[1]FINAL!$A$1:$BZ$1,0),0),"")</f>
        <v/>
      </c>
      <c r="Q39" s="18">
        <f t="shared" si="4"/>
        <v>1</v>
      </c>
    </row>
    <row r="40" spans="1:17" x14ac:dyDescent="0.25">
      <c r="A40" s="14" t="str">
        <f>[1]FINAL!$A550</f>
        <v>João Pedro Loureiro da Costa</v>
      </c>
      <c r="B40" s="20" t="str">
        <f>IFERROR(VLOOKUP($A40,[1]FINAL!$A$1:$Z$1000,MATCH([1]FINAL!$T$1,[1]FINAL!$A$1:$Z$1,0),0),"")</f>
        <v>DEF</v>
      </c>
      <c r="C40" s="3" t="str">
        <f>IFERROR(VLOOKUP($A40,[1]FINAL!$A$1:$Z$1000,MATCH([1]FINAL!$U$1,[1]FINAL!$A$1:$Z$1,0),0),"")</f>
        <v>RB</v>
      </c>
      <c r="D40" s="3" t="str">
        <f>IFERROR(VLOOKUP($A40,[1]FINAL!$A$1:$Z$1000,MATCH([1]FINAL!$V$1,[1]FINAL!$A$1:$Z$1,0),0),"")</f>
        <v>BHA</v>
      </c>
      <c r="E40" s="6">
        <f t="shared" si="0"/>
        <v>0</v>
      </c>
      <c r="F40" s="5">
        <f t="shared" si="1"/>
        <v>0</v>
      </c>
      <c r="G40" s="5">
        <f>IFERROR(IF(H40&lt;&gt;"",H40,VLOOKUP($A40,[1]FINAL!$A$1:$BZ$1000,MATCH([1]FINAL!$BL$1,[1]FINAL!$A$1:$BZ$1,0),0)),0)</f>
        <v>0</v>
      </c>
      <c r="I40" s="5">
        <f>IFERROR(IF(J40&lt;&gt;"",J40,(IF(VLOOKUP($A40,#REF!,MATCH(#REF!,#REF!,0),0)=0,G40,VLOOKUP($A40,#REF!,MATCH(#REF!,#REF!,0),0)))),G40)</f>
        <v>0</v>
      </c>
      <c r="K40" s="6">
        <f>IFERROR(VLOOKUP($A40,#REF!,MATCH(#REF!,#REF!,0),0),0)</f>
        <v>0</v>
      </c>
      <c r="L40" s="6">
        <f>IFERROR(VLOOKUP($A40,[1]FINAL!$A$1:$BZ$1000,MATCH([1]FINAL!$BF$1,[1]FINAL!$A$1:$BZ$1,0),0),0)</f>
        <v>0</v>
      </c>
      <c r="M40" s="7">
        <f t="shared" si="2"/>
        <v>0</v>
      </c>
      <c r="N40" s="6">
        <f>IFERROR(VLOOKUP($A40,#REF!,MATCH(#REF!,#REF!,0),0),0)</f>
        <v>0</v>
      </c>
      <c r="O40" s="7">
        <f t="shared" si="3"/>
        <v>0</v>
      </c>
      <c r="P40" s="10" t="str">
        <f>IFERROR(VLOOKUP($A40,[1]FINAL!$A$1:$BZ$1000,MATCH([1]FINAL!$BB$1,[1]FINAL!$A$1:$BZ$1,0),0),"")</f>
        <v/>
      </c>
      <c r="Q40" s="18">
        <f t="shared" si="4"/>
        <v>1</v>
      </c>
    </row>
    <row r="41" spans="1:17" x14ac:dyDescent="0.25">
      <c r="A41" s="14" t="str">
        <f>[1]FINAL!$A998</f>
        <v>Darko Gyabi</v>
      </c>
      <c r="B41" s="20" t="str">
        <f>IFERROR(VLOOKUP($A41,[1]FINAL!$A$1:$Z$1000,MATCH([1]FINAL!$T$1,[1]FINAL!$A$1:$Z$1,0),0),"")</f>
        <v>MID</v>
      </c>
      <c r="C41" s="3" t="str">
        <f>IFERROR(VLOOKUP($A41,[1]FINAL!$A$1:$Z$1000,MATCH([1]FINAL!$U$1,[1]FINAL!$A$1:$Z$1,0),0),"")</f>
        <v>CM</v>
      </c>
      <c r="D41" s="3" t="str">
        <f>IFERROR(VLOOKUP($A41,[1]FINAL!$A$1:$Z$1000,MATCH([1]FINAL!$V$1,[1]FINAL!$A$1:$Z$1,0),0),"")</f>
        <v>HUL</v>
      </c>
      <c r="E41" s="6">
        <f t="shared" si="0"/>
        <v>8111.1111111111113</v>
      </c>
      <c r="F41" s="5">
        <f t="shared" si="1"/>
        <v>0</v>
      </c>
      <c r="G41" s="5">
        <f>IFERROR(IF(H41&lt;&gt;"",H41,VLOOKUP($A41,[1]FINAL!$A$1:$BZ$1000,MATCH([1]FINAL!$BL$1,[1]FINAL!$A$1:$BZ$1,0),0)),0)</f>
        <v>0</v>
      </c>
      <c r="I41" s="5">
        <f>IFERROR(IF(J41&lt;&gt;"",J41,(IF(VLOOKUP($A41,#REF!,MATCH(#REF!,#REF!,0),0)=0,G41,VLOOKUP($A41,#REF!,MATCH(#REF!,#REF!,0),0)))),G41)</f>
        <v>0</v>
      </c>
      <c r="K41" s="6">
        <f>IFERROR(VLOOKUP($A41,#REF!,MATCH(#REF!,#REF!,0),0),0)</f>
        <v>0</v>
      </c>
      <c r="L41" s="6">
        <f>IFERROR(VLOOKUP($A41,[1]FINAL!$A$1:$BZ$1000,MATCH([1]FINAL!$BF$1,[1]FINAL!$A$1:$BZ$1,0),0),0)</f>
        <v>73</v>
      </c>
      <c r="M41" s="7">
        <f t="shared" si="2"/>
        <v>0.81111111111111112</v>
      </c>
      <c r="N41" s="6">
        <f>IFERROR(VLOOKUP($A41,#REF!,MATCH(#REF!,#REF!,0),0),0)</f>
        <v>0</v>
      </c>
      <c r="O41" s="7">
        <f t="shared" si="3"/>
        <v>0</v>
      </c>
      <c r="P41" s="10" t="str">
        <f>IFERROR(VLOOKUP($A41,[1]FINAL!$A$1:$BZ$1000,MATCH([1]FINAL!$BB$1,[1]FINAL!$A$1:$BZ$1,0),0),"")</f>
        <v/>
      </c>
      <c r="Q41" s="18">
        <f t="shared" si="4"/>
        <v>1</v>
      </c>
    </row>
    <row r="42" spans="1:17" x14ac:dyDescent="0.25">
      <c r="A42" s="14" t="str">
        <f>[1]FINAL!$A527</f>
        <v>Jake Bidwell</v>
      </c>
      <c r="B42" s="20" t="str">
        <f>IFERROR(VLOOKUP($A42,[1]FINAL!$A$1:$Z$1000,MATCH([1]FINAL!$T$1,[1]FINAL!$A$1:$Z$1,0),0),"")</f>
        <v>DEF</v>
      </c>
      <c r="C42" s="3" t="str">
        <f>IFERROR(VLOOKUP($A42,[1]FINAL!$A$1:$Z$1000,MATCH([1]FINAL!$U$1,[1]FINAL!$A$1:$Z$1,0),0),"")</f>
        <v>LB</v>
      </c>
      <c r="D42" s="3" t="str">
        <f>IFERROR(VLOOKUP($A42,[1]FINAL!$A$1:$Z$1000,MATCH([1]FINAL!$V$1,[1]FINAL!$A$1:$Z$1,0),0),"")</f>
        <v>COV</v>
      </c>
      <c r="E42" s="6">
        <f t="shared" si="0"/>
        <v>22376.811594202896</v>
      </c>
      <c r="F42" s="5">
        <f t="shared" si="1"/>
        <v>6.5217391304347824E-2</v>
      </c>
      <c r="G42" s="5">
        <f>IFERROR(IF(H42&lt;&gt;"",H42,VLOOKUP($A42,[1]FINAL!$A$1:$BZ$1000,MATCH([1]FINAL!$BL$1,[1]FINAL!$A$1:$BZ$1,0),0)),0)</f>
        <v>6.5217391304347824E-2</v>
      </c>
      <c r="I42" s="5">
        <f>IFERROR(IF(J42&lt;&gt;"",J42,(IF(VLOOKUP($A42,#REF!,MATCH(#REF!,#REF!,0),0)=0,G42,VLOOKUP($A42,#REF!,MATCH(#REF!,#REF!,0),0)))),G42)</f>
        <v>6.5217391304347824E-2</v>
      </c>
      <c r="K42" s="6">
        <f>IFERROR(VLOOKUP($A42,#REF!,MATCH(#REF!,#REF!,0),0),0)</f>
        <v>0</v>
      </c>
      <c r="L42" s="6">
        <f>IFERROR(VLOOKUP($A42,[1]FINAL!$A$1:$BZ$1000,MATCH([1]FINAL!$BF$1,[1]FINAL!$A$1:$BZ$1,0),0),0)</f>
        <v>84</v>
      </c>
      <c r="M42" s="7">
        <f t="shared" si="2"/>
        <v>0.93333333333333335</v>
      </c>
      <c r="N42" s="6">
        <f>IFERROR(VLOOKUP($A42,#REF!,MATCH(#REF!,#REF!,0),0),0)</f>
        <v>0</v>
      </c>
      <c r="O42" s="7">
        <f t="shared" si="3"/>
        <v>0</v>
      </c>
      <c r="P42" s="10" t="str">
        <f>IFERROR(VLOOKUP($A42,[1]FINAL!$A$1:$BZ$1000,MATCH([1]FINAL!$BB$1,[1]FINAL!$A$1:$BZ$1,0),0),"")</f>
        <v/>
      </c>
      <c r="Q42" s="18">
        <f t="shared" si="4"/>
        <v>1</v>
      </c>
    </row>
    <row r="43" spans="1:17" x14ac:dyDescent="0.25">
      <c r="A43" s="14" t="str">
        <f>[1]FINAL!$A528</f>
        <v>Joel Latibeaudiere</v>
      </c>
      <c r="B43" s="20" t="str">
        <f>IFERROR(VLOOKUP($A43,[1]FINAL!$A$1:$Z$1000,MATCH([1]FINAL!$T$1,[1]FINAL!$A$1:$Z$1,0),0),"")</f>
        <v>DEF</v>
      </c>
      <c r="C43" s="3" t="str">
        <f>IFERROR(VLOOKUP($A43,[1]FINAL!$A$1:$Z$1000,MATCH([1]FINAL!$U$1,[1]FINAL!$A$1:$Z$1,0),0),"")</f>
        <v>CB</v>
      </c>
      <c r="D43" s="3" t="str">
        <f>IFERROR(VLOOKUP($A43,[1]FINAL!$A$1:$Z$1000,MATCH([1]FINAL!$V$1,[1]FINAL!$A$1:$Z$1,0),0),"")</f>
        <v>COV</v>
      </c>
      <c r="E43" s="6">
        <f t="shared" si="0"/>
        <v>100353.53535353535</v>
      </c>
      <c r="F43" s="5">
        <f t="shared" si="1"/>
        <v>0.45454545454545453</v>
      </c>
      <c r="G43" s="5">
        <f>IFERROR(IF(H43&lt;&gt;"",H43,VLOOKUP($A43,[1]FINAL!$A$1:$BZ$1000,MATCH([1]FINAL!$BL$1,[1]FINAL!$A$1:$BZ$1,0),0)),0)</f>
        <v>0.45454545454545453</v>
      </c>
      <c r="I43" s="5">
        <f>IFERROR(IF(J43&lt;&gt;"",J43,(IF(VLOOKUP($A43,#REF!,MATCH(#REF!,#REF!,0),0)=0,G43,VLOOKUP($A43,#REF!,MATCH(#REF!,#REF!,0),0)))),G43)</f>
        <v>0.45454545454545453</v>
      </c>
      <c r="K43" s="6">
        <f>IFERROR(VLOOKUP($A43,#REF!,MATCH(#REF!,#REF!,0),0),0)</f>
        <v>0</v>
      </c>
      <c r="L43" s="6">
        <f>IFERROR(VLOOKUP($A43,[1]FINAL!$A$1:$BZ$1000,MATCH([1]FINAL!$BF$1,[1]FINAL!$A$1:$BZ$1,0),0),0)</f>
        <v>85</v>
      </c>
      <c r="M43" s="7">
        <f t="shared" si="2"/>
        <v>0.94444444444444442</v>
      </c>
      <c r="N43" s="6">
        <f>IFERROR(VLOOKUP($A43,#REF!,MATCH(#REF!,#REF!,0),0),0)</f>
        <v>0</v>
      </c>
      <c r="O43" s="7">
        <f t="shared" si="3"/>
        <v>0</v>
      </c>
      <c r="P43" s="10" t="str">
        <f>IFERROR(VLOOKUP($A43,[1]FINAL!$A$1:$BZ$1000,MATCH([1]FINAL!$BB$1,[1]FINAL!$A$1:$BZ$1,0),0),"")</f>
        <v/>
      </c>
      <c r="Q43" s="18">
        <f t="shared" si="4"/>
        <v>1</v>
      </c>
    </row>
    <row r="44" spans="1:17" x14ac:dyDescent="0.25">
      <c r="A44" s="14" t="str">
        <f>[1]FINAL!$A12</f>
        <v>Bukayo Saka</v>
      </c>
      <c r="B44" s="20" t="str">
        <f>IFERROR(VLOOKUP($A44,[1]FINAL!$A$1:$Z$1000,MATCH([1]FINAL!$T$1,[1]FINAL!$A$1:$Z$1,0),0),"")</f>
        <v>MID</v>
      </c>
      <c r="C44" s="3" t="str">
        <f>IFERROR(VLOOKUP($A44,[1]FINAL!$A$1:$Z$1000,MATCH([1]FINAL!$U$1,[1]FINAL!$A$1:$Z$1,0),0),"")</f>
        <v>RW</v>
      </c>
      <c r="D44" s="3" t="str">
        <f>IFERROR(VLOOKUP($A44,[1]FINAL!$A$1:$Z$1000,MATCH([1]FINAL!$V$1,[1]FINAL!$A$1:$Z$1,0),0),"")</f>
        <v>ARS</v>
      </c>
      <c r="E44" s="6">
        <f t="shared" si="0"/>
        <v>165361.11111111112</v>
      </c>
      <c r="F44" s="5">
        <f t="shared" si="1"/>
        <v>0.78125</v>
      </c>
      <c r="G44" s="5">
        <f>IFERROR(IF(H44&lt;&gt;"",H44,VLOOKUP($A44,[1]FINAL!$A$1:$BZ$1000,MATCH([1]FINAL!$BL$1,[1]FINAL!$A$1:$BZ$1,0),0)),0)</f>
        <v>0.78125</v>
      </c>
      <c r="I44" s="5">
        <f>IFERROR(IF(J44&lt;&gt;"",J44,(IF(VLOOKUP($A44,#REF!,MATCH(#REF!,#REF!,0),0)=0,G44,VLOOKUP($A44,#REF!,MATCH(#REF!,#REF!,0),0)))),G44)</f>
        <v>0.78125</v>
      </c>
      <c r="K44" s="6">
        <f>IFERROR(VLOOKUP($A44,#REF!,MATCH(#REF!,#REF!,0),0),0)</f>
        <v>0</v>
      </c>
      <c r="L44" s="6">
        <f>IFERROR(VLOOKUP($A44,[1]FINAL!$A$1:$BZ$1000,MATCH([1]FINAL!$BF$1,[1]FINAL!$A$1:$BZ$1,0),0),0)</f>
        <v>82</v>
      </c>
      <c r="M44" s="7">
        <f t="shared" si="2"/>
        <v>0.91111111111111109</v>
      </c>
      <c r="N44" s="6">
        <f>IFERROR(VLOOKUP($A44,#REF!,MATCH(#REF!,#REF!,0),0),0)</f>
        <v>0</v>
      </c>
      <c r="O44" s="7">
        <f t="shared" si="3"/>
        <v>0</v>
      </c>
      <c r="P44" s="10" t="str">
        <f>IFERROR(VLOOKUP($A44,[1]FINAL!$A$1:$BZ$1000,MATCH([1]FINAL!$BB$1,[1]FINAL!$A$1:$BZ$1,0),0),"")</f>
        <v/>
      </c>
      <c r="Q44" s="18">
        <f t="shared" si="4"/>
        <v>1</v>
      </c>
    </row>
    <row r="45" spans="1:17" x14ac:dyDescent="0.25">
      <c r="A45" s="14" t="str">
        <f>[1]FINAL!$A50</f>
        <v>Ben Davies</v>
      </c>
      <c r="B45" s="20" t="str">
        <f>IFERROR(VLOOKUP($A45,[1]FINAL!$A$1:$Z$1000,MATCH([1]FINAL!$T$1,[1]FINAL!$A$1:$Z$1,0),0),"")</f>
        <v>DEF</v>
      </c>
      <c r="C45" s="3" t="str">
        <f>IFERROR(VLOOKUP($A45,[1]FINAL!$A$1:$Z$1000,MATCH([1]FINAL!$U$1,[1]FINAL!$A$1:$Z$1,0),0),"")</f>
        <v>CB</v>
      </c>
      <c r="D45" s="3" t="str">
        <f>IFERROR(VLOOKUP($A45,[1]FINAL!$A$1:$Z$1000,MATCH([1]FINAL!$V$1,[1]FINAL!$A$1:$Z$1,0),0),"")</f>
        <v>TOT</v>
      </c>
      <c r="E45" s="6">
        <f t="shared" si="0"/>
        <v>34460.317460317456</v>
      </c>
      <c r="F45" s="5">
        <f t="shared" si="1"/>
        <v>0.14285714285714285</v>
      </c>
      <c r="G45" s="5">
        <f>IFERROR(IF(H45&lt;&gt;"",H45,VLOOKUP($A45,[1]FINAL!$A$1:$BZ$1000,MATCH([1]FINAL!$BL$1,[1]FINAL!$A$1:$BZ$1,0),0)),0)</f>
        <v>0.14285714285714285</v>
      </c>
      <c r="I45" s="5">
        <f>IFERROR(IF(J45&lt;&gt;"",J45,(IF(VLOOKUP($A45,#REF!,MATCH(#REF!,#REF!,0),0)=0,G45,VLOOKUP($A45,#REF!,MATCH(#REF!,#REF!,0),0)))),G45)</f>
        <v>0.14285714285714285</v>
      </c>
      <c r="K45" s="6">
        <f>IFERROR(VLOOKUP($A45,#REF!,MATCH(#REF!,#REF!,0),0),0)</f>
        <v>0</v>
      </c>
      <c r="L45" s="6">
        <f>IFERROR(VLOOKUP($A45,[1]FINAL!$A$1:$BZ$1000,MATCH([1]FINAL!$BF$1,[1]FINAL!$A$1:$BZ$1,0),0),0)</f>
        <v>53</v>
      </c>
      <c r="M45" s="7">
        <f t="shared" si="2"/>
        <v>0.58888888888888891</v>
      </c>
      <c r="N45" s="6">
        <f>IFERROR(VLOOKUP($A45,#REF!,MATCH(#REF!,#REF!,0),0),0)</f>
        <v>0</v>
      </c>
      <c r="O45" s="7">
        <f t="shared" si="3"/>
        <v>0</v>
      </c>
      <c r="P45" s="10" t="str">
        <f>IFERROR(VLOOKUP($A45,[1]FINAL!$A$1:$BZ$1000,MATCH([1]FINAL!$BB$1,[1]FINAL!$A$1:$BZ$1,0),0),"")</f>
        <v/>
      </c>
      <c r="Q45" s="18">
        <f t="shared" si="4"/>
        <v>1</v>
      </c>
    </row>
    <row r="46" spans="1:17" x14ac:dyDescent="0.25">
      <c r="A46" s="14" t="str">
        <f>[1]FINAL!$A187</f>
        <v>Jan Paul van Hecke</v>
      </c>
      <c r="B46" s="20" t="str">
        <f>IFERROR(VLOOKUP($A46,[1]FINAL!$A$1:$Z$1000,MATCH([1]FINAL!$T$1,[1]FINAL!$A$1:$Z$1,0),0),"")</f>
        <v>DEF</v>
      </c>
      <c r="C46" s="3" t="str">
        <f>IFERROR(VLOOKUP($A46,[1]FINAL!$A$1:$Z$1000,MATCH([1]FINAL!$U$1,[1]FINAL!$A$1:$Z$1,0),0),"")</f>
        <v>CB</v>
      </c>
      <c r="D46" s="3" t="str">
        <f>IFERROR(VLOOKUP($A46,[1]FINAL!$A$1:$Z$1000,MATCH([1]FINAL!$V$1,[1]FINAL!$A$1:$Z$1,0),0),"")</f>
        <v>TOT</v>
      </c>
      <c r="E46" s="6">
        <f t="shared" si="0"/>
        <v>209888.88888888888</v>
      </c>
      <c r="F46" s="5">
        <f t="shared" si="1"/>
        <v>1</v>
      </c>
      <c r="G46" s="5">
        <f>IFERROR(IF(H46&lt;&gt;"",H46,VLOOKUP($A46,[1]FINAL!$A$1:$BZ$1000,MATCH([1]FINAL!$BL$1,[1]FINAL!$A$1:$BZ$1,0),0)),0)</f>
        <v>1</v>
      </c>
      <c r="I46" s="5">
        <f>IFERROR(IF(J46&lt;&gt;"",J46,(IF(VLOOKUP($A46,#REF!,MATCH(#REF!,#REF!,0),0)=0,G46,VLOOKUP($A46,#REF!,MATCH(#REF!,#REF!,0),0)))),G46)</f>
        <v>1</v>
      </c>
      <c r="K46" s="6">
        <f>IFERROR(VLOOKUP($A46,#REF!,MATCH(#REF!,#REF!,0),0),0)</f>
        <v>0</v>
      </c>
      <c r="L46" s="6">
        <f>IFERROR(VLOOKUP($A46,[1]FINAL!$A$1:$BZ$1000,MATCH([1]FINAL!$BF$1,[1]FINAL!$A$1:$BZ$1,0),0),0)</f>
        <v>89</v>
      </c>
      <c r="M46" s="7">
        <f t="shared" si="2"/>
        <v>0.98888888888888893</v>
      </c>
      <c r="N46" s="6">
        <f>IFERROR(VLOOKUP($A46,#REF!,MATCH(#REF!,#REF!,0),0),0)</f>
        <v>0</v>
      </c>
      <c r="O46" s="7">
        <f t="shared" si="3"/>
        <v>0</v>
      </c>
      <c r="P46" s="10" t="str">
        <f>IFERROR(VLOOKUP($A46,[1]FINAL!$A$1:$BZ$1000,MATCH([1]FINAL!$BB$1,[1]FINAL!$A$1:$BZ$1,0),0),"")</f>
        <v/>
      </c>
      <c r="Q46" s="18">
        <f t="shared" si="4"/>
        <v>1</v>
      </c>
    </row>
    <row r="47" spans="1:17" x14ac:dyDescent="0.25">
      <c r="A47" s="14" t="str">
        <f>[1]FINAL!$A239</f>
        <v>Facundo Buonanotte</v>
      </c>
      <c r="B47" s="20" t="str">
        <f>IFERROR(VLOOKUP($A47,[1]FINAL!$A$1:$Z$1000,MATCH([1]FINAL!$T$1,[1]FINAL!$A$1:$Z$1,0),0),"")</f>
        <v>MID</v>
      </c>
      <c r="C47" s="3" t="str">
        <f>IFERROR(VLOOKUP($A47,[1]FINAL!$A$1:$Z$1000,MATCH([1]FINAL!$U$1,[1]FINAL!$A$1:$Z$1,0),0),"")</f>
        <v>AM</v>
      </c>
      <c r="D47" s="3" t="str">
        <f>IFERROR(VLOOKUP($A47,[1]FINAL!$A$1:$Z$1000,MATCH([1]FINAL!$V$1,[1]FINAL!$A$1:$Z$1,0),0),"")</f>
        <v>BHA</v>
      </c>
      <c r="E47" s="6">
        <f t="shared" si="0"/>
        <v>45000</v>
      </c>
      <c r="F47" s="5">
        <f t="shared" si="1"/>
        <v>0.2</v>
      </c>
      <c r="G47" s="5">
        <f>IFERROR(IF(H47&lt;&gt;"",H47,VLOOKUP($A47,[1]FINAL!$A$1:$BZ$1000,MATCH([1]FINAL!$BL$1,[1]FINAL!$A$1:$BZ$1,0),0)),0)</f>
        <v>0.2</v>
      </c>
      <c r="I47" s="5">
        <f>IFERROR(IF(J47&lt;&gt;"",J47,(IF(VLOOKUP($A47,#REF!,MATCH(#REF!,#REF!,0),0)=0,G47,VLOOKUP($A47,#REF!,MATCH(#REF!,#REF!,0),0)))),G47)</f>
        <v>0.2</v>
      </c>
      <c r="K47" s="6">
        <f>IFERROR(VLOOKUP($A47,#REF!,MATCH(#REF!,#REF!,0),0),0)</f>
        <v>0</v>
      </c>
      <c r="L47" s="6">
        <f>IFERROR(VLOOKUP($A47,[1]FINAL!$A$1:$BZ$1000,MATCH([1]FINAL!$BF$1,[1]FINAL!$A$1:$BZ$1,0),0),0)</f>
        <v>45</v>
      </c>
      <c r="M47" s="7">
        <f t="shared" si="2"/>
        <v>0.5</v>
      </c>
      <c r="N47" s="6">
        <f>IFERROR(VLOOKUP($A47,#REF!,MATCH(#REF!,#REF!,0),0),0)</f>
        <v>0</v>
      </c>
      <c r="O47" s="7">
        <f t="shared" si="3"/>
        <v>0</v>
      </c>
      <c r="P47" s="10" t="str">
        <f>IFERROR(VLOOKUP($A47,[1]FINAL!$A$1:$BZ$1000,MATCH([1]FINAL!$BB$1,[1]FINAL!$A$1:$BZ$1,0),0),"")</f>
        <v/>
      </c>
      <c r="Q47" s="18">
        <f t="shared" si="4"/>
        <v>1</v>
      </c>
    </row>
    <row r="48" spans="1:17" x14ac:dyDescent="0.25">
      <c r="A48" s="14" t="str">
        <f>[1]FINAL!$A28</f>
        <v>Nico O'Reilly</v>
      </c>
      <c r="B48" s="20" t="str">
        <f>IFERROR(VLOOKUP($A48,[1]FINAL!$A$1:$Z$1000,MATCH([1]FINAL!$T$1,[1]FINAL!$A$1:$Z$1,0),0),"")</f>
        <v>DEF</v>
      </c>
      <c r="C48" s="3" t="str">
        <f>IFERROR(VLOOKUP($A48,[1]FINAL!$A$1:$Z$1000,MATCH([1]FINAL!$U$1,[1]FINAL!$A$1:$Z$1,0),0),"")</f>
        <v>LB</v>
      </c>
      <c r="D48" s="3" t="str">
        <f>IFERROR(VLOOKUP($A48,[1]FINAL!$A$1:$Z$1000,MATCH([1]FINAL!$V$1,[1]FINAL!$A$1:$Z$1,0),0),"")</f>
        <v>MCI</v>
      </c>
      <c r="E48" s="6">
        <f t="shared" si="0"/>
        <v>175380.9523809524</v>
      </c>
      <c r="F48" s="5">
        <f t="shared" si="1"/>
        <v>0.82857142857142863</v>
      </c>
      <c r="G48" s="5">
        <f>IFERROR(IF(H48&lt;&gt;"",H48,VLOOKUP($A48,[1]FINAL!$A$1:$BZ$1000,MATCH([1]FINAL!$BL$1,[1]FINAL!$A$1:$BZ$1,0),0)),0)</f>
        <v>0.82857142857142863</v>
      </c>
      <c r="I48" s="5">
        <f>IFERROR(IF(J48&lt;&gt;"",J48,(IF(VLOOKUP($A48,#REF!,MATCH(#REF!,#REF!,0),0)=0,G48,VLOOKUP($A48,#REF!,MATCH(#REF!,#REF!,0),0)))),G48)</f>
        <v>0.82857142857142863</v>
      </c>
      <c r="K48" s="6">
        <f>IFERROR(VLOOKUP($A48,#REF!,MATCH(#REF!,#REF!,0),0),0)</f>
        <v>0</v>
      </c>
      <c r="L48" s="6">
        <f>IFERROR(VLOOKUP($A48,[1]FINAL!$A$1:$BZ$1000,MATCH([1]FINAL!$BF$1,[1]FINAL!$A$1:$BZ$1,0),0),0)</f>
        <v>87</v>
      </c>
      <c r="M48" s="7">
        <f t="shared" si="2"/>
        <v>0.96666666666666667</v>
      </c>
      <c r="N48" s="6">
        <f>IFERROR(VLOOKUP($A48,#REF!,MATCH(#REF!,#REF!,0),0),0)</f>
        <v>0</v>
      </c>
      <c r="O48" s="7">
        <f t="shared" si="3"/>
        <v>0</v>
      </c>
      <c r="P48" s="10" t="str">
        <f>IFERROR(VLOOKUP($A48,[1]FINAL!$A$1:$BZ$1000,MATCH([1]FINAL!$BB$1,[1]FINAL!$A$1:$BZ$1,0),0),"")</f>
        <v/>
      </c>
      <c r="Q48" s="18">
        <f t="shared" si="4"/>
        <v>1</v>
      </c>
    </row>
    <row r="49" spans="1:17" x14ac:dyDescent="0.25">
      <c r="A49" s="14" t="str">
        <f>[1]FINAL!$A98</f>
        <v>Kiernan Dewsbury-Hall</v>
      </c>
      <c r="B49" s="20" t="str">
        <f>IFERROR(VLOOKUP($A49,[1]FINAL!$A$1:$Z$1000,MATCH([1]FINAL!$T$1,[1]FINAL!$A$1:$Z$1,0),0),"")</f>
        <v>MID</v>
      </c>
      <c r="C49" s="3" t="str">
        <f>IFERROR(VLOOKUP($A49,[1]FINAL!$A$1:$Z$1000,MATCH([1]FINAL!$U$1,[1]FINAL!$A$1:$Z$1,0),0),"")</f>
        <v>CM</v>
      </c>
      <c r="D49" s="3" t="str">
        <f>IFERROR(VLOOKUP($A49,[1]FINAL!$A$1:$Z$1000,MATCH([1]FINAL!$V$1,[1]FINAL!$A$1:$Z$1,0),0),"")</f>
        <v>EVE</v>
      </c>
      <c r="E49" s="6">
        <f t="shared" si="0"/>
        <v>203103.94265232977</v>
      </c>
      <c r="F49" s="5">
        <f t="shared" si="1"/>
        <v>0.967741935483871</v>
      </c>
      <c r="G49" s="5">
        <f>IFERROR(IF(H49&lt;&gt;"",H49,VLOOKUP($A49,[1]FINAL!$A$1:$BZ$1000,MATCH([1]FINAL!$BL$1,[1]FINAL!$A$1:$BZ$1,0),0)),0)</f>
        <v>0.967741935483871</v>
      </c>
      <c r="I49" s="5">
        <f>IFERROR(IF(J49&lt;&gt;"",J49,(IF(VLOOKUP($A49,#REF!,MATCH(#REF!,#REF!,0),0)=0,G49,VLOOKUP($A49,#REF!,MATCH(#REF!,#REF!,0),0)))),G49)</f>
        <v>0.967741935483871</v>
      </c>
      <c r="K49" s="6">
        <f>IFERROR(VLOOKUP($A49,#REF!,MATCH(#REF!,#REF!,0),0),0)</f>
        <v>0</v>
      </c>
      <c r="L49" s="6">
        <f>IFERROR(VLOOKUP($A49,[1]FINAL!$A$1:$BZ$1000,MATCH([1]FINAL!$BF$1,[1]FINAL!$A$1:$BZ$1,0),0),0)</f>
        <v>86</v>
      </c>
      <c r="M49" s="7">
        <f t="shared" si="2"/>
        <v>0.9555555555555556</v>
      </c>
      <c r="N49" s="6">
        <f>IFERROR(VLOOKUP($A49,#REF!,MATCH(#REF!,#REF!,0),0),0)</f>
        <v>0</v>
      </c>
      <c r="O49" s="7">
        <f t="shared" si="3"/>
        <v>0</v>
      </c>
      <c r="P49" s="10" t="str">
        <f>IFERROR(VLOOKUP($A49,[1]FINAL!$A$1:$BZ$1000,MATCH([1]FINAL!$BB$1,[1]FINAL!$A$1:$BZ$1,0),0),"")</f>
        <v/>
      </c>
      <c r="Q49" s="18">
        <f t="shared" si="4"/>
        <v>1</v>
      </c>
    </row>
    <row r="50" spans="1:17" x14ac:dyDescent="0.25">
      <c r="A50" s="14" t="str">
        <f>[1]FINAL!$A110</f>
        <v>Noni Madueke</v>
      </c>
      <c r="B50" s="20" t="str">
        <f>IFERROR(VLOOKUP($A50,[1]FINAL!$A$1:$Z$1000,MATCH([1]FINAL!$T$1,[1]FINAL!$A$1:$Z$1,0),0),"")</f>
        <v>MID</v>
      </c>
      <c r="C50" s="3" t="str">
        <f>IFERROR(VLOOKUP($A50,[1]FINAL!$A$1:$Z$1000,MATCH([1]FINAL!$U$1,[1]FINAL!$A$1:$Z$1,0),0),"")</f>
        <v>RW</v>
      </c>
      <c r="D50" s="3" t="str">
        <f>IFERROR(VLOOKUP($A50,[1]FINAL!$A$1:$Z$1000,MATCH([1]FINAL!$V$1,[1]FINAL!$A$1:$Z$1,0),0),"")</f>
        <v>ARS</v>
      </c>
      <c r="E50" s="6">
        <f t="shared" si="0"/>
        <v>107111.11111111111</v>
      </c>
      <c r="F50" s="5">
        <f t="shared" si="1"/>
        <v>0.5</v>
      </c>
      <c r="G50" s="5">
        <f>IFERROR(IF(H50&lt;&gt;"",H50,VLOOKUP($A50,[1]FINAL!$A$1:$BZ$1000,MATCH([1]FINAL!$BL$1,[1]FINAL!$A$1:$BZ$1,0),0)),0)</f>
        <v>0.5</v>
      </c>
      <c r="I50" s="5">
        <f>IFERROR(IF(J50&lt;&gt;"",J50,(IF(VLOOKUP($A50,#REF!,MATCH(#REF!,#REF!,0),0)=0,G50,VLOOKUP($A50,#REF!,MATCH(#REF!,#REF!,0),0)))),G50)</f>
        <v>0.5</v>
      </c>
      <c r="K50" s="6">
        <f>IFERROR(VLOOKUP($A50,#REF!,MATCH(#REF!,#REF!,0),0),0)</f>
        <v>0</v>
      </c>
      <c r="L50" s="6">
        <f>IFERROR(VLOOKUP($A50,[1]FINAL!$A$1:$BZ$1000,MATCH([1]FINAL!$BF$1,[1]FINAL!$A$1:$BZ$1,0),0),0)</f>
        <v>64</v>
      </c>
      <c r="M50" s="7">
        <f t="shared" si="2"/>
        <v>0.71111111111111114</v>
      </c>
      <c r="N50" s="6">
        <f>IFERROR(VLOOKUP($A50,#REF!,MATCH(#REF!,#REF!,0),0),0)</f>
        <v>0</v>
      </c>
      <c r="O50" s="7">
        <f t="shared" si="3"/>
        <v>0</v>
      </c>
      <c r="P50" s="10" t="str">
        <f>IFERROR(VLOOKUP($A50,[1]FINAL!$A$1:$BZ$1000,MATCH([1]FINAL!$BB$1,[1]FINAL!$A$1:$BZ$1,0),0),"")</f>
        <v/>
      </c>
      <c r="Q50" s="18">
        <f t="shared" si="4"/>
        <v>1</v>
      </c>
    </row>
    <row r="51" spans="1:17" x14ac:dyDescent="0.25">
      <c r="A51" s="14" t="str">
        <f>[1]FINAL!$A233</f>
        <v>Anthony Elanga</v>
      </c>
      <c r="B51" s="20" t="str">
        <f>IFERROR(VLOOKUP($A51,[1]FINAL!$A$1:$Z$1000,MATCH([1]FINAL!$T$1,[1]FINAL!$A$1:$Z$1,0),0),"")</f>
        <v>MID</v>
      </c>
      <c r="C51" s="3" t="str">
        <f>IFERROR(VLOOKUP($A51,[1]FINAL!$A$1:$Z$1000,MATCH([1]FINAL!$U$1,[1]FINAL!$A$1:$Z$1,0),0),"")</f>
        <v>RW</v>
      </c>
      <c r="D51" s="3" t="str">
        <f>IFERROR(VLOOKUP($A51,[1]FINAL!$A$1:$Z$1000,MATCH([1]FINAL!$V$1,[1]FINAL!$A$1:$Z$1,0),0),"")</f>
        <v>NEW</v>
      </c>
      <c r="E51" s="6">
        <f t="shared" si="0"/>
        <v>90130.718954248368</v>
      </c>
      <c r="F51" s="5">
        <f t="shared" si="1"/>
        <v>0.41176470588235292</v>
      </c>
      <c r="G51" s="5">
        <f>IFERROR(IF(H51&lt;&gt;"",H51,VLOOKUP($A51,[1]FINAL!$A$1:$BZ$1000,MATCH([1]FINAL!$BL$1,[1]FINAL!$A$1:$BZ$1,0),0)),0)</f>
        <v>0.41176470588235292</v>
      </c>
      <c r="I51" s="5">
        <f>IFERROR(IF(J51&lt;&gt;"",J51,(IF(VLOOKUP($A51,#REF!,MATCH(#REF!,#REF!,0),0)=0,G51,VLOOKUP($A51,#REF!,MATCH(#REF!,#REF!,0),0)))),G51)</f>
        <v>0.41176470588235292</v>
      </c>
      <c r="K51" s="6">
        <f>IFERROR(VLOOKUP($A51,#REF!,MATCH(#REF!,#REF!,0),0),0)</f>
        <v>0</v>
      </c>
      <c r="L51" s="6">
        <f>IFERROR(VLOOKUP($A51,[1]FINAL!$A$1:$BZ$1000,MATCH([1]FINAL!$BF$1,[1]FINAL!$A$1:$BZ$1,0),0),0)</f>
        <v>70</v>
      </c>
      <c r="M51" s="7">
        <f t="shared" si="2"/>
        <v>0.77777777777777779</v>
      </c>
      <c r="N51" s="6">
        <f>IFERROR(VLOOKUP($A51,#REF!,MATCH(#REF!,#REF!,0),0),0)</f>
        <v>0</v>
      </c>
      <c r="O51" s="7">
        <f t="shared" si="3"/>
        <v>0</v>
      </c>
      <c r="P51" s="10" t="str">
        <f>IFERROR(VLOOKUP($A51,[1]FINAL!$A$1:$BZ$1000,MATCH([1]FINAL!$BB$1,[1]FINAL!$A$1:$BZ$1,0),0),"")</f>
        <v/>
      </c>
      <c r="Q51" s="18">
        <f t="shared" si="4"/>
        <v>1</v>
      </c>
    </row>
    <row r="52" spans="1:17" x14ac:dyDescent="0.25">
      <c r="A52" s="14" t="str">
        <f>[1]FINAL!$A249</f>
        <v>Maxence Lacroix</v>
      </c>
      <c r="B52" s="20" t="str">
        <f>IFERROR(VLOOKUP($A52,[1]FINAL!$A$1:$Z$1000,MATCH([1]FINAL!$T$1,[1]FINAL!$A$1:$Z$1,0),0),"")</f>
        <v>DEF</v>
      </c>
      <c r="C52" s="3" t="str">
        <f>IFERROR(VLOOKUP($A52,[1]FINAL!$A$1:$Z$1000,MATCH([1]FINAL!$U$1,[1]FINAL!$A$1:$Z$1,0),0),"")</f>
        <v>CB</v>
      </c>
      <c r="D52" s="3" t="str">
        <f>IFERROR(VLOOKUP($A52,[1]FINAL!$A$1:$Z$1000,MATCH([1]FINAL!$V$1,[1]FINAL!$A$1:$Z$1,0),0),"")</f>
        <v>CRY</v>
      </c>
      <c r="E52" s="6">
        <f t="shared" si="0"/>
        <v>204222.22222222222</v>
      </c>
      <c r="F52" s="5">
        <f t="shared" si="1"/>
        <v>0.97222222222222221</v>
      </c>
      <c r="G52" s="5">
        <f>IFERROR(IF(H52&lt;&gt;"",H52,VLOOKUP($A52,[1]FINAL!$A$1:$BZ$1000,MATCH([1]FINAL!$BL$1,[1]FINAL!$A$1:$BZ$1,0),0)),0)</f>
        <v>0.97222222222222221</v>
      </c>
      <c r="I52" s="5">
        <f>IFERROR(IF(J52&lt;&gt;"",J52,(IF(VLOOKUP($A52,#REF!,MATCH(#REF!,#REF!,0),0)=0,G52,VLOOKUP($A52,#REF!,MATCH(#REF!,#REF!,0),0)))),G52)</f>
        <v>0.97222222222222221</v>
      </c>
      <c r="K52" s="6">
        <f>IFERROR(VLOOKUP($A52,#REF!,MATCH(#REF!,#REF!,0),0),0)</f>
        <v>0</v>
      </c>
      <c r="L52" s="6">
        <f>IFERROR(VLOOKUP($A52,[1]FINAL!$A$1:$BZ$1000,MATCH([1]FINAL!$BF$1,[1]FINAL!$A$1:$BZ$1,0),0),0)</f>
        <v>88</v>
      </c>
      <c r="M52" s="7">
        <f t="shared" si="2"/>
        <v>0.97777777777777775</v>
      </c>
      <c r="N52" s="6">
        <f>IFERROR(VLOOKUP($A52,#REF!,MATCH(#REF!,#REF!,0),0),0)</f>
        <v>0</v>
      </c>
      <c r="O52" s="7">
        <f t="shared" si="3"/>
        <v>0</v>
      </c>
      <c r="P52" s="10" t="str">
        <f>IFERROR(VLOOKUP($A52,[1]FINAL!$A$1:$BZ$1000,MATCH([1]FINAL!$BB$1,[1]FINAL!$A$1:$BZ$1,0),0),"")</f>
        <v/>
      </c>
      <c r="Q52" s="18">
        <f t="shared" si="4"/>
        <v>1</v>
      </c>
    </row>
    <row r="53" spans="1:17" x14ac:dyDescent="0.25">
      <c r="A53" s="14" t="str">
        <f>[1]FINAL!$A385</f>
        <v>Kim Ji-soo</v>
      </c>
      <c r="B53" s="20" t="str">
        <f>IFERROR(VLOOKUP($A53,[1]FINAL!$A$1:$Z$1000,MATCH([1]FINAL!$T$1,[1]FINAL!$A$1:$Z$1,0),0),"")</f>
        <v>DEF</v>
      </c>
      <c r="C53" s="3" t="str">
        <f>IFERROR(VLOOKUP($A53,[1]FINAL!$A$1:$Z$1000,MATCH([1]FINAL!$U$1,[1]FINAL!$A$1:$Z$1,0),0),"")</f>
        <v/>
      </c>
      <c r="D53" s="3" t="str">
        <f>IFERROR(VLOOKUP($A53,[1]FINAL!$A$1:$Z$1000,MATCH([1]FINAL!$V$1,[1]FINAL!$A$1:$Z$1,0),0),"")</f>
        <v>BRE</v>
      </c>
      <c r="E53" s="6">
        <f t="shared" si="0"/>
        <v>0</v>
      </c>
      <c r="F53" s="5">
        <f t="shared" si="1"/>
        <v>0</v>
      </c>
      <c r="G53" s="5">
        <f>IFERROR(IF(H53&lt;&gt;"",H53,VLOOKUP($A53,[1]FINAL!$A$1:$BZ$1000,MATCH([1]FINAL!$BL$1,[1]FINAL!$A$1:$BZ$1,0),0)),0)</f>
        <v>0</v>
      </c>
      <c r="I53" s="5">
        <f>IFERROR(IF(J53&lt;&gt;"",J53,(IF(VLOOKUP($A53,#REF!,MATCH(#REF!,#REF!,0),0)=0,G53,VLOOKUP($A53,#REF!,MATCH(#REF!,#REF!,0),0)))),G53)</f>
        <v>0</v>
      </c>
      <c r="K53" s="6">
        <f>IFERROR(VLOOKUP($A53,#REF!,MATCH(#REF!,#REF!,0),0),0)</f>
        <v>0</v>
      </c>
      <c r="L53" s="6">
        <f>IFERROR(VLOOKUP($A53,[1]FINAL!$A$1:$BZ$1000,MATCH([1]FINAL!$BF$1,[1]FINAL!$A$1:$BZ$1,0),0),0)</f>
        <v>0</v>
      </c>
      <c r="M53" s="7">
        <f t="shared" si="2"/>
        <v>0</v>
      </c>
      <c r="N53" s="6">
        <f>IFERROR(VLOOKUP($A53,#REF!,MATCH(#REF!,#REF!,0),0),0)</f>
        <v>0</v>
      </c>
      <c r="O53" s="7">
        <f t="shared" si="3"/>
        <v>0</v>
      </c>
      <c r="P53" s="10" t="str">
        <f>IFERROR(VLOOKUP($A53,[1]FINAL!$A$1:$BZ$1000,MATCH([1]FINAL!$BB$1,[1]FINAL!$A$1:$BZ$1,0),0),"")</f>
        <v/>
      </c>
      <c r="Q53" s="18">
        <f t="shared" si="4"/>
        <v>1</v>
      </c>
    </row>
    <row r="54" spans="1:17" x14ac:dyDescent="0.25">
      <c r="A54" s="14" t="str">
        <f>[1]FINAL!$A412</f>
        <v>Tim Iroegbunam</v>
      </c>
      <c r="B54" s="20" t="str">
        <f>IFERROR(VLOOKUP($A54,[1]FINAL!$A$1:$Z$1000,MATCH([1]FINAL!$T$1,[1]FINAL!$A$1:$Z$1,0),0),"")</f>
        <v>MID</v>
      </c>
      <c r="C54" s="3" t="str">
        <f>IFERROR(VLOOKUP($A54,[1]FINAL!$A$1:$Z$1000,MATCH([1]FINAL!$U$1,[1]FINAL!$A$1:$Z$1,0),0),"")</f>
        <v>CM</v>
      </c>
      <c r="D54" s="3" t="str">
        <f>IFERROR(VLOOKUP($A54,[1]FINAL!$A$1:$Z$1000,MATCH([1]FINAL!$V$1,[1]FINAL!$A$1:$Z$1,0),0),"")</f>
        <v>EVE</v>
      </c>
      <c r="E54" s="6">
        <f t="shared" si="0"/>
        <v>105920.63492063493</v>
      </c>
      <c r="F54" s="5">
        <f t="shared" si="1"/>
        <v>0.48571428571428571</v>
      </c>
      <c r="G54" s="5">
        <f>IFERROR(IF(H54&lt;&gt;"",H54,VLOOKUP($A54,[1]FINAL!$A$1:$BZ$1000,MATCH([1]FINAL!$BL$1,[1]FINAL!$A$1:$BZ$1,0),0)),0)</f>
        <v>0.48571428571428571</v>
      </c>
      <c r="I54" s="5">
        <f>IFERROR(IF(J54&lt;&gt;"",J54,(IF(VLOOKUP($A54,#REF!,MATCH(#REF!,#REF!,0),0)=0,G54,VLOOKUP($A54,#REF!,MATCH(#REF!,#REF!,0),0)))),G54)</f>
        <v>0.48571428571428571</v>
      </c>
      <c r="K54" s="6">
        <f>IFERROR(VLOOKUP($A54,#REF!,MATCH(#REF!,#REF!,0),0),0)</f>
        <v>0</v>
      </c>
      <c r="L54" s="6">
        <f>IFERROR(VLOOKUP($A54,[1]FINAL!$A$1:$BZ$1000,MATCH([1]FINAL!$BF$1,[1]FINAL!$A$1:$BZ$1,0),0),0)</f>
        <v>79</v>
      </c>
      <c r="M54" s="7">
        <f t="shared" si="2"/>
        <v>0.87777777777777777</v>
      </c>
      <c r="N54" s="6">
        <f>IFERROR(VLOOKUP($A54,#REF!,MATCH(#REF!,#REF!,0),0),0)</f>
        <v>0</v>
      </c>
      <c r="O54" s="7">
        <f t="shared" si="3"/>
        <v>0</v>
      </c>
      <c r="P54" s="10" t="str">
        <f>IFERROR(VLOOKUP($A54,[1]FINAL!$A$1:$BZ$1000,MATCH([1]FINAL!$BB$1,[1]FINAL!$A$1:$BZ$1,0),0),"")</f>
        <v/>
      </c>
      <c r="Q54" s="18">
        <f t="shared" si="4"/>
        <v>1</v>
      </c>
    </row>
    <row r="55" spans="1:17" x14ac:dyDescent="0.25">
      <c r="A55" s="14" t="str">
        <f>[1]FINAL!$A140</f>
        <v>Mathias Jensen</v>
      </c>
      <c r="B55" s="20" t="str">
        <f>IFERROR(VLOOKUP($A55,[1]FINAL!$A$1:$Z$1000,MATCH([1]FINAL!$T$1,[1]FINAL!$A$1:$Z$1,0),0),"")</f>
        <v>MID</v>
      </c>
      <c r="C55" s="3" t="str">
        <f>IFERROR(VLOOKUP($A55,[1]FINAL!$A$1:$Z$1000,MATCH([1]FINAL!$U$1,[1]FINAL!$A$1:$Z$1,0),0),"")</f>
        <v>CM</v>
      </c>
      <c r="D55" s="3" t="str">
        <f>IFERROR(VLOOKUP($A55,[1]FINAL!$A$1:$Z$1000,MATCH([1]FINAL!$V$1,[1]FINAL!$A$1:$Z$1,0),0),"")</f>
        <v>BRE</v>
      </c>
      <c r="E55" s="6">
        <f t="shared" si="0"/>
        <v>145842.10526315789</v>
      </c>
      <c r="F55" s="5">
        <f t="shared" si="1"/>
        <v>0.68421052631578949</v>
      </c>
      <c r="G55" s="5">
        <f>IFERROR(IF(H55&lt;&gt;"",H55,VLOOKUP($A55,[1]FINAL!$A$1:$BZ$1000,MATCH([1]FINAL!$BL$1,[1]FINAL!$A$1:$BZ$1,0),0)),0)</f>
        <v>0.68421052631578949</v>
      </c>
      <c r="I55" s="5">
        <f>IFERROR(IF(J55&lt;&gt;"",J55,(IF(VLOOKUP($A55,#REF!,MATCH(#REF!,#REF!,0),0)=0,G55,VLOOKUP($A55,#REF!,MATCH(#REF!,#REF!,0),0)))),G55)</f>
        <v>0.68421052631578949</v>
      </c>
      <c r="K55" s="6">
        <f>IFERROR(VLOOKUP($A55,#REF!,MATCH(#REF!,#REF!,0),0),0)</f>
        <v>0</v>
      </c>
      <c r="L55" s="6">
        <f>IFERROR(VLOOKUP($A55,[1]FINAL!$A$1:$BZ$1000,MATCH([1]FINAL!$BF$1,[1]FINAL!$A$1:$BZ$1,0),0),0)</f>
        <v>81</v>
      </c>
      <c r="M55" s="7">
        <f t="shared" si="2"/>
        <v>0.9</v>
      </c>
      <c r="N55" s="6">
        <f>IFERROR(VLOOKUP($A55,#REF!,MATCH(#REF!,#REF!,0),0),0)</f>
        <v>0</v>
      </c>
      <c r="O55" s="7">
        <f t="shared" si="3"/>
        <v>0</v>
      </c>
      <c r="P55" s="10" t="str">
        <f>IFERROR(VLOOKUP($A55,[1]FINAL!$A$1:$BZ$1000,MATCH([1]FINAL!$BB$1,[1]FINAL!$A$1:$BZ$1,0),0),"")</f>
        <v/>
      </c>
      <c r="Q55" s="18">
        <f t="shared" si="4"/>
        <v>1</v>
      </c>
    </row>
    <row r="56" spans="1:17" x14ac:dyDescent="0.25">
      <c r="A56" s="14" t="str">
        <f>[1]FINAL!$A455</f>
        <v>Chiedozie Ogbene</v>
      </c>
      <c r="B56" s="20" t="str">
        <f>IFERROR(VLOOKUP($A56,[1]FINAL!$A$1:$Z$1000,MATCH([1]FINAL!$T$1,[1]FINAL!$A$1:$Z$1,0),0),"")</f>
        <v>MID</v>
      </c>
      <c r="C56" s="3" t="str">
        <f>IFERROR(VLOOKUP($A56,[1]FINAL!$A$1:$Z$1000,MATCH([1]FINAL!$U$1,[1]FINAL!$A$1:$Z$1,0),0),"")</f>
        <v>RW</v>
      </c>
      <c r="D56" s="3" t="str">
        <f>IFERROR(VLOOKUP($A56,[1]FINAL!$A$1:$Z$1000,MATCH([1]FINAL!$V$1,[1]FINAL!$A$1:$Z$1,0),0),"")</f>
        <v>IPS</v>
      </c>
      <c r="E56" s="6">
        <f t="shared" si="0"/>
        <v>74111.111111111095</v>
      </c>
      <c r="F56" s="5">
        <f t="shared" si="1"/>
        <v>0.33333333333333331</v>
      </c>
      <c r="G56" s="5">
        <f>IFERROR(IF(H56&lt;&gt;"",H56,VLOOKUP($A56,[1]FINAL!$A$1:$BZ$1000,MATCH([1]FINAL!$BL$1,[1]FINAL!$A$1:$BZ$1,0),0)),0)</f>
        <v>0.33333333333333331</v>
      </c>
      <c r="I56" s="5">
        <f>IFERROR(IF(J56&lt;&gt;"",J56,(IF(VLOOKUP($A56,#REF!,MATCH(#REF!,#REF!,0),0)=0,G56,VLOOKUP($A56,#REF!,MATCH(#REF!,#REF!,0),0)))),G56)</f>
        <v>0.33333333333333331</v>
      </c>
      <c r="K56" s="6">
        <f>IFERROR(VLOOKUP($A56,#REF!,MATCH(#REF!,#REF!,0),0),0)</f>
        <v>0</v>
      </c>
      <c r="L56" s="6">
        <f>IFERROR(VLOOKUP($A56,[1]FINAL!$A$1:$BZ$1000,MATCH([1]FINAL!$BF$1,[1]FINAL!$A$1:$BZ$1,0),0),0)</f>
        <v>67</v>
      </c>
      <c r="M56" s="7">
        <f t="shared" si="2"/>
        <v>0.74444444444444446</v>
      </c>
      <c r="N56" s="6">
        <f>IFERROR(VLOOKUP($A56,#REF!,MATCH(#REF!,#REF!,0),0),0)</f>
        <v>0</v>
      </c>
      <c r="O56" s="7">
        <f t="shared" si="3"/>
        <v>0</v>
      </c>
      <c r="P56" s="10" t="str">
        <f>IFERROR(VLOOKUP($A56,[1]FINAL!$A$1:$BZ$1000,MATCH([1]FINAL!$BB$1,[1]FINAL!$A$1:$BZ$1,0),0),"")</f>
        <v/>
      </c>
      <c r="Q56" s="18">
        <f t="shared" si="4"/>
        <v>1</v>
      </c>
    </row>
    <row r="57" spans="1:17" x14ac:dyDescent="0.25">
      <c r="A57" s="14" t="str">
        <f>[1]FINAL!$A40</f>
        <v>Morgan Gibbs-White</v>
      </c>
      <c r="B57" s="20" t="str">
        <f>IFERROR(VLOOKUP($A57,[1]FINAL!$A$1:$Z$1000,MATCH([1]FINAL!$T$1,[1]FINAL!$A$1:$Z$1,0),0),"")</f>
        <v>MID</v>
      </c>
      <c r="C57" s="3" t="str">
        <f>IFERROR(VLOOKUP($A57,[1]FINAL!$A$1:$Z$1000,MATCH([1]FINAL!$U$1,[1]FINAL!$A$1:$Z$1,0),0),"")</f>
        <v>AM</v>
      </c>
      <c r="D57" s="3" t="str">
        <f>IFERROR(VLOOKUP($A57,[1]FINAL!$A$1:$Z$1000,MATCH([1]FINAL!$V$1,[1]FINAL!$A$1:$Z$1,0),0),"")</f>
        <v>NFO</v>
      </c>
      <c r="E57" s="6">
        <f t="shared" si="0"/>
        <v>198855.85585585586</v>
      </c>
      <c r="F57" s="5">
        <f t="shared" si="1"/>
        <v>0.94594594594594594</v>
      </c>
      <c r="G57" s="5">
        <f>IFERROR(IF(H57&lt;&gt;"",H57,VLOOKUP($A57,[1]FINAL!$A$1:$BZ$1000,MATCH([1]FINAL!$BL$1,[1]FINAL!$A$1:$BZ$1,0),0)),0)</f>
        <v>0.94594594594594594</v>
      </c>
      <c r="I57" s="5">
        <f>IFERROR(IF(J57&lt;&gt;"",J57,(IF(VLOOKUP($A57,#REF!,MATCH(#REF!,#REF!,0),0)=0,G57,VLOOKUP($A57,#REF!,MATCH(#REF!,#REF!,0),0)))),G57)</f>
        <v>0.94594594594594594</v>
      </c>
      <c r="K57" s="6">
        <f>IFERROR(VLOOKUP($A57,#REF!,MATCH(#REF!,#REF!,0),0),0)</f>
        <v>0</v>
      </c>
      <c r="L57" s="6">
        <f>IFERROR(VLOOKUP($A57,[1]FINAL!$A$1:$BZ$1000,MATCH([1]FINAL!$BF$1,[1]FINAL!$A$1:$BZ$1,0),0),0)</f>
        <v>87</v>
      </c>
      <c r="M57" s="7">
        <f t="shared" si="2"/>
        <v>0.96666666666666667</v>
      </c>
      <c r="N57" s="6">
        <f>IFERROR(VLOOKUP($A57,#REF!,MATCH(#REF!,#REF!,0),0),0)</f>
        <v>0</v>
      </c>
      <c r="O57" s="7">
        <f t="shared" si="3"/>
        <v>0</v>
      </c>
      <c r="P57" s="10" t="str">
        <f>IFERROR(VLOOKUP($A57,[1]FINAL!$A$1:$BZ$1000,MATCH([1]FINAL!$BB$1,[1]FINAL!$A$1:$BZ$1,0),0),"")</f>
        <v/>
      </c>
      <c r="Q57" s="18">
        <f t="shared" si="4"/>
        <v>1</v>
      </c>
    </row>
    <row r="58" spans="1:17" x14ac:dyDescent="0.25">
      <c r="A58" s="14" t="str">
        <f>[1]FINAL!$A241</f>
        <v>James Tarkowski</v>
      </c>
      <c r="B58" s="20" t="str">
        <f>IFERROR(VLOOKUP($A58,[1]FINAL!$A$1:$Z$1000,MATCH([1]FINAL!$T$1,[1]FINAL!$A$1:$Z$1,0),0),"")</f>
        <v>DEF</v>
      </c>
      <c r="C58" s="3" t="str">
        <f>IFERROR(VLOOKUP($A58,[1]FINAL!$A$1:$Z$1000,MATCH([1]FINAL!$U$1,[1]FINAL!$A$1:$Z$1,0),0),"")</f>
        <v>CB</v>
      </c>
      <c r="D58" s="3" t="str">
        <f>IFERROR(VLOOKUP($A58,[1]FINAL!$A$1:$Z$1000,MATCH([1]FINAL!$V$1,[1]FINAL!$A$1:$Z$1,0),0),"")</f>
        <v>EVE</v>
      </c>
      <c r="E58" s="6">
        <f t="shared" si="0"/>
        <v>210000</v>
      </c>
      <c r="F58" s="5">
        <f t="shared" si="1"/>
        <v>1</v>
      </c>
      <c r="G58" s="5">
        <f>IFERROR(IF(H58&lt;&gt;"",H58,VLOOKUP($A58,[1]FINAL!$A$1:$BZ$1000,MATCH([1]FINAL!$BL$1,[1]FINAL!$A$1:$BZ$1,0),0)),0)</f>
        <v>1</v>
      </c>
      <c r="I58" s="5">
        <f>IFERROR(IF(J58&lt;&gt;"",J58,(IF(VLOOKUP($A58,#REF!,MATCH(#REF!,#REF!,0),0)=0,G58,VLOOKUP($A58,#REF!,MATCH(#REF!,#REF!,0),0)))),G58)</f>
        <v>1</v>
      </c>
      <c r="K58" s="6">
        <f>IFERROR(VLOOKUP($A58,#REF!,MATCH(#REF!,#REF!,0),0),0)</f>
        <v>0</v>
      </c>
      <c r="L58" s="6">
        <f>IFERROR(VLOOKUP($A58,[1]FINAL!$A$1:$BZ$1000,MATCH([1]FINAL!$BF$1,[1]FINAL!$A$1:$BZ$1,0),0),0)</f>
        <v>90</v>
      </c>
      <c r="M58" s="7">
        <f t="shared" si="2"/>
        <v>1</v>
      </c>
      <c r="N58" s="6">
        <f>IFERROR(VLOOKUP($A58,#REF!,MATCH(#REF!,#REF!,0),0),0)</f>
        <v>0</v>
      </c>
      <c r="O58" s="7">
        <f t="shared" si="3"/>
        <v>0</v>
      </c>
      <c r="P58" s="10" t="str">
        <f>IFERROR(VLOOKUP($A58,[1]FINAL!$A$1:$BZ$1000,MATCH([1]FINAL!$BB$1,[1]FINAL!$A$1:$BZ$1,0),0),"")</f>
        <v/>
      </c>
      <c r="Q58" s="18">
        <f t="shared" si="4"/>
        <v>1</v>
      </c>
    </row>
    <row r="59" spans="1:17" x14ac:dyDescent="0.25">
      <c r="A59" s="14" t="str">
        <f>[1]FINAL!$A124</f>
        <v>Caoimhín Kelleher</v>
      </c>
      <c r="B59" s="20" t="str">
        <f>IFERROR(VLOOKUP($A59,[1]FINAL!$A$1:$Z$1000,MATCH([1]FINAL!$T$1,[1]FINAL!$A$1:$Z$1,0),0),"")</f>
        <v>GK</v>
      </c>
      <c r="C59" s="3" t="str">
        <f>IFERROR(VLOOKUP($A59,[1]FINAL!$A$1:$Z$1000,MATCH([1]FINAL!$U$1,[1]FINAL!$A$1:$Z$1,0),0),"")</f>
        <v>GK</v>
      </c>
      <c r="D59" s="3" t="str">
        <f>IFERROR(VLOOKUP($A59,[1]FINAL!$A$1:$Z$1000,MATCH([1]FINAL!$V$1,[1]FINAL!$A$1:$Z$1,0),0),"")</f>
        <v>BRE</v>
      </c>
      <c r="E59" s="6">
        <f t="shared" si="0"/>
        <v>210000</v>
      </c>
      <c r="F59" s="5">
        <f t="shared" si="1"/>
        <v>1</v>
      </c>
      <c r="G59" s="5">
        <f>IFERROR(IF(H59&lt;&gt;"",H59,VLOOKUP($A59,[1]FINAL!$A$1:$BZ$1000,MATCH([1]FINAL!$BL$1,[1]FINAL!$A$1:$BZ$1,0),0)),0)</f>
        <v>1</v>
      </c>
      <c r="I59" s="5">
        <f>IFERROR(IF(J59&lt;&gt;"",J59,(IF(VLOOKUP($A59,#REF!,MATCH(#REF!,#REF!,0),0)=0,G59,VLOOKUP($A59,#REF!,MATCH(#REF!,#REF!,0),0)))),G59)</f>
        <v>1</v>
      </c>
      <c r="K59" s="6">
        <f>IFERROR(VLOOKUP($A59,#REF!,MATCH(#REF!,#REF!,0),0),0)</f>
        <v>0</v>
      </c>
      <c r="L59" s="6">
        <f>IFERROR(VLOOKUP($A59,[1]FINAL!$A$1:$BZ$1000,MATCH([1]FINAL!$BF$1,[1]FINAL!$A$1:$BZ$1,0),0),0)</f>
        <v>90</v>
      </c>
      <c r="M59" s="7">
        <f t="shared" si="2"/>
        <v>1</v>
      </c>
      <c r="N59" s="6">
        <f>IFERROR(VLOOKUP($A59,#REF!,MATCH(#REF!,#REF!,0),0),0)</f>
        <v>0</v>
      </c>
      <c r="O59" s="7">
        <f t="shared" si="3"/>
        <v>0</v>
      </c>
      <c r="P59" s="10" t="str">
        <f>IFERROR(VLOOKUP($A59,[1]FINAL!$A$1:$BZ$1000,MATCH([1]FINAL!$BB$1,[1]FINAL!$A$1:$BZ$1,0),0),"")</f>
        <v/>
      </c>
      <c r="Q59" s="18">
        <f t="shared" si="4"/>
        <v>1</v>
      </c>
    </row>
    <row r="60" spans="1:17" x14ac:dyDescent="0.25">
      <c r="A60" s="14" t="str">
        <f>[1]FINAL!$A386</f>
        <v>Nikola Milenković</v>
      </c>
      <c r="B60" s="20" t="str">
        <f>IFERROR(VLOOKUP($A60,[1]FINAL!$A$1:$Z$1000,MATCH([1]FINAL!$T$1,[1]FINAL!$A$1:$Z$1,0),0),"")</f>
        <v>DEF</v>
      </c>
      <c r="C60" s="3" t="str">
        <f>IFERROR(VLOOKUP($A60,[1]FINAL!$A$1:$Z$1000,MATCH([1]FINAL!$U$1,[1]FINAL!$A$1:$Z$1,0),0),"")</f>
        <v>CB</v>
      </c>
      <c r="D60" s="3" t="str">
        <f>IFERROR(VLOOKUP($A60,[1]FINAL!$A$1:$Z$1000,MATCH([1]FINAL!$V$1,[1]FINAL!$A$1:$Z$1,0),0),"")</f>
        <v>NFO</v>
      </c>
      <c r="E60" s="6">
        <f t="shared" si="0"/>
        <v>204736.84210526317</v>
      </c>
      <c r="F60" s="5">
        <f t="shared" si="1"/>
        <v>0.97368421052631582</v>
      </c>
      <c r="G60" s="5">
        <f>IFERROR(IF(H60&lt;&gt;"",H60,VLOOKUP($A60,[1]FINAL!$A$1:$BZ$1000,MATCH([1]FINAL!$BL$1,[1]FINAL!$A$1:$BZ$1,0),0)),0)</f>
        <v>0.97368421052631582</v>
      </c>
      <c r="I60" s="5">
        <f>IFERROR(IF(J60&lt;&gt;"",J60,(IF(VLOOKUP($A60,#REF!,MATCH(#REF!,#REF!,0),0)=0,G60,VLOOKUP($A60,#REF!,MATCH(#REF!,#REF!,0),0)))),G60)</f>
        <v>0.97368421052631582</v>
      </c>
      <c r="K60" s="6">
        <f>IFERROR(VLOOKUP($A60,#REF!,MATCH(#REF!,#REF!,0),0),0)</f>
        <v>0</v>
      </c>
      <c r="L60" s="6">
        <f>IFERROR(VLOOKUP($A60,[1]FINAL!$A$1:$BZ$1000,MATCH([1]FINAL!$BF$1,[1]FINAL!$A$1:$BZ$1,0),0),0)</f>
        <v>90</v>
      </c>
      <c r="M60" s="7">
        <f t="shared" si="2"/>
        <v>1</v>
      </c>
      <c r="N60" s="6">
        <f>IFERROR(VLOOKUP($A60,#REF!,MATCH(#REF!,#REF!,0),0),0)</f>
        <v>0</v>
      </c>
      <c r="O60" s="7">
        <f t="shared" si="3"/>
        <v>0</v>
      </c>
      <c r="P60" s="10" t="str">
        <f>IFERROR(VLOOKUP($A60,[1]FINAL!$A$1:$BZ$1000,MATCH([1]FINAL!$BB$1,[1]FINAL!$A$1:$BZ$1,0),0),"")</f>
        <v/>
      </c>
      <c r="Q60" s="18">
        <f t="shared" si="4"/>
        <v>1</v>
      </c>
    </row>
    <row r="61" spans="1:17" x14ac:dyDescent="0.25">
      <c r="A61" s="14" t="str">
        <f>[1]FINAL!$A10</f>
        <v>Rayan Cherki</v>
      </c>
      <c r="B61" s="20" t="str">
        <f>IFERROR(VLOOKUP($A61,[1]FINAL!$A$1:$Z$1000,MATCH([1]FINAL!$T$1,[1]FINAL!$A$1:$Z$1,0),0),"")</f>
        <v>MID</v>
      </c>
      <c r="C61" s="3" t="str">
        <f>IFERROR(VLOOKUP($A61,[1]FINAL!$A$1:$Z$1000,MATCH([1]FINAL!$U$1,[1]FINAL!$A$1:$Z$1,0),0),"")</f>
        <v>AM</v>
      </c>
      <c r="D61" s="3" t="str">
        <f>IFERROR(VLOOKUP($A61,[1]FINAL!$A$1:$Z$1000,MATCH([1]FINAL!$V$1,[1]FINAL!$A$1:$Z$1,0),0),"")</f>
        <v>MCI</v>
      </c>
      <c r="E61" s="6">
        <f t="shared" si="0"/>
        <v>120320.26143790848</v>
      </c>
      <c r="F61" s="5">
        <f t="shared" si="1"/>
        <v>0.55882352941176472</v>
      </c>
      <c r="G61" s="5">
        <f>IFERROR(IF(H61&lt;&gt;"",H61,VLOOKUP($A61,[1]FINAL!$A$1:$BZ$1000,MATCH([1]FINAL!$BL$1,[1]FINAL!$A$1:$BZ$1,0),0)),0)</f>
        <v>0.55882352941176472</v>
      </c>
      <c r="I61" s="5">
        <f>IFERROR(IF(J61&lt;&gt;"",J61,(IF(VLOOKUP($A61,#REF!,MATCH(#REF!,#REF!,0),0)=0,G61,VLOOKUP($A61,#REF!,MATCH(#REF!,#REF!,0),0)))),G61)</f>
        <v>0.55882352941176472</v>
      </c>
      <c r="K61" s="6">
        <f>IFERROR(VLOOKUP($A61,#REF!,MATCH(#REF!,#REF!,0),0),0)</f>
        <v>0</v>
      </c>
      <c r="L61" s="6">
        <f>IFERROR(VLOOKUP($A61,[1]FINAL!$A$1:$BZ$1000,MATCH([1]FINAL!$BF$1,[1]FINAL!$A$1:$BZ$1,0),0),0)</f>
        <v>77</v>
      </c>
      <c r="M61" s="7">
        <f t="shared" si="2"/>
        <v>0.85555555555555551</v>
      </c>
      <c r="N61" s="6">
        <f>IFERROR(VLOOKUP($A61,#REF!,MATCH(#REF!,#REF!,0),0),0)</f>
        <v>0</v>
      </c>
      <c r="O61" s="7">
        <f t="shared" si="3"/>
        <v>0</v>
      </c>
      <c r="P61" s="10" t="str">
        <f>IFERROR(VLOOKUP($A61,[1]FINAL!$A$1:$BZ$1000,MATCH([1]FINAL!$BB$1,[1]FINAL!$A$1:$BZ$1,0),0),"")</f>
        <v/>
      </c>
      <c r="Q61" s="18">
        <f t="shared" si="4"/>
        <v>1</v>
      </c>
    </row>
    <row r="62" spans="1:17" x14ac:dyDescent="0.25">
      <c r="A62" s="14" t="str">
        <f>[1]FINAL!$A20</f>
        <v>Hugo Ekitiké</v>
      </c>
      <c r="B62" s="20" t="str">
        <f>IFERROR(VLOOKUP($A62,[1]FINAL!$A$1:$Z$1000,MATCH([1]FINAL!$T$1,[1]FINAL!$A$1:$Z$1,0),0),"")</f>
        <v>FWD</v>
      </c>
      <c r="C62" s="3" t="str">
        <f>IFERROR(VLOOKUP($A62,[1]FINAL!$A$1:$Z$1000,MATCH([1]FINAL!$U$1,[1]FINAL!$A$1:$Z$1,0),0),"")</f>
        <v>CF</v>
      </c>
      <c r="D62" s="3" t="str">
        <f>IFERROR(VLOOKUP($A62,[1]FINAL!$A$1:$Z$1000,MATCH([1]FINAL!$V$1,[1]FINAL!$A$1:$Z$1,0),0),"")</f>
        <v>LIV</v>
      </c>
      <c r="E62" s="6">
        <f t="shared" si="0"/>
        <v>15.338314176245213</v>
      </c>
      <c r="F62" s="5">
        <f t="shared" si="1"/>
        <v>7.2413793103448285E-5</v>
      </c>
      <c r="G62" s="5">
        <f>IFERROR(IF(H62&lt;&gt;"",H62,VLOOKUP($A62,[1]FINAL!$A$1:$BZ$1000,MATCH([1]FINAL!$BL$1,[1]FINAL!$A$1:$BZ$1,0),0)),0)</f>
        <v>0.72413793103448276</v>
      </c>
      <c r="I62" s="5">
        <f>IFERROR(IF(J62&lt;&gt;"",J62,(IF(VLOOKUP($A62,#REF!,MATCH(#REF!,#REF!,0),0)=0,G62,VLOOKUP($A62,#REF!,MATCH(#REF!,#REF!,0),0)))),G62)</f>
        <v>0.72413793103448276</v>
      </c>
      <c r="K62" s="6">
        <f>IFERROR(VLOOKUP($A62,#REF!,MATCH(#REF!,#REF!,0),0),0)</f>
        <v>0</v>
      </c>
      <c r="L62" s="6">
        <f>IFERROR(VLOOKUP($A62,[1]FINAL!$A$1:$BZ$1000,MATCH([1]FINAL!$BF$1,[1]FINAL!$A$1:$BZ$1,0),0),0)</f>
        <v>77</v>
      </c>
      <c r="M62" s="7">
        <f t="shared" si="2"/>
        <v>0.85555555555555551</v>
      </c>
      <c r="N62" s="6">
        <f>IFERROR(VLOOKUP($A62,#REF!,MATCH(#REF!,#REF!,0),0),0)</f>
        <v>0</v>
      </c>
      <c r="O62" s="7">
        <f t="shared" si="3"/>
        <v>0</v>
      </c>
      <c r="P62" s="10">
        <f>IFERROR(VLOOKUP($A62,[1]FINAL!$A$1:$BZ$1000,MATCH([1]FINAL!$BB$1,[1]FINAL!$A$1:$BZ$1,0),0),"")</f>
        <v>0</v>
      </c>
      <c r="Q62" s="18">
        <f t="shared" si="4"/>
        <v>1E-4</v>
      </c>
    </row>
    <row r="63" spans="1:17" x14ac:dyDescent="0.25">
      <c r="A63" s="14" t="str">
        <f>[1]FINAL!$A266</f>
        <v>Chris Rigg</v>
      </c>
      <c r="B63" s="20" t="str">
        <f>IFERROR(VLOOKUP($A63,[1]FINAL!$A$1:$Z$1000,MATCH([1]FINAL!$T$1,[1]FINAL!$A$1:$Z$1,0),0),"")</f>
        <v>MID</v>
      </c>
      <c r="C63" s="3" t="str">
        <f>IFERROR(VLOOKUP($A63,[1]FINAL!$A$1:$Z$1000,MATCH([1]FINAL!$U$1,[1]FINAL!$A$1:$Z$1,0),0),"")</f>
        <v>AM</v>
      </c>
      <c r="D63" s="3" t="str">
        <f>IFERROR(VLOOKUP($A63,[1]FINAL!$A$1:$Z$1000,MATCH([1]FINAL!$V$1,[1]FINAL!$A$1:$Z$1,0),0),"")</f>
        <v>SUN</v>
      </c>
      <c r="E63" s="6">
        <f t="shared" si="0"/>
        <v>68333.333333333343</v>
      </c>
      <c r="F63" s="5">
        <f t="shared" si="1"/>
        <v>0.30555555555555558</v>
      </c>
      <c r="G63" s="5">
        <f>IFERROR(IF(H63&lt;&gt;"",H63,VLOOKUP($A63,[1]FINAL!$A$1:$BZ$1000,MATCH([1]FINAL!$BL$1,[1]FINAL!$A$1:$BZ$1,0),0)),0)</f>
        <v>0.30555555555555558</v>
      </c>
      <c r="I63" s="5">
        <f>IFERROR(IF(J63&lt;&gt;"",J63,(IF(VLOOKUP($A63,#REF!,MATCH(#REF!,#REF!,0),0)=0,G63,VLOOKUP($A63,#REF!,MATCH(#REF!,#REF!,0),0)))),G63)</f>
        <v>0.30555555555555558</v>
      </c>
      <c r="K63" s="6">
        <f>IFERROR(VLOOKUP($A63,#REF!,MATCH(#REF!,#REF!,0),0),0)</f>
        <v>0</v>
      </c>
      <c r="L63" s="6">
        <f>IFERROR(VLOOKUP($A63,[1]FINAL!$A$1:$BZ$1000,MATCH([1]FINAL!$BF$1,[1]FINAL!$A$1:$BZ$1,0),0),0)</f>
        <v>65</v>
      </c>
      <c r="M63" s="7">
        <f t="shared" si="2"/>
        <v>0.72222222222222221</v>
      </c>
      <c r="N63" s="6">
        <f>IFERROR(VLOOKUP($A63,#REF!,MATCH(#REF!,#REF!,0),0),0)</f>
        <v>0</v>
      </c>
      <c r="O63" s="7">
        <f t="shared" si="3"/>
        <v>0</v>
      </c>
      <c r="P63" s="10" t="str">
        <f>IFERROR(VLOOKUP($A63,[1]FINAL!$A$1:$BZ$1000,MATCH([1]FINAL!$BB$1,[1]FINAL!$A$1:$BZ$1,0),0),"")</f>
        <v/>
      </c>
      <c r="Q63" s="18">
        <f t="shared" si="4"/>
        <v>1</v>
      </c>
    </row>
    <row r="64" spans="1:17" x14ac:dyDescent="0.25">
      <c r="A64" s="14" t="str">
        <f>[1]FINAL!$A551</f>
        <v>Johan Manzambi</v>
      </c>
      <c r="B64" s="20" t="str">
        <f>IFERROR(VLOOKUP($A64,[1]FINAL!$A$1:$Z$1000,MATCH([1]FINAL!$T$1,[1]FINAL!$A$1:$Z$1,0),0),"")</f>
        <v>MID</v>
      </c>
      <c r="C64" s="3" t="str">
        <f>IFERROR(VLOOKUP($A64,[1]FINAL!$A$1:$Z$1000,MATCH([1]FINAL!$U$1,[1]FINAL!$A$1:$Z$1,0),0),"")</f>
        <v>AM</v>
      </c>
      <c r="D64" s="3" t="str">
        <f>IFERROR(VLOOKUP($A64,[1]FINAL!$A$1:$Z$1000,MATCH([1]FINAL!$V$1,[1]FINAL!$A$1:$Z$1,0),0),"")</f>
        <v>AVL</v>
      </c>
      <c r="E64" s="6">
        <f t="shared" si="0"/>
        <v>0</v>
      </c>
      <c r="F64" s="5">
        <f t="shared" si="1"/>
        <v>0</v>
      </c>
      <c r="G64" s="5">
        <f>IFERROR(IF(H64&lt;&gt;"",H64,VLOOKUP($A64,[1]FINAL!$A$1:$BZ$1000,MATCH([1]FINAL!$BL$1,[1]FINAL!$A$1:$BZ$1,0),0)),0)</f>
        <v>0</v>
      </c>
      <c r="I64" s="5">
        <f>IFERROR(IF(J64&lt;&gt;"",J64,(IF(VLOOKUP($A64,#REF!,MATCH(#REF!,#REF!,0),0)=0,G64,VLOOKUP($A64,#REF!,MATCH(#REF!,#REF!,0),0)))),G64)</f>
        <v>0</v>
      </c>
      <c r="K64" s="6">
        <f>IFERROR(VLOOKUP($A64,#REF!,MATCH(#REF!,#REF!,0),0),0)</f>
        <v>0</v>
      </c>
      <c r="L64" s="6">
        <f>IFERROR(VLOOKUP($A64,[1]FINAL!$A$1:$BZ$1000,MATCH([1]FINAL!$BF$1,[1]FINAL!$A$1:$BZ$1,0),0),0)</f>
        <v>0</v>
      </c>
      <c r="M64" s="7">
        <f t="shared" si="2"/>
        <v>0</v>
      </c>
      <c r="N64" s="6">
        <f>IFERROR(VLOOKUP($A64,#REF!,MATCH(#REF!,#REF!,0),0),0)</f>
        <v>0</v>
      </c>
      <c r="O64" s="7">
        <f t="shared" si="3"/>
        <v>0</v>
      </c>
      <c r="P64" s="10" t="str">
        <f>IFERROR(VLOOKUP($A64,[1]FINAL!$A$1:$BZ$1000,MATCH([1]FINAL!$BB$1,[1]FINAL!$A$1:$BZ$1,0),0),"")</f>
        <v/>
      </c>
      <c r="Q64" s="18">
        <f t="shared" si="4"/>
        <v>1</v>
      </c>
    </row>
    <row r="65" spans="1:17" x14ac:dyDescent="0.25">
      <c r="A65" s="14" t="str">
        <f>[1]FINAL!$A2</f>
        <v>Josh Dasilva</v>
      </c>
      <c r="B65" s="20" t="str">
        <f>IFERROR(VLOOKUP($A65,[1]FINAL!$A$1:$Z$1000,MATCH([1]FINAL!$T$1,[1]FINAL!$A$1:$Z$1,0),0),"")</f>
        <v>MID</v>
      </c>
      <c r="C65" s="3" t="str">
        <f>IFERROR(VLOOKUP($A65,[1]FINAL!$A$1:$Z$1000,MATCH([1]FINAL!$U$1,[1]FINAL!$A$1:$Z$1,0),0),"")</f>
        <v>CM</v>
      </c>
      <c r="D65" s="3" t="str">
        <f>IFERROR(VLOOKUP($A65,[1]FINAL!$A$1:$Z$1000,MATCH([1]FINAL!$V$1,[1]FINAL!$A$1:$Z$1,0),0),"")</f>
        <v>BRE</v>
      </c>
      <c r="E65" s="6">
        <f t="shared" si="0"/>
        <v>0</v>
      </c>
      <c r="F65" s="5">
        <f t="shared" si="1"/>
        <v>0</v>
      </c>
      <c r="G65" s="5">
        <f>IFERROR(IF(H65&lt;&gt;"",H65,VLOOKUP($A65,[1]FINAL!$A$1:$BZ$1000,MATCH([1]FINAL!$BL$1,[1]FINAL!$A$1:$BZ$1,0),0)),0)</f>
        <v>0</v>
      </c>
      <c r="I65" s="5">
        <f>IFERROR(IF(J65&lt;&gt;"",J65,(IF(VLOOKUP($A65,#REF!,MATCH(#REF!,#REF!,0),0)=0,G65,VLOOKUP($A65,#REF!,MATCH(#REF!,#REF!,0),0)))),G65)</f>
        <v>0</v>
      </c>
      <c r="K65" s="6">
        <f>IFERROR(VLOOKUP($A65,#REF!,MATCH(#REF!,#REF!,0),0),0)</f>
        <v>0</v>
      </c>
      <c r="L65" s="6">
        <f>IFERROR(VLOOKUP($A65,[1]FINAL!$A$1:$BZ$1000,MATCH([1]FINAL!$BF$1,[1]FINAL!$A$1:$BZ$1,0),0),0)</f>
        <v>0</v>
      </c>
      <c r="M65" s="7">
        <f t="shared" si="2"/>
        <v>0</v>
      </c>
      <c r="N65" s="6">
        <f>IFERROR(VLOOKUP($A65,#REF!,MATCH(#REF!,#REF!,0),0),0)</f>
        <v>0</v>
      </c>
      <c r="O65" s="7">
        <f t="shared" si="3"/>
        <v>0</v>
      </c>
      <c r="P65" s="10" t="str">
        <f>IFERROR(VLOOKUP($A65,[1]FINAL!$A$1:$BZ$1000,MATCH([1]FINAL!$BB$1,[1]FINAL!$A$1:$BZ$1,0),0),"")</f>
        <v/>
      </c>
      <c r="Q65" s="18">
        <f t="shared" si="4"/>
        <v>1</v>
      </c>
    </row>
    <row r="66" spans="1:17" x14ac:dyDescent="0.25">
      <c r="A66" s="14" t="str">
        <f>[1]FINAL!$A91</f>
        <v>Dominik Szoboszlai</v>
      </c>
      <c r="B66" s="20" t="str">
        <f>IFERROR(VLOOKUP($A66,[1]FINAL!$A$1:$Z$1000,MATCH([1]FINAL!$T$1,[1]FINAL!$A$1:$Z$1,0),0),"")</f>
        <v>MID</v>
      </c>
      <c r="C66" s="3" t="str">
        <f>IFERROR(VLOOKUP($A66,[1]FINAL!$A$1:$Z$1000,MATCH([1]FINAL!$U$1,[1]FINAL!$A$1:$Z$1,0),0),"")</f>
        <v>AM</v>
      </c>
      <c r="D66" s="3" t="str">
        <f>IFERROR(VLOOKUP($A66,[1]FINAL!$A$1:$Z$1000,MATCH([1]FINAL!$V$1,[1]FINAL!$A$1:$Z$1,0),0),"")</f>
        <v>LIV</v>
      </c>
      <c r="E66" s="6">
        <f t="shared" ref="E66:E129" si="5">IF($Q$1="ON",((G66*100000)+(I66*100000)+(M66*10000)+(O66*10000)+(K66*10))*Q66,((G66*100000)+(I66*100000)+(M66*10000)+(O66*10000)+(K66*10)))</f>
        <v>210000</v>
      </c>
      <c r="F66" s="5">
        <f t="shared" ref="F66:F129" si="6">IFERROR(IF($Q$1="ON",((G66*$W$1)+(I66*$U$1))*Q66,((G66*$W$1)+(I66*$U$1))),0)</f>
        <v>1</v>
      </c>
      <c r="G66" s="5">
        <f>IFERROR(IF(H66&lt;&gt;"",H66,VLOOKUP($A66,[1]FINAL!$A$1:$BZ$1000,MATCH([1]FINAL!$BL$1,[1]FINAL!$A$1:$BZ$1,0),0)),0)</f>
        <v>1</v>
      </c>
      <c r="I66" s="5">
        <f>IFERROR(IF(J66&lt;&gt;"",J66,(IF(VLOOKUP($A66,#REF!,MATCH(#REF!,#REF!,0),0)=0,G66,VLOOKUP($A66,#REF!,MATCH(#REF!,#REF!,0),0)))),G66)</f>
        <v>1</v>
      </c>
      <c r="K66" s="6">
        <f>IFERROR(VLOOKUP($A66,#REF!,MATCH(#REF!,#REF!,0),0),0)</f>
        <v>0</v>
      </c>
      <c r="L66" s="6">
        <f>IFERROR(VLOOKUP($A66,[1]FINAL!$A$1:$BZ$1000,MATCH([1]FINAL!$BF$1,[1]FINAL!$A$1:$BZ$1,0),0),0)</f>
        <v>90</v>
      </c>
      <c r="M66" s="7">
        <f t="shared" ref="M66:M129" si="7">L66/90</f>
        <v>1</v>
      </c>
      <c r="N66" s="6">
        <f>IFERROR(VLOOKUP($A66,#REF!,MATCH(#REF!,#REF!,0),0),0)</f>
        <v>0</v>
      </c>
      <c r="O66" s="7">
        <f t="shared" ref="O66:O129" si="8">N66/90</f>
        <v>0</v>
      </c>
      <c r="P66" s="10" t="str">
        <f>IFERROR(VLOOKUP($A66,[1]FINAL!$A$1:$BZ$1000,MATCH([1]FINAL!$BB$1,[1]FINAL!$A$1:$BZ$1,0),0),"")</f>
        <v/>
      </c>
      <c r="Q66" s="18">
        <f t="shared" ref="Q66:Q129" si="9">IF(P66="",1,IF(P66=0,0.0001,P66/100))</f>
        <v>1</v>
      </c>
    </row>
    <row r="67" spans="1:17" x14ac:dyDescent="0.25">
      <c r="A67" s="14" t="str">
        <f>[1]FINAL!$A400</f>
        <v>Tyler Dibling</v>
      </c>
      <c r="B67" s="20" t="str">
        <f>IFERROR(VLOOKUP($A67,[1]FINAL!$A$1:$Z$1000,MATCH([1]FINAL!$T$1,[1]FINAL!$A$1:$Z$1,0),0),"")</f>
        <v>MID</v>
      </c>
      <c r="C67" s="3" t="str">
        <f>IFERROR(VLOOKUP($A67,[1]FINAL!$A$1:$Z$1000,MATCH([1]FINAL!$U$1,[1]FINAL!$A$1:$Z$1,0),0),"")</f>
        <v>RW</v>
      </c>
      <c r="D67" s="3" t="str">
        <f>IFERROR(VLOOKUP($A67,[1]FINAL!$A$1:$Z$1000,MATCH([1]FINAL!$V$1,[1]FINAL!$A$1:$Z$1,0),0),"")</f>
        <v>EVE</v>
      </c>
      <c r="E67" s="6">
        <f t="shared" si="5"/>
        <v>29666.666666666668</v>
      </c>
      <c r="F67" s="5">
        <f t="shared" si="6"/>
        <v>0.1111111111111111</v>
      </c>
      <c r="G67" s="5">
        <f>IFERROR(IF(H67&lt;&gt;"",H67,VLOOKUP($A67,[1]FINAL!$A$1:$BZ$1000,MATCH([1]FINAL!$BL$1,[1]FINAL!$A$1:$BZ$1,0),0)),0)</f>
        <v>0.1111111111111111</v>
      </c>
      <c r="I67" s="5">
        <f>IFERROR(IF(J67&lt;&gt;"",J67,(IF(VLOOKUP($A67,#REF!,MATCH(#REF!,#REF!,0),0)=0,G67,VLOOKUP($A67,#REF!,MATCH(#REF!,#REF!,0),0)))),G67)</f>
        <v>0.1111111111111111</v>
      </c>
      <c r="K67" s="6">
        <f>IFERROR(VLOOKUP($A67,#REF!,MATCH(#REF!,#REF!,0),0),0)</f>
        <v>0</v>
      </c>
      <c r="L67" s="6">
        <f>IFERROR(VLOOKUP($A67,[1]FINAL!$A$1:$BZ$1000,MATCH([1]FINAL!$BF$1,[1]FINAL!$A$1:$BZ$1,0),0),0)</f>
        <v>67</v>
      </c>
      <c r="M67" s="7">
        <f t="shared" si="7"/>
        <v>0.74444444444444446</v>
      </c>
      <c r="N67" s="6">
        <f>IFERROR(VLOOKUP($A67,#REF!,MATCH(#REF!,#REF!,0),0),0)</f>
        <v>0</v>
      </c>
      <c r="O67" s="7">
        <f t="shared" si="8"/>
        <v>0</v>
      </c>
      <c r="P67" s="10" t="str">
        <f>IFERROR(VLOOKUP($A67,[1]FINAL!$A$1:$BZ$1000,MATCH([1]FINAL!$BB$1,[1]FINAL!$A$1:$BZ$1,0),0),"")</f>
        <v/>
      </c>
      <c r="Q67" s="18">
        <f t="shared" si="9"/>
        <v>1</v>
      </c>
    </row>
    <row r="68" spans="1:17" x14ac:dyDescent="0.25">
      <c r="A68" s="14" t="str">
        <f>[1]FINAL!$A404</f>
        <v>Jorge Cuenca Barreno</v>
      </c>
      <c r="B68" s="20" t="str">
        <f>IFERROR(VLOOKUP($A68,[1]FINAL!$A$1:$Z$1000,MATCH([1]FINAL!$T$1,[1]FINAL!$A$1:$Z$1,0),0),"")</f>
        <v>DEF</v>
      </c>
      <c r="C68" s="3" t="str">
        <f>IFERROR(VLOOKUP($A68,[1]FINAL!$A$1:$Z$1000,MATCH([1]FINAL!$U$1,[1]FINAL!$A$1:$Z$1,0),0),"")</f>
        <v>CB</v>
      </c>
      <c r="D68" s="3" t="str">
        <f>IFERROR(VLOOKUP($A68,[1]FINAL!$A$1:$Z$1000,MATCH([1]FINAL!$V$1,[1]FINAL!$A$1:$Z$1,0),0),"")</f>
        <v>FUL</v>
      </c>
      <c r="E68" s="6">
        <f t="shared" si="5"/>
        <v>80301.075268817207</v>
      </c>
      <c r="F68" s="5">
        <f t="shared" si="6"/>
        <v>0.35483870967741937</v>
      </c>
      <c r="G68" s="5">
        <f>IFERROR(IF(H68&lt;&gt;"",H68,VLOOKUP($A68,[1]FINAL!$A$1:$BZ$1000,MATCH([1]FINAL!$BL$1,[1]FINAL!$A$1:$BZ$1,0),0)),0)</f>
        <v>0.35483870967741937</v>
      </c>
      <c r="I68" s="5">
        <f>IFERROR(IF(J68&lt;&gt;"",J68,(IF(VLOOKUP($A68,#REF!,MATCH(#REF!,#REF!,0),0)=0,G68,VLOOKUP($A68,#REF!,MATCH(#REF!,#REF!,0),0)))),G68)</f>
        <v>0.35483870967741937</v>
      </c>
      <c r="K68" s="6">
        <f>IFERROR(VLOOKUP($A68,#REF!,MATCH(#REF!,#REF!,0),0),0)</f>
        <v>0</v>
      </c>
      <c r="L68" s="6">
        <f>IFERROR(VLOOKUP($A68,[1]FINAL!$A$1:$BZ$1000,MATCH([1]FINAL!$BF$1,[1]FINAL!$A$1:$BZ$1,0),0),0)</f>
        <v>84</v>
      </c>
      <c r="M68" s="7">
        <f t="shared" si="7"/>
        <v>0.93333333333333335</v>
      </c>
      <c r="N68" s="6">
        <f>IFERROR(VLOOKUP($A68,#REF!,MATCH(#REF!,#REF!,0),0),0)</f>
        <v>0</v>
      </c>
      <c r="O68" s="7">
        <f t="shared" si="8"/>
        <v>0</v>
      </c>
      <c r="P68" s="10" t="str">
        <f>IFERROR(VLOOKUP($A68,[1]FINAL!$A$1:$BZ$1000,MATCH([1]FINAL!$BB$1,[1]FINAL!$A$1:$BZ$1,0),0),"")</f>
        <v/>
      </c>
      <c r="Q68" s="18">
        <f t="shared" si="9"/>
        <v>1</v>
      </c>
    </row>
    <row r="69" spans="1:17" x14ac:dyDescent="0.25">
      <c r="A69" s="14" t="str">
        <f>[1]FINAL!$A158</f>
        <v>Matheus Nunes</v>
      </c>
      <c r="B69" s="20" t="str">
        <f>IFERROR(VLOOKUP($A69,[1]FINAL!$A$1:$Z$1000,MATCH([1]FINAL!$T$1,[1]FINAL!$A$1:$Z$1,0),0),"")</f>
        <v>DEF</v>
      </c>
      <c r="C69" s="3" t="str">
        <f>IFERROR(VLOOKUP($A69,[1]FINAL!$A$1:$Z$1000,MATCH([1]FINAL!$U$1,[1]FINAL!$A$1:$Z$1,0),0),"")</f>
        <v>RB</v>
      </c>
      <c r="D69" s="3" t="str">
        <f>IFERROR(VLOOKUP($A69,[1]FINAL!$A$1:$Z$1000,MATCH([1]FINAL!$V$1,[1]FINAL!$A$1:$Z$1,0),0),"")</f>
        <v>MCI</v>
      </c>
      <c r="E69" s="6">
        <f t="shared" si="5"/>
        <v>182639.63963963964</v>
      </c>
      <c r="F69" s="5">
        <f t="shared" si="6"/>
        <v>0.86486486486486491</v>
      </c>
      <c r="G69" s="5">
        <f>IFERROR(IF(H69&lt;&gt;"",H69,VLOOKUP($A69,[1]FINAL!$A$1:$BZ$1000,MATCH([1]FINAL!$BL$1,[1]FINAL!$A$1:$BZ$1,0),0)),0)</f>
        <v>0.86486486486486491</v>
      </c>
      <c r="I69" s="5">
        <f>IFERROR(IF(J69&lt;&gt;"",J69,(IF(VLOOKUP($A69,#REF!,MATCH(#REF!,#REF!,0),0)=0,G69,VLOOKUP($A69,#REF!,MATCH(#REF!,#REF!,0),0)))),G69)</f>
        <v>0.86486486486486491</v>
      </c>
      <c r="K69" s="6">
        <f>IFERROR(VLOOKUP($A69,#REF!,MATCH(#REF!,#REF!,0),0),0)</f>
        <v>0</v>
      </c>
      <c r="L69" s="6">
        <f>IFERROR(VLOOKUP($A69,[1]FINAL!$A$1:$BZ$1000,MATCH([1]FINAL!$BF$1,[1]FINAL!$A$1:$BZ$1,0),0),0)</f>
        <v>87</v>
      </c>
      <c r="M69" s="7">
        <f t="shared" si="7"/>
        <v>0.96666666666666667</v>
      </c>
      <c r="N69" s="6">
        <f>IFERROR(VLOOKUP($A69,#REF!,MATCH(#REF!,#REF!,0),0),0)</f>
        <v>0</v>
      </c>
      <c r="O69" s="7">
        <f t="shared" si="8"/>
        <v>0</v>
      </c>
      <c r="P69" s="10" t="str">
        <f>IFERROR(VLOOKUP($A69,[1]FINAL!$A$1:$BZ$1000,MATCH([1]FINAL!$BB$1,[1]FINAL!$A$1:$BZ$1,0),0),"")</f>
        <v/>
      </c>
      <c r="Q69" s="18">
        <f t="shared" si="9"/>
        <v>1</v>
      </c>
    </row>
    <row r="70" spans="1:17" x14ac:dyDescent="0.25">
      <c r="A70" s="14" t="str">
        <f>[1]FINAL!$A172</f>
        <v>Dean Henderson</v>
      </c>
      <c r="B70" s="20" t="str">
        <f>IFERROR(VLOOKUP($A70,[1]FINAL!$A$1:$Z$1000,MATCH([1]FINAL!$T$1,[1]FINAL!$A$1:$Z$1,0),0),"")</f>
        <v>GK</v>
      </c>
      <c r="C70" s="3" t="str">
        <f>IFERROR(VLOOKUP($A70,[1]FINAL!$A$1:$Z$1000,MATCH([1]FINAL!$U$1,[1]FINAL!$A$1:$Z$1,0),0),"")</f>
        <v>GK</v>
      </c>
      <c r="D70" s="3" t="str">
        <f>IFERROR(VLOOKUP($A70,[1]FINAL!$A$1:$Z$1000,MATCH([1]FINAL!$V$1,[1]FINAL!$A$1:$Z$1,0),0),"")</f>
        <v>CRY</v>
      </c>
      <c r="E70" s="6">
        <f t="shared" si="5"/>
        <v>210000</v>
      </c>
      <c r="F70" s="5">
        <f t="shared" si="6"/>
        <v>1</v>
      </c>
      <c r="G70" s="5">
        <f>IFERROR(IF(H70&lt;&gt;"",H70,VLOOKUP($A70,[1]FINAL!$A$1:$BZ$1000,MATCH([1]FINAL!$BL$1,[1]FINAL!$A$1:$BZ$1,0),0)),0)</f>
        <v>1</v>
      </c>
      <c r="I70" s="5">
        <f>IFERROR(IF(J70&lt;&gt;"",J70,(IF(VLOOKUP($A70,#REF!,MATCH(#REF!,#REF!,0),0)=0,G70,VLOOKUP($A70,#REF!,MATCH(#REF!,#REF!,0),0)))),G70)</f>
        <v>1</v>
      </c>
      <c r="K70" s="6">
        <f>IFERROR(VLOOKUP($A70,#REF!,MATCH(#REF!,#REF!,0),0),0)</f>
        <v>0</v>
      </c>
      <c r="L70" s="6">
        <f>IFERROR(VLOOKUP($A70,[1]FINAL!$A$1:$BZ$1000,MATCH([1]FINAL!$BF$1,[1]FINAL!$A$1:$BZ$1,0),0),0)</f>
        <v>90</v>
      </c>
      <c r="M70" s="7">
        <f t="shared" si="7"/>
        <v>1</v>
      </c>
      <c r="N70" s="6">
        <f>IFERROR(VLOOKUP($A70,#REF!,MATCH(#REF!,#REF!,0),0),0)</f>
        <v>0</v>
      </c>
      <c r="O70" s="7">
        <f t="shared" si="8"/>
        <v>0</v>
      </c>
      <c r="P70" s="10" t="str">
        <f>IFERROR(VLOOKUP($A70,[1]FINAL!$A$1:$BZ$1000,MATCH([1]FINAL!$BB$1,[1]FINAL!$A$1:$BZ$1,0),0),"")</f>
        <v/>
      </c>
      <c r="Q70" s="18">
        <f t="shared" si="9"/>
        <v>1</v>
      </c>
    </row>
    <row r="71" spans="1:17" x14ac:dyDescent="0.25">
      <c r="A71" s="14" t="str">
        <f>[1]FINAL!$A180</f>
        <v>Matz Sels</v>
      </c>
      <c r="B71" s="20" t="str">
        <f>IFERROR(VLOOKUP($A71,[1]FINAL!$A$1:$Z$1000,MATCH([1]FINAL!$T$1,[1]FINAL!$A$1:$Z$1,0),0),"")</f>
        <v>GK</v>
      </c>
      <c r="C71" s="3" t="str">
        <f>IFERROR(VLOOKUP($A71,[1]FINAL!$A$1:$Z$1000,MATCH([1]FINAL!$U$1,[1]FINAL!$A$1:$Z$1,0),0),"")</f>
        <v>GK</v>
      </c>
      <c r="D71" s="3" t="str">
        <f>IFERROR(VLOOKUP($A71,[1]FINAL!$A$1:$Z$1000,MATCH([1]FINAL!$V$1,[1]FINAL!$A$1:$Z$1,0),0),"")</f>
        <v>NFO</v>
      </c>
      <c r="E71" s="6">
        <f t="shared" si="5"/>
        <v>186359.477124183</v>
      </c>
      <c r="F71" s="5">
        <f t="shared" si="6"/>
        <v>0.88235294117647056</v>
      </c>
      <c r="G71" s="5">
        <f>IFERROR(IF(H71&lt;&gt;"",H71,VLOOKUP($A71,[1]FINAL!$A$1:$BZ$1000,MATCH([1]FINAL!$BL$1,[1]FINAL!$A$1:$BZ$1,0),0)),0)</f>
        <v>0.88235294117647056</v>
      </c>
      <c r="I71" s="5">
        <f>IFERROR(IF(J71&lt;&gt;"",J71,(IF(VLOOKUP($A71,#REF!,MATCH(#REF!,#REF!,0),0)=0,G71,VLOOKUP($A71,#REF!,MATCH(#REF!,#REF!,0),0)))),G71)</f>
        <v>0.88235294117647056</v>
      </c>
      <c r="K71" s="6">
        <f>IFERROR(VLOOKUP($A71,#REF!,MATCH(#REF!,#REF!,0),0),0)</f>
        <v>0</v>
      </c>
      <c r="L71" s="6">
        <f>IFERROR(VLOOKUP($A71,[1]FINAL!$A$1:$BZ$1000,MATCH([1]FINAL!$BF$1,[1]FINAL!$A$1:$BZ$1,0),0),0)</f>
        <v>89</v>
      </c>
      <c r="M71" s="7">
        <f t="shared" si="7"/>
        <v>0.98888888888888893</v>
      </c>
      <c r="N71" s="6">
        <f>IFERROR(VLOOKUP($A71,#REF!,MATCH(#REF!,#REF!,0),0),0)</f>
        <v>0</v>
      </c>
      <c r="O71" s="7">
        <f t="shared" si="8"/>
        <v>0</v>
      </c>
      <c r="P71" s="10" t="str">
        <f>IFERROR(VLOOKUP($A71,[1]FINAL!$A$1:$BZ$1000,MATCH([1]FINAL!$BB$1,[1]FINAL!$A$1:$BZ$1,0),0),"")</f>
        <v/>
      </c>
      <c r="Q71" s="18">
        <f t="shared" si="9"/>
        <v>1</v>
      </c>
    </row>
    <row r="72" spans="1:17" x14ac:dyDescent="0.25">
      <c r="A72" s="14" t="str">
        <f>[1]FINAL!$A456</f>
        <v>George Hirst</v>
      </c>
      <c r="B72" s="20" t="str">
        <f>IFERROR(VLOOKUP($A72,[1]FINAL!$A$1:$Z$1000,MATCH([1]FINAL!$T$1,[1]FINAL!$A$1:$Z$1,0),0),"")</f>
        <v>FWD</v>
      </c>
      <c r="C72" s="3" t="str">
        <f>IFERROR(VLOOKUP($A72,[1]FINAL!$A$1:$Z$1000,MATCH([1]FINAL!$U$1,[1]FINAL!$A$1:$Z$1,0),0),"")</f>
        <v>CF</v>
      </c>
      <c r="D72" s="3" t="str">
        <f>IFERROR(VLOOKUP($A72,[1]FINAL!$A$1:$Z$1000,MATCH([1]FINAL!$V$1,[1]FINAL!$A$1:$Z$1,0),0),"")</f>
        <v>IPS</v>
      </c>
      <c r="E72" s="6">
        <f t="shared" si="5"/>
        <v>126825.39682539683</v>
      </c>
      <c r="F72" s="5">
        <f t="shared" si="6"/>
        <v>0.59523809523809523</v>
      </c>
      <c r="G72" s="5">
        <f>IFERROR(IF(H72&lt;&gt;"",H72,VLOOKUP($A72,[1]FINAL!$A$1:$BZ$1000,MATCH([1]FINAL!$BL$1,[1]FINAL!$A$1:$BZ$1,0),0)),0)</f>
        <v>0.59523809523809523</v>
      </c>
      <c r="I72" s="5">
        <f>IFERROR(IF(J72&lt;&gt;"",J72,(IF(VLOOKUP($A72,#REF!,MATCH(#REF!,#REF!,0),0)=0,G72,VLOOKUP($A72,#REF!,MATCH(#REF!,#REF!,0),0)))),G72)</f>
        <v>0.59523809523809523</v>
      </c>
      <c r="K72" s="6">
        <f>IFERROR(VLOOKUP($A72,#REF!,MATCH(#REF!,#REF!,0),0),0)</f>
        <v>0</v>
      </c>
      <c r="L72" s="6">
        <f>IFERROR(VLOOKUP($A72,[1]FINAL!$A$1:$BZ$1000,MATCH([1]FINAL!$BF$1,[1]FINAL!$A$1:$BZ$1,0),0),0)</f>
        <v>70</v>
      </c>
      <c r="M72" s="7">
        <f t="shared" si="7"/>
        <v>0.77777777777777779</v>
      </c>
      <c r="N72" s="6">
        <f>IFERROR(VLOOKUP($A72,#REF!,MATCH(#REF!,#REF!,0),0),0)</f>
        <v>0</v>
      </c>
      <c r="O72" s="7">
        <f t="shared" si="8"/>
        <v>0</v>
      </c>
      <c r="P72" s="10" t="str">
        <f>IFERROR(VLOOKUP($A72,[1]FINAL!$A$1:$BZ$1000,MATCH([1]FINAL!$BB$1,[1]FINAL!$A$1:$BZ$1,0),0),"")</f>
        <v/>
      </c>
      <c r="Q72" s="18">
        <f t="shared" si="9"/>
        <v>1</v>
      </c>
    </row>
    <row r="73" spans="1:17" x14ac:dyDescent="0.25">
      <c r="A73" s="14" t="str">
        <f>[1]FINAL!$A9</f>
        <v>Harrison Reed</v>
      </c>
      <c r="B73" s="20" t="str">
        <f>IFERROR(VLOOKUP($A73,[1]FINAL!$A$1:$Z$1000,MATCH([1]FINAL!$T$1,[1]FINAL!$A$1:$Z$1,0),0),"")</f>
        <v>MID</v>
      </c>
      <c r="C73" s="3" t="str">
        <f>IFERROR(VLOOKUP($A73,[1]FINAL!$A$1:$Z$1000,MATCH([1]FINAL!$U$1,[1]FINAL!$A$1:$Z$1,0),0),"")</f>
        <v>CM</v>
      </c>
      <c r="D73" s="3" t="str">
        <f>IFERROR(VLOOKUP($A73,[1]FINAL!$A$1:$Z$1000,MATCH([1]FINAL!$V$1,[1]FINAL!$A$1:$Z$1,0),0),"")</f>
        <v>FUL</v>
      </c>
      <c r="E73" s="6">
        <f t="shared" si="5"/>
        <v>13896.551724137931</v>
      </c>
      <c r="F73" s="5">
        <f t="shared" si="6"/>
        <v>3.4482758620689655E-2</v>
      </c>
      <c r="G73" s="5">
        <f>IFERROR(IF(H73&lt;&gt;"",H73,VLOOKUP($A73,[1]FINAL!$A$1:$BZ$1000,MATCH([1]FINAL!$BL$1,[1]FINAL!$A$1:$BZ$1,0),0)),0)</f>
        <v>3.4482758620689655E-2</v>
      </c>
      <c r="I73" s="5">
        <f>IFERROR(IF(J73&lt;&gt;"",J73,(IF(VLOOKUP($A73,#REF!,MATCH(#REF!,#REF!,0),0)=0,G73,VLOOKUP($A73,#REF!,MATCH(#REF!,#REF!,0),0)))),G73)</f>
        <v>3.4482758620689655E-2</v>
      </c>
      <c r="K73" s="6">
        <f>IFERROR(VLOOKUP($A73,#REF!,MATCH(#REF!,#REF!,0),0),0)</f>
        <v>0</v>
      </c>
      <c r="L73" s="6">
        <f>IFERROR(VLOOKUP($A73,[1]FINAL!$A$1:$BZ$1000,MATCH([1]FINAL!$BF$1,[1]FINAL!$A$1:$BZ$1,0),0),0)</f>
        <v>63</v>
      </c>
      <c r="M73" s="7">
        <f t="shared" si="7"/>
        <v>0.7</v>
      </c>
      <c r="N73" s="6">
        <f>IFERROR(VLOOKUP($A73,#REF!,MATCH(#REF!,#REF!,0),0),0)</f>
        <v>0</v>
      </c>
      <c r="O73" s="7">
        <f t="shared" si="8"/>
        <v>0</v>
      </c>
      <c r="P73" s="10" t="str">
        <f>IFERROR(VLOOKUP($A73,[1]FINAL!$A$1:$BZ$1000,MATCH([1]FINAL!$BB$1,[1]FINAL!$A$1:$BZ$1,0),0),"")</f>
        <v/>
      </c>
      <c r="Q73" s="18">
        <f t="shared" si="9"/>
        <v>1</v>
      </c>
    </row>
    <row r="74" spans="1:17" x14ac:dyDescent="0.25">
      <c r="A74" s="14" t="str">
        <f>[1]FINAL!$A383</f>
        <v>Noah Sadiki</v>
      </c>
      <c r="B74" s="20" t="str">
        <f>IFERROR(VLOOKUP($A74,[1]FINAL!$A$1:$Z$1000,MATCH([1]FINAL!$T$1,[1]FINAL!$A$1:$Z$1,0),0),"")</f>
        <v>MID</v>
      </c>
      <c r="C74" s="3" t="str">
        <f>IFERROR(VLOOKUP($A74,[1]FINAL!$A$1:$Z$1000,MATCH([1]FINAL!$U$1,[1]FINAL!$A$1:$Z$1,0),0),"")</f>
        <v>CM</v>
      </c>
      <c r="D74" s="3" t="str">
        <f>IFERROR(VLOOKUP($A74,[1]FINAL!$A$1:$Z$1000,MATCH([1]FINAL!$V$1,[1]FINAL!$A$1:$Z$1,0),0),"")</f>
        <v>SUN</v>
      </c>
      <c r="E74" s="6">
        <f t="shared" si="5"/>
        <v>209777.77777777778</v>
      </c>
      <c r="F74" s="5">
        <f t="shared" si="6"/>
        <v>1</v>
      </c>
      <c r="G74" s="5">
        <f>IFERROR(IF(H74&lt;&gt;"",H74,VLOOKUP($A74,[1]FINAL!$A$1:$BZ$1000,MATCH([1]FINAL!$BL$1,[1]FINAL!$A$1:$BZ$1,0),0)),0)</f>
        <v>1</v>
      </c>
      <c r="I74" s="5">
        <f>IFERROR(IF(J74&lt;&gt;"",J74,(IF(VLOOKUP($A74,#REF!,MATCH(#REF!,#REF!,0),0)=0,G74,VLOOKUP($A74,#REF!,MATCH(#REF!,#REF!,0),0)))),G74)</f>
        <v>1</v>
      </c>
      <c r="K74" s="6">
        <f>IFERROR(VLOOKUP($A74,#REF!,MATCH(#REF!,#REF!,0),0),0)</f>
        <v>0</v>
      </c>
      <c r="L74" s="6">
        <f>IFERROR(VLOOKUP($A74,[1]FINAL!$A$1:$BZ$1000,MATCH([1]FINAL!$BF$1,[1]FINAL!$A$1:$BZ$1,0),0),0)</f>
        <v>88</v>
      </c>
      <c r="M74" s="7">
        <f t="shared" si="7"/>
        <v>0.97777777777777775</v>
      </c>
      <c r="N74" s="6">
        <f>IFERROR(VLOOKUP($A74,#REF!,MATCH(#REF!,#REF!,0),0),0)</f>
        <v>0</v>
      </c>
      <c r="O74" s="7">
        <f t="shared" si="8"/>
        <v>0</v>
      </c>
      <c r="P74" s="10" t="str">
        <f>IFERROR(VLOOKUP($A74,[1]FINAL!$A$1:$BZ$1000,MATCH([1]FINAL!$BB$1,[1]FINAL!$A$1:$BZ$1,0),0),"")</f>
        <v/>
      </c>
      <c r="Q74" s="18">
        <f t="shared" si="9"/>
        <v>1</v>
      </c>
    </row>
    <row r="75" spans="1:17" x14ac:dyDescent="0.25">
      <c r="A75" s="14" t="str">
        <f>[1]FINAL!$A8</f>
        <v>Max Dowman</v>
      </c>
      <c r="B75" s="20" t="str">
        <f>IFERROR(VLOOKUP($A75,[1]FINAL!$A$1:$Z$1000,MATCH([1]FINAL!$T$1,[1]FINAL!$A$1:$Z$1,0),0),"")</f>
        <v>MID</v>
      </c>
      <c r="C75" s="3" t="str">
        <f>IFERROR(VLOOKUP($A75,[1]FINAL!$A$1:$Z$1000,MATCH([1]FINAL!$U$1,[1]FINAL!$A$1:$Z$1,0),0),"")</f>
        <v>RW</v>
      </c>
      <c r="D75" s="3" t="str">
        <f>IFERROR(VLOOKUP($A75,[1]FINAL!$A$1:$Z$1000,MATCH([1]FINAL!$V$1,[1]FINAL!$A$1:$Z$1,0),0),"")</f>
        <v>ARS</v>
      </c>
      <c r="E75" s="6">
        <f t="shared" si="5"/>
        <v>18542.483660130718</v>
      </c>
      <c r="F75" s="5">
        <f t="shared" si="6"/>
        <v>5.8823529411764705E-2</v>
      </c>
      <c r="G75" s="5">
        <f>IFERROR(IF(H75&lt;&gt;"",H75,VLOOKUP($A75,[1]FINAL!$A$1:$BZ$1000,MATCH([1]FINAL!$BL$1,[1]FINAL!$A$1:$BZ$1,0),0)),0)</f>
        <v>5.8823529411764705E-2</v>
      </c>
      <c r="I75" s="5">
        <f>IFERROR(IF(J75&lt;&gt;"",J75,(IF(VLOOKUP($A75,#REF!,MATCH(#REF!,#REF!,0),0)=0,G75,VLOOKUP($A75,#REF!,MATCH(#REF!,#REF!,0),0)))),G75)</f>
        <v>5.8823529411764705E-2</v>
      </c>
      <c r="K75" s="6">
        <f>IFERROR(VLOOKUP($A75,#REF!,MATCH(#REF!,#REF!,0),0),0)</f>
        <v>0</v>
      </c>
      <c r="L75" s="6">
        <f>IFERROR(VLOOKUP($A75,[1]FINAL!$A$1:$BZ$1000,MATCH([1]FINAL!$BF$1,[1]FINAL!$A$1:$BZ$1,0),0),0)</f>
        <v>61</v>
      </c>
      <c r="M75" s="7">
        <f t="shared" si="7"/>
        <v>0.67777777777777781</v>
      </c>
      <c r="N75" s="6">
        <f>IFERROR(VLOOKUP($A75,#REF!,MATCH(#REF!,#REF!,0),0),0)</f>
        <v>0</v>
      </c>
      <c r="O75" s="7">
        <f t="shared" si="8"/>
        <v>0</v>
      </c>
      <c r="P75" s="10" t="str">
        <f>IFERROR(VLOOKUP($A75,[1]FINAL!$A$1:$BZ$1000,MATCH([1]FINAL!$BB$1,[1]FINAL!$A$1:$BZ$1,0),0),"")</f>
        <v/>
      </c>
      <c r="Q75" s="18">
        <f t="shared" si="9"/>
        <v>1</v>
      </c>
    </row>
    <row r="76" spans="1:17" x14ac:dyDescent="0.25">
      <c r="A76" s="14" t="str">
        <f>[1]FINAL!$A543</f>
        <v>Evan Ferguson</v>
      </c>
      <c r="B76" s="20" t="str">
        <f>IFERROR(VLOOKUP($A76,[1]FINAL!$A$1:$Z$1000,MATCH([1]FINAL!$T$1,[1]FINAL!$A$1:$Z$1,0),0),"")</f>
        <v>FWD</v>
      </c>
      <c r="C76" s="3" t="str">
        <f>IFERROR(VLOOKUP($A76,[1]FINAL!$A$1:$Z$1000,MATCH([1]FINAL!$U$1,[1]FINAL!$A$1:$Z$1,0),0),"")</f>
        <v>CF</v>
      </c>
      <c r="D76" s="3" t="str">
        <f>IFERROR(VLOOKUP($A76,[1]FINAL!$A$1:$Z$1000,MATCH([1]FINAL!$V$1,[1]FINAL!$A$1:$Z$1,0),0),"")</f>
        <v>BHA</v>
      </c>
      <c r="E76" s="6">
        <f t="shared" si="5"/>
        <v>0</v>
      </c>
      <c r="F76" s="5">
        <f t="shared" si="6"/>
        <v>0</v>
      </c>
      <c r="G76" s="5">
        <f>IFERROR(IF(H76&lt;&gt;"",H76,VLOOKUP($A76,[1]FINAL!$A$1:$BZ$1000,MATCH([1]FINAL!$BL$1,[1]FINAL!$A$1:$BZ$1,0),0)),0)</f>
        <v>0</v>
      </c>
      <c r="I76" s="5">
        <f>IFERROR(IF(J76&lt;&gt;"",J76,(IF(VLOOKUP($A76,#REF!,MATCH(#REF!,#REF!,0),0)=0,G76,VLOOKUP($A76,#REF!,MATCH(#REF!,#REF!,0),0)))),G76)</f>
        <v>0</v>
      </c>
      <c r="K76" s="6">
        <f>IFERROR(VLOOKUP($A76,#REF!,MATCH(#REF!,#REF!,0),0),0)</f>
        <v>0</v>
      </c>
      <c r="L76" s="6">
        <f>IFERROR(VLOOKUP($A76,[1]FINAL!$A$1:$BZ$1000,MATCH([1]FINAL!$BF$1,[1]FINAL!$A$1:$BZ$1,0),0),0)</f>
        <v>0</v>
      </c>
      <c r="M76" s="7">
        <f t="shared" si="7"/>
        <v>0</v>
      </c>
      <c r="N76" s="6">
        <f>IFERROR(VLOOKUP($A76,#REF!,MATCH(#REF!,#REF!,0),0),0)</f>
        <v>0</v>
      </c>
      <c r="O76" s="7">
        <f t="shared" si="8"/>
        <v>0</v>
      </c>
      <c r="P76" s="10">
        <f>IFERROR(VLOOKUP($A76,[1]FINAL!$A$1:$BZ$1000,MATCH([1]FINAL!$BB$1,[1]FINAL!$A$1:$BZ$1,0),0),"")</f>
        <v>0</v>
      </c>
      <c r="Q76" s="18">
        <f t="shared" si="9"/>
        <v>1E-4</v>
      </c>
    </row>
    <row r="77" spans="1:17" x14ac:dyDescent="0.25">
      <c r="A77" s="14" t="str">
        <f>[1]FINAL!$A74</f>
        <v>Pedro Lomba Neto</v>
      </c>
      <c r="B77" s="20" t="str">
        <f>IFERROR(VLOOKUP($A77,[1]FINAL!$A$1:$Z$1000,MATCH([1]FINAL!$T$1,[1]FINAL!$A$1:$Z$1,0),0),"")</f>
        <v>MID</v>
      </c>
      <c r="C77" s="3" t="str">
        <f>IFERROR(VLOOKUP($A77,[1]FINAL!$A$1:$Z$1000,MATCH([1]FINAL!$U$1,[1]FINAL!$A$1:$Z$1,0),0),"")</f>
        <v>RW</v>
      </c>
      <c r="D77" s="3" t="str">
        <f>IFERROR(VLOOKUP($A77,[1]FINAL!$A$1:$Z$1000,MATCH([1]FINAL!$V$1,[1]FINAL!$A$1:$Z$1,0),0),"")</f>
        <v>CHE</v>
      </c>
      <c r="E77" s="6">
        <f t="shared" si="5"/>
        <v>185581.69934640525</v>
      </c>
      <c r="F77" s="5">
        <f t="shared" si="6"/>
        <v>0.88235294117647056</v>
      </c>
      <c r="G77" s="5">
        <f>IFERROR(IF(H77&lt;&gt;"",H77,VLOOKUP($A77,[1]FINAL!$A$1:$BZ$1000,MATCH([1]FINAL!$BL$1,[1]FINAL!$A$1:$BZ$1,0),0)),0)</f>
        <v>0.88235294117647056</v>
      </c>
      <c r="I77" s="5">
        <f>IFERROR(IF(J77&lt;&gt;"",J77,(IF(VLOOKUP($A77,#REF!,MATCH(#REF!,#REF!,0),0)=0,G77,VLOOKUP($A77,#REF!,MATCH(#REF!,#REF!,0),0)))),G77)</f>
        <v>0.88235294117647056</v>
      </c>
      <c r="K77" s="6">
        <f>IFERROR(VLOOKUP($A77,#REF!,MATCH(#REF!,#REF!,0),0),0)</f>
        <v>0</v>
      </c>
      <c r="L77" s="6">
        <f>IFERROR(VLOOKUP($A77,[1]FINAL!$A$1:$BZ$1000,MATCH([1]FINAL!$BF$1,[1]FINAL!$A$1:$BZ$1,0),0),0)</f>
        <v>82</v>
      </c>
      <c r="M77" s="7">
        <f t="shared" si="7"/>
        <v>0.91111111111111109</v>
      </c>
      <c r="N77" s="6">
        <f>IFERROR(VLOOKUP($A77,#REF!,MATCH(#REF!,#REF!,0),0),0)</f>
        <v>0</v>
      </c>
      <c r="O77" s="7">
        <f t="shared" si="8"/>
        <v>0</v>
      </c>
      <c r="P77" s="10" t="str">
        <f>IFERROR(VLOOKUP($A77,[1]FINAL!$A$1:$BZ$1000,MATCH([1]FINAL!$BB$1,[1]FINAL!$A$1:$BZ$1,0),0),"")</f>
        <v/>
      </c>
      <c r="Q77" s="18">
        <f t="shared" si="9"/>
        <v>1</v>
      </c>
    </row>
    <row r="78" spans="1:17" x14ac:dyDescent="0.25">
      <c r="A78" s="14" t="str">
        <f>[1]FINAL!$A142</f>
        <v>Diogo Dalot Teixeira</v>
      </c>
      <c r="B78" s="20" t="str">
        <f>IFERROR(VLOOKUP($A78,[1]FINAL!$A$1:$Z$1000,MATCH([1]FINAL!$T$1,[1]FINAL!$A$1:$Z$1,0),0),"")</f>
        <v>DEF</v>
      </c>
      <c r="C78" s="3" t="str">
        <f>IFERROR(VLOOKUP($A78,[1]FINAL!$A$1:$Z$1000,MATCH([1]FINAL!$U$1,[1]FINAL!$A$1:$Z$1,0),0),"")</f>
        <v>RB</v>
      </c>
      <c r="D78" s="3" t="str">
        <f>IFERROR(VLOOKUP($A78,[1]FINAL!$A$1:$Z$1000,MATCH([1]FINAL!$V$1,[1]FINAL!$A$1:$Z$1,0),0),"")</f>
        <v>MUN</v>
      </c>
      <c r="E78" s="6">
        <f t="shared" si="5"/>
        <v>175269.8412698413</v>
      </c>
      <c r="F78" s="5">
        <f t="shared" si="6"/>
        <v>0.82857142857142863</v>
      </c>
      <c r="G78" s="5">
        <f>IFERROR(IF(H78&lt;&gt;"",H78,VLOOKUP($A78,[1]FINAL!$A$1:$BZ$1000,MATCH([1]FINAL!$BL$1,[1]FINAL!$A$1:$BZ$1,0),0)),0)</f>
        <v>0.82857142857142863</v>
      </c>
      <c r="I78" s="5">
        <f>IFERROR(IF(J78&lt;&gt;"",J78,(IF(VLOOKUP($A78,#REF!,MATCH(#REF!,#REF!,0),0)=0,G78,VLOOKUP($A78,#REF!,MATCH(#REF!,#REF!,0),0)))),G78)</f>
        <v>0.82857142857142863</v>
      </c>
      <c r="K78" s="6">
        <f>IFERROR(VLOOKUP($A78,#REF!,MATCH(#REF!,#REF!,0),0),0)</f>
        <v>0</v>
      </c>
      <c r="L78" s="6">
        <f>IFERROR(VLOOKUP($A78,[1]FINAL!$A$1:$BZ$1000,MATCH([1]FINAL!$BF$1,[1]FINAL!$A$1:$BZ$1,0),0),0)</f>
        <v>86</v>
      </c>
      <c r="M78" s="7">
        <f t="shared" si="7"/>
        <v>0.9555555555555556</v>
      </c>
      <c r="N78" s="6">
        <f>IFERROR(VLOOKUP($A78,#REF!,MATCH(#REF!,#REF!,0),0),0)</f>
        <v>0</v>
      </c>
      <c r="O78" s="7">
        <f t="shared" si="8"/>
        <v>0</v>
      </c>
      <c r="P78" s="10" t="str">
        <f>IFERROR(VLOOKUP($A78,[1]FINAL!$A$1:$BZ$1000,MATCH([1]FINAL!$BB$1,[1]FINAL!$A$1:$BZ$1,0),0),"")</f>
        <v/>
      </c>
      <c r="Q78" s="18">
        <f t="shared" si="9"/>
        <v>1</v>
      </c>
    </row>
    <row r="79" spans="1:17" x14ac:dyDescent="0.25">
      <c r="A79" s="14" t="str">
        <f>[1]FINAL!$A554</f>
        <v>Bradley Burrowes</v>
      </c>
      <c r="B79" s="20" t="str">
        <f>IFERROR(VLOOKUP($A79,[1]FINAL!$A$1:$Z$1000,MATCH([1]FINAL!$T$1,[1]FINAL!$A$1:$Z$1,0),0),"")</f>
        <v>MID</v>
      </c>
      <c r="C79" s="3" t="str">
        <f>IFERROR(VLOOKUP($A79,[1]FINAL!$A$1:$Z$1000,MATCH([1]FINAL!$U$1,[1]FINAL!$A$1:$Z$1,0),0),"")</f>
        <v/>
      </c>
      <c r="D79" s="3" t="str">
        <f>IFERROR(VLOOKUP($A79,[1]FINAL!$A$1:$Z$1000,MATCH([1]FINAL!$V$1,[1]FINAL!$A$1:$Z$1,0),0),"")</f>
        <v>AVL</v>
      </c>
      <c r="E79" s="6">
        <f t="shared" si="5"/>
        <v>0</v>
      </c>
      <c r="F79" s="5">
        <f t="shared" si="6"/>
        <v>0</v>
      </c>
      <c r="G79" s="5">
        <f>IFERROR(IF(H79&lt;&gt;"",H79,VLOOKUP($A79,[1]FINAL!$A$1:$BZ$1000,MATCH([1]FINAL!$BL$1,[1]FINAL!$A$1:$BZ$1,0),0)),0)</f>
        <v>0</v>
      </c>
      <c r="I79" s="5">
        <f>IFERROR(IF(J79&lt;&gt;"",J79,(IF(VLOOKUP($A79,#REF!,MATCH(#REF!,#REF!,0),0)=0,G79,VLOOKUP($A79,#REF!,MATCH(#REF!,#REF!,0),0)))),G79)</f>
        <v>0</v>
      </c>
      <c r="K79" s="6">
        <f>IFERROR(VLOOKUP($A79,#REF!,MATCH(#REF!,#REF!,0),0),0)</f>
        <v>0</v>
      </c>
      <c r="L79" s="6">
        <f>IFERROR(VLOOKUP($A79,[1]FINAL!$A$1:$BZ$1000,MATCH([1]FINAL!$BF$1,[1]FINAL!$A$1:$BZ$1,0),0),0)</f>
        <v>0</v>
      </c>
      <c r="M79" s="7">
        <f t="shared" si="7"/>
        <v>0</v>
      </c>
      <c r="N79" s="6">
        <f>IFERROR(VLOOKUP($A79,#REF!,MATCH(#REF!,#REF!,0),0),0)</f>
        <v>0</v>
      </c>
      <c r="O79" s="7">
        <f t="shared" si="8"/>
        <v>0</v>
      </c>
      <c r="P79" s="10" t="str">
        <f>IFERROR(VLOOKUP($A79,[1]FINAL!$A$1:$BZ$1000,MATCH([1]FINAL!$BB$1,[1]FINAL!$A$1:$BZ$1,0),0),"")</f>
        <v/>
      </c>
      <c r="Q79" s="18">
        <f t="shared" si="9"/>
        <v>1</v>
      </c>
    </row>
    <row r="80" spans="1:17" x14ac:dyDescent="0.25">
      <c r="A80" s="14" t="str">
        <f>[1]FINAL!$A410</f>
        <v>Matheus França de Oliveira</v>
      </c>
      <c r="B80" s="20" t="str">
        <f>IFERROR(VLOOKUP($A80,[1]FINAL!$A$1:$Z$1000,MATCH([1]FINAL!$T$1,[1]FINAL!$A$1:$Z$1,0),0),"")</f>
        <v>MID</v>
      </c>
      <c r="C80" s="3" t="str">
        <f>IFERROR(VLOOKUP($A80,[1]FINAL!$A$1:$Z$1000,MATCH([1]FINAL!$U$1,[1]FINAL!$A$1:$Z$1,0),0),"")</f>
        <v/>
      </c>
      <c r="D80" s="3" t="str">
        <f>IFERROR(VLOOKUP($A80,[1]FINAL!$A$1:$Z$1000,MATCH([1]FINAL!$V$1,[1]FINAL!$A$1:$Z$1,0),0),"")</f>
        <v>CRY</v>
      </c>
      <c r="E80" s="6">
        <f t="shared" si="5"/>
        <v>0</v>
      </c>
      <c r="F80" s="5">
        <f t="shared" si="6"/>
        <v>0</v>
      </c>
      <c r="G80" s="5">
        <f>IFERROR(IF(H80&lt;&gt;"",H80,VLOOKUP($A80,[1]FINAL!$A$1:$BZ$1000,MATCH([1]FINAL!$BL$1,[1]FINAL!$A$1:$BZ$1,0),0)),0)</f>
        <v>0</v>
      </c>
      <c r="I80" s="5">
        <f>IFERROR(IF(J80&lt;&gt;"",J80,(IF(VLOOKUP($A80,#REF!,MATCH(#REF!,#REF!,0),0)=0,G80,VLOOKUP($A80,#REF!,MATCH(#REF!,#REF!,0),0)))),G80)</f>
        <v>0</v>
      </c>
      <c r="K80" s="6">
        <f>IFERROR(VLOOKUP($A80,#REF!,MATCH(#REF!,#REF!,0),0),0)</f>
        <v>0</v>
      </c>
      <c r="L80" s="6">
        <f>IFERROR(VLOOKUP($A80,[1]FINAL!$A$1:$BZ$1000,MATCH([1]FINAL!$BF$1,[1]FINAL!$A$1:$BZ$1,0),0),0)</f>
        <v>0</v>
      </c>
      <c r="M80" s="7">
        <f t="shared" si="7"/>
        <v>0</v>
      </c>
      <c r="N80" s="6">
        <f>IFERROR(VLOOKUP($A80,#REF!,MATCH(#REF!,#REF!,0),0),0)</f>
        <v>0</v>
      </c>
      <c r="O80" s="7">
        <f t="shared" si="8"/>
        <v>0</v>
      </c>
      <c r="P80" s="10" t="str">
        <f>IFERROR(VLOOKUP($A80,[1]FINAL!$A$1:$BZ$1000,MATCH([1]FINAL!$BB$1,[1]FINAL!$A$1:$BZ$1,0),0),"")</f>
        <v/>
      </c>
      <c r="Q80" s="18">
        <f t="shared" si="9"/>
        <v>1</v>
      </c>
    </row>
    <row r="81" spans="1:17" x14ac:dyDescent="0.25">
      <c r="A81" s="14" t="str">
        <f>[1]FINAL!$A100</f>
        <v>Pascal Groß</v>
      </c>
      <c r="B81" s="20" t="str">
        <f>IFERROR(VLOOKUP($A81,[1]FINAL!$A$1:$Z$1000,MATCH([1]FINAL!$T$1,[1]FINAL!$A$1:$Z$1,0),0),"")</f>
        <v>MID</v>
      </c>
      <c r="C81" s="3" t="str">
        <f>IFERROR(VLOOKUP($A81,[1]FINAL!$A$1:$Z$1000,MATCH([1]FINAL!$U$1,[1]FINAL!$A$1:$Z$1,0),0),"")</f>
        <v>CM</v>
      </c>
      <c r="D81" s="3" t="str">
        <f>IFERROR(VLOOKUP($A81,[1]FINAL!$A$1:$Z$1000,MATCH([1]FINAL!$V$1,[1]FINAL!$A$1:$Z$1,0),0),"")</f>
        <v>BHA</v>
      </c>
      <c r="E81" s="6">
        <f t="shared" si="5"/>
        <v>199473.68421052629</v>
      </c>
      <c r="F81" s="5">
        <f t="shared" si="6"/>
        <v>0.94736842105263153</v>
      </c>
      <c r="G81" s="5">
        <f>IFERROR(IF(H81&lt;&gt;"",H81,VLOOKUP($A81,[1]FINAL!$A$1:$BZ$1000,MATCH([1]FINAL!$BL$1,[1]FINAL!$A$1:$BZ$1,0),0)),0)</f>
        <v>0.94736842105263153</v>
      </c>
      <c r="I81" s="5">
        <f>IFERROR(IF(J81&lt;&gt;"",J81,(IF(VLOOKUP($A81,#REF!,MATCH(#REF!,#REF!,0),0)=0,G81,VLOOKUP($A81,#REF!,MATCH(#REF!,#REF!,0),0)))),G81)</f>
        <v>0.94736842105263153</v>
      </c>
      <c r="K81" s="6">
        <f>IFERROR(VLOOKUP($A81,#REF!,MATCH(#REF!,#REF!,0),0),0)</f>
        <v>0</v>
      </c>
      <c r="L81" s="6">
        <f>IFERROR(VLOOKUP($A81,[1]FINAL!$A$1:$BZ$1000,MATCH([1]FINAL!$BF$1,[1]FINAL!$A$1:$BZ$1,0),0),0)</f>
        <v>90</v>
      </c>
      <c r="M81" s="7">
        <f t="shared" si="7"/>
        <v>1</v>
      </c>
      <c r="N81" s="6">
        <f>IFERROR(VLOOKUP($A81,#REF!,MATCH(#REF!,#REF!,0),0),0)</f>
        <v>0</v>
      </c>
      <c r="O81" s="7">
        <f t="shared" si="8"/>
        <v>0</v>
      </c>
      <c r="P81" s="10" t="str">
        <f>IFERROR(VLOOKUP($A81,[1]FINAL!$A$1:$BZ$1000,MATCH([1]FINAL!$BB$1,[1]FINAL!$A$1:$BZ$1,0),0),"")</f>
        <v/>
      </c>
      <c r="Q81" s="18">
        <f t="shared" si="9"/>
        <v>1</v>
      </c>
    </row>
    <row r="82" spans="1:17" x14ac:dyDescent="0.25">
      <c r="A82" s="14" t="str">
        <f>[1]FINAL!$A283</f>
        <v>James Hill</v>
      </c>
      <c r="B82" s="20" t="str">
        <f>IFERROR(VLOOKUP($A82,[1]FINAL!$A$1:$Z$1000,MATCH([1]FINAL!$T$1,[1]FINAL!$A$1:$Z$1,0),0),"")</f>
        <v>DEF</v>
      </c>
      <c r="C82" s="3" t="str">
        <f>IFERROR(VLOOKUP($A82,[1]FINAL!$A$1:$Z$1000,MATCH([1]FINAL!$U$1,[1]FINAL!$A$1:$Z$1,0),0),"")</f>
        <v>CB</v>
      </c>
      <c r="D82" s="3" t="str">
        <f>IFERROR(VLOOKUP($A82,[1]FINAL!$A$1:$Z$1000,MATCH([1]FINAL!$V$1,[1]FINAL!$A$1:$Z$1,0),0),"")</f>
        <v>BOU</v>
      </c>
      <c r="E82" s="6">
        <f t="shared" si="5"/>
        <v>139189.54248366013</v>
      </c>
      <c r="F82" s="5">
        <f t="shared" si="6"/>
        <v>0.6470588235294118</v>
      </c>
      <c r="G82" s="5">
        <f>IFERROR(IF(H82&lt;&gt;"",H82,VLOOKUP($A82,[1]FINAL!$A$1:$BZ$1000,MATCH([1]FINAL!$BL$1,[1]FINAL!$A$1:$BZ$1,0),0)),0)</f>
        <v>0.6470588235294118</v>
      </c>
      <c r="I82" s="5">
        <f>IFERROR(IF(J82&lt;&gt;"",J82,(IF(VLOOKUP($A82,#REF!,MATCH(#REF!,#REF!,0),0)=0,G82,VLOOKUP($A82,#REF!,MATCH(#REF!,#REF!,0),0)))),G82)</f>
        <v>0.6470588235294118</v>
      </c>
      <c r="K82" s="6">
        <f>IFERROR(VLOOKUP($A82,#REF!,MATCH(#REF!,#REF!,0),0),0)</f>
        <v>0</v>
      </c>
      <c r="L82" s="6">
        <f>IFERROR(VLOOKUP($A82,[1]FINAL!$A$1:$BZ$1000,MATCH([1]FINAL!$BF$1,[1]FINAL!$A$1:$BZ$1,0),0),0)</f>
        <v>88</v>
      </c>
      <c r="M82" s="7">
        <f t="shared" si="7"/>
        <v>0.97777777777777775</v>
      </c>
      <c r="N82" s="6">
        <f>IFERROR(VLOOKUP($A82,#REF!,MATCH(#REF!,#REF!,0),0),0)</f>
        <v>0</v>
      </c>
      <c r="O82" s="7">
        <f t="shared" si="8"/>
        <v>0</v>
      </c>
      <c r="P82" s="10" t="str">
        <f>IFERROR(VLOOKUP($A82,[1]FINAL!$A$1:$BZ$1000,MATCH([1]FINAL!$BB$1,[1]FINAL!$A$1:$BZ$1,0),0),"")</f>
        <v/>
      </c>
      <c r="Q82" s="18">
        <f t="shared" si="9"/>
        <v>1</v>
      </c>
    </row>
    <row r="83" spans="1:17" x14ac:dyDescent="0.25">
      <c r="A83" s="14" t="str">
        <f>[1]FINAL!$A75</f>
        <v>Tijjani Reijnders</v>
      </c>
      <c r="B83" s="20" t="str">
        <f>IFERROR(VLOOKUP($A83,[1]FINAL!$A$1:$Z$1000,MATCH([1]FINAL!$T$1,[1]FINAL!$A$1:$Z$1,0),0),"")</f>
        <v>MID</v>
      </c>
      <c r="C83" s="3" t="str">
        <f>IFERROR(VLOOKUP($A83,[1]FINAL!$A$1:$Z$1000,MATCH([1]FINAL!$U$1,[1]FINAL!$A$1:$Z$1,0),0),"")</f>
        <v>CM</v>
      </c>
      <c r="D83" s="3" t="str">
        <f>IFERROR(VLOOKUP($A83,[1]FINAL!$A$1:$Z$1000,MATCH([1]FINAL!$V$1,[1]FINAL!$A$1:$Z$1,0),0),"")</f>
        <v>MCI</v>
      </c>
      <c r="E83" s="6">
        <f t="shared" si="5"/>
        <v>108555.55555555556</v>
      </c>
      <c r="F83" s="5">
        <f t="shared" si="6"/>
        <v>0.5</v>
      </c>
      <c r="G83" s="5">
        <f>IFERROR(IF(H83&lt;&gt;"",H83,VLOOKUP($A83,[1]FINAL!$A$1:$BZ$1000,MATCH([1]FINAL!$BL$1,[1]FINAL!$A$1:$BZ$1,0),0)),0)</f>
        <v>0.5</v>
      </c>
      <c r="I83" s="5">
        <f>IFERROR(IF(J83&lt;&gt;"",J83,(IF(VLOOKUP($A83,#REF!,MATCH(#REF!,#REF!,0),0)=0,G83,VLOOKUP($A83,#REF!,MATCH(#REF!,#REF!,0),0)))),G83)</f>
        <v>0.5</v>
      </c>
      <c r="K83" s="6">
        <f>IFERROR(VLOOKUP($A83,#REF!,MATCH(#REF!,#REF!,0),0),0)</f>
        <v>0</v>
      </c>
      <c r="L83" s="6">
        <f>IFERROR(VLOOKUP($A83,[1]FINAL!$A$1:$BZ$1000,MATCH([1]FINAL!$BF$1,[1]FINAL!$A$1:$BZ$1,0),0),0)</f>
        <v>77</v>
      </c>
      <c r="M83" s="7">
        <f t="shared" si="7"/>
        <v>0.85555555555555551</v>
      </c>
      <c r="N83" s="6">
        <f>IFERROR(VLOOKUP($A83,#REF!,MATCH(#REF!,#REF!,0),0),0)</f>
        <v>0</v>
      </c>
      <c r="O83" s="7">
        <f t="shared" si="8"/>
        <v>0</v>
      </c>
      <c r="P83" s="10" t="str">
        <f>IFERROR(VLOOKUP($A83,[1]FINAL!$A$1:$BZ$1000,MATCH([1]FINAL!$BB$1,[1]FINAL!$A$1:$BZ$1,0),0),"")</f>
        <v/>
      </c>
      <c r="Q83" s="18">
        <f t="shared" si="9"/>
        <v>1</v>
      </c>
    </row>
    <row r="84" spans="1:17" x14ac:dyDescent="0.25">
      <c r="A84" s="14" t="str">
        <f>[1]FINAL!$A335</f>
        <v>Luca Netz</v>
      </c>
      <c r="B84" s="20" t="str">
        <f>IFERROR(VLOOKUP($A84,[1]FINAL!$A$1:$Z$1000,MATCH([1]FINAL!$T$1,[1]FINAL!$A$1:$Z$1,0),0),"")</f>
        <v>DEF</v>
      </c>
      <c r="C84" s="3" t="str">
        <f>IFERROR(VLOOKUP($A84,[1]FINAL!$A$1:$Z$1000,MATCH([1]FINAL!$U$1,[1]FINAL!$A$1:$Z$1,0),0),"")</f>
        <v>LB</v>
      </c>
      <c r="D84" s="3" t="str">
        <f>IFERROR(VLOOKUP($A84,[1]FINAL!$A$1:$Z$1000,MATCH([1]FINAL!$V$1,[1]FINAL!$A$1:$Z$1,0),0),"")</f>
        <v>NFO</v>
      </c>
      <c r="E84" s="6">
        <f t="shared" si="5"/>
        <v>55598.290598290601</v>
      </c>
      <c r="F84" s="5">
        <f t="shared" si="6"/>
        <v>0.23076923076923078</v>
      </c>
      <c r="G84" s="5">
        <f>IFERROR(IF(H84&lt;&gt;"",H84,VLOOKUP($A84,[1]FINAL!$A$1:$BZ$1000,MATCH([1]FINAL!$BL$1,[1]FINAL!$A$1:$BZ$1,0),0)),0)</f>
        <v>0.23076923076923078</v>
      </c>
      <c r="I84" s="5">
        <f>IFERROR(IF(J84&lt;&gt;"",J84,(IF(VLOOKUP($A84,#REF!,MATCH(#REF!,#REF!,0),0)=0,G84,VLOOKUP($A84,#REF!,MATCH(#REF!,#REF!,0),0)))),G84)</f>
        <v>0.23076923076923078</v>
      </c>
      <c r="K84" s="6">
        <f>IFERROR(VLOOKUP($A84,#REF!,MATCH(#REF!,#REF!,0),0),0)</f>
        <v>0</v>
      </c>
      <c r="L84" s="6">
        <f>IFERROR(VLOOKUP($A84,[1]FINAL!$A$1:$BZ$1000,MATCH([1]FINAL!$BF$1,[1]FINAL!$A$1:$BZ$1,0),0),0)</f>
        <v>85</v>
      </c>
      <c r="M84" s="7">
        <f t="shared" si="7"/>
        <v>0.94444444444444442</v>
      </c>
      <c r="N84" s="6">
        <f>IFERROR(VLOOKUP($A84,#REF!,MATCH(#REF!,#REF!,0),0),0)</f>
        <v>0</v>
      </c>
      <c r="O84" s="7">
        <f t="shared" si="8"/>
        <v>0</v>
      </c>
      <c r="P84" s="10" t="str">
        <f>IFERROR(VLOOKUP($A84,[1]FINAL!$A$1:$BZ$1000,MATCH([1]FINAL!$BB$1,[1]FINAL!$A$1:$BZ$1,0),0),"")</f>
        <v/>
      </c>
      <c r="Q84" s="18">
        <f t="shared" si="9"/>
        <v>1</v>
      </c>
    </row>
    <row r="85" spans="1:17" x14ac:dyDescent="0.25">
      <c r="A85" s="14" t="str">
        <f>[1]FINAL!$A525</f>
        <v>Jay Dasilva</v>
      </c>
      <c r="B85" s="20" t="str">
        <f>IFERROR(VLOOKUP($A85,[1]FINAL!$A$1:$Z$1000,MATCH([1]FINAL!$T$1,[1]FINAL!$A$1:$Z$1,0),0),"")</f>
        <v>DEF</v>
      </c>
      <c r="C85" s="3" t="str">
        <f>IFERROR(VLOOKUP($A85,[1]FINAL!$A$1:$Z$1000,MATCH([1]FINAL!$U$1,[1]FINAL!$A$1:$Z$1,0),0),"")</f>
        <v>LB</v>
      </c>
      <c r="D85" s="3" t="str">
        <f>IFERROR(VLOOKUP($A85,[1]FINAL!$A$1:$Z$1000,MATCH([1]FINAL!$V$1,[1]FINAL!$A$1:$Z$1,0),0),"")</f>
        <v>COV</v>
      </c>
      <c r="E85" s="6">
        <f t="shared" si="5"/>
        <v>204793.6507936508</v>
      </c>
      <c r="F85" s="5">
        <f t="shared" si="6"/>
        <v>0.97619047619047616</v>
      </c>
      <c r="G85" s="5">
        <f>IFERROR(IF(H85&lt;&gt;"",H85,VLOOKUP($A85,[1]FINAL!$A$1:$BZ$1000,MATCH([1]FINAL!$BL$1,[1]FINAL!$A$1:$BZ$1,0),0)),0)</f>
        <v>0.97619047619047616</v>
      </c>
      <c r="I85" s="5">
        <f>IFERROR(IF(J85&lt;&gt;"",J85,(IF(VLOOKUP($A85,#REF!,MATCH(#REF!,#REF!,0),0)=0,G85,VLOOKUP($A85,#REF!,MATCH(#REF!,#REF!,0),0)))),G85)</f>
        <v>0.97619047619047616</v>
      </c>
      <c r="K85" s="6">
        <f>IFERROR(VLOOKUP($A85,#REF!,MATCH(#REF!,#REF!,0),0),0)</f>
        <v>0</v>
      </c>
      <c r="L85" s="6">
        <f>IFERROR(VLOOKUP($A85,[1]FINAL!$A$1:$BZ$1000,MATCH([1]FINAL!$BF$1,[1]FINAL!$A$1:$BZ$1,0),0),0)</f>
        <v>86</v>
      </c>
      <c r="M85" s="7">
        <f t="shared" si="7"/>
        <v>0.9555555555555556</v>
      </c>
      <c r="N85" s="6">
        <f>IFERROR(VLOOKUP($A85,#REF!,MATCH(#REF!,#REF!,0),0),0)</f>
        <v>0</v>
      </c>
      <c r="O85" s="7">
        <f t="shared" si="8"/>
        <v>0</v>
      </c>
      <c r="P85" s="10" t="str">
        <f>IFERROR(VLOOKUP($A85,[1]FINAL!$A$1:$BZ$1000,MATCH([1]FINAL!$BB$1,[1]FINAL!$A$1:$BZ$1,0),0),"")</f>
        <v/>
      </c>
      <c r="Q85" s="18">
        <f t="shared" si="9"/>
        <v>1</v>
      </c>
    </row>
    <row r="86" spans="1:17" x14ac:dyDescent="0.25">
      <c r="A86" s="14" t="str">
        <f>[1]FINAL!$A72</f>
        <v>Joško Gvardiol</v>
      </c>
      <c r="B86" s="20" t="str">
        <f>IFERROR(VLOOKUP($A86,[1]FINAL!$A$1:$Z$1000,MATCH([1]FINAL!$T$1,[1]FINAL!$A$1:$Z$1,0),0),"")</f>
        <v>DEF</v>
      </c>
      <c r="C86" s="3" t="str">
        <f>IFERROR(VLOOKUP($A86,[1]FINAL!$A$1:$Z$1000,MATCH([1]FINAL!$U$1,[1]FINAL!$A$1:$Z$1,0),0),"")</f>
        <v>CB</v>
      </c>
      <c r="D86" s="3" t="str">
        <f>IFERROR(VLOOKUP($A86,[1]FINAL!$A$1:$Z$1000,MATCH([1]FINAL!$V$1,[1]FINAL!$A$1:$Z$1,0),0),"")</f>
        <v>MCI</v>
      </c>
      <c r="E86" s="6">
        <f t="shared" si="5"/>
        <v>169222.22222222222</v>
      </c>
      <c r="F86" s="5">
        <f t="shared" si="6"/>
        <v>0.8</v>
      </c>
      <c r="G86" s="5">
        <f>IFERROR(IF(H86&lt;&gt;"",H86,VLOOKUP($A86,[1]FINAL!$A$1:$BZ$1000,MATCH([1]FINAL!$BL$1,[1]FINAL!$A$1:$BZ$1,0),0)),0)</f>
        <v>0.8</v>
      </c>
      <c r="I86" s="5">
        <f>IFERROR(IF(J86&lt;&gt;"",J86,(IF(VLOOKUP($A86,#REF!,MATCH(#REF!,#REF!,0),0)=0,G86,VLOOKUP($A86,#REF!,MATCH(#REF!,#REF!,0),0)))),G86)</f>
        <v>0.8</v>
      </c>
      <c r="K86" s="6">
        <f>IFERROR(VLOOKUP($A86,#REF!,MATCH(#REF!,#REF!,0),0),0)</f>
        <v>0</v>
      </c>
      <c r="L86" s="6">
        <f>IFERROR(VLOOKUP($A86,[1]FINAL!$A$1:$BZ$1000,MATCH([1]FINAL!$BF$1,[1]FINAL!$A$1:$BZ$1,0),0),0)</f>
        <v>83</v>
      </c>
      <c r="M86" s="7">
        <f t="shared" si="7"/>
        <v>0.92222222222222228</v>
      </c>
      <c r="N86" s="6">
        <f>IFERROR(VLOOKUP($A86,#REF!,MATCH(#REF!,#REF!,0),0),0)</f>
        <v>0</v>
      </c>
      <c r="O86" s="7">
        <f t="shared" si="8"/>
        <v>0</v>
      </c>
      <c r="P86" s="10" t="str">
        <f>IFERROR(VLOOKUP($A86,[1]FINAL!$A$1:$BZ$1000,MATCH([1]FINAL!$BB$1,[1]FINAL!$A$1:$BZ$1,0),0),"")</f>
        <v/>
      </c>
      <c r="Q86" s="18">
        <f t="shared" si="9"/>
        <v>1</v>
      </c>
    </row>
    <row r="87" spans="1:17" x14ac:dyDescent="0.25">
      <c r="A87" s="14" t="str">
        <f>[1]FINAL!$A257</f>
        <v>Djed Spence</v>
      </c>
      <c r="B87" s="20" t="str">
        <f>IFERROR(VLOOKUP($A87,[1]FINAL!$A$1:$Z$1000,MATCH([1]FINAL!$T$1,[1]FINAL!$A$1:$Z$1,0),0),"")</f>
        <v>DEF</v>
      </c>
      <c r="C87" s="3" t="str">
        <f>IFERROR(VLOOKUP($A87,[1]FINAL!$A$1:$Z$1000,MATCH([1]FINAL!$U$1,[1]FINAL!$A$1:$Z$1,0),0),"")</f>
        <v>RB</v>
      </c>
      <c r="D87" s="3" t="str">
        <f>IFERROR(VLOOKUP($A87,[1]FINAL!$A$1:$Z$1000,MATCH([1]FINAL!$V$1,[1]FINAL!$A$1:$Z$1,0),0),"")</f>
        <v>TOT</v>
      </c>
      <c r="E87" s="6">
        <f t="shared" si="5"/>
        <v>144516.33986928104</v>
      </c>
      <c r="F87" s="5">
        <f t="shared" si="6"/>
        <v>0.67647058823529416</v>
      </c>
      <c r="G87" s="5">
        <f>IFERROR(IF(H87&lt;&gt;"",H87,VLOOKUP($A87,[1]FINAL!$A$1:$BZ$1000,MATCH([1]FINAL!$BL$1,[1]FINAL!$A$1:$BZ$1,0),0)),0)</f>
        <v>0.67647058823529416</v>
      </c>
      <c r="I87" s="5">
        <f>IFERROR(IF(J87&lt;&gt;"",J87,(IF(VLOOKUP($A87,#REF!,MATCH(#REF!,#REF!,0),0)=0,G87,VLOOKUP($A87,#REF!,MATCH(#REF!,#REF!,0),0)))),G87)</f>
        <v>0.67647058823529416</v>
      </c>
      <c r="K87" s="6">
        <f>IFERROR(VLOOKUP($A87,#REF!,MATCH(#REF!,#REF!,0),0),0)</f>
        <v>0</v>
      </c>
      <c r="L87" s="6">
        <f>IFERROR(VLOOKUP($A87,[1]FINAL!$A$1:$BZ$1000,MATCH([1]FINAL!$BF$1,[1]FINAL!$A$1:$BZ$1,0),0),0)</f>
        <v>83</v>
      </c>
      <c r="M87" s="7">
        <f t="shared" si="7"/>
        <v>0.92222222222222228</v>
      </c>
      <c r="N87" s="6">
        <f>IFERROR(VLOOKUP($A87,#REF!,MATCH(#REF!,#REF!,0),0),0)</f>
        <v>0</v>
      </c>
      <c r="O87" s="7">
        <f t="shared" si="8"/>
        <v>0</v>
      </c>
      <c r="P87" s="10" t="str">
        <f>IFERROR(VLOOKUP($A87,[1]FINAL!$A$1:$BZ$1000,MATCH([1]FINAL!$BB$1,[1]FINAL!$A$1:$BZ$1,0),0),"")</f>
        <v/>
      </c>
      <c r="Q87" s="18">
        <f t="shared" si="9"/>
        <v>1</v>
      </c>
    </row>
    <row r="88" spans="1:17" x14ac:dyDescent="0.25">
      <c r="A88" s="14" t="str">
        <f>[1]FINAL!$A332</f>
        <v>Sebastiaan Bornauw</v>
      </c>
      <c r="B88" s="20" t="str">
        <f>IFERROR(VLOOKUP($A88,[1]FINAL!$A$1:$Z$1000,MATCH([1]FINAL!$T$1,[1]FINAL!$A$1:$Z$1,0),0),"")</f>
        <v>DEF</v>
      </c>
      <c r="C88" s="3" t="str">
        <f>IFERROR(VLOOKUP($A88,[1]FINAL!$A$1:$Z$1000,MATCH([1]FINAL!$U$1,[1]FINAL!$A$1:$Z$1,0),0),"")</f>
        <v>CB</v>
      </c>
      <c r="D88" s="3" t="str">
        <f>IFERROR(VLOOKUP($A88,[1]FINAL!$A$1:$Z$1000,MATCH([1]FINAL!$V$1,[1]FINAL!$A$1:$Z$1,0),0),"")</f>
        <v>LEE</v>
      </c>
      <c r="E88" s="6">
        <f t="shared" si="5"/>
        <v>41999.999999999993</v>
      </c>
      <c r="F88" s="5">
        <f t="shared" si="6"/>
        <v>0.16666666666666666</v>
      </c>
      <c r="G88" s="5">
        <f>IFERROR(IF(H88&lt;&gt;"",H88,VLOOKUP($A88,[1]FINAL!$A$1:$BZ$1000,MATCH([1]FINAL!$BL$1,[1]FINAL!$A$1:$BZ$1,0),0)),0)</f>
        <v>0.16666666666666666</v>
      </c>
      <c r="I88" s="5">
        <f>IFERROR(IF(J88&lt;&gt;"",J88,(IF(VLOOKUP($A88,#REF!,MATCH(#REF!,#REF!,0),0)=0,G88,VLOOKUP($A88,#REF!,MATCH(#REF!,#REF!,0),0)))),G88)</f>
        <v>0.16666666666666666</v>
      </c>
      <c r="K88" s="6">
        <f>IFERROR(VLOOKUP($A88,#REF!,MATCH(#REF!,#REF!,0),0),0)</f>
        <v>0</v>
      </c>
      <c r="L88" s="6">
        <f>IFERROR(VLOOKUP($A88,[1]FINAL!$A$1:$BZ$1000,MATCH([1]FINAL!$BF$1,[1]FINAL!$A$1:$BZ$1,0),0),0)</f>
        <v>78</v>
      </c>
      <c r="M88" s="7">
        <f t="shared" si="7"/>
        <v>0.8666666666666667</v>
      </c>
      <c r="N88" s="6">
        <f>IFERROR(VLOOKUP($A88,#REF!,MATCH(#REF!,#REF!,0),0),0)</f>
        <v>0</v>
      </c>
      <c r="O88" s="7">
        <f t="shared" si="8"/>
        <v>0</v>
      </c>
      <c r="P88" s="10" t="str">
        <f>IFERROR(VLOOKUP($A88,[1]FINAL!$A$1:$BZ$1000,MATCH([1]FINAL!$BB$1,[1]FINAL!$A$1:$BZ$1,0),0),"")</f>
        <v/>
      </c>
      <c r="Q88" s="18">
        <f t="shared" si="9"/>
        <v>1</v>
      </c>
    </row>
    <row r="89" spans="1:17" x14ac:dyDescent="0.25">
      <c r="A89" s="14" t="str">
        <f>[1]FINAL!$A67</f>
        <v>Amad Diallo</v>
      </c>
      <c r="B89" s="20" t="str">
        <f>IFERROR(VLOOKUP($A89,[1]FINAL!$A$1:$Z$1000,MATCH([1]FINAL!$T$1,[1]FINAL!$A$1:$Z$1,0),0),"")</f>
        <v>MID</v>
      </c>
      <c r="C89" s="3" t="str">
        <f>IFERROR(VLOOKUP($A89,[1]FINAL!$A$1:$Z$1000,MATCH([1]FINAL!$U$1,[1]FINAL!$A$1:$Z$1,0),0),"")</f>
        <v>RW</v>
      </c>
      <c r="D89" s="3" t="str">
        <f>IFERROR(VLOOKUP($A89,[1]FINAL!$A$1:$Z$1000,MATCH([1]FINAL!$V$1,[1]FINAL!$A$1:$Z$1,0),0),"")</f>
        <v>MUN</v>
      </c>
      <c r="E89" s="6">
        <f t="shared" si="5"/>
        <v>177861.11111111112</v>
      </c>
      <c r="F89" s="5">
        <f t="shared" si="6"/>
        <v>0.84375</v>
      </c>
      <c r="G89" s="5">
        <f>IFERROR(IF(H89&lt;&gt;"",H89,VLOOKUP($A89,[1]FINAL!$A$1:$BZ$1000,MATCH([1]FINAL!$BL$1,[1]FINAL!$A$1:$BZ$1,0),0)),0)</f>
        <v>0.84375</v>
      </c>
      <c r="I89" s="5">
        <f>IFERROR(IF(J89&lt;&gt;"",J89,(IF(VLOOKUP($A89,#REF!,MATCH(#REF!,#REF!,0),0)=0,G89,VLOOKUP($A89,#REF!,MATCH(#REF!,#REF!,0),0)))),G89)</f>
        <v>0.84375</v>
      </c>
      <c r="K89" s="6">
        <f>IFERROR(VLOOKUP($A89,#REF!,MATCH(#REF!,#REF!,0),0),0)</f>
        <v>0</v>
      </c>
      <c r="L89" s="6">
        <f>IFERROR(VLOOKUP($A89,[1]FINAL!$A$1:$BZ$1000,MATCH([1]FINAL!$BF$1,[1]FINAL!$A$1:$BZ$1,0),0),0)</f>
        <v>82</v>
      </c>
      <c r="M89" s="7">
        <f t="shared" si="7"/>
        <v>0.91111111111111109</v>
      </c>
      <c r="N89" s="6">
        <f>IFERROR(VLOOKUP($A89,#REF!,MATCH(#REF!,#REF!,0),0),0)</f>
        <v>0</v>
      </c>
      <c r="O89" s="7">
        <f t="shared" si="8"/>
        <v>0</v>
      </c>
      <c r="P89" s="10" t="str">
        <f>IFERROR(VLOOKUP($A89,[1]FINAL!$A$1:$BZ$1000,MATCH([1]FINAL!$BB$1,[1]FINAL!$A$1:$BZ$1,0),0),"")</f>
        <v/>
      </c>
      <c r="Q89" s="18">
        <f t="shared" si="9"/>
        <v>1</v>
      </c>
    </row>
    <row r="90" spans="1:17" x14ac:dyDescent="0.25">
      <c r="A90" s="14" t="str">
        <f>[1]FINAL!$A243</f>
        <v>Pape Matar Sarr</v>
      </c>
      <c r="B90" s="20" t="str">
        <f>IFERROR(VLOOKUP($A90,[1]FINAL!$A$1:$Z$1000,MATCH([1]FINAL!$T$1,[1]FINAL!$A$1:$Z$1,0),0),"")</f>
        <v>MID</v>
      </c>
      <c r="C90" s="3" t="str">
        <f>IFERROR(VLOOKUP($A90,[1]FINAL!$A$1:$Z$1000,MATCH([1]FINAL!$U$1,[1]FINAL!$A$1:$Z$1,0),0),"")</f>
        <v>CM</v>
      </c>
      <c r="D90" s="3" t="str">
        <f>IFERROR(VLOOKUP($A90,[1]FINAL!$A$1:$Z$1000,MATCH([1]FINAL!$V$1,[1]FINAL!$A$1:$Z$1,0),0),"")</f>
        <v>TOT</v>
      </c>
      <c r="E90" s="6">
        <f t="shared" si="5"/>
        <v>99544.061302681992</v>
      </c>
      <c r="F90" s="5">
        <f t="shared" si="6"/>
        <v>0.44827586206896552</v>
      </c>
      <c r="G90" s="5">
        <f>IFERROR(IF(H90&lt;&gt;"",H90,VLOOKUP($A90,[1]FINAL!$A$1:$BZ$1000,MATCH([1]FINAL!$BL$1,[1]FINAL!$A$1:$BZ$1,0),0)),0)</f>
        <v>0.44827586206896552</v>
      </c>
      <c r="I90" s="5">
        <f>IFERROR(IF(J90&lt;&gt;"",J90,(IF(VLOOKUP($A90,#REF!,MATCH(#REF!,#REF!,0),0)=0,G90,VLOOKUP($A90,#REF!,MATCH(#REF!,#REF!,0),0)))),G90)</f>
        <v>0.44827586206896552</v>
      </c>
      <c r="K90" s="6">
        <f>IFERROR(VLOOKUP($A90,#REF!,MATCH(#REF!,#REF!,0),0),0)</f>
        <v>0</v>
      </c>
      <c r="L90" s="6">
        <f>IFERROR(VLOOKUP($A90,[1]FINAL!$A$1:$BZ$1000,MATCH([1]FINAL!$BF$1,[1]FINAL!$A$1:$BZ$1,0),0),0)</f>
        <v>89</v>
      </c>
      <c r="M90" s="7">
        <f t="shared" si="7"/>
        <v>0.98888888888888893</v>
      </c>
      <c r="N90" s="6">
        <f>IFERROR(VLOOKUP($A90,#REF!,MATCH(#REF!,#REF!,0),0),0)</f>
        <v>0</v>
      </c>
      <c r="O90" s="7">
        <f t="shared" si="8"/>
        <v>0</v>
      </c>
      <c r="P90" s="10" t="str">
        <f>IFERROR(VLOOKUP($A90,[1]FINAL!$A$1:$BZ$1000,MATCH([1]FINAL!$BB$1,[1]FINAL!$A$1:$BZ$1,0),0),"")</f>
        <v/>
      </c>
      <c r="Q90" s="18">
        <f t="shared" si="9"/>
        <v>1</v>
      </c>
    </row>
    <row r="91" spans="1:17" x14ac:dyDescent="0.25">
      <c r="A91" s="14" t="str">
        <f>[1]FINAL!$A403</f>
        <v>James McConnell</v>
      </c>
      <c r="B91" s="20" t="str">
        <f>IFERROR(VLOOKUP($A91,[1]FINAL!$A$1:$Z$1000,MATCH([1]FINAL!$T$1,[1]FINAL!$A$1:$Z$1,0),0),"")</f>
        <v>MID</v>
      </c>
      <c r="C91" s="3" t="str">
        <f>IFERROR(VLOOKUP($A91,[1]FINAL!$A$1:$Z$1000,MATCH([1]FINAL!$U$1,[1]FINAL!$A$1:$Z$1,0),0),"")</f>
        <v/>
      </c>
      <c r="D91" s="3" t="str">
        <f>IFERROR(VLOOKUP($A91,[1]FINAL!$A$1:$Z$1000,MATCH([1]FINAL!$V$1,[1]FINAL!$A$1:$Z$1,0),0),"")</f>
        <v>LIV</v>
      </c>
      <c r="E91" s="6">
        <f t="shared" si="5"/>
        <v>0</v>
      </c>
      <c r="F91" s="5">
        <f t="shared" si="6"/>
        <v>0</v>
      </c>
      <c r="G91" s="5">
        <f>IFERROR(IF(H91&lt;&gt;"",H91,VLOOKUP($A91,[1]FINAL!$A$1:$BZ$1000,MATCH([1]FINAL!$BL$1,[1]FINAL!$A$1:$BZ$1,0),0)),0)</f>
        <v>0</v>
      </c>
      <c r="I91" s="5">
        <f>IFERROR(IF(J91&lt;&gt;"",J91,(IF(VLOOKUP($A91,#REF!,MATCH(#REF!,#REF!,0),0)=0,G91,VLOOKUP($A91,#REF!,MATCH(#REF!,#REF!,0),0)))),G91)</f>
        <v>0</v>
      </c>
      <c r="K91" s="6">
        <f>IFERROR(VLOOKUP($A91,#REF!,MATCH(#REF!,#REF!,0),0),0)</f>
        <v>0</v>
      </c>
      <c r="L91" s="6">
        <f>IFERROR(VLOOKUP($A91,[1]FINAL!$A$1:$BZ$1000,MATCH([1]FINAL!$BF$1,[1]FINAL!$A$1:$BZ$1,0),0),0)</f>
        <v>0</v>
      </c>
      <c r="M91" s="7">
        <f t="shared" si="7"/>
        <v>0</v>
      </c>
      <c r="N91" s="6">
        <f>IFERROR(VLOOKUP($A91,#REF!,MATCH(#REF!,#REF!,0),0),0)</f>
        <v>0</v>
      </c>
      <c r="O91" s="7">
        <f t="shared" si="8"/>
        <v>0</v>
      </c>
      <c r="P91" s="10" t="str">
        <f>IFERROR(VLOOKUP($A91,[1]FINAL!$A$1:$BZ$1000,MATCH([1]FINAL!$BB$1,[1]FINAL!$A$1:$BZ$1,0),0),"")</f>
        <v/>
      </c>
      <c r="Q91" s="18">
        <f t="shared" si="9"/>
        <v>1</v>
      </c>
    </row>
    <row r="92" spans="1:17" x14ac:dyDescent="0.25">
      <c r="A92" s="14" t="str">
        <f>[1]FINAL!$A26</f>
        <v>Jurriën Timber</v>
      </c>
      <c r="B92" s="20" t="str">
        <f>IFERROR(VLOOKUP($A92,[1]FINAL!$A$1:$Z$1000,MATCH([1]FINAL!$T$1,[1]FINAL!$A$1:$Z$1,0),0),"")</f>
        <v>DEF</v>
      </c>
      <c r="C92" s="3" t="str">
        <f>IFERROR(VLOOKUP($A92,[1]FINAL!$A$1:$Z$1000,MATCH([1]FINAL!$U$1,[1]FINAL!$A$1:$Z$1,0),0),"")</f>
        <v>RB</v>
      </c>
      <c r="D92" s="3" t="str">
        <f>IFERROR(VLOOKUP($A92,[1]FINAL!$A$1:$Z$1000,MATCH([1]FINAL!$V$1,[1]FINAL!$A$1:$Z$1,0),0),"")</f>
        <v>ARS</v>
      </c>
      <c r="E92" s="6">
        <f t="shared" si="5"/>
        <v>19.611111111111111</v>
      </c>
      <c r="F92" s="5">
        <f t="shared" si="6"/>
        <v>9.3333333333333343E-5</v>
      </c>
      <c r="G92" s="5">
        <f>IFERROR(IF(H92&lt;&gt;"",H92,VLOOKUP($A92,[1]FINAL!$A$1:$BZ$1000,MATCH([1]FINAL!$BL$1,[1]FINAL!$A$1:$BZ$1,0),0)),0)</f>
        <v>0.93333333333333335</v>
      </c>
      <c r="I92" s="5">
        <f>IFERROR(IF(J92&lt;&gt;"",J92,(IF(VLOOKUP($A92,#REF!,MATCH(#REF!,#REF!,0),0)=0,G92,VLOOKUP($A92,#REF!,MATCH(#REF!,#REF!,0),0)))),G92)</f>
        <v>0.93333333333333335</v>
      </c>
      <c r="K92" s="6">
        <f>IFERROR(VLOOKUP($A92,#REF!,MATCH(#REF!,#REF!,0),0),0)</f>
        <v>0</v>
      </c>
      <c r="L92" s="6">
        <f>IFERROR(VLOOKUP($A92,[1]FINAL!$A$1:$BZ$1000,MATCH([1]FINAL!$BF$1,[1]FINAL!$A$1:$BZ$1,0),0),0)</f>
        <v>85</v>
      </c>
      <c r="M92" s="7">
        <f t="shared" si="7"/>
        <v>0.94444444444444442</v>
      </c>
      <c r="N92" s="6">
        <f>IFERROR(VLOOKUP($A92,#REF!,MATCH(#REF!,#REF!,0),0),0)</f>
        <v>0</v>
      </c>
      <c r="O92" s="7">
        <f t="shared" si="8"/>
        <v>0</v>
      </c>
      <c r="P92" s="10">
        <f>IFERROR(VLOOKUP($A92,[1]FINAL!$A$1:$BZ$1000,MATCH([1]FINAL!$BB$1,[1]FINAL!$A$1:$BZ$1,0),0),"")</f>
        <v>0</v>
      </c>
      <c r="Q92" s="18">
        <f t="shared" si="9"/>
        <v>1E-4</v>
      </c>
    </row>
    <row r="93" spans="1:17" x14ac:dyDescent="0.25">
      <c r="A93" s="14" t="str">
        <f>[1]FINAL!$A42</f>
        <v>Benjamin Sesko</v>
      </c>
      <c r="B93" s="20" t="str">
        <f>IFERROR(VLOOKUP($A93,[1]FINAL!$A$1:$Z$1000,MATCH([1]FINAL!$T$1,[1]FINAL!$A$1:$Z$1,0),0),"")</f>
        <v>FWD</v>
      </c>
      <c r="C93" s="3" t="str">
        <f>IFERROR(VLOOKUP($A93,[1]FINAL!$A$1:$Z$1000,MATCH([1]FINAL!$U$1,[1]FINAL!$A$1:$Z$1,0),0),"")</f>
        <v>CF</v>
      </c>
      <c r="D93" s="3" t="str">
        <f>IFERROR(VLOOKUP($A93,[1]FINAL!$A$1:$Z$1000,MATCH([1]FINAL!$V$1,[1]FINAL!$A$1:$Z$1,0),0),"")</f>
        <v>MUN</v>
      </c>
      <c r="E93" s="6">
        <f t="shared" si="5"/>
        <v>88841.397849462359</v>
      </c>
      <c r="F93" s="5">
        <f t="shared" si="6"/>
        <v>0.41129032258064513</v>
      </c>
      <c r="G93" s="5">
        <f>IFERROR(IF(H93&lt;&gt;"",H93,VLOOKUP($A93,[1]FINAL!$A$1:$BZ$1000,MATCH([1]FINAL!$BL$1,[1]FINAL!$A$1:$BZ$1,0),0)),0)</f>
        <v>0.54838709677419351</v>
      </c>
      <c r="I93" s="5">
        <f>IFERROR(IF(J93&lt;&gt;"",J93,(IF(VLOOKUP($A93,#REF!,MATCH(#REF!,#REF!,0),0)=0,G93,VLOOKUP($A93,#REF!,MATCH(#REF!,#REF!,0),0)))),G93)</f>
        <v>0.54838709677419351</v>
      </c>
      <c r="K93" s="6">
        <f>IFERROR(VLOOKUP($A93,#REF!,MATCH(#REF!,#REF!,0),0),0)</f>
        <v>0</v>
      </c>
      <c r="L93" s="6">
        <f>IFERROR(VLOOKUP($A93,[1]FINAL!$A$1:$BZ$1000,MATCH([1]FINAL!$BF$1,[1]FINAL!$A$1:$BZ$1,0),0),0)</f>
        <v>79</v>
      </c>
      <c r="M93" s="7">
        <f t="shared" si="7"/>
        <v>0.87777777777777777</v>
      </c>
      <c r="N93" s="6">
        <f>IFERROR(VLOOKUP($A93,#REF!,MATCH(#REF!,#REF!,0),0),0)</f>
        <v>0</v>
      </c>
      <c r="O93" s="7">
        <f t="shared" si="8"/>
        <v>0</v>
      </c>
      <c r="P93" s="10">
        <f>IFERROR(VLOOKUP($A93,[1]FINAL!$A$1:$BZ$1000,MATCH([1]FINAL!$BB$1,[1]FINAL!$A$1:$BZ$1,0),0),"")</f>
        <v>75</v>
      </c>
      <c r="Q93" s="18">
        <f t="shared" si="9"/>
        <v>0.75</v>
      </c>
    </row>
    <row r="94" spans="1:17" x14ac:dyDescent="0.25">
      <c r="A94" s="14" t="str">
        <f>[1]FINAL!$A80</f>
        <v>William Saliba</v>
      </c>
      <c r="B94" s="20" t="str">
        <f>IFERROR(VLOOKUP($A94,[1]FINAL!$A$1:$Z$1000,MATCH([1]FINAL!$T$1,[1]FINAL!$A$1:$Z$1,0),0),"")</f>
        <v>DEF</v>
      </c>
      <c r="C94" s="3" t="str">
        <f>IFERROR(VLOOKUP($A94,[1]FINAL!$A$1:$Z$1000,MATCH([1]FINAL!$U$1,[1]FINAL!$A$1:$Z$1,0),0),"")</f>
        <v>CB</v>
      </c>
      <c r="D94" s="3" t="str">
        <f>IFERROR(VLOOKUP($A94,[1]FINAL!$A$1:$Z$1000,MATCH([1]FINAL!$V$1,[1]FINAL!$A$1:$Z$1,0),0),"")</f>
        <v>ARS</v>
      </c>
      <c r="E94" s="6">
        <f t="shared" si="5"/>
        <v>18.955555555555556</v>
      </c>
      <c r="F94" s="5">
        <f t="shared" si="6"/>
        <v>9.0000000000000006E-5</v>
      </c>
      <c r="G94" s="5">
        <f>IFERROR(IF(H94&lt;&gt;"",H94,VLOOKUP($A94,[1]FINAL!$A$1:$BZ$1000,MATCH([1]FINAL!$BL$1,[1]FINAL!$A$1:$BZ$1,0),0)),0)</f>
        <v>0.9</v>
      </c>
      <c r="H94" s="12">
        <v>0.9</v>
      </c>
      <c r="I94" s="5">
        <f>IFERROR(IF(J94&lt;&gt;"",J94,(IF(VLOOKUP($A94,#REF!,MATCH(#REF!,#REF!,0),0)=0,G94,VLOOKUP($A94,#REF!,MATCH(#REF!,#REF!,0),0)))),G94)</f>
        <v>0.9</v>
      </c>
      <c r="K94" s="6">
        <f>IFERROR(VLOOKUP($A94,#REF!,MATCH(#REF!,#REF!,0),0),0)</f>
        <v>0</v>
      </c>
      <c r="L94" s="6">
        <f>IFERROR(VLOOKUP($A94,[1]FINAL!$A$1:$BZ$1000,MATCH([1]FINAL!$BF$1,[1]FINAL!$A$1:$BZ$1,0),0),0)</f>
        <v>86</v>
      </c>
      <c r="M94" s="7">
        <f t="shared" si="7"/>
        <v>0.9555555555555556</v>
      </c>
      <c r="N94" s="6">
        <f>IFERROR(VLOOKUP($A94,#REF!,MATCH(#REF!,#REF!,0),0),0)</f>
        <v>0</v>
      </c>
      <c r="O94" s="7">
        <f t="shared" si="8"/>
        <v>0</v>
      </c>
      <c r="P94" s="10">
        <f>IFERROR(VLOOKUP($A94,[1]FINAL!$A$1:$BZ$1000,MATCH([1]FINAL!$BB$1,[1]FINAL!$A$1:$BZ$1,0),0),"")</f>
        <v>0</v>
      </c>
      <c r="Q94" s="18">
        <f t="shared" si="9"/>
        <v>1E-4</v>
      </c>
    </row>
    <row r="95" spans="1:17" x14ac:dyDescent="0.25">
      <c r="A95" s="14" t="str">
        <f>[1]FINAL!$A303</f>
        <v>Marcus Bettinelli</v>
      </c>
      <c r="B95" s="20" t="str">
        <f>IFERROR(VLOOKUP($A95,[1]FINAL!$A$1:$Z$1000,MATCH([1]FINAL!$T$1,[1]FINAL!$A$1:$Z$1,0),0),"")</f>
        <v>GK</v>
      </c>
      <c r="C95" s="3" t="str">
        <f>IFERROR(VLOOKUP($A95,[1]FINAL!$A$1:$Z$1000,MATCH([1]FINAL!$U$1,[1]FINAL!$A$1:$Z$1,0),0),"")</f>
        <v>GK</v>
      </c>
      <c r="D95" s="3" t="str">
        <f>IFERROR(VLOOKUP($A95,[1]FINAL!$A$1:$Z$1000,MATCH([1]FINAL!$V$1,[1]FINAL!$A$1:$Z$1,0),0),"")</f>
        <v>MCI</v>
      </c>
      <c r="E95" s="6">
        <f t="shared" si="5"/>
        <v>0</v>
      </c>
      <c r="F95" s="5">
        <f t="shared" si="6"/>
        <v>0</v>
      </c>
      <c r="G95" s="5">
        <f>IFERROR(IF(H95&lt;&gt;"",H95,VLOOKUP($A95,[1]FINAL!$A$1:$BZ$1000,MATCH([1]FINAL!$BL$1,[1]FINAL!$A$1:$BZ$1,0),0)),0)</f>
        <v>0</v>
      </c>
      <c r="I95" s="5">
        <f>IFERROR(IF(J95&lt;&gt;"",J95,(IF(VLOOKUP($A95,#REF!,MATCH(#REF!,#REF!,0),0)=0,G95,VLOOKUP($A95,#REF!,MATCH(#REF!,#REF!,0),0)))),G95)</f>
        <v>0</v>
      </c>
      <c r="K95" s="6">
        <f>IFERROR(VLOOKUP($A95,#REF!,MATCH(#REF!,#REF!,0),0),0)</f>
        <v>0</v>
      </c>
      <c r="L95" s="6">
        <f>IFERROR(VLOOKUP($A95,[1]FINAL!$A$1:$BZ$1000,MATCH([1]FINAL!$BF$1,[1]FINAL!$A$1:$BZ$1,0),0),0)</f>
        <v>0</v>
      </c>
      <c r="M95" s="7">
        <f t="shared" si="7"/>
        <v>0</v>
      </c>
      <c r="N95" s="6">
        <f>IFERROR(VLOOKUP($A95,#REF!,MATCH(#REF!,#REF!,0),0),0)</f>
        <v>0</v>
      </c>
      <c r="O95" s="7">
        <f t="shared" si="8"/>
        <v>0</v>
      </c>
      <c r="P95" s="10" t="str">
        <f>IFERROR(VLOOKUP($A95,[1]FINAL!$A$1:$BZ$1000,MATCH([1]FINAL!$BB$1,[1]FINAL!$A$1:$BZ$1,0),0),"")</f>
        <v/>
      </c>
      <c r="Q95" s="18">
        <f t="shared" si="9"/>
        <v>1</v>
      </c>
    </row>
    <row r="96" spans="1:17" x14ac:dyDescent="0.25">
      <c r="A96" s="14" t="str">
        <f>[1]FINAL!$A152</f>
        <v>Brenden Aaronson</v>
      </c>
      <c r="B96" s="20" t="str">
        <f>IFERROR(VLOOKUP($A96,[1]FINAL!$A$1:$Z$1000,MATCH([1]FINAL!$T$1,[1]FINAL!$A$1:$Z$1,0),0),"")</f>
        <v>MID</v>
      </c>
      <c r="C96" s="3" t="str">
        <f>IFERROR(VLOOKUP($A96,[1]FINAL!$A$1:$Z$1000,MATCH([1]FINAL!$U$1,[1]FINAL!$A$1:$Z$1,0),0),"")</f>
        <v>AM</v>
      </c>
      <c r="D96" s="3" t="str">
        <f>IFERROR(VLOOKUP($A96,[1]FINAL!$A$1:$Z$1000,MATCH([1]FINAL!$V$1,[1]FINAL!$A$1:$Z$1,0),0),"")</f>
        <v>LEE</v>
      </c>
      <c r="E96" s="6">
        <f t="shared" si="5"/>
        <v>166450.29239766081</v>
      </c>
      <c r="F96" s="5">
        <f t="shared" si="6"/>
        <v>0.78947368421052633</v>
      </c>
      <c r="G96" s="5">
        <f>IFERROR(IF(H96&lt;&gt;"",H96,VLOOKUP($A96,[1]FINAL!$A$1:$BZ$1000,MATCH([1]FINAL!$BL$1,[1]FINAL!$A$1:$BZ$1,0),0)),0)</f>
        <v>0.78947368421052633</v>
      </c>
      <c r="I96" s="5">
        <f>IFERROR(IF(J96&lt;&gt;"",J96,(IF(VLOOKUP($A96,#REF!,MATCH(#REF!,#REF!,0),0)=0,G96,VLOOKUP($A96,#REF!,MATCH(#REF!,#REF!,0),0)))),G96)</f>
        <v>0.78947368421052633</v>
      </c>
      <c r="K96" s="6">
        <f>IFERROR(VLOOKUP($A96,#REF!,MATCH(#REF!,#REF!,0),0),0)</f>
        <v>0</v>
      </c>
      <c r="L96" s="6">
        <f>IFERROR(VLOOKUP($A96,[1]FINAL!$A$1:$BZ$1000,MATCH([1]FINAL!$BF$1,[1]FINAL!$A$1:$BZ$1,0),0),0)</f>
        <v>77</v>
      </c>
      <c r="M96" s="7">
        <f t="shared" si="7"/>
        <v>0.85555555555555551</v>
      </c>
      <c r="N96" s="6">
        <f>IFERROR(VLOOKUP($A96,#REF!,MATCH(#REF!,#REF!,0),0),0)</f>
        <v>0</v>
      </c>
      <c r="O96" s="7">
        <f t="shared" si="8"/>
        <v>0</v>
      </c>
      <c r="P96" s="10" t="str">
        <f>IFERROR(VLOOKUP($A96,[1]FINAL!$A$1:$BZ$1000,MATCH([1]FINAL!$BB$1,[1]FINAL!$A$1:$BZ$1,0),0),"")</f>
        <v/>
      </c>
      <c r="Q96" s="18">
        <f t="shared" si="9"/>
        <v>1</v>
      </c>
    </row>
    <row r="97" spans="1:17" x14ac:dyDescent="0.25">
      <c r="A97" s="14" t="str">
        <f>[1]FINAL!$A381</f>
        <v>Murillo Costa dos Santos</v>
      </c>
      <c r="B97" s="20" t="str">
        <f>IFERROR(VLOOKUP($A97,[1]FINAL!$A$1:$Z$1000,MATCH([1]FINAL!$T$1,[1]FINAL!$A$1:$Z$1,0),0),"")</f>
        <v>DEF</v>
      </c>
      <c r="C97" s="3" t="str">
        <f>IFERROR(VLOOKUP($A97,[1]FINAL!$A$1:$Z$1000,MATCH([1]FINAL!$U$1,[1]FINAL!$A$1:$Z$1,0),0),"")</f>
        <v>CB</v>
      </c>
      <c r="D97" s="3" t="str">
        <f>IFERROR(VLOOKUP($A97,[1]FINAL!$A$1:$Z$1000,MATCH([1]FINAL!$V$1,[1]FINAL!$A$1:$Z$1,0),0),"")</f>
        <v>NFO</v>
      </c>
      <c r="E97" s="6">
        <f t="shared" si="5"/>
        <v>151314.10256410256</v>
      </c>
      <c r="F97" s="5">
        <f t="shared" si="6"/>
        <v>0.72115384615384615</v>
      </c>
      <c r="G97" s="5">
        <f>IFERROR(IF(H97&lt;&gt;"",H97,VLOOKUP($A97,[1]FINAL!$A$1:$BZ$1000,MATCH([1]FINAL!$BL$1,[1]FINAL!$A$1:$BZ$1,0),0)),0)</f>
        <v>0.96153846153846156</v>
      </c>
      <c r="I97" s="5">
        <f>IFERROR(IF(J97&lt;&gt;"",J97,(IF(VLOOKUP($A97,#REF!,MATCH(#REF!,#REF!,0),0)=0,G97,VLOOKUP($A97,#REF!,MATCH(#REF!,#REF!,0),0)))),G97)</f>
        <v>0.96153846153846156</v>
      </c>
      <c r="K97" s="6">
        <f>IFERROR(VLOOKUP($A97,#REF!,MATCH(#REF!,#REF!,0),0),0)</f>
        <v>0</v>
      </c>
      <c r="L97" s="6">
        <f>IFERROR(VLOOKUP($A97,[1]FINAL!$A$1:$BZ$1000,MATCH([1]FINAL!$BF$1,[1]FINAL!$A$1:$BZ$1,0),0),0)</f>
        <v>85</v>
      </c>
      <c r="M97" s="7">
        <f t="shared" si="7"/>
        <v>0.94444444444444442</v>
      </c>
      <c r="N97" s="6">
        <f>IFERROR(VLOOKUP($A97,#REF!,MATCH(#REF!,#REF!,0),0),0)</f>
        <v>0</v>
      </c>
      <c r="O97" s="7">
        <f t="shared" si="8"/>
        <v>0</v>
      </c>
      <c r="P97" s="10">
        <f>IFERROR(VLOOKUP($A97,[1]FINAL!$A$1:$BZ$1000,MATCH([1]FINAL!$BB$1,[1]FINAL!$A$1:$BZ$1,0),0),"")</f>
        <v>75</v>
      </c>
      <c r="Q97" s="18">
        <f t="shared" si="9"/>
        <v>0.75</v>
      </c>
    </row>
    <row r="98" spans="1:17" x14ac:dyDescent="0.25">
      <c r="A98" s="14" t="str">
        <f>[1]FINAL!$A457</f>
        <v>Sam Szmodics</v>
      </c>
      <c r="B98" s="20" t="str">
        <f>IFERROR(VLOOKUP($A98,[1]FINAL!$A$1:$Z$1000,MATCH([1]FINAL!$T$1,[1]FINAL!$A$1:$Z$1,0),0),"")</f>
        <v>MID</v>
      </c>
      <c r="C98" s="3" t="str">
        <f>IFERROR(VLOOKUP($A98,[1]FINAL!$A$1:$Z$1000,MATCH([1]FINAL!$U$1,[1]FINAL!$A$1:$Z$1,0),0),"")</f>
        <v/>
      </c>
      <c r="D98" s="3" t="str">
        <f>IFERROR(VLOOKUP($A98,[1]FINAL!$A$1:$Z$1000,MATCH([1]FINAL!$V$1,[1]FINAL!$A$1:$Z$1,0),0),"")</f>
        <v>IPS</v>
      </c>
      <c r="E98" s="6">
        <f t="shared" si="5"/>
        <v>0</v>
      </c>
      <c r="F98" s="5">
        <f t="shared" si="6"/>
        <v>0</v>
      </c>
      <c r="G98" s="5">
        <f>IFERROR(IF(H98&lt;&gt;"",H98,VLOOKUP($A98,[1]FINAL!$A$1:$BZ$1000,MATCH([1]FINAL!$BL$1,[1]FINAL!$A$1:$BZ$1,0),0)),0)</f>
        <v>0</v>
      </c>
      <c r="I98" s="5">
        <f>IFERROR(IF(J98&lt;&gt;"",J98,(IF(VLOOKUP($A98,#REF!,MATCH(#REF!,#REF!,0),0)=0,G98,VLOOKUP($A98,#REF!,MATCH(#REF!,#REF!,0),0)))),G98)</f>
        <v>0</v>
      </c>
      <c r="K98" s="6">
        <f>IFERROR(VLOOKUP($A98,#REF!,MATCH(#REF!,#REF!,0),0),0)</f>
        <v>0</v>
      </c>
      <c r="L98" s="6">
        <f>IFERROR(VLOOKUP($A98,[1]FINAL!$A$1:$BZ$1000,MATCH([1]FINAL!$BF$1,[1]FINAL!$A$1:$BZ$1,0),0),0)</f>
        <v>0</v>
      </c>
      <c r="M98" s="7">
        <f t="shared" si="7"/>
        <v>0</v>
      </c>
      <c r="N98" s="6">
        <f>IFERROR(VLOOKUP($A98,#REF!,MATCH(#REF!,#REF!,0),0),0)</f>
        <v>0</v>
      </c>
      <c r="O98" s="7">
        <f t="shared" si="8"/>
        <v>0</v>
      </c>
      <c r="P98" s="10" t="str">
        <f>IFERROR(VLOOKUP($A98,[1]FINAL!$A$1:$BZ$1000,MATCH([1]FINAL!$BB$1,[1]FINAL!$A$1:$BZ$1,0),0),"")</f>
        <v/>
      </c>
      <c r="Q98" s="18">
        <f t="shared" si="9"/>
        <v>1</v>
      </c>
    </row>
    <row r="99" spans="1:17" x14ac:dyDescent="0.25">
      <c r="A99" s="14" t="str">
        <f>[1]FINAL!$A11</f>
        <v>James Maddison</v>
      </c>
      <c r="B99" s="20" t="str">
        <f>IFERROR(VLOOKUP($A99,[1]FINAL!$A$1:$Z$1000,MATCH([1]FINAL!$T$1,[1]FINAL!$A$1:$Z$1,0),0),"")</f>
        <v>MID</v>
      </c>
      <c r="C99" s="3" t="str">
        <f>IFERROR(VLOOKUP($A99,[1]FINAL!$A$1:$Z$1000,MATCH([1]FINAL!$U$1,[1]FINAL!$A$1:$Z$1,0),0),"")</f>
        <v>AM</v>
      </c>
      <c r="D99" s="3" t="str">
        <f>IFERROR(VLOOKUP($A99,[1]FINAL!$A$1:$Z$1000,MATCH([1]FINAL!$V$1,[1]FINAL!$A$1:$Z$1,0),0),"")</f>
        <v>TOT</v>
      </c>
      <c r="E99" s="6">
        <f t="shared" si="5"/>
        <v>0</v>
      </c>
      <c r="F99" s="5">
        <f t="shared" si="6"/>
        <v>0</v>
      </c>
      <c r="G99" s="5">
        <f>IFERROR(IF(H99&lt;&gt;"",H99,VLOOKUP($A99,[1]FINAL!$A$1:$BZ$1000,MATCH([1]FINAL!$BL$1,[1]FINAL!$A$1:$BZ$1,0),0)),0)</f>
        <v>0</v>
      </c>
      <c r="I99" s="5">
        <f>IFERROR(IF(J99&lt;&gt;"",J99,(IF(VLOOKUP($A99,#REF!,MATCH(#REF!,#REF!,0),0)=0,G99,VLOOKUP($A99,#REF!,MATCH(#REF!,#REF!,0),0)))),G99)</f>
        <v>0</v>
      </c>
      <c r="K99" s="6">
        <f>IFERROR(VLOOKUP($A99,#REF!,MATCH(#REF!,#REF!,0),0),0)</f>
        <v>0</v>
      </c>
      <c r="L99" s="6">
        <f>IFERROR(VLOOKUP($A99,[1]FINAL!$A$1:$BZ$1000,MATCH([1]FINAL!$BF$1,[1]FINAL!$A$1:$BZ$1,0),0),0)</f>
        <v>0</v>
      </c>
      <c r="M99" s="7">
        <f t="shared" si="7"/>
        <v>0</v>
      </c>
      <c r="N99" s="6">
        <f>IFERROR(VLOOKUP($A99,#REF!,MATCH(#REF!,#REF!,0),0),0)</f>
        <v>0</v>
      </c>
      <c r="O99" s="7">
        <f t="shared" si="8"/>
        <v>0</v>
      </c>
      <c r="P99" s="10" t="str">
        <f>IFERROR(VLOOKUP($A99,[1]FINAL!$A$1:$BZ$1000,MATCH([1]FINAL!$BB$1,[1]FINAL!$A$1:$BZ$1,0),0),"")</f>
        <v/>
      </c>
      <c r="Q99" s="18">
        <f t="shared" si="9"/>
        <v>1</v>
      </c>
    </row>
    <row r="100" spans="1:17" x14ac:dyDescent="0.25">
      <c r="A100" s="14" t="str">
        <f>[1]FINAL!$A29</f>
        <v>João Pedro Junqueira de Jesus</v>
      </c>
      <c r="B100" s="20" t="str">
        <f>IFERROR(VLOOKUP($A100,[1]FINAL!$A$1:$Z$1000,MATCH([1]FINAL!$T$1,[1]FINAL!$A$1:$Z$1,0),0),"")</f>
        <v>FWD</v>
      </c>
      <c r="C100" s="3" t="str">
        <f>IFERROR(VLOOKUP($A100,[1]FINAL!$A$1:$Z$1000,MATCH([1]FINAL!$U$1,[1]FINAL!$A$1:$Z$1,0),0),"")</f>
        <v>CF</v>
      </c>
      <c r="D100" s="3" t="str">
        <f>IFERROR(VLOOKUP($A100,[1]FINAL!$A$1:$Z$1000,MATCH([1]FINAL!$V$1,[1]FINAL!$A$1:$Z$1,0),0),"")</f>
        <v>CHE</v>
      </c>
      <c r="E100" s="6">
        <f t="shared" si="5"/>
        <v>186253.96825396825</v>
      </c>
      <c r="F100" s="5">
        <f t="shared" si="6"/>
        <v>0.88571428571428568</v>
      </c>
      <c r="G100" s="5">
        <f>IFERROR(IF(H100&lt;&gt;"",H100,VLOOKUP($A100,[1]FINAL!$A$1:$BZ$1000,MATCH([1]FINAL!$BL$1,[1]FINAL!$A$1:$BZ$1,0),0)),0)</f>
        <v>0.88571428571428568</v>
      </c>
      <c r="I100" s="5">
        <f>IFERROR(IF(J100&lt;&gt;"",J100,(IF(VLOOKUP($A100,#REF!,MATCH(#REF!,#REF!,0),0)=0,G100,VLOOKUP($A100,#REF!,MATCH(#REF!,#REF!,0),0)))),G100)</f>
        <v>0.88571428571428568</v>
      </c>
      <c r="K100" s="6">
        <f>IFERROR(VLOOKUP($A100,#REF!,MATCH(#REF!,#REF!,0),0),0)</f>
        <v>0</v>
      </c>
      <c r="L100" s="6">
        <f>IFERROR(VLOOKUP($A100,[1]FINAL!$A$1:$BZ$1000,MATCH([1]FINAL!$BF$1,[1]FINAL!$A$1:$BZ$1,0),0),0)</f>
        <v>82</v>
      </c>
      <c r="M100" s="7">
        <f t="shared" si="7"/>
        <v>0.91111111111111109</v>
      </c>
      <c r="N100" s="6">
        <f>IFERROR(VLOOKUP($A100,#REF!,MATCH(#REF!,#REF!,0),0),0)</f>
        <v>0</v>
      </c>
      <c r="O100" s="7">
        <f t="shared" si="8"/>
        <v>0</v>
      </c>
      <c r="P100" s="10" t="str">
        <f>IFERROR(VLOOKUP($A100,[1]FINAL!$A$1:$BZ$1000,MATCH([1]FINAL!$BB$1,[1]FINAL!$A$1:$BZ$1,0),0),"")</f>
        <v/>
      </c>
      <c r="Q100" s="18">
        <f t="shared" si="9"/>
        <v>1</v>
      </c>
    </row>
    <row r="101" spans="1:17" x14ac:dyDescent="0.25">
      <c r="A101" s="14" t="str">
        <f>[1]FINAL!$A36</f>
        <v>Riccardo Calafiori</v>
      </c>
      <c r="B101" s="20" t="str">
        <f>IFERROR(VLOOKUP($A101,[1]FINAL!$A$1:$Z$1000,MATCH([1]FINAL!$T$1,[1]FINAL!$A$1:$Z$1,0),0),"")</f>
        <v>DEF</v>
      </c>
      <c r="C101" s="3" t="str">
        <f>IFERROR(VLOOKUP($A101,[1]FINAL!$A$1:$Z$1000,MATCH([1]FINAL!$U$1,[1]FINAL!$A$1:$Z$1,0),0),"")</f>
        <v>LB</v>
      </c>
      <c r="D101" s="3" t="str">
        <f>IFERROR(VLOOKUP($A101,[1]FINAL!$A$1:$Z$1000,MATCH([1]FINAL!$V$1,[1]FINAL!$A$1:$Z$1,0),0),"")</f>
        <v>ARS</v>
      </c>
      <c r="E101" s="6">
        <f t="shared" si="5"/>
        <v>165476.19047619047</v>
      </c>
      <c r="F101" s="5">
        <f t="shared" si="6"/>
        <v>0.7857142857142857</v>
      </c>
      <c r="G101" s="5">
        <f>IFERROR(IF(H101&lt;&gt;"",H101,VLOOKUP($A101,[1]FINAL!$A$1:$BZ$1000,MATCH([1]FINAL!$BL$1,[1]FINAL!$A$1:$BZ$1,0),0)),0)</f>
        <v>0.7857142857142857</v>
      </c>
      <c r="I101" s="5">
        <f>IFERROR(IF(J101&lt;&gt;"",J101,(IF(VLOOKUP($A101,#REF!,MATCH(#REF!,#REF!,0),0)=0,G101,VLOOKUP($A101,#REF!,MATCH(#REF!,#REF!,0),0)))),G101)</f>
        <v>0.7857142857142857</v>
      </c>
      <c r="K101" s="6">
        <f>IFERROR(VLOOKUP($A101,#REF!,MATCH(#REF!,#REF!,0),0),0)</f>
        <v>0</v>
      </c>
      <c r="L101" s="6">
        <f>IFERROR(VLOOKUP($A101,[1]FINAL!$A$1:$BZ$1000,MATCH([1]FINAL!$BF$1,[1]FINAL!$A$1:$BZ$1,0),0),0)</f>
        <v>75</v>
      </c>
      <c r="M101" s="7">
        <f t="shared" si="7"/>
        <v>0.83333333333333337</v>
      </c>
      <c r="N101" s="6">
        <f>IFERROR(VLOOKUP($A101,#REF!,MATCH(#REF!,#REF!,0),0),0)</f>
        <v>0</v>
      </c>
      <c r="O101" s="7">
        <f t="shared" si="8"/>
        <v>0</v>
      </c>
      <c r="P101" s="10" t="str">
        <f>IFERROR(VLOOKUP($A101,[1]FINAL!$A$1:$BZ$1000,MATCH([1]FINAL!$BB$1,[1]FINAL!$A$1:$BZ$1,0),0),"")</f>
        <v/>
      </c>
      <c r="Q101" s="18">
        <f t="shared" si="9"/>
        <v>1</v>
      </c>
    </row>
    <row r="102" spans="1:17" x14ac:dyDescent="0.25">
      <c r="A102" s="14" t="str">
        <f>[1]FINAL!$A90</f>
        <v>Enzo Le Fée</v>
      </c>
      <c r="B102" s="20" t="str">
        <f>IFERROR(VLOOKUP($A102,[1]FINAL!$A$1:$Z$1000,MATCH([1]FINAL!$T$1,[1]FINAL!$A$1:$Z$1,0),0),"")</f>
        <v>MID</v>
      </c>
      <c r="C102" s="3" t="str">
        <f>IFERROR(VLOOKUP($A102,[1]FINAL!$A$1:$Z$1000,MATCH([1]FINAL!$U$1,[1]FINAL!$A$1:$Z$1,0),0),"")</f>
        <v>CM</v>
      </c>
      <c r="D102" s="3" t="str">
        <f>IFERROR(VLOOKUP($A102,[1]FINAL!$A$1:$Z$1000,MATCH([1]FINAL!$V$1,[1]FINAL!$A$1:$Z$1,0),0),"")</f>
        <v>SUN</v>
      </c>
      <c r="E102" s="6">
        <f t="shared" si="5"/>
        <v>192999.99999999997</v>
      </c>
      <c r="F102" s="5">
        <f t="shared" si="6"/>
        <v>0.91666666666666663</v>
      </c>
      <c r="G102" s="5">
        <f>IFERROR(IF(H102&lt;&gt;"",H102,VLOOKUP($A102,[1]FINAL!$A$1:$BZ$1000,MATCH([1]FINAL!$BL$1,[1]FINAL!$A$1:$BZ$1,0),0)),0)</f>
        <v>0.91666666666666663</v>
      </c>
      <c r="I102" s="5">
        <f>IFERROR(IF(J102&lt;&gt;"",J102,(IF(VLOOKUP($A102,#REF!,MATCH(#REF!,#REF!,0),0)=0,G102,VLOOKUP($A102,#REF!,MATCH(#REF!,#REF!,0),0)))),G102)</f>
        <v>0.91666666666666663</v>
      </c>
      <c r="K102" s="6">
        <f>IFERROR(VLOOKUP($A102,#REF!,MATCH(#REF!,#REF!,0),0),0)</f>
        <v>0</v>
      </c>
      <c r="L102" s="6">
        <f>IFERROR(VLOOKUP($A102,[1]FINAL!$A$1:$BZ$1000,MATCH([1]FINAL!$BF$1,[1]FINAL!$A$1:$BZ$1,0),0),0)</f>
        <v>87</v>
      </c>
      <c r="M102" s="7">
        <f t="shared" si="7"/>
        <v>0.96666666666666667</v>
      </c>
      <c r="N102" s="6">
        <f>IFERROR(VLOOKUP($A102,#REF!,MATCH(#REF!,#REF!,0),0),0)</f>
        <v>0</v>
      </c>
      <c r="O102" s="7">
        <f t="shared" si="8"/>
        <v>0</v>
      </c>
      <c r="P102" s="10" t="str">
        <f>IFERROR(VLOOKUP($A102,[1]FINAL!$A$1:$BZ$1000,MATCH([1]FINAL!$BB$1,[1]FINAL!$A$1:$BZ$1,0),0),"")</f>
        <v/>
      </c>
      <c r="Q102" s="18">
        <f t="shared" si="9"/>
        <v>1</v>
      </c>
    </row>
    <row r="103" spans="1:17" x14ac:dyDescent="0.25">
      <c r="A103" s="14" t="str">
        <f>[1]FINAL!$A16</f>
        <v>Bryan Mbeumo</v>
      </c>
      <c r="B103" s="20" t="str">
        <f>IFERROR(VLOOKUP($A103,[1]FINAL!$A$1:$Z$1000,MATCH([1]FINAL!$T$1,[1]FINAL!$A$1:$Z$1,0),0),"")</f>
        <v>MID</v>
      </c>
      <c r="C103" s="3" t="str">
        <f>IFERROR(VLOOKUP($A103,[1]FINAL!$A$1:$Z$1000,MATCH([1]FINAL!$U$1,[1]FINAL!$A$1:$Z$1,0),0),"")</f>
        <v>RW</v>
      </c>
      <c r="D103" s="3" t="str">
        <f>IFERROR(VLOOKUP($A103,[1]FINAL!$A$1:$Z$1000,MATCH([1]FINAL!$V$1,[1]FINAL!$A$1:$Z$1,0),0),"")</f>
        <v>MUN</v>
      </c>
      <c r="E103" s="6">
        <f t="shared" si="5"/>
        <v>197101.01010101012</v>
      </c>
      <c r="F103" s="5">
        <f t="shared" si="6"/>
        <v>0.93939393939393945</v>
      </c>
      <c r="G103" s="5">
        <f>IFERROR(IF(H103&lt;&gt;"",H103,VLOOKUP($A103,[1]FINAL!$A$1:$BZ$1000,MATCH([1]FINAL!$BL$1,[1]FINAL!$A$1:$BZ$1,0),0)),0)</f>
        <v>0.93939393939393945</v>
      </c>
      <c r="I103" s="5">
        <f>IFERROR(IF(J103&lt;&gt;"",J103,(IF(VLOOKUP($A103,#REF!,MATCH(#REF!,#REF!,0),0)=0,G103,VLOOKUP($A103,#REF!,MATCH(#REF!,#REF!,0),0)))),G103)</f>
        <v>0.93939393939393945</v>
      </c>
      <c r="K103" s="6">
        <f>IFERROR(VLOOKUP($A103,#REF!,MATCH(#REF!,#REF!,0),0),0)</f>
        <v>0</v>
      </c>
      <c r="L103" s="6">
        <f>IFERROR(VLOOKUP($A103,[1]FINAL!$A$1:$BZ$1000,MATCH([1]FINAL!$BF$1,[1]FINAL!$A$1:$BZ$1,0),0),0)</f>
        <v>83</v>
      </c>
      <c r="M103" s="7">
        <f t="shared" si="7"/>
        <v>0.92222222222222228</v>
      </c>
      <c r="N103" s="6">
        <f>IFERROR(VLOOKUP($A103,#REF!,MATCH(#REF!,#REF!,0),0),0)</f>
        <v>0</v>
      </c>
      <c r="O103" s="7">
        <f t="shared" si="8"/>
        <v>0</v>
      </c>
      <c r="P103" s="10" t="str">
        <f>IFERROR(VLOOKUP($A103,[1]FINAL!$A$1:$BZ$1000,MATCH([1]FINAL!$BB$1,[1]FINAL!$A$1:$BZ$1,0),0),"")</f>
        <v/>
      </c>
      <c r="Q103" s="18">
        <f t="shared" si="9"/>
        <v>1</v>
      </c>
    </row>
    <row r="104" spans="1:17" x14ac:dyDescent="0.25">
      <c r="A104" s="14" t="str">
        <f>[1]FINAL!$A156</f>
        <v>Cristhian Mosquera</v>
      </c>
      <c r="B104" s="20" t="str">
        <f>IFERROR(VLOOKUP($A104,[1]FINAL!$A$1:$Z$1000,MATCH([1]FINAL!$T$1,[1]FINAL!$A$1:$Z$1,0),0),"")</f>
        <v>DEF</v>
      </c>
      <c r="C104" s="3" t="str">
        <f>IFERROR(VLOOKUP($A104,[1]FINAL!$A$1:$Z$1000,MATCH([1]FINAL!$U$1,[1]FINAL!$A$1:$Z$1,0),0),"")</f>
        <v>CB</v>
      </c>
      <c r="D104" s="3" t="str">
        <f>IFERROR(VLOOKUP($A104,[1]FINAL!$A$1:$Z$1000,MATCH([1]FINAL!$V$1,[1]FINAL!$A$1:$Z$1,0),0),"")</f>
        <v>ARS</v>
      </c>
      <c r="E104" s="6">
        <f t="shared" si="5"/>
        <v>66397.849462365601</v>
      </c>
      <c r="F104" s="5">
        <f t="shared" si="6"/>
        <v>0.29032258064516131</v>
      </c>
      <c r="G104" s="5">
        <f>IFERROR(IF(H104&lt;&gt;"",H104,VLOOKUP($A104,[1]FINAL!$A$1:$BZ$1000,MATCH([1]FINAL!$BL$1,[1]FINAL!$A$1:$BZ$1,0),0)),0)</f>
        <v>0.29032258064516131</v>
      </c>
      <c r="I104" s="5">
        <f>IFERROR(IF(J104&lt;&gt;"",J104,(IF(VLOOKUP($A104,#REF!,MATCH(#REF!,#REF!,0),0)=0,G104,VLOOKUP($A104,#REF!,MATCH(#REF!,#REF!,0),0)))),G104)</f>
        <v>0.29032258064516131</v>
      </c>
      <c r="K104" s="6">
        <f>IFERROR(VLOOKUP($A104,#REF!,MATCH(#REF!,#REF!,0),0),0)</f>
        <v>0</v>
      </c>
      <c r="L104" s="6">
        <f>IFERROR(VLOOKUP($A104,[1]FINAL!$A$1:$BZ$1000,MATCH([1]FINAL!$BF$1,[1]FINAL!$A$1:$BZ$1,0),0),0)</f>
        <v>75</v>
      </c>
      <c r="M104" s="7">
        <f t="shared" si="7"/>
        <v>0.83333333333333337</v>
      </c>
      <c r="N104" s="6">
        <f>IFERROR(VLOOKUP($A104,#REF!,MATCH(#REF!,#REF!,0),0),0)</f>
        <v>0</v>
      </c>
      <c r="O104" s="7">
        <f t="shared" si="8"/>
        <v>0</v>
      </c>
      <c r="P104" s="10" t="str">
        <f>IFERROR(VLOOKUP($A104,[1]FINAL!$A$1:$BZ$1000,MATCH([1]FINAL!$BB$1,[1]FINAL!$A$1:$BZ$1,0),0),"")</f>
        <v/>
      </c>
      <c r="Q104" s="18">
        <f t="shared" si="9"/>
        <v>1</v>
      </c>
    </row>
    <row r="105" spans="1:17" x14ac:dyDescent="0.25">
      <c r="A105" s="14" t="str">
        <f>[1]FINAL!$A182</f>
        <v>Rodrigo 'Rodri' Hernandez Cascante</v>
      </c>
      <c r="B105" s="20" t="str">
        <f>IFERROR(VLOOKUP($A105,[1]FINAL!$A$1:$Z$1000,MATCH([1]FINAL!$T$1,[1]FINAL!$A$1:$Z$1,0),0),"")</f>
        <v>MID</v>
      </c>
      <c r="C105" s="3" t="str">
        <f>IFERROR(VLOOKUP($A105,[1]FINAL!$A$1:$Z$1000,MATCH([1]FINAL!$U$1,[1]FINAL!$A$1:$Z$1,0),0),"")</f>
        <v>DM</v>
      </c>
      <c r="D105" s="3" t="str">
        <f>IFERROR(VLOOKUP($A105,[1]FINAL!$A$1:$Z$1000,MATCH([1]FINAL!$V$1,[1]FINAL!$A$1:$Z$1,0),0),"")</f>
        <v>MCI</v>
      </c>
      <c r="E105" s="6">
        <f t="shared" si="5"/>
        <v>16.387878787878787</v>
      </c>
      <c r="F105" s="5">
        <f t="shared" si="6"/>
        <v>7.7272727272727272E-5</v>
      </c>
      <c r="G105" s="5">
        <f>IFERROR(IF(H105&lt;&gt;"",H105,VLOOKUP($A105,[1]FINAL!$A$1:$BZ$1000,MATCH([1]FINAL!$BL$1,[1]FINAL!$A$1:$BZ$1,0),0)),0)</f>
        <v>0.77272727272727271</v>
      </c>
      <c r="I105" s="5">
        <f>IFERROR(IF(J105&lt;&gt;"",J105,(IF(VLOOKUP($A105,#REF!,MATCH(#REF!,#REF!,0),0)=0,G105,VLOOKUP($A105,#REF!,MATCH(#REF!,#REF!,0),0)))),G105)</f>
        <v>0.77272727272727271</v>
      </c>
      <c r="K105" s="6">
        <f>IFERROR(VLOOKUP($A105,#REF!,MATCH(#REF!,#REF!,0),0),0)</f>
        <v>0</v>
      </c>
      <c r="L105" s="6">
        <f>IFERROR(VLOOKUP($A105,[1]FINAL!$A$1:$BZ$1000,MATCH([1]FINAL!$BF$1,[1]FINAL!$A$1:$BZ$1,0),0),0)</f>
        <v>84</v>
      </c>
      <c r="M105" s="7">
        <f t="shared" si="7"/>
        <v>0.93333333333333335</v>
      </c>
      <c r="N105" s="6">
        <f>IFERROR(VLOOKUP($A105,#REF!,MATCH(#REF!,#REF!,0),0),0)</f>
        <v>0</v>
      </c>
      <c r="O105" s="7">
        <f t="shared" si="8"/>
        <v>0</v>
      </c>
      <c r="P105" s="10">
        <f>IFERROR(VLOOKUP($A105,[1]FINAL!$A$1:$BZ$1000,MATCH([1]FINAL!$BB$1,[1]FINAL!$A$1:$BZ$1,0),0),"")</f>
        <v>0</v>
      </c>
      <c r="Q105" s="18">
        <f t="shared" si="9"/>
        <v>1E-4</v>
      </c>
    </row>
    <row r="106" spans="1:17" x14ac:dyDescent="0.25">
      <c r="A106" s="14" t="str">
        <f>[1]FINAL!$A256</f>
        <v>Dane Scarlett</v>
      </c>
      <c r="B106" s="20" t="str">
        <f>IFERROR(VLOOKUP($A106,[1]FINAL!$A$1:$Z$1000,MATCH([1]FINAL!$T$1,[1]FINAL!$A$1:$Z$1,0),0),"")</f>
        <v>FWD</v>
      </c>
      <c r="C106" s="3" t="str">
        <f>IFERROR(VLOOKUP($A106,[1]FINAL!$A$1:$Z$1000,MATCH([1]FINAL!$U$1,[1]FINAL!$A$1:$Z$1,0),0),"")</f>
        <v>CF</v>
      </c>
      <c r="D106" s="3" t="str">
        <f>IFERROR(VLOOKUP($A106,[1]FINAL!$A$1:$Z$1000,MATCH([1]FINAL!$V$1,[1]FINAL!$A$1:$Z$1,0),0),"")</f>
        <v>TOT</v>
      </c>
      <c r="E106" s="6">
        <f t="shared" si="5"/>
        <v>0</v>
      </c>
      <c r="F106" s="5">
        <f t="shared" si="6"/>
        <v>0</v>
      </c>
      <c r="G106" s="5">
        <f>IFERROR(IF(H106&lt;&gt;"",H106,VLOOKUP($A106,[1]FINAL!$A$1:$BZ$1000,MATCH([1]FINAL!$BL$1,[1]FINAL!$A$1:$BZ$1,0),0)),0)</f>
        <v>0</v>
      </c>
      <c r="I106" s="5">
        <f>IFERROR(IF(J106&lt;&gt;"",J106,(IF(VLOOKUP($A106,#REF!,MATCH(#REF!,#REF!,0),0)=0,G106,VLOOKUP($A106,#REF!,MATCH(#REF!,#REF!,0),0)))),G106)</f>
        <v>0</v>
      </c>
      <c r="K106" s="6">
        <f>IFERROR(VLOOKUP($A106,#REF!,MATCH(#REF!,#REF!,0),0),0)</f>
        <v>0</v>
      </c>
      <c r="L106" s="6">
        <f>IFERROR(VLOOKUP($A106,[1]FINAL!$A$1:$BZ$1000,MATCH([1]FINAL!$BF$1,[1]FINAL!$A$1:$BZ$1,0),0),0)</f>
        <v>0</v>
      </c>
      <c r="M106" s="7">
        <f t="shared" si="7"/>
        <v>0</v>
      </c>
      <c r="N106" s="6">
        <f>IFERROR(VLOOKUP($A106,#REF!,MATCH(#REF!,#REF!,0),0),0)</f>
        <v>0</v>
      </c>
      <c r="O106" s="7">
        <f t="shared" si="8"/>
        <v>0</v>
      </c>
      <c r="P106" s="10" t="str">
        <f>IFERROR(VLOOKUP($A106,[1]FINAL!$A$1:$BZ$1000,MATCH([1]FINAL!$BB$1,[1]FINAL!$A$1:$BZ$1,0),0),"")</f>
        <v/>
      </c>
      <c r="Q106" s="18">
        <f t="shared" si="9"/>
        <v>1</v>
      </c>
    </row>
    <row r="107" spans="1:17" x14ac:dyDescent="0.25">
      <c r="A107" s="14" t="str">
        <f>[1]FINAL!$A43</f>
        <v>Mikel Merino Zazón</v>
      </c>
      <c r="B107" s="20" t="str">
        <f>IFERROR(VLOOKUP($A107,[1]FINAL!$A$1:$Z$1000,MATCH([1]FINAL!$T$1,[1]FINAL!$A$1:$Z$1,0),0),"")</f>
        <v>MID</v>
      </c>
      <c r="C107" s="3" t="str">
        <f>IFERROR(VLOOKUP($A107,[1]FINAL!$A$1:$Z$1000,MATCH([1]FINAL!$U$1,[1]FINAL!$A$1:$Z$1,0),0),"")</f>
        <v>CM</v>
      </c>
      <c r="D107" s="3" t="str">
        <f>IFERROR(VLOOKUP($A107,[1]FINAL!$A$1:$Z$1000,MATCH([1]FINAL!$V$1,[1]FINAL!$A$1:$Z$1,0),0),"")</f>
        <v>ARS</v>
      </c>
      <c r="E107" s="6">
        <f t="shared" si="5"/>
        <v>91888.888888888905</v>
      </c>
      <c r="F107" s="5">
        <f t="shared" si="6"/>
        <v>0.41666666666666669</v>
      </c>
      <c r="G107" s="5">
        <f>IFERROR(IF(H107&lt;&gt;"",H107,VLOOKUP($A107,[1]FINAL!$A$1:$BZ$1000,MATCH([1]FINAL!$BL$1,[1]FINAL!$A$1:$BZ$1,0),0)),0)</f>
        <v>0.41666666666666669</v>
      </c>
      <c r="I107" s="5">
        <f>IFERROR(IF(J107&lt;&gt;"",J107,(IF(VLOOKUP($A107,#REF!,MATCH(#REF!,#REF!,0),0)=0,G107,VLOOKUP($A107,#REF!,MATCH(#REF!,#REF!,0),0)))),G107)</f>
        <v>0.41666666666666669</v>
      </c>
      <c r="K107" s="6">
        <f>IFERROR(VLOOKUP($A107,#REF!,MATCH(#REF!,#REF!,0),0),0)</f>
        <v>0</v>
      </c>
      <c r="L107" s="6">
        <f>IFERROR(VLOOKUP($A107,[1]FINAL!$A$1:$BZ$1000,MATCH([1]FINAL!$BF$1,[1]FINAL!$A$1:$BZ$1,0),0),0)</f>
        <v>77</v>
      </c>
      <c r="M107" s="7">
        <f t="shared" si="7"/>
        <v>0.85555555555555551</v>
      </c>
      <c r="N107" s="6">
        <f>IFERROR(VLOOKUP($A107,#REF!,MATCH(#REF!,#REF!,0),0),0)</f>
        <v>0</v>
      </c>
      <c r="O107" s="7">
        <f t="shared" si="8"/>
        <v>0</v>
      </c>
      <c r="P107" s="10" t="str">
        <f>IFERROR(VLOOKUP($A107,[1]FINAL!$A$1:$BZ$1000,MATCH([1]FINAL!$BB$1,[1]FINAL!$A$1:$BZ$1,0),0),"")</f>
        <v/>
      </c>
      <c r="Q107" s="18">
        <f t="shared" si="9"/>
        <v>1</v>
      </c>
    </row>
    <row r="108" spans="1:17" x14ac:dyDescent="0.25">
      <c r="A108" s="14" t="str">
        <f>[1]FINAL!$A230</f>
        <v>Antonee Robinson</v>
      </c>
      <c r="B108" s="20" t="str">
        <f>IFERROR(VLOOKUP($A108,[1]FINAL!$A$1:$Z$1000,MATCH([1]FINAL!$T$1,[1]FINAL!$A$1:$Z$1,0),0),"")</f>
        <v>DEF</v>
      </c>
      <c r="C108" s="3" t="str">
        <f>IFERROR(VLOOKUP($A108,[1]FINAL!$A$1:$Z$1000,MATCH([1]FINAL!$U$1,[1]FINAL!$A$1:$Z$1,0),0),"")</f>
        <v>LB</v>
      </c>
      <c r="D108" s="3" t="str">
        <f>IFERROR(VLOOKUP($A108,[1]FINAL!$A$1:$Z$1000,MATCH([1]FINAL!$V$1,[1]FINAL!$A$1:$Z$1,0),0),"")</f>
        <v>FUL</v>
      </c>
      <c r="E108" s="6">
        <f t="shared" si="5"/>
        <v>135148.14814814815</v>
      </c>
      <c r="F108" s="5">
        <f t="shared" si="6"/>
        <v>0.62962962962962965</v>
      </c>
      <c r="G108" s="5">
        <f>IFERROR(IF(H108&lt;&gt;"",H108,VLOOKUP($A108,[1]FINAL!$A$1:$BZ$1000,MATCH([1]FINAL!$BL$1,[1]FINAL!$A$1:$BZ$1,0),0)),0)</f>
        <v>0.62962962962962965</v>
      </c>
      <c r="I108" s="5">
        <f>IFERROR(IF(J108&lt;&gt;"",J108,(IF(VLOOKUP($A108,#REF!,MATCH(#REF!,#REF!,0),0)=0,G108,VLOOKUP($A108,#REF!,MATCH(#REF!,#REF!,0),0)))),G108)</f>
        <v>0.62962962962962965</v>
      </c>
      <c r="K108" s="6">
        <f>IFERROR(VLOOKUP($A108,#REF!,MATCH(#REF!,#REF!,0),0),0)</f>
        <v>0</v>
      </c>
      <c r="L108" s="6">
        <f>IFERROR(VLOOKUP($A108,[1]FINAL!$A$1:$BZ$1000,MATCH([1]FINAL!$BF$1,[1]FINAL!$A$1:$BZ$1,0),0),0)</f>
        <v>83</v>
      </c>
      <c r="M108" s="7">
        <f t="shared" si="7"/>
        <v>0.92222222222222228</v>
      </c>
      <c r="N108" s="6">
        <f>IFERROR(VLOOKUP($A108,#REF!,MATCH(#REF!,#REF!,0),0),0)</f>
        <v>0</v>
      </c>
      <c r="O108" s="7">
        <f t="shared" si="8"/>
        <v>0</v>
      </c>
      <c r="P108" s="10" t="str">
        <f>IFERROR(VLOOKUP($A108,[1]FINAL!$A$1:$BZ$1000,MATCH([1]FINAL!$BB$1,[1]FINAL!$A$1:$BZ$1,0),0),"")</f>
        <v/>
      </c>
      <c r="Q108" s="18">
        <f t="shared" si="9"/>
        <v>1</v>
      </c>
    </row>
    <row r="109" spans="1:17" x14ac:dyDescent="0.25">
      <c r="A109" s="14" t="str">
        <f>[1]FINAL!$A170</f>
        <v>Emiliano Buendía Stati</v>
      </c>
      <c r="B109" s="20" t="str">
        <f>IFERROR(VLOOKUP($A109,[1]FINAL!$A$1:$Z$1000,MATCH([1]FINAL!$T$1,[1]FINAL!$A$1:$Z$1,0),0),"")</f>
        <v>MID</v>
      </c>
      <c r="C109" s="3" t="str">
        <f>IFERROR(VLOOKUP($A109,[1]FINAL!$A$1:$Z$1000,MATCH([1]FINAL!$U$1,[1]FINAL!$A$1:$Z$1,0),0),"")</f>
        <v>LW</v>
      </c>
      <c r="D109" s="3" t="str">
        <f>IFERROR(VLOOKUP($A109,[1]FINAL!$A$1:$Z$1000,MATCH([1]FINAL!$V$1,[1]FINAL!$A$1:$Z$1,0),0),"")</f>
        <v>AVL</v>
      </c>
      <c r="E109" s="6">
        <f t="shared" si="5"/>
        <v>121069.06906906907</v>
      </c>
      <c r="F109" s="5">
        <f t="shared" si="6"/>
        <v>0.56756756756756754</v>
      </c>
      <c r="G109" s="5">
        <f>IFERROR(IF(H109&lt;&gt;"",H109,VLOOKUP($A109,[1]FINAL!$A$1:$BZ$1000,MATCH([1]FINAL!$BL$1,[1]FINAL!$A$1:$BZ$1,0),0)),0)</f>
        <v>0.56756756756756754</v>
      </c>
      <c r="I109" s="5">
        <f>IFERROR(IF(J109&lt;&gt;"",J109,(IF(VLOOKUP($A109,#REF!,MATCH(#REF!,#REF!,0),0)=0,G109,VLOOKUP($A109,#REF!,MATCH(#REF!,#REF!,0),0)))),G109)</f>
        <v>0.56756756756756754</v>
      </c>
      <c r="K109" s="6">
        <f>IFERROR(VLOOKUP($A109,#REF!,MATCH(#REF!,#REF!,0),0),0)</f>
        <v>0</v>
      </c>
      <c r="L109" s="6">
        <f>IFERROR(VLOOKUP($A109,[1]FINAL!$A$1:$BZ$1000,MATCH([1]FINAL!$BF$1,[1]FINAL!$A$1:$BZ$1,0),0),0)</f>
        <v>68</v>
      </c>
      <c r="M109" s="7">
        <f t="shared" si="7"/>
        <v>0.75555555555555554</v>
      </c>
      <c r="N109" s="6">
        <f>IFERROR(VLOOKUP($A109,#REF!,MATCH(#REF!,#REF!,0),0),0)</f>
        <v>0</v>
      </c>
      <c r="O109" s="7">
        <f t="shared" si="8"/>
        <v>0</v>
      </c>
      <c r="P109" s="10" t="str">
        <f>IFERROR(VLOOKUP($A109,[1]FINAL!$A$1:$BZ$1000,MATCH([1]FINAL!$BB$1,[1]FINAL!$A$1:$BZ$1,0),0),"")</f>
        <v/>
      </c>
      <c r="Q109" s="18">
        <f t="shared" si="9"/>
        <v>1</v>
      </c>
    </row>
    <row r="110" spans="1:17" x14ac:dyDescent="0.25">
      <c r="A110" s="14" t="str">
        <f>[1]FINAL!$A395</f>
        <v>Benoît Badiashile Mukinayi</v>
      </c>
      <c r="B110" s="20" t="str">
        <f>IFERROR(VLOOKUP($A110,[1]FINAL!$A$1:$Z$1000,MATCH([1]FINAL!$T$1,[1]FINAL!$A$1:$Z$1,0),0),"")</f>
        <v>DEF</v>
      </c>
      <c r="C110" s="3" t="str">
        <f>IFERROR(VLOOKUP($A110,[1]FINAL!$A$1:$Z$1000,MATCH([1]FINAL!$U$1,[1]FINAL!$A$1:$Z$1,0),0),"")</f>
        <v>CB</v>
      </c>
      <c r="D110" s="3" t="str">
        <f>IFERROR(VLOOKUP($A110,[1]FINAL!$A$1:$Z$1000,MATCH([1]FINAL!$V$1,[1]FINAL!$A$1:$Z$1,0),0),"")</f>
        <v>CHE</v>
      </c>
      <c r="E110" s="6">
        <f t="shared" si="5"/>
        <v>70824.561403508764</v>
      </c>
      <c r="F110" s="5">
        <f t="shared" si="6"/>
        <v>0.31578947368421051</v>
      </c>
      <c r="G110" s="5">
        <f>IFERROR(IF(H110&lt;&gt;"",H110,VLOOKUP($A110,[1]FINAL!$A$1:$BZ$1000,MATCH([1]FINAL!$BL$1,[1]FINAL!$A$1:$BZ$1,0),0)),0)</f>
        <v>0.31578947368421051</v>
      </c>
      <c r="I110" s="5">
        <f>IFERROR(IF(J110&lt;&gt;"",J110,(IF(VLOOKUP($A110,#REF!,MATCH(#REF!,#REF!,0),0)=0,G110,VLOOKUP($A110,#REF!,MATCH(#REF!,#REF!,0),0)))),G110)</f>
        <v>0.31578947368421051</v>
      </c>
      <c r="K110" s="6">
        <f>IFERROR(VLOOKUP($A110,#REF!,MATCH(#REF!,#REF!,0),0),0)</f>
        <v>0</v>
      </c>
      <c r="L110" s="6">
        <f>IFERROR(VLOOKUP($A110,[1]FINAL!$A$1:$BZ$1000,MATCH([1]FINAL!$BF$1,[1]FINAL!$A$1:$BZ$1,0),0),0)</f>
        <v>69</v>
      </c>
      <c r="M110" s="7">
        <f t="shared" si="7"/>
        <v>0.76666666666666672</v>
      </c>
      <c r="N110" s="6">
        <f>IFERROR(VLOOKUP($A110,#REF!,MATCH(#REF!,#REF!,0),0),0)</f>
        <v>0</v>
      </c>
      <c r="O110" s="7">
        <f t="shared" si="8"/>
        <v>0</v>
      </c>
      <c r="P110" s="10" t="str">
        <f>IFERROR(VLOOKUP($A110,[1]FINAL!$A$1:$BZ$1000,MATCH([1]FINAL!$BB$1,[1]FINAL!$A$1:$BZ$1,0),0),"")</f>
        <v/>
      </c>
      <c r="Q110" s="18">
        <f t="shared" si="9"/>
        <v>1</v>
      </c>
    </row>
    <row r="111" spans="1:17" x14ac:dyDescent="0.25">
      <c r="A111" s="14" t="str">
        <f>[1]FINAL!$A236</f>
        <v>Alexis Mac Allister</v>
      </c>
      <c r="B111" s="20" t="str">
        <f>IFERROR(VLOOKUP($A111,[1]FINAL!$A$1:$Z$1000,MATCH([1]FINAL!$T$1,[1]FINAL!$A$1:$Z$1,0),0),"")</f>
        <v>MID</v>
      </c>
      <c r="C111" s="3" t="str">
        <f>IFERROR(VLOOKUP($A111,[1]FINAL!$A$1:$Z$1000,MATCH([1]FINAL!$U$1,[1]FINAL!$A$1:$Z$1,0),0),"")</f>
        <v>CM</v>
      </c>
      <c r="D111" s="3" t="str">
        <f>IFERROR(VLOOKUP($A111,[1]FINAL!$A$1:$Z$1000,MATCH([1]FINAL!$V$1,[1]FINAL!$A$1:$Z$1,0),0),"")</f>
        <v>LIV</v>
      </c>
      <c r="E111" s="6">
        <f t="shared" si="5"/>
        <v>176678.6786786787</v>
      </c>
      <c r="F111" s="5">
        <f t="shared" si="6"/>
        <v>0.83783783783783783</v>
      </c>
      <c r="G111" s="5">
        <f>IFERROR(IF(H111&lt;&gt;"",H111,VLOOKUP($A111,[1]FINAL!$A$1:$BZ$1000,MATCH([1]FINAL!$BL$1,[1]FINAL!$A$1:$BZ$1,0),0)),0)</f>
        <v>0.83783783783783783</v>
      </c>
      <c r="I111" s="5">
        <f>IFERROR(IF(J111&lt;&gt;"",J111,(IF(VLOOKUP($A111,#REF!,MATCH(#REF!,#REF!,0),0)=0,G111,VLOOKUP($A111,#REF!,MATCH(#REF!,#REF!,0),0)))),G111)</f>
        <v>0.83783783783783783</v>
      </c>
      <c r="K111" s="6">
        <f>IFERROR(VLOOKUP($A111,#REF!,MATCH(#REF!,#REF!,0),0),0)</f>
        <v>0</v>
      </c>
      <c r="L111" s="6">
        <f>IFERROR(VLOOKUP($A111,[1]FINAL!$A$1:$BZ$1000,MATCH([1]FINAL!$BF$1,[1]FINAL!$A$1:$BZ$1,0),0),0)</f>
        <v>82</v>
      </c>
      <c r="M111" s="7">
        <f t="shared" si="7"/>
        <v>0.91111111111111109</v>
      </c>
      <c r="N111" s="6">
        <f>IFERROR(VLOOKUP($A111,#REF!,MATCH(#REF!,#REF!,0),0),0)</f>
        <v>0</v>
      </c>
      <c r="O111" s="7">
        <f t="shared" si="8"/>
        <v>0</v>
      </c>
      <c r="P111" s="10" t="str">
        <f>IFERROR(VLOOKUP($A111,[1]FINAL!$A$1:$BZ$1000,MATCH([1]FINAL!$BB$1,[1]FINAL!$A$1:$BZ$1,0),0),"")</f>
        <v/>
      </c>
      <c r="Q111" s="18">
        <f t="shared" si="9"/>
        <v>1</v>
      </c>
    </row>
    <row r="112" spans="1:17" x14ac:dyDescent="0.25">
      <c r="A112" s="14" t="str">
        <f>[1]FINAL!$A37</f>
        <v>Tyler Fredricson</v>
      </c>
      <c r="B112" s="20" t="str">
        <f>IFERROR(VLOOKUP($A112,[1]FINAL!$A$1:$Z$1000,MATCH([1]FINAL!$T$1,[1]FINAL!$A$1:$Z$1,0),0),"")</f>
        <v>DEF</v>
      </c>
      <c r="C112" s="3" t="str">
        <f>IFERROR(VLOOKUP($A112,[1]FINAL!$A$1:$Z$1000,MATCH([1]FINAL!$U$1,[1]FINAL!$A$1:$Z$1,0),0),"")</f>
        <v>CB</v>
      </c>
      <c r="D112" s="3" t="str">
        <f>IFERROR(VLOOKUP($A112,[1]FINAL!$A$1:$Z$1000,MATCH([1]FINAL!$V$1,[1]FINAL!$A$1:$Z$1,0),0),"")</f>
        <v>MUN</v>
      </c>
      <c r="E112" s="6">
        <f t="shared" si="5"/>
        <v>0</v>
      </c>
      <c r="F112" s="5">
        <f t="shared" si="6"/>
        <v>0</v>
      </c>
      <c r="G112" s="5">
        <f>IFERROR(IF(H112&lt;&gt;"",H112,VLOOKUP($A112,[1]FINAL!$A$1:$BZ$1000,MATCH([1]FINAL!$BL$1,[1]FINAL!$A$1:$BZ$1,0),0)),0)</f>
        <v>0</v>
      </c>
      <c r="I112" s="5">
        <f>IFERROR(IF(J112&lt;&gt;"",J112,(IF(VLOOKUP($A112,#REF!,MATCH(#REF!,#REF!,0),0)=0,G112,VLOOKUP($A112,#REF!,MATCH(#REF!,#REF!,0),0)))),G112)</f>
        <v>0</v>
      </c>
      <c r="K112" s="6">
        <f>IFERROR(VLOOKUP($A112,#REF!,MATCH(#REF!,#REF!,0),0),0)</f>
        <v>0</v>
      </c>
      <c r="L112" s="6">
        <f>IFERROR(VLOOKUP($A112,[1]FINAL!$A$1:$BZ$1000,MATCH([1]FINAL!$BF$1,[1]FINAL!$A$1:$BZ$1,0),0),0)</f>
        <v>0</v>
      </c>
      <c r="M112" s="7">
        <f t="shared" si="7"/>
        <v>0</v>
      </c>
      <c r="N112" s="6">
        <f>IFERROR(VLOOKUP($A112,#REF!,MATCH(#REF!,#REF!,0),0),0)</f>
        <v>0</v>
      </c>
      <c r="O112" s="7">
        <f t="shared" si="8"/>
        <v>0</v>
      </c>
      <c r="P112" s="10" t="str">
        <f>IFERROR(VLOOKUP($A112,[1]FINAL!$A$1:$BZ$1000,MATCH([1]FINAL!$BB$1,[1]FINAL!$A$1:$BZ$1,0),0),"")</f>
        <v/>
      </c>
      <c r="Q112" s="18">
        <f t="shared" si="9"/>
        <v>1</v>
      </c>
    </row>
    <row r="113" spans="1:17" x14ac:dyDescent="0.25">
      <c r="A113" s="14" t="str">
        <f>[1]FINAL!$A73</f>
        <v>Marc Guiu Paz</v>
      </c>
      <c r="B113" s="20" t="str">
        <f>IFERROR(VLOOKUP($A113,[1]FINAL!$A$1:$Z$1000,MATCH([1]FINAL!$T$1,[1]FINAL!$A$1:$Z$1,0),0),"")</f>
        <v>FWD</v>
      </c>
      <c r="C113" s="3" t="str">
        <f>IFERROR(VLOOKUP($A113,[1]FINAL!$A$1:$Z$1000,MATCH([1]FINAL!$U$1,[1]FINAL!$A$1:$Z$1,0),0),"")</f>
        <v>CF</v>
      </c>
      <c r="D113" s="3" t="str">
        <f>IFERROR(VLOOKUP($A113,[1]FINAL!$A$1:$Z$1000,MATCH([1]FINAL!$V$1,[1]FINAL!$A$1:$Z$1,0),0),"")</f>
        <v>CHE</v>
      </c>
      <c r="E113" s="6">
        <f t="shared" si="5"/>
        <v>16333.333333333334</v>
      </c>
      <c r="F113" s="5">
        <f t="shared" si="6"/>
        <v>0.04</v>
      </c>
      <c r="G113" s="5">
        <f>IFERROR(IF(H113&lt;&gt;"",H113,VLOOKUP($A113,[1]FINAL!$A$1:$BZ$1000,MATCH([1]FINAL!$BL$1,[1]FINAL!$A$1:$BZ$1,0),0)),0)</f>
        <v>0.04</v>
      </c>
      <c r="I113" s="5">
        <f>IFERROR(IF(J113&lt;&gt;"",J113,(IF(VLOOKUP($A113,#REF!,MATCH(#REF!,#REF!,0),0)=0,G113,VLOOKUP($A113,#REF!,MATCH(#REF!,#REF!,0),0)))),G113)</f>
        <v>0.04</v>
      </c>
      <c r="K113" s="6">
        <f>IFERROR(VLOOKUP($A113,#REF!,MATCH(#REF!,#REF!,0),0),0)</f>
        <v>0</v>
      </c>
      <c r="L113" s="6">
        <f>IFERROR(VLOOKUP($A113,[1]FINAL!$A$1:$BZ$1000,MATCH([1]FINAL!$BF$1,[1]FINAL!$A$1:$BZ$1,0),0),0)</f>
        <v>75</v>
      </c>
      <c r="M113" s="7">
        <f t="shared" si="7"/>
        <v>0.83333333333333337</v>
      </c>
      <c r="N113" s="6">
        <f>IFERROR(VLOOKUP($A113,#REF!,MATCH(#REF!,#REF!,0),0),0)</f>
        <v>0</v>
      </c>
      <c r="O113" s="7">
        <f t="shared" si="8"/>
        <v>0</v>
      </c>
      <c r="P113" s="10" t="str">
        <f>IFERROR(VLOOKUP($A113,[1]FINAL!$A$1:$BZ$1000,MATCH([1]FINAL!$BB$1,[1]FINAL!$A$1:$BZ$1,0),0),"")</f>
        <v/>
      </c>
      <c r="Q113" s="18">
        <f t="shared" si="9"/>
        <v>1</v>
      </c>
    </row>
    <row r="114" spans="1:17" x14ac:dyDescent="0.25">
      <c r="A114" s="14" t="str">
        <f>[1]FINAL!$A541</f>
        <v>Will Dennis</v>
      </c>
      <c r="B114" s="20" t="str">
        <f>IFERROR(VLOOKUP($A114,[1]FINAL!$A$1:$Z$1000,MATCH([1]FINAL!$T$1,[1]FINAL!$A$1:$Z$1,0),0),"")</f>
        <v>GK</v>
      </c>
      <c r="C114" s="3" t="str">
        <f>IFERROR(VLOOKUP($A114,[1]FINAL!$A$1:$Z$1000,MATCH([1]FINAL!$U$1,[1]FINAL!$A$1:$Z$1,0),0),"")</f>
        <v>GK</v>
      </c>
      <c r="D114" s="3" t="str">
        <f>IFERROR(VLOOKUP($A114,[1]FINAL!$A$1:$Z$1000,MATCH([1]FINAL!$V$1,[1]FINAL!$A$1:$Z$1,0),0),"")</f>
        <v>BOU</v>
      </c>
      <c r="E114" s="6">
        <f t="shared" si="5"/>
        <v>0</v>
      </c>
      <c r="F114" s="5">
        <f t="shared" si="6"/>
        <v>0</v>
      </c>
      <c r="G114" s="5">
        <f>IFERROR(IF(H114&lt;&gt;"",H114,VLOOKUP($A114,[1]FINAL!$A$1:$BZ$1000,MATCH([1]FINAL!$BL$1,[1]FINAL!$A$1:$BZ$1,0),0)),0)</f>
        <v>0</v>
      </c>
      <c r="I114" s="5">
        <f>IFERROR(IF(J114&lt;&gt;"",J114,(IF(VLOOKUP($A114,#REF!,MATCH(#REF!,#REF!,0),0)=0,G114,VLOOKUP($A114,#REF!,MATCH(#REF!,#REF!,0),0)))),G114)</f>
        <v>0</v>
      </c>
      <c r="K114" s="6">
        <f>IFERROR(VLOOKUP($A114,#REF!,MATCH(#REF!,#REF!,0),0),0)</f>
        <v>0</v>
      </c>
      <c r="L114" s="6">
        <f>IFERROR(VLOOKUP($A114,[1]FINAL!$A$1:$BZ$1000,MATCH([1]FINAL!$BF$1,[1]FINAL!$A$1:$BZ$1,0),0),0)</f>
        <v>0</v>
      </c>
      <c r="M114" s="7">
        <f t="shared" si="7"/>
        <v>0</v>
      </c>
      <c r="N114" s="6">
        <f>IFERROR(VLOOKUP($A114,#REF!,MATCH(#REF!,#REF!,0),0),0)</f>
        <v>0</v>
      </c>
      <c r="O114" s="7">
        <f t="shared" si="8"/>
        <v>0</v>
      </c>
      <c r="P114" s="10" t="str">
        <f>IFERROR(VLOOKUP($A114,[1]FINAL!$A$1:$BZ$1000,MATCH([1]FINAL!$BB$1,[1]FINAL!$A$1:$BZ$1,0),0),"")</f>
        <v/>
      </c>
      <c r="Q114" s="18">
        <f t="shared" si="9"/>
        <v>1</v>
      </c>
    </row>
    <row r="115" spans="1:17" x14ac:dyDescent="0.25">
      <c r="A115" s="14" t="str">
        <f>[1]FINAL!$A35</f>
        <v>David Brooks</v>
      </c>
      <c r="B115" s="20" t="str">
        <f>IFERROR(VLOOKUP($A115,[1]FINAL!$A$1:$Z$1000,MATCH([1]FINAL!$T$1,[1]FINAL!$A$1:$Z$1,0),0),"")</f>
        <v>MID</v>
      </c>
      <c r="C115" s="3" t="str">
        <f>IFERROR(VLOOKUP($A115,[1]FINAL!$A$1:$Z$1000,MATCH([1]FINAL!$U$1,[1]FINAL!$A$1:$Z$1,0),0),"")</f>
        <v>RW</v>
      </c>
      <c r="D115" s="3" t="str">
        <f>IFERROR(VLOOKUP($A115,[1]FINAL!$A$1:$Z$1000,MATCH([1]FINAL!$V$1,[1]FINAL!$A$1:$Z$1,0),0),"")</f>
        <v>BOU</v>
      </c>
      <c r="E115" s="6">
        <f t="shared" si="5"/>
        <v>86232.323232323222</v>
      </c>
      <c r="F115" s="5">
        <f t="shared" si="6"/>
        <v>0.39393939393939392</v>
      </c>
      <c r="G115" s="5">
        <f>IFERROR(IF(H115&lt;&gt;"",H115,VLOOKUP($A115,[1]FINAL!$A$1:$BZ$1000,MATCH([1]FINAL!$BL$1,[1]FINAL!$A$1:$BZ$1,0),0)),0)</f>
        <v>0.39393939393939392</v>
      </c>
      <c r="I115" s="5">
        <f>IFERROR(IF(J115&lt;&gt;"",J115,(IF(VLOOKUP($A115,#REF!,MATCH(#REF!,#REF!,0),0)=0,G115,VLOOKUP($A115,#REF!,MATCH(#REF!,#REF!,0),0)))),G115)</f>
        <v>0.39393939393939392</v>
      </c>
      <c r="K115" s="6">
        <f>IFERROR(VLOOKUP($A115,#REF!,MATCH(#REF!,#REF!,0),0),0)</f>
        <v>0</v>
      </c>
      <c r="L115" s="6">
        <f>IFERROR(VLOOKUP($A115,[1]FINAL!$A$1:$BZ$1000,MATCH([1]FINAL!$BF$1,[1]FINAL!$A$1:$BZ$1,0),0),0)</f>
        <v>67</v>
      </c>
      <c r="M115" s="7">
        <f t="shared" si="7"/>
        <v>0.74444444444444446</v>
      </c>
      <c r="N115" s="6">
        <f>IFERROR(VLOOKUP($A115,#REF!,MATCH(#REF!,#REF!,0),0),0)</f>
        <v>0</v>
      </c>
      <c r="O115" s="7">
        <f t="shared" si="8"/>
        <v>0</v>
      </c>
      <c r="P115" s="10" t="str">
        <f>IFERROR(VLOOKUP($A115,[1]FINAL!$A$1:$BZ$1000,MATCH([1]FINAL!$BB$1,[1]FINAL!$A$1:$BZ$1,0),0),"")</f>
        <v/>
      </c>
      <c r="Q115" s="18">
        <f t="shared" si="9"/>
        <v>1</v>
      </c>
    </row>
    <row r="116" spans="1:17" x14ac:dyDescent="0.25">
      <c r="A116" s="14" t="str">
        <f>[1]FINAL!$A63</f>
        <v>Callum Wilson</v>
      </c>
      <c r="B116" s="20" t="str">
        <f>IFERROR(VLOOKUP($A116,[1]FINAL!$A$1:$Z$1000,MATCH([1]FINAL!$T$1,[1]FINAL!$A$1:$Z$1,0),0),"")</f>
        <v>FWD</v>
      </c>
      <c r="C116" s="3" t="str">
        <f>IFERROR(VLOOKUP($A116,[1]FINAL!$A$1:$Z$1000,MATCH([1]FINAL!$U$1,[1]FINAL!$A$1:$Z$1,0),0),"")</f>
        <v>CF</v>
      </c>
      <c r="D116" s="3" t="str">
        <f>IFERROR(VLOOKUP($A116,[1]FINAL!$A$1:$Z$1000,MATCH([1]FINAL!$V$1,[1]FINAL!$A$1:$Z$1,0),0),"")</f>
        <v>BRE</v>
      </c>
      <c r="E116" s="6">
        <f t="shared" si="5"/>
        <v>67126.126126126124</v>
      </c>
      <c r="F116" s="5">
        <f t="shared" si="6"/>
        <v>0.29729729729729731</v>
      </c>
      <c r="G116" s="5">
        <f>IFERROR(IF(H116&lt;&gt;"",H116,VLOOKUP($A116,[1]FINAL!$A$1:$BZ$1000,MATCH([1]FINAL!$BL$1,[1]FINAL!$A$1:$BZ$1,0),0)),0)</f>
        <v>0.29729729729729731</v>
      </c>
      <c r="I116" s="5">
        <f>IFERROR(IF(J116&lt;&gt;"",J116,(IF(VLOOKUP($A116,#REF!,MATCH(#REF!,#REF!,0),0)=0,G116,VLOOKUP($A116,#REF!,MATCH(#REF!,#REF!,0),0)))),G116)</f>
        <v>0.29729729729729731</v>
      </c>
      <c r="K116" s="6">
        <f>IFERROR(VLOOKUP($A116,#REF!,MATCH(#REF!,#REF!,0),0),0)</f>
        <v>0</v>
      </c>
      <c r="L116" s="6">
        <f>IFERROR(VLOOKUP($A116,[1]FINAL!$A$1:$BZ$1000,MATCH([1]FINAL!$BF$1,[1]FINAL!$A$1:$BZ$1,0),0),0)</f>
        <v>69</v>
      </c>
      <c r="M116" s="7">
        <f t="shared" si="7"/>
        <v>0.76666666666666672</v>
      </c>
      <c r="N116" s="6">
        <f>IFERROR(VLOOKUP($A116,#REF!,MATCH(#REF!,#REF!,0),0),0)</f>
        <v>0</v>
      </c>
      <c r="O116" s="7">
        <f t="shared" si="8"/>
        <v>0</v>
      </c>
      <c r="P116" s="10" t="str">
        <f>IFERROR(VLOOKUP($A116,[1]FINAL!$A$1:$BZ$1000,MATCH([1]FINAL!$BB$1,[1]FINAL!$A$1:$BZ$1,0),0),"")</f>
        <v/>
      </c>
      <c r="Q116" s="18">
        <f t="shared" si="9"/>
        <v>1</v>
      </c>
    </row>
    <row r="117" spans="1:17" x14ac:dyDescent="0.25">
      <c r="A117" s="14" t="str">
        <f>[1]FINAL!$A13</f>
        <v>Divine Mukasa</v>
      </c>
      <c r="B117" s="20" t="str">
        <f>IFERROR(VLOOKUP($A117,[1]FINAL!$A$1:$Z$1000,MATCH([1]FINAL!$T$1,[1]FINAL!$A$1:$Z$1,0),0),"")</f>
        <v>MID</v>
      </c>
      <c r="C117" s="3" t="str">
        <f>IFERROR(VLOOKUP($A117,[1]FINAL!$A$1:$Z$1000,MATCH([1]FINAL!$U$1,[1]FINAL!$A$1:$Z$1,0),0),"")</f>
        <v/>
      </c>
      <c r="D117" s="3" t="str">
        <f>IFERROR(VLOOKUP($A117,[1]FINAL!$A$1:$Z$1000,MATCH([1]FINAL!$V$1,[1]FINAL!$A$1:$Z$1,0),0),"")</f>
        <v>MCI</v>
      </c>
      <c r="E117" s="6">
        <f t="shared" si="5"/>
        <v>0</v>
      </c>
      <c r="F117" s="5">
        <f t="shared" si="6"/>
        <v>0</v>
      </c>
      <c r="G117" s="5">
        <f>IFERROR(IF(H117&lt;&gt;"",H117,VLOOKUP($A117,[1]FINAL!$A$1:$BZ$1000,MATCH([1]FINAL!$BL$1,[1]FINAL!$A$1:$BZ$1,0),0)),0)</f>
        <v>0</v>
      </c>
      <c r="I117" s="5">
        <f>IFERROR(IF(J117&lt;&gt;"",J117,(IF(VLOOKUP($A117,#REF!,MATCH(#REF!,#REF!,0),0)=0,G117,VLOOKUP($A117,#REF!,MATCH(#REF!,#REF!,0),0)))),G117)</f>
        <v>0</v>
      </c>
      <c r="K117" s="6">
        <f>IFERROR(VLOOKUP($A117,#REF!,MATCH(#REF!,#REF!,0),0),0)</f>
        <v>0</v>
      </c>
      <c r="L117" s="6">
        <f>IFERROR(VLOOKUP($A117,[1]FINAL!$A$1:$BZ$1000,MATCH([1]FINAL!$BF$1,[1]FINAL!$A$1:$BZ$1,0),0),0)</f>
        <v>0</v>
      </c>
      <c r="M117" s="7">
        <f t="shared" si="7"/>
        <v>0</v>
      </c>
      <c r="N117" s="6">
        <f>IFERROR(VLOOKUP($A117,#REF!,MATCH(#REF!,#REF!,0),0),0)</f>
        <v>0</v>
      </c>
      <c r="O117" s="7">
        <f t="shared" si="8"/>
        <v>0</v>
      </c>
      <c r="P117" s="10" t="str">
        <f>IFERROR(VLOOKUP($A117,[1]FINAL!$A$1:$BZ$1000,MATCH([1]FINAL!$BB$1,[1]FINAL!$A$1:$BZ$1,0),0),"")</f>
        <v/>
      </c>
      <c r="Q117" s="18">
        <f t="shared" si="9"/>
        <v>1</v>
      </c>
    </row>
    <row r="118" spans="1:17" x14ac:dyDescent="0.25">
      <c r="A118" s="14" t="str">
        <f>[1]FINAL!$A238</f>
        <v>Chris Richards</v>
      </c>
      <c r="B118" s="20" t="str">
        <f>IFERROR(VLOOKUP($A118,[1]FINAL!$A$1:$Z$1000,MATCH([1]FINAL!$T$1,[1]FINAL!$A$1:$Z$1,0),0),"")</f>
        <v>DEF</v>
      </c>
      <c r="C118" s="3" t="str">
        <f>IFERROR(VLOOKUP($A118,[1]FINAL!$A$1:$Z$1000,MATCH([1]FINAL!$U$1,[1]FINAL!$A$1:$Z$1,0),0),"")</f>
        <v>CB</v>
      </c>
      <c r="D118" s="3" t="str">
        <f>IFERROR(VLOOKUP($A118,[1]FINAL!$A$1:$Z$1000,MATCH([1]FINAL!$V$1,[1]FINAL!$A$1:$Z$1,0),0),"")</f>
        <v>CRY</v>
      </c>
      <c r="E118" s="6">
        <f t="shared" si="5"/>
        <v>192352.94117647057</v>
      </c>
      <c r="F118" s="5">
        <f t="shared" si="6"/>
        <v>0.91176470588235292</v>
      </c>
      <c r="G118" s="5">
        <f>IFERROR(IF(H118&lt;&gt;"",H118,VLOOKUP($A118,[1]FINAL!$A$1:$BZ$1000,MATCH([1]FINAL!$BL$1,[1]FINAL!$A$1:$BZ$1,0),0)),0)</f>
        <v>0.91176470588235292</v>
      </c>
      <c r="I118" s="5">
        <f>IFERROR(IF(J118&lt;&gt;"",J118,(IF(VLOOKUP($A118,#REF!,MATCH(#REF!,#REF!,0),0)=0,G118,VLOOKUP($A118,#REF!,MATCH(#REF!,#REF!,0),0)))),G118)</f>
        <v>0.91176470588235292</v>
      </c>
      <c r="K118" s="6">
        <f>IFERROR(VLOOKUP($A118,#REF!,MATCH(#REF!,#REF!,0),0),0)</f>
        <v>0</v>
      </c>
      <c r="L118" s="6">
        <f>IFERROR(VLOOKUP($A118,[1]FINAL!$A$1:$BZ$1000,MATCH([1]FINAL!$BF$1,[1]FINAL!$A$1:$BZ$1,0),0),0)</f>
        <v>90</v>
      </c>
      <c r="M118" s="7">
        <f t="shared" si="7"/>
        <v>1</v>
      </c>
      <c r="N118" s="6">
        <f>IFERROR(VLOOKUP($A118,#REF!,MATCH(#REF!,#REF!,0),0),0)</f>
        <v>0</v>
      </c>
      <c r="O118" s="7">
        <f t="shared" si="8"/>
        <v>0</v>
      </c>
      <c r="P118" s="10" t="str">
        <f>IFERROR(VLOOKUP($A118,[1]FINAL!$A$1:$BZ$1000,MATCH([1]FINAL!$BB$1,[1]FINAL!$A$1:$BZ$1,0),0),"")</f>
        <v/>
      </c>
      <c r="Q118" s="18">
        <f t="shared" si="9"/>
        <v>1</v>
      </c>
    </row>
    <row r="119" spans="1:17" x14ac:dyDescent="0.25">
      <c r="A119" s="14" t="str">
        <f>[1]FINAL!$A185</f>
        <v>Youri Tielemans</v>
      </c>
      <c r="B119" s="20" t="str">
        <f>IFERROR(VLOOKUP($A119,[1]FINAL!$A$1:$Z$1000,MATCH([1]FINAL!$T$1,[1]FINAL!$A$1:$Z$1,0),0),"")</f>
        <v>MID</v>
      </c>
      <c r="C119" s="3" t="str">
        <f>IFERROR(VLOOKUP($A119,[1]FINAL!$A$1:$Z$1000,MATCH([1]FINAL!$U$1,[1]FINAL!$A$1:$Z$1,0),0),"")</f>
        <v>CM</v>
      </c>
      <c r="D119" s="3" t="str">
        <f>IFERROR(VLOOKUP($A119,[1]FINAL!$A$1:$Z$1000,MATCH([1]FINAL!$V$1,[1]FINAL!$A$1:$Z$1,0),0),"")</f>
        <v>MUN</v>
      </c>
      <c r="E119" s="6">
        <f t="shared" si="5"/>
        <v>133083.33333333331</v>
      </c>
      <c r="F119" s="5">
        <f t="shared" si="6"/>
        <v>0.63</v>
      </c>
      <c r="G119" s="5">
        <f>IFERROR(IF(H119&lt;&gt;"",H119,VLOOKUP($A119,[1]FINAL!$A$1:$BZ$1000,MATCH([1]FINAL!$BL$1,[1]FINAL!$A$1:$BZ$1,0),0)),0)</f>
        <v>0.84</v>
      </c>
      <c r="I119" s="5">
        <f>IFERROR(IF(J119&lt;&gt;"",J119,(IF(VLOOKUP($A119,#REF!,MATCH(#REF!,#REF!,0),0)=0,G119,VLOOKUP($A119,#REF!,MATCH(#REF!,#REF!,0),0)))),G119)</f>
        <v>0.84</v>
      </c>
      <c r="K119" s="6">
        <f>IFERROR(VLOOKUP($A119,#REF!,MATCH(#REF!,#REF!,0),0),0)</f>
        <v>0</v>
      </c>
      <c r="L119" s="6">
        <f>IFERROR(VLOOKUP($A119,[1]FINAL!$A$1:$BZ$1000,MATCH([1]FINAL!$BF$1,[1]FINAL!$A$1:$BZ$1,0),0),0)</f>
        <v>85</v>
      </c>
      <c r="M119" s="7">
        <f t="shared" si="7"/>
        <v>0.94444444444444442</v>
      </c>
      <c r="N119" s="6">
        <f>IFERROR(VLOOKUP($A119,#REF!,MATCH(#REF!,#REF!,0),0),0)</f>
        <v>0</v>
      </c>
      <c r="O119" s="7">
        <f t="shared" si="8"/>
        <v>0</v>
      </c>
      <c r="P119" s="10">
        <f>IFERROR(VLOOKUP($A119,[1]FINAL!$A$1:$BZ$1000,MATCH([1]FINAL!$BB$1,[1]FINAL!$A$1:$BZ$1,0),0),"")</f>
        <v>75</v>
      </c>
      <c r="Q119" s="18">
        <f t="shared" si="9"/>
        <v>0.75</v>
      </c>
    </row>
    <row r="120" spans="1:17" x14ac:dyDescent="0.25">
      <c r="A120" s="14" t="str">
        <f>[1]FINAL!$A480</f>
        <v>Kieran Dowell</v>
      </c>
      <c r="B120" s="20" t="str">
        <f>IFERROR(VLOOKUP($A120,[1]FINAL!$A$1:$Z$1000,MATCH([1]FINAL!$T$1,[1]FINAL!$A$1:$Z$1,0),0),"")</f>
        <v>MID</v>
      </c>
      <c r="C120" s="3" t="str">
        <f>IFERROR(VLOOKUP($A120,[1]FINAL!$A$1:$Z$1000,MATCH([1]FINAL!$U$1,[1]FINAL!$A$1:$Z$1,0),0),"")</f>
        <v>AM</v>
      </c>
      <c r="D120" s="3" t="str">
        <f>IFERROR(VLOOKUP($A120,[1]FINAL!$A$1:$Z$1000,MATCH([1]FINAL!$V$1,[1]FINAL!$A$1:$Z$1,0),0),"")</f>
        <v>HUL</v>
      </c>
      <c r="E120" s="6">
        <f t="shared" si="5"/>
        <v>6666.6666666666661</v>
      </c>
      <c r="F120" s="5">
        <f t="shared" si="6"/>
        <v>0</v>
      </c>
      <c r="G120" s="5">
        <f>IFERROR(IF(H120&lt;&gt;"",H120,VLOOKUP($A120,[1]FINAL!$A$1:$BZ$1000,MATCH([1]FINAL!$BL$1,[1]FINAL!$A$1:$BZ$1,0),0)),0)</f>
        <v>0</v>
      </c>
      <c r="I120" s="5">
        <f>IFERROR(IF(J120&lt;&gt;"",J120,(IF(VLOOKUP($A120,#REF!,MATCH(#REF!,#REF!,0),0)=0,G120,VLOOKUP($A120,#REF!,MATCH(#REF!,#REF!,0),0)))),G120)</f>
        <v>0</v>
      </c>
      <c r="K120" s="6">
        <f>IFERROR(VLOOKUP($A120,#REF!,MATCH(#REF!,#REF!,0),0),0)</f>
        <v>0</v>
      </c>
      <c r="L120" s="6">
        <f>IFERROR(VLOOKUP($A120,[1]FINAL!$A$1:$BZ$1000,MATCH([1]FINAL!$BF$1,[1]FINAL!$A$1:$BZ$1,0),0),0)</f>
        <v>60</v>
      </c>
      <c r="M120" s="7">
        <f t="shared" si="7"/>
        <v>0.66666666666666663</v>
      </c>
      <c r="N120" s="6">
        <f>IFERROR(VLOOKUP($A120,#REF!,MATCH(#REF!,#REF!,0),0),0)</f>
        <v>0</v>
      </c>
      <c r="O120" s="7">
        <f t="shared" si="8"/>
        <v>0</v>
      </c>
      <c r="P120" s="10" t="str">
        <f>IFERROR(VLOOKUP($A120,[1]FINAL!$A$1:$BZ$1000,MATCH([1]FINAL!$BB$1,[1]FINAL!$A$1:$BZ$1,0),0),"")</f>
        <v/>
      </c>
      <c r="Q120" s="18">
        <f t="shared" si="9"/>
        <v>1</v>
      </c>
    </row>
    <row r="121" spans="1:17" x14ac:dyDescent="0.25">
      <c r="A121" s="14" t="str">
        <f>[1]FINAL!$A538</f>
        <v>Kaye Furo</v>
      </c>
      <c r="B121" s="20" t="str">
        <f>IFERROR(VLOOKUP($A121,[1]FINAL!$A$1:$Z$1000,MATCH([1]FINAL!$T$1,[1]FINAL!$A$1:$Z$1,0),0),"")</f>
        <v>FWD</v>
      </c>
      <c r="C121" s="3" t="str">
        <f>IFERROR(VLOOKUP($A121,[1]FINAL!$A$1:$Z$1000,MATCH([1]FINAL!$U$1,[1]FINAL!$A$1:$Z$1,0),0),"")</f>
        <v>CF</v>
      </c>
      <c r="D121" s="3" t="str">
        <f>IFERROR(VLOOKUP($A121,[1]FINAL!$A$1:$Z$1000,MATCH([1]FINAL!$V$1,[1]FINAL!$A$1:$Z$1,0),0),"")</f>
        <v>BRE</v>
      </c>
      <c r="E121" s="6">
        <f t="shared" si="5"/>
        <v>0</v>
      </c>
      <c r="F121" s="5">
        <f t="shared" si="6"/>
        <v>0</v>
      </c>
      <c r="G121" s="5">
        <f>IFERROR(IF(H121&lt;&gt;"",H121,VLOOKUP($A121,[1]FINAL!$A$1:$BZ$1000,MATCH([1]FINAL!$BL$1,[1]FINAL!$A$1:$BZ$1,0),0)),0)</f>
        <v>0</v>
      </c>
      <c r="I121" s="5">
        <f>IFERROR(IF(J121&lt;&gt;"",J121,(IF(VLOOKUP($A121,#REF!,MATCH(#REF!,#REF!,0),0)=0,G121,VLOOKUP($A121,#REF!,MATCH(#REF!,#REF!,0),0)))),G121)</f>
        <v>0</v>
      </c>
      <c r="K121" s="6">
        <f>IFERROR(VLOOKUP($A121,#REF!,MATCH(#REF!,#REF!,0),0),0)</f>
        <v>0</v>
      </c>
      <c r="L121" s="6">
        <f>IFERROR(VLOOKUP($A121,[1]FINAL!$A$1:$BZ$1000,MATCH([1]FINAL!$BF$1,[1]FINAL!$A$1:$BZ$1,0),0),0)</f>
        <v>0</v>
      </c>
      <c r="M121" s="7">
        <f t="shared" si="7"/>
        <v>0</v>
      </c>
      <c r="N121" s="6">
        <f>IFERROR(VLOOKUP($A121,#REF!,MATCH(#REF!,#REF!,0),0),0)</f>
        <v>0</v>
      </c>
      <c r="O121" s="7">
        <f t="shared" si="8"/>
        <v>0</v>
      </c>
      <c r="P121" s="10" t="str">
        <f>IFERROR(VLOOKUP($A121,[1]FINAL!$A$1:$BZ$1000,MATCH([1]FINAL!$BB$1,[1]FINAL!$A$1:$BZ$1,0),0),"")</f>
        <v/>
      </c>
      <c r="Q121" s="18">
        <f t="shared" si="9"/>
        <v>1</v>
      </c>
    </row>
    <row r="122" spans="1:17" x14ac:dyDescent="0.25">
      <c r="A122" s="14" t="str">
        <f>[1]FINAL!$A87</f>
        <v>Kai Havertz</v>
      </c>
      <c r="B122" s="20" t="str">
        <f>IFERROR(VLOOKUP($A122,[1]FINAL!$A$1:$Z$1000,MATCH([1]FINAL!$T$1,[1]FINAL!$A$1:$Z$1,0),0),"")</f>
        <v>FWD</v>
      </c>
      <c r="C122" s="3" t="str">
        <f>IFERROR(VLOOKUP($A122,[1]FINAL!$A$1:$Z$1000,MATCH([1]FINAL!$U$1,[1]FINAL!$A$1:$Z$1,0),0),"")</f>
        <v>CF</v>
      </c>
      <c r="D122" s="3" t="str">
        <f>IFERROR(VLOOKUP($A122,[1]FINAL!$A$1:$Z$1000,MATCH([1]FINAL!$V$1,[1]FINAL!$A$1:$Z$1,0),0),"")</f>
        <v>ARS</v>
      </c>
      <c r="E122" s="6">
        <f t="shared" si="5"/>
        <v>106888.88888888889</v>
      </c>
      <c r="F122" s="5">
        <f t="shared" si="6"/>
        <v>0.5</v>
      </c>
      <c r="G122" s="5">
        <f>IFERROR(IF(H122&lt;&gt;"",H122,VLOOKUP($A122,[1]FINAL!$A$1:$BZ$1000,MATCH([1]FINAL!$BL$1,[1]FINAL!$A$1:$BZ$1,0),0)),0)</f>
        <v>0.5</v>
      </c>
      <c r="I122" s="5">
        <f>IFERROR(IF(J122&lt;&gt;"",J122,(IF(VLOOKUP($A122,#REF!,MATCH(#REF!,#REF!,0),0)=0,G122,VLOOKUP($A122,#REF!,MATCH(#REF!,#REF!,0),0)))),G122)</f>
        <v>0.5</v>
      </c>
      <c r="K122" s="6">
        <f>IFERROR(VLOOKUP($A122,#REF!,MATCH(#REF!,#REF!,0),0),0)</f>
        <v>0</v>
      </c>
      <c r="L122" s="6">
        <f>IFERROR(VLOOKUP($A122,[1]FINAL!$A$1:$BZ$1000,MATCH([1]FINAL!$BF$1,[1]FINAL!$A$1:$BZ$1,0),0),0)</f>
        <v>62</v>
      </c>
      <c r="M122" s="7">
        <f t="shared" si="7"/>
        <v>0.68888888888888888</v>
      </c>
      <c r="N122" s="6">
        <f>IFERROR(VLOOKUP($A122,#REF!,MATCH(#REF!,#REF!,0),0),0)</f>
        <v>0</v>
      </c>
      <c r="O122" s="7">
        <f t="shared" si="8"/>
        <v>0</v>
      </c>
      <c r="P122" s="10" t="str">
        <f>IFERROR(VLOOKUP($A122,[1]FINAL!$A$1:$BZ$1000,MATCH([1]FINAL!$BB$1,[1]FINAL!$A$1:$BZ$1,0),0),"")</f>
        <v/>
      </c>
      <c r="Q122" s="18">
        <f t="shared" si="9"/>
        <v>1</v>
      </c>
    </row>
    <row r="123" spans="1:17" x14ac:dyDescent="0.25">
      <c r="A123" s="14" t="str">
        <f>[1]FINAL!$A169</f>
        <v>Mohammed Kudus</v>
      </c>
      <c r="B123" s="20" t="str">
        <f>IFERROR(VLOOKUP($A123,[1]FINAL!$A$1:$Z$1000,MATCH([1]FINAL!$T$1,[1]FINAL!$A$1:$Z$1,0),0),"")</f>
        <v>MID</v>
      </c>
      <c r="C123" s="3" t="str">
        <f>IFERROR(VLOOKUP($A123,[1]FINAL!$A$1:$Z$1000,MATCH([1]FINAL!$U$1,[1]FINAL!$A$1:$Z$1,0),0),"")</f>
        <v>RW</v>
      </c>
      <c r="D123" s="3" t="str">
        <f>IFERROR(VLOOKUP($A123,[1]FINAL!$A$1:$Z$1000,MATCH([1]FINAL!$V$1,[1]FINAL!$A$1:$Z$1,0),0),"")</f>
        <v>TOT</v>
      </c>
      <c r="E123" s="6">
        <f t="shared" si="5"/>
        <v>156750</v>
      </c>
      <c r="F123" s="5">
        <f t="shared" si="6"/>
        <v>0.75</v>
      </c>
      <c r="G123" s="5">
        <f>IFERROR(IF(H123&lt;&gt;"",H123,VLOOKUP($A123,[1]FINAL!$A$1:$BZ$1000,MATCH([1]FINAL!$BL$1,[1]FINAL!$A$1:$BZ$1,0),0)),0)</f>
        <v>1</v>
      </c>
      <c r="I123" s="5">
        <f>IFERROR(IF(J123&lt;&gt;"",J123,(IF(VLOOKUP($A123,#REF!,MATCH(#REF!,#REF!,0),0)=0,G123,VLOOKUP($A123,#REF!,MATCH(#REF!,#REF!,0),0)))),G123)</f>
        <v>1</v>
      </c>
      <c r="K123" s="6">
        <f>IFERROR(VLOOKUP($A123,#REF!,MATCH(#REF!,#REF!,0),0),0)</f>
        <v>0</v>
      </c>
      <c r="L123" s="6">
        <f>IFERROR(VLOOKUP($A123,[1]FINAL!$A$1:$BZ$1000,MATCH([1]FINAL!$BF$1,[1]FINAL!$A$1:$BZ$1,0),0),0)</f>
        <v>81</v>
      </c>
      <c r="M123" s="7">
        <f t="shared" si="7"/>
        <v>0.9</v>
      </c>
      <c r="N123" s="6">
        <f>IFERROR(VLOOKUP($A123,#REF!,MATCH(#REF!,#REF!,0),0),0)</f>
        <v>0</v>
      </c>
      <c r="O123" s="7">
        <f t="shared" si="8"/>
        <v>0</v>
      </c>
      <c r="P123" s="10">
        <f>IFERROR(VLOOKUP($A123,[1]FINAL!$A$1:$BZ$1000,MATCH([1]FINAL!$BB$1,[1]FINAL!$A$1:$BZ$1,0),0),"")</f>
        <v>75</v>
      </c>
      <c r="Q123" s="18">
        <f t="shared" si="9"/>
        <v>0.75</v>
      </c>
    </row>
    <row r="124" spans="1:17" x14ac:dyDescent="0.25">
      <c r="A124" s="14" t="str">
        <f>[1]FINAL!$A160</f>
        <v>Georginio Rutter</v>
      </c>
      <c r="B124" s="20" t="str">
        <f>IFERROR(VLOOKUP($A124,[1]FINAL!$A$1:$Z$1000,MATCH([1]FINAL!$T$1,[1]FINAL!$A$1:$Z$1,0),0),"")</f>
        <v>FWD</v>
      </c>
      <c r="C124" s="3" t="str">
        <f>IFERROR(VLOOKUP($A124,[1]FINAL!$A$1:$Z$1000,MATCH([1]FINAL!$U$1,[1]FINAL!$A$1:$Z$1,0),0),"")</f>
        <v>CF</v>
      </c>
      <c r="D124" s="3" t="str">
        <f>IFERROR(VLOOKUP($A124,[1]FINAL!$A$1:$Z$1000,MATCH([1]FINAL!$V$1,[1]FINAL!$A$1:$Z$1,0),0),"")</f>
        <v>BHA</v>
      </c>
      <c r="E124" s="6">
        <f t="shared" si="5"/>
        <v>119777.77777777778</v>
      </c>
      <c r="F124" s="5">
        <f t="shared" si="6"/>
        <v>0.55555555555555558</v>
      </c>
      <c r="G124" s="5">
        <f>IFERROR(IF(H124&lt;&gt;"",H124,VLOOKUP($A124,[1]FINAL!$A$1:$BZ$1000,MATCH([1]FINAL!$BL$1,[1]FINAL!$A$1:$BZ$1,0),0)),0)</f>
        <v>0.55555555555555558</v>
      </c>
      <c r="I124" s="5">
        <f>IFERROR(IF(J124&lt;&gt;"",J124,(IF(VLOOKUP($A124,#REF!,MATCH(#REF!,#REF!,0),0)=0,G124,VLOOKUP($A124,#REF!,MATCH(#REF!,#REF!,0),0)))),G124)</f>
        <v>0.55555555555555558</v>
      </c>
      <c r="K124" s="6">
        <f>IFERROR(VLOOKUP($A124,#REF!,MATCH(#REF!,#REF!,0),0),0)</f>
        <v>0</v>
      </c>
      <c r="L124" s="6">
        <f>IFERROR(VLOOKUP($A124,[1]FINAL!$A$1:$BZ$1000,MATCH([1]FINAL!$BF$1,[1]FINAL!$A$1:$BZ$1,0),0),0)</f>
        <v>78</v>
      </c>
      <c r="M124" s="7">
        <f t="shared" si="7"/>
        <v>0.8666666666666667</v>
      </c>
      <c r="N124" s="6">
        <f>IFERROR(VLOOKUP($A124,#REF!,MATCH(#REF!,#REF!,0),0),0)</f>
        <v>0</v>
      </c>
      <c r="O124" s="7">
        <f t="shared" si="8"/>
        <v>0</v>
      </c>
      <c r="P124" s="10" t="str">
        <f>IFERROR(VLOOKUP($A124,[1]FINAL!$A$1:$BZ$1000,MATCH([1]FINAL!$BB$1,[1]FINAL!$A$1:$BZ$1,0),0),"")</f>
        <v/>
      </c>
      <c r="Q124" s="18">
        <f t="shared" si="9"/>
        <v>1</v>
      </c>
    </row>
    <row r="125" spans="1:17" x14ac:dyDescent="0.25">
      <c r="A125" s="14" t="str">
        <f>[1]FINAL!$A205</f>
        <v>Alex Scott</v>
      </c>
      <c r="B125" s="20" t="str">
        <f>IFERROR(VLOOKUP($A125,[1]FINAL!$A$1:$Z$1000,MATCH([1]FINAL!$T$1,[1]FINAL!$A$1:$Z$1,0),0),"")</f>
        <v>MID</v>
      </c>
      <c r="C125" s="3" t="str">
        <f>IFERROR(VLOOKUP($A125,[1]FINAL!$A$1:$Z$1000,MATCH([1]FINAL!$U$1,[1]FINAL!$A$1:$Z$1,0),0),"")</f>
        <v>CM</v>
      </c>
      <c r="D125" s="3" t="str">
        <f>IFERROR(VLOOKUP($A125,[1]FINAL!$A$1:$Z$1000,MATCH([1]FINAL!$V$1,[1]FINAL!$A$1:$Z$1,0),0),"")</f>
        <v>BOU</v>
      </c>
      <c r="E125" s="6">
        <f t="shared" si="5"/>
        <v>192672.67267267266</v>
      </c>
      <c r="F125" s="5">
        <f t="shared" si="6"/>
        <v>0.91891891891891897</v>
      </c>
      <c r="G125" s="5">
        <f>IFERROR(IF(H125&lt;&gt;"",H125,VLOOKUP($A125,[1]FINAL!$A$1:$BZ$1000,MATCH([1]FINAL!$BL$1,[1]FINAL!$A$1:$BZ$1,0),0)),0)</f>
        <v>0.91891891891891897</v>
      </c>
      <c r="I125" s="5">
        <f>IFERROR(IF(J125&lt;&gt;"",J125,(IF(VLOOKUP($A125,#REF!,MATCH(#REF!,#REF!,0),0)=0,G125,VLOOKUP($A125,#REF!,MATCH(#REF!,#REF!,0),0)))),G125)</f>
        <v>0.91891891891891897</v>
      </c>
      <c r="K125" s="6">
        <f>IFERROR(VLOOKUP($A125,#REF!,MATCH(#REF!,#REF!,0),0),0)</f>
        <v>0</v>
      </c>
      <c r="L125" s="6">
        <f>IFERROR(VLOOKUP($A125,[1]FINAL!$A$1:$BZ$1000,MATCH([1]FINAL!$BF$1,[1]FINAL!$A$1:$BZ$1,0),0),0)</f>
        <v>80</v>
      </c>
      <c r="M125" s="7">
        <f t="shared" si="7"/>
        <v>0.88888888888888884</v>
      </c>
      <c r="N125" s="6">
        <f>IFERROR(VLOOKUP($A125,#REF!,MATCH(#REF!,#REF!,0),0),0)</f>
        <v>0</v>
      </c>
      <c r="O125" s="7">
        <f t="shared" si="8"/>
        <v>0</v>
      </c>
      <c r="P125" s="10" t="str">
        <f>IFERROR(VLOOKUP($A125,[1]FINAL!$A$1:$BZ$1000,MATCH([1]FINAL!$BB$1,[1]FINAL!$A$1:$BZ$1,0),0),"")</f>
        <v/>
      </c>
      <c r="Q125" s="18">
        <f t="shared" si="9"/>
        <v>1</v>
      </c>
    </row>
    <row r="126" spans="1:17" x14ac:dyDescent="0.25">
      <c r="A126" s="14" t="str">
        <f>[1]FINAL!$A481</f>
        <v>Matt Crooks</v>
      </c>
      <c r="B126" s="20" t="str">
        <f>IFERROR(VLOOKUP($A126,[1]FINAL!$A$1:$Z$1000,MATCH([1]FINAL!$T$1,[1]FINAL!$A$1:$Z$1,0),0),"")</f>
        <v>MID</v>
      </c>
      <c r="C126" s="3" t="str">
        <f>IFERROR(VLOOKUP($A126,[1]FINAL!$A$1:$Z$1000,MATCH([1]FINAL!$U$1,[1]FINAL!$A$1:$Z$1,0),0),"")</f>
        <v>CM</v>
      </c>
      <c r="D126" s="3" t="str">
        <f>IFERROR(VLOOKUP($A126,[1]FINAL!$A$1:$Z$1000,MATCH([1]FINAL!$V$1,[1]FINAL!$A$1:$Z$1,0),0),"")</f>
        <v>HUL</v>
      </c>
      <c r="E126" s="6">
        <f t="shared" si="5"/>
        <v>179252.52525252526</v>
      </c>
      <c r="F126" s="5">
        <f t="shared" si="6"/>
        <v>0.84848484848484851</v>
      </c>
      <c r="G126" s="5">
        <f>IFERROR(IF(H126&lt;&gt;"",H126,VLOOKUP($A126,[1]FINAL!$A$1:$BZ$1000,MATCH([1]FINAL!$BL$1,[1]FINAL!$A$1:$BZ$1,0),0)),0)</f>
        <v>0.84848484848484851</v>
      </c>
      <c r="I126" s="5">
        <f>IFERROR(IF(J126&lt;&gt;"",J126,(IF(VLOOKUP($A126,#REF!,MATCH(#REF!,#REF!,0),0)=0,G126,VLOOKUP($A126,#REF!,MATCH(#REF!,#REF!,0),0)))),G126)</f>
        <v>0.84848484848484851</v>
      </c>
      <c r="K126" s="6">
        <f>IFERROR(VLOOKUP($A126,#REF!,MATCH(#REF!,#REF!,0),0),0)</f>
        <v>0</v>
      </c>
      <c r="L126" s="6">
        <f>IFERROR(VLOOKUP($A126,[1]FINAL!$A$1:$BZ$1000,MATCH([1]FINAL!$BF$1,[1]FINAL!$A$1:$BZ$1,0),0),0)</f>
        <v>86</v>
      </c>
      <c r="M126" s="7">
        <f t="shared" si="7"/>
        <v>0.9555555555555556</v>
      </c>
      <c r="N126" s="6">
        <f>IFERROR(VLOOKUP($A126,#REF!,MATCH(#REF!,#REF!,0),0),0)</f>
        <v>0</v>
      </c>
      <c r="O126" s="7">
        <f t="shared" si="8"/>
        <v>0</v>
      </c>
      <c r="P126" s="10" t="str">
        <f>IFERROR(VLOOKUP($A126,[1]FINAL!$A$1:$BZ$1000,MATCH([1]FINAL!$BB$1,[1]FINAL!$A$1:$BZ$1,0),0),"")</f>
        <v/>
      </c>
      <c r="Q126" s="18">
        <f t="shared" si="9"/>
        <v>1</v>
      </c>
    </row>
    <row r="127" spans="1:17" x14ac:dyDescent="0.25">
      <c r="A127" s="14" t="str">
        <f>[1]FINAL!$A32</f>
        <v>Jean-Philippe Mateta</v>
      </c>
      <c r="B127" s="20" t="str">
        <f>IFERROR(VLOOKUP($A127,[1]FINAL!$A$1:$Z$1000,MATCH([1]FINAL!$T$1,[1]FINAL!$A$1:$Z$1,0),0),"")</f>
        <v>FWD</v>
      </c>
      <c r="C127" s="3" t="str">
        <f>IFERROR(VLOOKUP($A127,[1]FINAL!$A$1:$Z$1000,MATCH([1]FINAL!$U$1,[1]FINAL!$A$1:$Z$1,0),0),"")</f>
        <v>CF</v>
      </c>
      <c r="D127" s="3" t="str">
        <f>IFERROR(VLOOKUP($A127,[1]FINAL!$A$1:$Z$1000,MATCH([1]FINAL!$V$1,[1]FINAL!$A$1:$Z$1,0),0),"")</f>
        <v>CRY</v>
      </c>
      <c r="E127" s="6">
        <f t="shared" si="5"/>
        <v>165250</v>
      </c>
      <c r="F127" s="5">
        <f t="shared" si="6"/>
        <v>0.78125</v>
      </c>
      <c r="G127" s="5">
        <f>IFERROR(IF(H127&lt;&gt;"",H127,VLOOKUP($A127,[1]FINAL!$A$1:$BZ$1000,MATCH([1]FINAL!$BL$1,[1]FINAL!$A$1:$BZ$1,0),0)),0)</f>
        <v>0.78125</v>
      </c>
      <c r="I127" s="5">
        <f>IFERROR(IF(J127&lt;&gt;"",J127,(IF(VLOOKUP($A127,#REF!,MATCH(#REF!,#REF!,0),0)=0,G127,VLOOKUP($A127,#REF!,MATCH(#REF!,#REF!,0),0)))),G127)</f>
        <v>0.78125</v>
      </c>
      <c r="K127" s="6">
        <f>IFERROR(VLOOKUP($A127,#REF!,MATCH(#REF!,#REF!,0),0),0)</f>
        <v>0</v>
      </c>
      <c r="L127" s="6">
        <f>IFERROR(VLOOKUP($A127,[1]FINAL!$A$1:$BZ$1000,MATCH([1]FINAL!$BF$1,[1]FINAL!$A$1:$BZ$1,0),0),0)</f>
        <v>81</v>
      </c>
      <c r="M127" s="7">
        <f t="shared" si="7"/>
        <v>0.9</v>
      </c>
      <c r="N127" s="6">
        <f>IFERROR(VLOOKUP($A127,#REF!,MATCH(#REF!,#REF!,0),0),0)</f>
        <v>0</v>
      </c>
      <c r="O127" s="7">
        <f t="shared" si="8"/>
        <v>0</v>
      </c>
      <c r="P127" s="10" t="str">
        <f>IFERROR(VLOOKUP($A127,[1]FINAL!$A$1:$BZ$1000,MATCH([1]FINAL!$BB$1,[1]FINAL!$A$1:$BZ$1,0),0),"")</f>
        <v/>
      </c>
      <c r="Q127" s="18">
        <f t="shared" si="9"/>
        <v>1</v>
      </c>
    </row>
    <row r="128" spans="1:17" x14ac:dyDescent="0.25">
      <c r="A128" s="14" t="str">
        <f>[1]FINAL!$A227</f>
        <v>Nordi Mukiele</v>
      </c>
      <c r="B128" s="20" t="str">
        <f>IFERROR(VLOOKUP($A128,[1]FINAL!$A$1:$Z$1000,MATCH([1]FINAL!$T$1,[1]FINAL!$A$1:$Z$1,0),0),"")</f>
        <v>DEF</v>
      </c>
      <c r="C128" s="3" t="str">
        <f>IFERROR(VLOOKUP($A128,[1]FINAL!$A$1:$Z$1000,MATCH([1]FINAL!$U$1,[1]FINAL!$A$1:$Z$1,0),0),"")</f>
        <v>RB</v>
      </c>
      <c r="D128" s="3" t="str">
        <f>IFERROR(VLOOKUP($A128,[1]FINAL!$A$1:$Z$1000,MATCH([1]FINAL!$V$1,[1]FINAL!$A$1:$Z$1,0),0),"")</f>
        <v>SUN</v>
      </c>
      <c r="E128" s="6">
        <f t="shared" si="5"/>
        <v>203606.06060606061</v>
      </c>
      <c r="F128" s="5">
        <f t="shared" si="6"/>
        <v>0.96969696969696972</v>
      </c>
      <c r="G128" s="5">
        <f>IFERROR(IF(H128&lt;&gt;"",H128,VLOOKUP($A128,[1]FINAL!$A$1:$BZ$1000,MATCH([1]FINAL!$BL$1,[1]FINAL!$A$1:$BZ$1,0),0)),0)</f>
        <v>0.96969696969696972</v>
      </c>
      <c r="I128" s="5">
        <f>IFERROR(IF(J128&lt;&gt;"",J128,(IF(VLOOKUP($A128,#REF!,MATCH(#REF!,#REF!,0),0)=0,G128,VLOOKUP($A128,#REF!,MATCH(#REF!,#REF!,0),0)))),G128)</f>
        <v>0.96969696969696972</v>
      </c>
      <c r="K128" s="6">
        <f>IFERROR(VLOOKUP($A128,#REF!,MATCH(#REF!,#REF!,0),0),0)</f>
        <v>0</v>
      </c>
      <c r="L128" s="6">
        <f>IFERROR(VLOOKUP($A128,[1]FINAL!$A$1:$BZ$1000,MATCH([1]FINAL!$BF$1,[1]FINAL!$A$1:$BZ$1,0),0),0)</f>
        <v>87</v>
      </c>
      <c r="M128" s="7">
        <f t="shared" si="7"/>
        <v>0.96666666666666667</v>
      </c>
      <c r="N128" s="6">
        <f>IFERROR(VLOOKUP($A128,#REF!,MATCH(#REF!,#REF!,0),0),0)</f>
        <v>0</v>
      </c>
      <c r="O128" s="7">
        <f t="shared" si="8"/>
        <v>0</v>
      </c>
      <c r="P128" s="10" t="str">
        <f>IFERROR(VLOOKUP($A128,[1]FINAL!$A$1:$BZ$1000,MATCH([1]FINAL!$BB$1,[1]FINAL!$A$1:$BZ$1,0),0),"")</f>
        <v/>
      </c>
      <c r="Q128" s="18">
        <f t="shared" si="9"/>
        <v>1</v>
      </c>
    </row>
    <row r="129" spans="1:17" x14ac:dyDescent="0.25">
      <c r="A129" s="14" t="str">
        <f>[1]FINAL!$A336</f>
        <v>Jordan Henderson</v>
      </c>
      <c r="B129" s="20" t="str">
        <f>IFERROR(VLOOKUP($A129,[1]FINAL!$A$1:$Z$1000,MATCH([1]FINAL!$T$1,[1]FINAL!$A$1:$Z$1,0),0),"")</f>
        <v>MID</v>
      </c>
      <c r="C129" s="3" t="str">
        <f>IFERROR(VLOOKUP($A129,[1]FINAL!$A$1:$Z$1000,MATCH([1]FINAL!$U$1,[1]FINAL!$A$1:$Z$1,0),0),"")</f>
        <v>DM</v>
      </c>
      <c r="D129" s="3" t="str">
        <f>IFERROR(VLOOKUP($A129,[1]FINAL!$A$1:$Z$1000,MATCH([1]FINAL!$V$1,[1]FINAL!$A$1:$Z$1,0),0),"")</f>
        <v>BRE</v>
      </c>
      <c r="E129" s="6">
        <f t="shared" si="5"/>
        <v>106583.33333333331</v>
      </c>
      <c r="F129" s="5">
        <f t="shared" si="6"/>
        <v>0.5</v>
      </c>
      <c r="G129" s="5">
        <f>IFERROR(IF(H129&lt;&gt;"",H129,VLOOKUP($A129,[1]FINAL!$A$1:$BZ$1000,MATCH([1]FINAL!$BL$1,[1]FINAL!$A$1:$BZ$1,0),0)),0)</f>
        <v>0.66666666666666663</v>
      </c>
      <c r="I129" s="5">
        <f>IFERROR(IF(J129&lt;&gt;"",J129,(IF(VLOOKUP($A129,#REF!,MATCH(#REF!,#REF!,0),0)=0,G129,VLOOKUP($A129,#REF!,MATCH(#REF!,#REF!,0),0)))),G129)</f>
        <v>0.66666666666666663</v>
      </c>
      <c r="K129" s="6">
        <f>IFERROR(VLOOKUP($A129,#REF!,MATCH(#REF!,#REF!,0),0),0)</f>
        <v>0</v>
      </c>
      <c r="L129" s="6">
        <f>IFERROR(VLOOKUP($A129,[1]FINAL!$A$1:$BZ$1000,MATCH([1]FINAL!$BF$1,[1]FINAL!$A$1:$BZ$1,0),0),0)</f>
        <v>79</v>
      </c>
      <c r="M129" s="7">
        <f t="shared" si="7"/>
        <v>0.87777777777777777</v>
      </c>
      <c r="N129" s="6">
        <f>IFERROR(VLOOKUP($A129,#REF!,MATCH(#REF!,#REF!,0),0),0)</f>
        <v>0</v>
      </c>
      <c r="O129" s="7">
        <f t="shared" si="8"/>
        <v>0</v>
      </c>
      <c r="P129" s="10">
        <f>IFERROR(VLOOKUP($A129,[1]FINAL!$A$1:$BZ$1000,MATCH([1]FINAL!$BB$1,[1]FINAL!$A$1:$BZ$1,0),0),"")</f>
        <v>75</v>
      </c>
      <c r="Q129" s="18">
        <f t="shared" si="9"/>
        <v>0.75</v>
      </c>
    </row>
    <row r="130" spans="1:17" x14ac:dyDescent="0.25">
      <c r="A130" s="14" t="str">
        <f>[1]FINAL!$A526</f>
        <v>Kaine Kesler-Hayden</v>
      </c>
      <c r="B130" s="20" t="str">
        <f>IFERROR(VLOOKUP($A130,[1]FINAL!$A$1:$Z$1000,MATCH([1]FINAL!$T$1,[1]FINAL!$A$1:$Z$1,0),0),"")</f>
        <v>DEF</v>
      </c>
      <c r="C130" s="3" t="str">
        <f>IFERROR(VLOOKUP($A130,[1]FINAL!$A$1:$Z$1000,MATCH([1]FINAL!$U$1,[1]FINAL!$A$1:$Z$1,0),0),"")</f>
        <v>RB</v>
      </c>
      <c r="D130" s="3" t="str">
        <f>IFERROR(VLOOKUP($A130,[1]FINAL!$A$1:$Z$1000,MATCH([1]FINAL!$V$1,[1]FINAL!$A$1:$Z$1,0),0),"")</f>
        <v>COV</v>
      </c>
      <c r="E130" s="6">
        <f t="shared" ref="E130:E193" si="10">IF($Q$1="ON",((G130*100000)+(I130*100000)+(M130*10000)+(O130*10000)+(K130*10))*Q130,((G130*100000)+(I130*100000)+(M130*10000)+(O130*10000)+(K130*10)))</f>
        <v>36333.333333333328</v>
      </c>
      <c r="F130" s="5">
        <f t="shared" ref="F130:F193" si="11">IFERROR(IF($Q$1="ON",((G130*$W$1)+(I130*$U$1))*Q130,((G130*$W$1)+(I130*$U$1))),0)</f>
        <v>0.1388888888888889</v>
      </c>
      <c r="G130" s="5">
        <f>IFERROR(IF(H130&lt;&gt;"",H130,VLOOKUP($A130,[1]FINAL!$A$1:$BZ$1000,MATCH([1]FINAL!$BL$1,[1]FINAL!$A$1:$BZ$1,0),0)),0)</f>
        <v>0.1388888888888889</v>
      </c>
      <c r="I130" s="5">
        <f>IFERROR(IF(J130&lt;&gt;"",J130,(IF(VLOOKUP($A130,#REF!,MATCH(#REF!,#REF!,0),0)=0,G130,VLOOKUP($A130,#REF!,MATCH(#REF!,#REF!,0),0)))),G130)</f>
        <v>0.1388888888888889</v>
      </c>
      <c r="K130" s="6">
        <f>IFERROR(VLOOKUP($A130,#REF!,MATCH(#REF!,#REF!,0),0),0)</f>
        <v>0</v>
      </c>
      <c r="L130" s="6">
        <f>IFERROR(VLOOKUP($A130,[1]FINAL!$A$1:$BZ$1000,MATCH([1]FINAL!$BF$1,[1]FINAL!$A$1:$BZ$1,0),0),0)</f>
        <v>77</v>
      </c>
      <c r="M130" s="7">
        <f t="shared" ref="M130:M193" si="12">L130/90</f>
        <v>0.85555555555555551</v>
      </c>
      <c r="N130" s="6">
        <f>IFERROR(VLOOKUP($A130,#REF!,MATCH(#REF!,#REF!,0),0),0)</f>
        <v>0</v>
      </c>
      <c r="O130" s="7">
        <f t="shared" ref="O130:O193" si="13">N130/90</f>
        <v>0</v>
      </c>
      <c r="P130" s="10" t="str">
        <f>IFERROR(VLOOKUP($A130,[1]FINAL!$A$1:$BZ$1000,MATCH([1]FINAL!$BB$1,[1]FINAL!$A$1:$BZ$1,0),0),"")</f>
        <v/>
      </c>
      <c r="Q130" s="18">
        <f t="shared" ref="Q130:Q193" si="14">IF(P130="",1,IF(P130=0,0.0001,P130/100))</f>
        <v>1</v>
      </c>
    </row>
    <row r="131" spans="1:17" x14ac:dyDescent="0.25">
      <c r="A131" s="14" t="str">
        <f>[1]FINAL!$A18</f>
        <v>Taiwo Awoniyi</v>
      </c>
      <c r="B131" s="20" t="str">
        <f>IFERROR(VLOOKUP($A131,[1]FINAL!$A$1:$Z$1000,MATCH([1]FINAL!$T$1,[1]FINAL!$A$1:$Z$1,0),0),"")</f>
        <v>FWD</v>
      </c>
      <c r="C131" s="3" t="str">
        <f>IFERROR(VLOOKUP($A131,[1]FINAL!$A$1:$Z$1000,MATCH([1]FINAL!$U$1,[1]FINAL!$A$1:$Z$1,0),0),"")</f>
        <v>CF</v>
      </c>
      <c r="D131" s="3" t="str">
        <f>IFERROR(VLOOKUP($A131,[1]FINAL!$A$1:$Z$1000,MATCH([1]FINAL!$V$1,[1]FINAL!$A$1:$Z$1,0),0),"")</f>
        <v>NFO</v>
      </c>
      <c r="E131" s="6">
        <f t="shared" si="10"/>
        <v>31666.666666666668</v>
      </c>
      <c r="F131" s="5">
        <f t="shared" si="11"/>
        <v>0.12</v>
      </c>
      <c r="G131" s="5">
        <f>IFERROR(IF(H131&lt;&gt;"",H131,VLOOKUP($A131,[1]FINAL!$A$1:$BZ$1000,MATCH([1]FINAL!$BL$1,[1]FINAL!$A$1:$BZ$1,0),0)),0)</f>
        <v>0.12</v>
      </c>
      <c r="I131" s="5">
        <f>IFERROR(IF(J131&lt;&gt;"",J131,(IF(VLOOKUP($A131,#REF!,MATCH(#REF!,#REF!,0),0)=0,G131,VLOOKUP($A131,#REF!,MATCH(#REF!,#REF!,0),0)))),G131)</f>
        <v>0.12</v>
      </c>
      <c r="K131" s="6">
        <f>IFERROR(VLOOKUP($A131,#REF!,MATCH(#REF!,#REF!,0),0),0)</f>
        <v>0</v>
      </c>
      <c r="L131" s="6">
        <f>IFERROR(VLOOKUP($A131,[1]FINAL!$A$1:$BZ$1000,MATCH([1]FINAL!$BF$1,[1]FINAL!$A$1:$BZ$1,0),0),0)</f>
        <v>69</v>
      </c>
      <c r="M131" s="7">
        <f t="shared" si="12"/>
        <v>0.76666666666666672</v>
      </c>
      <c r="N131" s="6">
        <f>IFERROR(VLOOKUP($A131,#REF!,MATCH(#REF!,#REF!,0),0),0)</f>
        <v>0</v>
      </c>
      <c r="O131" s="7">
        <f t="shared" si="13"/>
        <v>0</v>
      </c>
      <c r="P131" s="10" t="str">
        <f>IFERROR(VLOOKUP($A131,[1]FINAL!$A$1:$BZ$1000,MATCH([1]FINAL!$BB$1,[1]FINAL!$A$1:$BZ$1,0),0),"")</f>
        <v/>
      </c>
      <c r="Q131" s="18">
        <f t="shared" si="14"/>
        <v>1</v>
      </c>
    </row>
    <row r="132" spans="1:17" x14ac:dyDescent="0.25">
      <c r="A132" s="14" t="str">
        <f>[1]FINAL!$A224</f>
        <v>Daniel Ballard</v>
      </c>
      <c r="B132" s="20" t="str">
        <f>IFERROR(VLOOKUP($A132,[1]FINAL!$A$1:$Z$1000,MATCH([1]FINAL!$T$1,[1]FINAL!$A$1:$Z$1,0),0),"")</f>
        <v>DEF</v>
      </c>
      <c r="C132" s="3" t="str">
        <f>IFERROR(VLOOKUP($A132,[1]FINAL!$A$1:$Z$1000,MATCH([1]FINAL!$U$1,[1]FINAL!$A$1:$Z$1,0),0),"")</f>
        <v>CB</v>
      </c>
      <c r="D132" s="3" t="str">
        <f>IFERROR(VLOOKUP($A132,[1]FINAL!$A$1:$Z$1000,MATCH([1]FINAL!$V$1,[1]FINAL!$A$1:$Z$1,0),0),"")</f>
        <v>SUN</v>
      </c>
      <c r="E132" s="6">
        <f t="shared" si="10"/>
        <v>174628.35249042147</v>
      </c>
      <c r="F132" s="5">
        <f t="shared" si="11"/>
        <v>0.82758620689655171</v>
      </c>
      <c r="G132" s="5">
        <f>IFERROR(IF(H132&lt;&gt;"",H132,VLOOKUP($A132,[1]FINAL!$A$1:$BZ$1000,MATCH([1]FINAL!$BL$1,[1]FINAL!$A$1:$BZ$1,0),0)),0)</f>
        <v>0.82758620689655171</v>
      </c>
      <c r="I132" s="5">
        <f>IFERROR(IF(J132&lt;&gt;"",J132,(IF(VLOOKUP($A132,#REF!,MATCH(#REF!,#REF!,0),0)=0,G132,VLOOKUP($A132,#REF!,MATCH(#REF!,#REF!,0),0)))),G132)</f>
        <v>0.82758620689655171</v>
      </c>
      <c r="K132" s="6">
        <f>IFERROR(VLOOKUP($A132,#REF!,MATCH(#REF!,#REF!,0),0),0)</f>
        <v>0</v>
      </c>
      <c r="L132" s="6">
        <f>IFERROR(VLOOKUP($A132,[1]FINAL!$A$1:$BZ$1000,MATCH([1]FINAL!$BF$1,[1]FINAL!$A$1:$BZ$1,0),0),0)</f>
        <v>82</v>
      </c>
      <c r="M132" s="7">
        <f t="shared" si="12"/>
        <v>0.91111111111111109</v>
      </c>
      <c r="N132" s="6">
        <f>IFERROR(VLOOKUP($A132,#REF!,MATCH(#REF!,#REF!,0),0),0)</f>
        <v>0</v>
      </c>
      <c r="O132" s="7">
        <f t="shared" si="13"/>
        <v>0</v>
      </c>
      <c r="P132" s="10" t="str">
        <f>IFERROR(VLOOKUP($A132,[1]FINAL!$A$1:$BZ$1000,MATCH([1]FINAL!$BB$1,[1]FINAL!$A$1:$BZ$1,0),0),"")</f>
        <v/>
      </c>
      <c r="Q132" s="18">
        <f t="shared" si="14"/>
        <v>1</v>
      </c>
    </row>
    <row r="133" spans="1:17" x14ac:dyDescent="0.25">
      <c r="A133" s="14" t="str">
        <f>[1]FINAL!$A539</f>
        <v>Jannik Schuster</v>
      </c>
      <c r="B133" s="20" t="str">
        <f>IFERROR(VLOOKUP($A133,[1]FINAL!$A$1:$Z$1000,MATCH([1]FINAL!$T$1,[1]FINAL!$A$1:$Z$1,0),0),"")</f>
        <v>DEF</v>
      </c>
      <c r="C133" s="3" t="str">
        <f>IFERROR(VLOOKUP($A133,[1]FINAL!$A$1:$Z$1000,MATCH([1]FINAL!$U$1,[1]FINAL!$A$1:$Z$1,0),0),"")</f>
        <v>CB</v>
      </c>
      <c r="D133" s="3" t="str">
        <f>IFERROR(VLOOKUP($A133,[1]FINAL!$A$1:$Z$1000,MATCH([1]FINAL!$V$1,[1]FINAL!$A$1:$Z$1,0),0),"")</f>
        <v>BRE</v>
      </c>
      <c r="E133" s="6">
        <f t="shared" si="10"/>
        <v>0</v>
      </c>
      <c r="F133" s="5">
        <f t="shared" si="11"/>
        <v>0</v>
      </c>
      <c r="G133" s="5">
        <f>IFERROR(IF(H133&lt;&gt;"",H133,VLOOKUP($A133,[1]FINAL!$A$1:$BZ$1000,MATCH([1]FINAL!$BL$1,[1]FINAL!$A$1:$BZ$1,0),0)),0)</f>
        <v>0</v>
      </c>
      <c r="I133" s="5">
        <f>IFERROR(IF(J133&lt;&gt;"",J133,(IF(VLOOKUP($A133,#REF!,MATCH(#REF!,#REF!,0),0)=0,G133,VLOOKUP($A133,#REF!,MATCH(#REF!,#REF!,0),0)))),G133)</f>
        <v>0</v>
      </c>
      <c r="K133" s="6">
        <f>IFERROR(VLOOKUP($A133,#REF!,MATCH(#REF!,#REF!,0),0),0)</f>
        <v>0</v>
      </c>
      <c r="L133" s="6">
        <f>IFERROR(VLOOKUP($A133,[1]FINAL!$A$1:$BZ$1000,MATCH([1]FINAL!$BF$1,[1]FINAL!$A$1:$BZ$1,0),0),0)</f>
        <v>0</v>
      </c>
      <c r="M133" s="7">
        <f t="shared" si="12"/>
        <v>0</v>
      </c>
      <c r="N133" s="6">
        <f>IFERROR(VLOOKUP($A133,#REF!,MATCH(#REF!,#REF!,0),0),0)</f>
        <v>0</v>
      </c>
      <c r="O133" s="7">
        <f t="shared" si="13"/>
        <v>0</v>
      </c>
      <c r="P133" s="10" t="str">
        <f>IFERROR(VLOOKUP($A133,[1]FINAL!$A$1:$BZ$1000,MATCH([1]FINAL!$BB$1,[1]FINAL!$A$1:$BZ$1,0),0),"")</f>
        <v/>
      </c>
      <c r="Q133" s="18">
        <f t="shared" si="14"/>
        <v>1</v>
      </c>
    </row>
    <row r="134" spans="1:17" x14ac:dyDescent="0.25">
      <c r="A134" s="14" t="str">
        <f>[1]FINAL!$A231</f>
        <v>Romaine Mundle</v>
      </c>
      <c r="B134" s="20" t="str">
        <f>IFERROR(VLOOKUP($A134,[1]FINAL!$A$1:$Z$1000,MATCH([1]FINAL!$T$1,[1]FINAL!$A$1:$Z$1,0),0),"")</f>
        <v>MID</v>
      </c>
      <c r="C134" s="3" t="str">
        <f>IFERROR(VLOOKUP($A134,[1]FINAL!$A$1:$Z$1000,MATCH([1]FINAL!$U$1,[1]FINAL!$A$1:$Z$1,0),0),"")</f>
        <v>LW</v>
      </c>
      <c r="D134" s="3" t="str">
        <f>IFERROR(VLOOKUP($A134,[1]FINAL!$A$1:$Z$1000,MATCH([1]FINAL!$V$1,[1]FINAL!$A$1:$Z$1,0),0),"")</f>
        <v>SUN</v>
      </c>
      <c r="E134" s="6">
        <f t="shared" si="10"/>
        <v>34000</v>
      </c>
      <c r="F134" s="5">
        <f t="shared" si="11"/>
        <v>0.13333333333333333</v>
      </c>
      <c r="G134" s="5">
        <f>IFERROR(IF(H134&lt;&gt;"",H134,VLOOKUP($A134,[1]FINAL!$A$1:$BZ$1000,MATCH([1]FINAL!$BL$1,[1]FINAL!$A$1:$BZ$1,0),0)),0)</f>
        <v>0.13333333333333333</v>
      </c>
      <c r="I134" s="5">
        <f>IFERROR(IF(J134&lt;&gt;"",J134,(IF(VLOOKUP($A134,#REF!,MATCH(#REF!,#REF!,0),0)=0,G134,VLOOKUP($A134,#REF!,MATCH(#REF!,#REF!,0),0)))),G134)</f>
        <v>0.13333333333333333</v>
      </c>
      <c r="K134" s="6">
        <f>IFERROR(VLOOKUP($A134,#REF!,MATCH(#REF!,#REF!,0),0),0)</f>
        <v>0</v>
      </c>
      <c r="L134" s="6">
        <f>IFERROR(VLOOKUP($A134,[1]FINAL!$A$1:$BZ$1000,MATCH([1]FINAL!$BF$1,[1]FINAL!$A$1:$BZ$1,0),0),0)</f>
        <v>66</v>
      </c>
      <c r="M134" s="7">
        <f t="shared" si="12"/>
        <v>0.73333333333333328</v>
      </c>
      <c r="N134" s="6">
        <f>IFERROR(VLOOKUP($A134,#REF!,MATCH(#REF!,#REF!,0),0),0)</f>
        <v>0</v>
      </c>
      <c r="O134" s="7">
        <f t="shared" si="13"/>
        <v>0</v>
      </c>
      <c r="P134" s="10" t="str">
        <f>IFERROR(VLOOKUP($A134,[1]FINAL!$A$1:$BZ$1000,MATCH([1]FINAL!$BB$1,[1]FINAL!$A$1:$BZ$1,0),0),"")</f>
        <v/>
      </c>
      <c r="Q134" s="18">
        <f t="shared" si="14"/>
        <v>1</v>
      </c>
    </row>
    <row r="135" spans="1:17" x14ac:dyDescent="0.25">
      <c r="A135" s="14" t="str">
        <f>[1]FINAL!$A247</f>
        <v>Dan Ndoye</v>
      </c>
      <c r="B135" s="20" t="str">
        <f>IFERROR(VLOOKUP($A135,[1]FINAL!$A$1:$Z$1000,MATCH([1]FINAL!$T$1,[1]FINAL!$A$1:$Z$1,0),0),"")</f>
        <v>MID</v>
      </c>
      <c r="C135" s="3" t="str">
        <f>IFERROR(VLOOKUP($A135,[1]FINAL!$A$1:$Z$1000,MATCH([1]FINAL!$U$1,[1]FINAL!$A$1:$Z$1,0),0),"")</f>
        <v>RW</v>
      </c>
      <c r="D135" s="3" t="str">
        <f>IFERROR(VLOOKUP($A135,[1]FINAL!$A$1:$Z$1000,MATCH([1]FINAL!$V$1,[1]FINAL!$A$1:$Z$1,0),0),"")</f>
        <v>NFO</v>
      </c>
      <c r="E135" s="6">
        <f t="shared" si="10"/>
        <v>104440.61302681993</v>
      </c>
      <c r="F135" s="5">
        <f t="shared" si="11"/>
        <v>0.48275862068965519</v>
      </c>
      <c r="G135" s="5">
        <f>IFERROR(IF(H135&lt;&gt;"",H135,VLOOKUP($A135,[1]FINAL!$A$1:$BZ$1000,MATCH([1]FINAL!$BL$1,[1]FINAL!$A$1:$BZ$1,0),0)),0)</f>
        <v>0.48275862068965519</v>
      </c>
      <c r="I135" s="5">
        <f>IFERROR(IF(J135&lt;&gt;"",J135,(IF(VLOOKUP($A135,#REF!,MATCH(#REF!,#REF!,0),0)=0,G135,VLOOKUP($A135,#REF!,MATCH(#REF!,#REF!,0),0)))),G135)</f>
        <v>0.48275862068965519</v>
      </c>
      <c r="K135" s="6">
        <f>IFERROR(VLOOKUP($A135,#REF!,MATCH(#REF!,#REF!,0),0),0)</f>
        <v>0</v>
      </c>
      <c r="L135" s="6">
        <f>IFERROR(VLOOKUP($A135,[1]FINAL!$A$1:$BZ$1000,MATCH([1]FINAL!$BF$1,[1]FINAL!$A$1:$BZ$1,0),0),0)</f>
        <v>71</v>
      </c>
      <c r="M135" s="7">
        <f t="shared" si="12"/>
        <v>0.78888888888888886</v>
      </c>
      <c r="N135" s="6">
        <f>IFERROR(VLOOKUP($A135,#REF!,MATCH(#REF!,#REF!,0),0),0)</f>
        <v>0</v>
      </c>
      <c r="O135" s="7">
        <f t="shared" si="13"/>
        <v>0</v>
      </c>
      <c r="P135" s="10" t="str">
        <f>IFERROR(VLOOKUP($A135,[1]FINAL!$A$1:$BZ$1000,MATCH([1]FINAL!$BB$1,[1]FINAL!$A$1:$BZ$1,0),0),"")</f>
        <v/>
      </c>
      <c r="Q135" s="18">
        <f t="shared" si="14"/>
        <v>1</v>
      </c>
    </row>
    <row r="136" spans="1:17" x14ac:dyDescent="0.25">
      <c r="A136" s="14" t="str">
        <f>[1]FINAL!$A280</f>
        <v>Nicolò Savona</v>
      </c>
      <c r="B136" s="20" t="str">
        <f>IFERROR(VLOOKUP($A136,[1]FINAL!$A$1:$Z$1000,MATCH([1]FINAL!$T$1,[1]FINAL!$A$1:$Z$1,0),0),"")</f>
        <v>DEF</v>
      </c>
      <c r="C136" s="3" t="str">
        <f>IFERROR(VLOOKUP($A136,[1]FINAL!$A$1:$Z$1000,MATCH([1]FINAL!$U$1,[1]FINAL!$A$1:$Z$1,0),0),"")</f>
        <v>RB</v>
      </c>
      <c r="D136" s="3" t="str">
        <f>IFERROR(VLOOKUP($A136,[1]FINAL!$A$1:$Z$1000,MATCH([1]FINAL!$V$1,[1]FINAL!$A$1:$Z$1,0),0),"")</f>
        <v>NFO</v>
      </c>
      <c r="E136" s="6">
        <f t="shared" si="10"/>
        <v>13.16666666666667</v>
      </c>
      <c r="F136" s="5">
        <f t="shared" si="11"/>
        <v>6.1111111111111121E-5</v>
      </c>
      <c r="G136" s="5">
        <f>IFERROR(IF(H136&lt;&gt;"",H136,VLOOKUP($A136,[1]FINAL!$A$1:$BZ$1000,MATCH([1]FINAL!$BL$1,[1]FINAL!$A$1:$BZ$1,0),0)),0)</f>
        <v>0.61111111111111116</v>
      </c>
      <c r="I136" s="5">
        <f>IFERROR(IF(J136&lt;&gt;"",J136,(IF(VLOOKUP($A136,#REF!,MATCH(#REF!,#REF!,0),0)=0,G136,VLOOKUP($A136,#REF!,MATCH(#REF!,#REF!,0),0)))),G136)</f>
        <v>0.61111111111111116</v>
      </c>
      <c r="K136" s="6">
        <f>IFERROR(VLOOKUP($A136,#REF!,MATCH(#REF!,#REF!,0),0),0)</f>
        <v>0</v>
      </c>
      <c r="L136" s="6">
        <f>IFERROR(VLOOKUP($A136,[1]FINAL!$A$1:$BZ$1000,MATCH([1]FINAL!$BF$1,[1]FINAL!$A$1:$BZ$1,0),0),0)</f>
        <v>85</v>
      </c>
      <c r="M136" s="7">
        <f t="shared" si="12"/>
        <v>0.94444444444444442</v>
      </c>
      <c r="N136" s="6">
        <f>IFERROR(VLOOKUP($A136,#REF!,MATCH(#REF!,#REF!,0),0),0)</f>
        <v>0</v>
      </c>
      <c r="O136" s="7">
        <f t="shared" si="13"/>
        <v>0</v>
      </c>
      <c r="P136" s="10">
        <f>IFERROR(VLOOKUP($A136,[1]FINAL!$A$1:$BZ$1000,MATCH([1]FINAL!$BB$1,[1]FINAL!$A$1:$BZ$1,0),0),"")</f>
        <v>0</v>
      </c>
      <c r="Q136" s="18">
        <f t="shared" si="14"/>
        <v>1E-4</v>
      </c>
    </row>
    <row r="137" spans="1:17" x14ac:dyDescent="0.25">
      <c r="A137" s="14" t="str">
        <f>[1]FINAL!$A278</f>
        <v>Conor Gallagher</v>
      </c>
      <c r="B137" s="20" t="str">
        <f>IFERROR(VLOOKUP($A137,[1]FINAL!$A$1:$Z$1000,MATCH([1]FINAL!$T$1,[1]FINAL!$A$1:$Z$1,0),0),"")</f>
        <v>MID</v>
      </c>
      <c r="C137" s="3" t="str">
        <f>IFERROR(VLOOKUP($A137,[1]FINAL!$A$1:$Z$1000,MATCH([1]FINAL!$U$1,[1]FINAL!$A$1:$Z$1,0),0),"")</f>
        <v>CM</v>
      </c>
      <c r="D137" s="3" t="str">
        <f>IFERROR(VLOOKUP($A137,[1]FINAL!$A$1:$Z$1000,MATCH([1]FINAL!$V$1,[1]FINAL!$A$1:$Z$1,0),0),"")</f>
        <v>TOT</v>
      </c>
      <c r="E137" s="6">
        <f t="shared" si="10"/>
        <v>184000</v>
      </c>
      <c r="F137" s="5">
        <f t="shared" si="11"/>
        <v>0.875</v>
      </c>
      <c r="G137" s="5">
        <f>IFERROR(IF(H137&lt;&gt;"",H137,VLOOKUP($A137,[1]FINAL!$A$1:$BZ$1000,MATCH([1]FINAL!$BL$1,[1]FINAL!$A$1:$BZ$1,0),0)),0)</f>
        <v>0.875</v>
      </c>
      <c r="I137" s="5">
        <f>IFERROR(IF(J137&lt;&gt;"",J137,(IF(VLOOKUP($A137,#REF!,MATCH(#REF!,#REF!,0),0)=0,G137,VLOOKUP($A137,#REF!,MATCH(#REF!,#REF!,0),0)))),G137)</f>
        <v>0.875</v>
      </c>
      <c r="K137" s="6">
        <f>IFERROR(VLOOKUP($A137,#REF!,MATCH(#REF!,#REF!,0),0),0)</f>
        <v>0</v>
      </c>
      <c r="L137" s="6">
        <f>IFERROR(VLOOKUP($A137,[1]FINAL!$A$1:$BZ$1000,MATCH([1]FINAL!$BF$1,[1]FINAL!$A$1:$BZ$1,0),0),0)</f>
        <v>81</v>
      </c>
      <c r="M137" s="7">
        <f t="shared" si="12"/>
        <v>0.9</v>
      </c>
      <c r="N137" s="6">
        <f>IFERROR(VLOOKUP($A137,#REF!,MATCH(#REF!,#REF!,0),0),0)</f>
        <v>0</v>
      </c>
      <c r="O137" s="7">
        <f t="shared" si="13"/>
        <v>0</v>
      </c>
      <c r="P137" s="10" t="str">
        <f>IFERROR(VLOOKUP($A137,[1]FINAL!$A$1:$BZ$1000,MATCH([1]FINAL!$BB$1,[1]FINAL!$A$1:$BZ$1,0),0),"")</f>
        <v/>
      </c>
      <c r="Q137" s="18">
        <f t="shared" si="14"/>
        <v>1</v>
      </c>
    </row>
    <row r="138" spans="1:17" x14ac:dyDescent="0.25">
      <c r="A138" s="14" t="str">
        <f>[1]FINAL!$A268</f>
        <v>Harrison Armstrong</v>
      </c>
      <c r="B138" s="20" t="str">
        <f>IFERROR(VLOOKUP($A138,[1]FINAL!$A$1:$Z$1000,MATCH([1]FINAL!$T$1,[1]FINAL!$A$1:$Z$1,0),0),"")</f>
        <v>MID</v>
      </c>
      <c r="C138" s="3" t="str">
        <f>IFERROR(VLOOKUP($A138,[1]FINAL!$A$1:$Z$1000,MATCH([1]FINAL!$U$1,[1]FINAL!$A$1:$Z$1,0),0),"")</f>
        <v>CM</v>
      </c>
      <c r="D138" s="3" t="str">
        <f>IFERROR(VLOOKUP($A138,[1]FINAL!$A$1:$Z$1000,MATCH([1]FINAL!$V$1,[1]FINAL!$A$1:$Z$1,0),0),"")</f>
        <v>EVE</v>
      </c>
      <c r="E138" s="6">
        <f t="shared" si="10"/>
        <v>68111.111111111109</v>
      </c>
      <c r="F138" s="5">
        <f t="shared" si="11"/>
        <v>0.3</v>
      </c>
      <c r="G138" s="5">
        <f>IFERROR(IF(H138&lt;&gt;"",H138,VLOOKUP($A138,[1]FINAL!$A$1:$BZ$1000,MATCH([1]FINAL!$BL$1,[1]FINAL!$A$1:$BZ$1,0),0)),0)</f>
        <v>0.3</v>
      </c>
      <c r="I138" s="5">
        <f>IFERROR(IF(J138&lt;&gt;"",J138,(IF(VLOOKUP($A138,#REF!,MATCH(#REF!,#REF!,0),0)=0,G138,VLOOKUP($A138,#REF!,MATCH(#REF!,#REF!,0),0)))),G138)</f>
        <v>0.3</v>
      </c>
      <c r="K138" s="6">
        <f>IFERROR(VLOOKUP($A138,#REF!,MATCH(#REF!,#REF!,0),0),0)</f>
        <v>0</v>
      </c>
      <c r="L138" s="6">
        <f>IFERROR(VLOOKUP($A138,[1]FINAL!$A$1:$BZ$1000,MATCH([1]FINAL!$BF$1,[1]FINAL!$A$1:$BZ$1,0),0),0)</f>
        <v>73</v>
      </c>
      <c r="M138" s="7">
        <f t="shared" si="12"/>
        <v>0.81111111111111112</v>
      </c>
      <c r="N138" s="6">
        <f>IFERROR(VLOOKUP($A138,#REF!,MATCH(#REF!,#REF!,0),0),0)</f>
        <v>0</v>
      </c>
      <c r="O138" s="7">
        <f t="shared" si="13"/>
        <v>0</v>
      </c>
      <c r="P138" s="10" t="str">
        <f>IFERROR(VLOOKUP($A138,[1]FINAL!$A$1:$BZ$1000,MATCH([1]FINAL!$BB$1,[1]FINAL!$A$1:$BZ$1,0),0),"")</f>
        <v/>
      </c>
      <c r="Q138" s="18">
        <f t="shared" si="14"/>
        <v>1</v>
      </c>
    </row>
    <row r="139" spans="1:17" x14ac:dyDescent="0.25">
      <c r="A139" s="14" t="str">
        <f>[1]FINAL!$A269</f>
        <v>Jaka Bijol</v>
      </c>
      <c r="B139" s="20" t="str">
        <f>IFERROR(VLOOKUP($A139,[1]FINAL!$A$1:$Z$1000,MATCH([1]FINAL!$T$1,[1]FINAL!$A$1:$Z$1,0),0),"")</f>
        <v>DEF</v>
      </c>
      <c r="C139" s="3" t="str">
        <f>IFERROR(VLOOKUP($A139,[1]FINAL!$A$1:$Z$1000,MATCH([1]FINAL!$U$1,[1]FINAL!$A$1:$Z$1,0),0),"")</f>
        <v>CB</v>
      </c>
      <c r="D139" s="3" t="str">
        <f>IFERROR(VLOOKUP($A139,[1]FINAL!$A$1:$Z$1000,MATCH([1]FINAL!$V$1,[1]FINAL!$A$1:$Z$1,0),0),"")</f>
        <v>LEE</v>
      </c>
      <c r="E139" s="6">
        <f t="shared" si="10"/>
        <v>132973.85620915034</v>
      </c>
      <c r="F139" s="5">
        <f t="shared" si="11"/>
        <v>0.61764705882352944</v>
      </c>
      <c r="G139" s="5">
        <f>IFERROR(IF(H139&lt;&gt;"",H139,VLOOKUP($A139,[1]FINAL!$A$1:$BZ$1000,MATCH([1]FINAL!$BL$1,[1]FINAL!$A$1:$BZ$1,0),0)),0)</f>
        <v>0.61764705882352944</v>
      </c>
      <c r="I139" s="5">
        <f>IFERROR(IF(J139&lt;&gt;"",J139,(IF(VLOOKUP($A139,#REF!,MATCH(#REF!,#REF!,0),0)=0,G139,VLOOKUP($A139,#REF!,MATCH(#REF!,#REF!,0),0)))),G139)</f>
        <v>0.61764705882352944</v>
      </c>
      <c r="K139" s="6">
        <f>IFERROR(VLOOKUP($A139,#REF!,MATCH(#REF!,#REF!,0),0),0)</f>
        <v>0</v>
      </c>
      <c r="L139" s="6">
        <f>IFERROR(VLOOKUP($A139,[1]FINAL!$A$1:$BZ$1000,MATCH([1]FINAL!$BF$1,[1]FINAL!$A$1:$BZ$1,0),0),0)</f>
        <v>85</v>
      </c>
      <c r="M139" s="7">
        <f t="shared" si="12"/>
        <v>0.94444444444444442</v>
      </c>
      <c r="N139" s="6">
        <f>IFERROR(VLOOKUP($A139,#REF!,MATCH(#REF!,#REF!,0),0),0)</f>
        <v>0</v>
      </c>
      <c r="O139" s="7">
        <f t="shared" si="13"/>
        <v>0</v>
      </c>
      <c r="P139" s="10" t="str">
        <f>IFERROR(VLOOKUP($A139,[1]FINAL!$A$1:$BZ$1000,MATCH([1]FINAL!$BB$1,[1]FINAL!$A$1:$BZ$1,0),0),"")</f>
        <v/>
      </c>
      <c r="Q139" s="18">
        <f t="shared" si="14"/>
        <v>1</v>
      </c>
    </row>
    <row r="140" spans="1:17" x14ac:dyDescent="0.25">
      <c r="A140" s="14" t="str">
        <f>[1]FINAL!$A345</f>
        <v>Ilia Gruev</v>
      </c>
      <c r="B140" s="20" t="str">
        <f>IFERROR(VLOOKUP($A140,[1]FINAL!$A$1:$Z$1000,MATCH([1]FINAL!$T$1,[1]FINAL!$A$1:$Z$1,0),0),"")</f>
        <v>MID</v>
      </c>
      <c r="C140" s="3" t="str">
        <f>IFERROR(VLOOKUP($A140,[1]FINAL!$A$1:$Z$1000,MATCH([1]FINAL!$U$1,[1]FINAL!$A$1:$Z$1,0),0),"")</f>
        <v>DM</v>
      </c>
      <c r="D140" s="3" t="str">
        <f>IFERROR(VLOOKUP($A140,[1]FINAL!$A$1:$Z$1000,MATCH([1]FINAL!$V$1,[1]FINAL!$A$1:$Z$1,0),0),"")</f>
        <v>LEE</v>
      </c>
      <c r="E140" s="6">
        <f t="shared" si="10"/>
        <v>99686.868686868693</v>
      </c>
      <c r="F140" s="5">
        <f t="shared" si="11"/>
        <v>0.45454545454545453</v>
      </c>
      <c r="G140" s="5">
        <f>IFERROR(IF(H140&lt;&gt;"",H140,VLOOKUP($A140,[1]FINAL!$A$1:$BZ$1000,MATCH([1]FINAL!$BL$1,[1]FINAL!$A$1:$BZ$1,0),0)),0)</f>
        <v>0.45454545454545453</v>
      </c>
      <c r="I140" s="5">
        <f>IFERROR(IF(J140&lt;&gt;"",J140,(IF(VLOOKUP($A140,#REF!,MATCH(#REF!,#REF!,0),0)=0,G140,VLOOKUP($A140,#REF!,MATCH(#REF!,#REF!,0),0)))),G140)</f>
        <v>0.45454545454545453</v>
      </c>
      <c r="K140" s="6">
        <f>IFERROR(VLOOKUP($A140,#REF!,MATCH(#REF!,#REF!,0),0),0)</f>
        <v>0</v>
      </c>
      <c r="L140" s="6">
        <f>IFERROR(VLOOKUP($A140,[1]FINAL!$A$1:$BZ$1000,MATCH([1]FINAL!$BF$1,[1]FINAL!$A$1:$BZ$1,0),0),0)</f>
        <v>79</v>
      </c>
      <c r="M140" s="7">
        <f t="shared" si="12"/>
        <v>0.87777777777777777</v>
      </c>
      <c r="N140" s="6">
        <f>IFERROR(VLOOKUP($A140,#REF!,MATCH(#REF!,#REF!,0),0),0)</f>
        <v>0</v>
      </c>
      <c r="O140" s="7">
        <f t="shared" si="13"/>
        <v>0</v>
      </c>
      <c r="P140" s="10" t="str">
        <f>IFERROR(VLOOKUP($A140,[1]FINAL!$A$1:$BZ$1000,MATCH([1]FINAL!$BB$1,[1]FINAL!$A$1:$BZ$1,0),0),"")</f>
        <v/>
      </c>
      <c r="Q140" s="18">
        <f t="shared" si="14"/>
        <v>1</v>
      </c>
    </row>
    <row r="141" spans="1:17" x14ac:dyDescent="0.25">
      <c r="A141" s="14" t="str">
        <f>[1]FINAL!$A121</f>
        <v>Nick Pope</v>
      </c>
      <c r="B141" s="20" t="str">
        <f>IFERROR(VLOOKUP($A141,[1]FINAL!$A$1:$Z$1000,MATCH([1]FINAL!$T$1,[1]FINAL!$A$1:$Z$1,0),0),"")</f>
        <v>GK</v>
      </c>
      <c r="C141" s="3" t="str">
        <f>IFERROR(VLOOKUP($A141,[1]FINAL!$A$1:$Z$1000,MATCH([1]FINAL!$U$1,[1]FINAL!$A$1:$Z$1,0),0),"")</f>
        <v>GK</v>
      </c>
      <c r="D141" s="3" t="str">
        <f>IFERROR(VLOOKUP($A141,[1]FINAL!$A$1:$Z$1000,MATCH([1]FINAL!$V$1,[1]FINAL!$A$1:$Z$1,0),0),"")</f>
        <v>NEW</v>
      </c>
      <c r="E141" s="6">
        <f t="shared" si="10"/>
        <v>173525.25252525252</v>
      </c>
      <c r="F141" s="5">
        <f t="shared" si="11"/>
        <v>0.81818181818181823</v>
      </c>
      <c r="G141" s="5">
        <f>IFERROR(IF(H141&lt;&gt;"",H141,VLOOKUP($A141,[1]FINAL!$A$1:$BZ$1000,MATCH([1]FINAL!$BL$1,[1]FINAL!$A$1:$BZ$1,0),0)),0)</f>
        <v>0.81818181818181823</v>
      </c>
      <c r="I141" s="5">
        <f>IFERROR(IF(J141&lt;&gt;"",J141,(IF(VLOOKUP($A141,#REF!,MATCH(#REF!,#REF!,0),0)=0,G141,VLOOKUP($A141,#REF!,MATCH(#REF!,#REF!,0),0)))),G141)</f>
        <v>0.81818181818181823</v>
      </c>
      <c r="K141" s="6">
        <f>IFERROR(VLOOKUP($A141,#REF!,MATCH(#REF!,#REF!,0),0),0)</f>
        <v>0</v>
      </c>
      <c r="L141" s="6">
        <f>IFERROR(VLOOKUP($A141,[1]FINAL!$A$1:$BZ$1000,MATCH([1]FINAL!$BF$1,[1]FINAL!$A$1:$BZ$1,0),0),0)</f>
        <v>89</v>
      </c>
      <c r="M141" s="7">
        <f t="shared" si="12"/>
        <v>0.98888888888888893</v>
      </c>
      <c r="N141" s="6">
        <f>IFERROR(VLOOKUP($A141,#REF!,MATCH(#REF!,#REF!,0),0),0)</f>
        <v>0</v>
      </c>
      <c r="O141" s="7">
        <f t="shared" si="13"/>
        <v>0</v>
      </c>
      <c r="P141" s="10" t="str">
        <f>IFERROR(VLOOKUP($A141,[1]FINAL!$A$1:$BZ$1000,MATCH([1]FINAL!$BB$1,[1]FINAL!$A$1:$BZ$1,0),0),"")</f>
        <v/>
      </c>
      <c r="Q141" s="18">
        <f t="shared" si="14"/>
        <v>1</v>
      </c>
    </row>
    <row r="142" spans="1:17" x14ac:dyDescent="0.25">
      <c r="A142" s="14" t="str">
        <f>[1]FINAL!$A129</f>
        <v>Eddie Nketiah</v>
      </c>
      <c r="B142" s="20" t="str">
        <f>IFERROR(VLOOKUP($A142,[1]FINAL!$A$1:$Z$1000,MATCH([1]FINAL!$T$1,[1]FINAL!$A$1:$Z$1,0),0),"")</f>
        <v>FWD</v>
      </c>
      <c r="C142" s="3" t="str">
        <f>IFERROR(VLOOKUP($A142,[1]FINAL!$A$1:$Z$1000,MATCH([1]FINAL!$U$1,[1]FINAL!$A$1:$Z$1,0),0),"")</f>
        <v>CF</v>
      </c>
      <c r="D142" s="3" t="str">
        <f>IFERROR(VLOOKUP($A142,[1]FINAL!$A$1:$Z$1000,MATCH([1]FINAL!$V$1,[1]FINAL!$A$1:$Z$1,0),0),"")</f>
        <v>CRY</v>
      </c>
      <c r="E142" s="6">
        <f t="shared" si="10"/>
        <v>41111.111111111109</v>
      </c>
      <c r="F142" s="5">
        <f t="shared" si="11"/>
        <v>0.16666666666666666</v>
      </c>
      <c r="G142" s="5">
        <f>IFERROR(IF(H142&lt;&gt;"",H142,VLOOKUP($A142,[1]FINAL!$A$1:$BZ$1000,MATCH([1]FINAL!$BL$1,[1]FINAL!$A$1:$BZ$1,0),0)),0)</f>
        <v>0.16666666666666666</v>
      </c>
      <c r="I142" s="5">
        <f>IFERROR(IF(J142&lt;&gt;"",J142,(IF(VLOOKUP($A142,#REF!,MATCH(#REF!,#REF!,0),0)=0,G142,VLOOKUP($A142,#REF!,MATCH(#REF!,#REF!,0),0)))),G142)</f>
        <v>0.16666666666666666</v>
      </c>
      <c r="K142" s="6">
        <f>IFERROR(VLOOKUP($A142,#REF!,MATCH(#REF!,#REF!,0),0),0)</f>
        <v>0</v>
      </c>
      <c r="L142" s="6">
        <f>IFERROR(VLOOKUP($A142,[1]FINAL!$A$1:$BZ$1000,MATCH([1]FINAL!$BF$1,[1]FINAL!$A$1:$BZ$1,0),0),0)</f>
        <v>70</v>
      </c>
      <c r="M142" s="7">
        <f t="shared" si="12"/>
        <v>0.77777777777777779</v>
      </c>
      <c r="N142" s="6">
        <f>IFERROR(VLOOKUP($A142,#REF!,MATCH(#REF!,#REF!,0),0),0)</f>
        <v>0</v>
      </c>
      <c r="O142" s="7">
        <f t="shared" si="13"/>
        <v>0</v>
      </c>
      <c r="P142" s="10" t="str">
        <f>IFERROR(VLOOKUP($A142,[1]FINAL!$A$1:$BZ$1000,MATCH([1]FINAL!$BB$1,[1]FINAL!$A$1:$BZ$1,0),0),"")</f>
        <v/>
      </c>
      <c r="Q142" s="18">
        <f t="shared" si="14"/>
        <v>1</v>
      </c>
    </row>
    <row r="143" spans="1:17" x14ac:dyDescent="0.25">
      <c r="A143" s="14" t="str">
        <f>[1]FINAL!$A134</f>
        <v>Wilson Isidor</v>
      </c>
      <c r="B143" s="20" t="str">
        <f>IFERROR(VLOOKUP($A143,[1]FINAL!$A$1:$Z$1000,MATCH([1]FINAL!$T$1,[1]FINAL!$A$1:$Z$1,0),0),"")</f>
        <v>FWD</v>
      </c>
      <c r="C143" s="3" t="str">
        <f>IFERROR(VLOOKUP($A143,[1]FINAL!$A$1:$Z$1000,MATCH([1]FINAL!$U$1,[1]FINAL!$A$1:$Z$1,0),0),"")</f>
        <v>CF</v>
      </c>
      <c r="D143" s="3" t="str">
        <f>IFERROR(VLOOKUP($A143,[1]FINAL!$A$1:$Z$1000,MATCH([1]FINAL!$V$1,[1]FINAL!$A$1:$Z$1,0),0),"")</f>
        <v>SUN</v>
      </c>
      <c r="E143" s="6">
        <f t="shared" si="10"/>
        <v>69000</v>
      </c>
      <c r="F143" s="5">
        <f t="shared" si="11"/>
        <v>0.30555555555555558</v>
      </c>
      <c r="G143" s="5">
        <f>IFERROR(IF(H143&lt;&gt;"",H143,VLOOKUP($A143,[1]FINAL!$A$1:$BZ$1000,MATCH([1]FINAL!$BL$1,[1]FINAL!$A$1:$BZ$1,0),0)),0)</f>
        <v>0.30555555555555558</v>
      </c>
      <c r="I143" s="5">
        <f>IFERROR(IF(J143&lt;&gt;"",J143,(IF(VLOOKUP($A143,#REF!,MATCH(#REF!,#REF!,0),0)=0,G143,VLOOKUP($A143,#REF!,MATCH(#REF!,#REF!,0),0)))),G143)</f>
        <v>0.30555555555555558</v>
      </c>
      <c r="K143" s="6">
        <f>IFERROR(VLOOKUP($A143,#REF!,MATCH(#REF!,#REF!,0),0),0)</f>
        <v>0</v>
      </c>
      <c r="L143" s="6">
        <f>IFERROR(VLOOKUP($A143,[1]FINAL!$A$1:$BZ$1000,MATCH([1]FINAL!$BF$1,[1]FINAL!$A$1:$BZ$1,0),0),0)</f>
        <v>71</v>
      </c>
      <c r="M143" s="7">
        <f t="shared" si="12"/>
        <v>0.78888888888888886</v>
      </c>
      <c r="N143" s="6">
        <f>IFERROR(VLOOKUP($A143,#REF!,MATCH(#REF!,#REF!,0),0),0)</f>
        <v>0</v>
      </c>
      <c r="O143" s="7">
        <f t="shared" si="13"/>
        <v>0</v>
      </c>
      <c r="P143" s="10" t="str">
        <f>IFERROR(VLOOKUP($A143,[1]FINAL!$A$1:$BZ$1000,MATCH([1]FINAL!$BB$1,[1]FINAL!$A$1:$BZ$1,0),0),"")</f>
        <v/>
      </c>
      <c r="Q143" s="18">
        <f t="shared" si="14"/>
        <v>1</v>
      </c>
    </row>
    <row r="144" spans="1:17" x14ac:dyDescent="0.25">
      <c r="A144" s="14" t="str">
        <f>[1]FINAL!$A114</f>
        <v>Keane Lewis-Potter</v>
      </c>
      <c r="B144" s="20" t="str">
        <f>IFERROR(VLOOKUP($A144,[1]FINAL!$A$1:$Z$1000,MATCH([1]FINAL!$T$1,[1]FINAL!$A$1:$Z$1,0),0),"")</f>
        <v>MID</v>
      </c>
      <c r="C144" s="3" t="str">
        <f>IFERROR(VLOOKUP($A144,[1]FINAL!$A$1:$Z$1000,MATCH([1]FINAL!$U$1,[1]FINAL!$A$1:$Z$1,0),0),"")</f>
        <v>LM</v>
      </c>
      <c r="D144" s="3" t="str">
        <f>IFERROR(VLOOKUP($A144,[1]FINAL!$A$1:$Z$1000,MATCH([1]FINAL!$V$1,[1]FINAL!$A$1:$Z$1,0),0),"")</f>
        <v>BRE</v>
      </c>
      <c r="E144" s="6">
        <f t="shared" si="10"/>
        <v>124789.47368421053</v>
      </c>
      <c r="F144" s="5">
        <f t="shared" si="11"/>
        <v>0.57894736842105265</v>
      </c>
      <c r="G144" s="5">
        <f>IFERROR(IF(H144&lt;&gt;"",H144,VLOOKUP($A144,[1]FINAL!$A$1:$BZ$1000,MATCH([1]FINAL!$BL$1,[1]FINAL!$A$1:$BZ$1,0),0)),0)</f>
        <v>0.57894736842105265</v>
      </c>
      <c r="I144" s="5">
        <f>IFERROR(IF(J144&lt;&gt;"",J144,(IF(VLOOKUP($A144,#REF!,MATCH(#REF!,#REF!,0),0)=0,G144,VLOOKUP($A144,#REF!,MATCH(#REF!,#REF!,0),0)))),G144)</f>
        <v>0.57894736842105265</v>
      </c>
      <c r="K144" s="6">
        <f>IFERROR(VLOOKUP($A144,#REF!,MATCH(#REF!,#REF!,0),0),0)</f>
        <v>0</v>
      </c>
      <c r="L144" s="6">
        <f>IFERROR(VLOOKUP($A144,[1]FINAL!$A$1:$BZ$1000,MATCH([1]FINAL!$BF$1,[1]FINAL!$A$1:$BZ$1,0),0),0)</f>
        <v>81</v>
      </c>
      <c r="M144" s="7">
        <f t="shared" si="12"/>
        <v>0.9</v>
      </c>
      <c r="N144" s="6">
        <f>IFERROR(VLOOKUP($A144,#REF!,MATCH(#REF!,#REF!,0),0),0)</f>
        <v>0</v>
      </c>
      <c r="O144" s="7">
        <f t="shared" si="13"/>
        <v>0</v>
      </c>
      <c r="P144" s="10" t="str">
        <f>IFERROR(VLOOKUP($A144,[1]FINAL!$A$1:$BZ$1000,MATCH([1]FINAL!$BB$1,[1]FINAL!$A$1:$BZ$1,0),0),"")</f>
        <v/>
      </c>
      <c r="Q144" s="18">
        <f t="shared" si="14"/>
        <v>1</v>
      </c>
    </row>
    <row r="145" spans="1:17" x14ac:dyDescent="0.25">
      <c r="A145" s="14" t="str">
        <f>[1]FINAL!$A267</f>
        <v>Liam Delap</v>
      </c>
      <c r="B145" s="20" t="str">
        <f>IFERROR(VLOOKUP($A145,[1]FINAL!$A$1:$Z$1000,MATCH([1]FINAL!$T$1,[1]FINAL!$A$1:$Z$1,0),0),"")</f>
        <v>FWD</v>
      </c>
      <c r="C145" s="3" t="str">
        <f>IFERROR(VLOOKUP($A145,[1]FINAL!$A$1:$Z$1000,MATCH([1]FINAL!$U$1,[1]FINAL!$A$1:$Z$1,0),0),"")</f>
        <v>CF</v>
      </c>
      <c r="D145" s="3" t="str">
        <f>IFERROR(VLOOKUP($A145,[1]FINAL!$A$1:$Z$1000,MATCH([1]FINAL!$V$1,[1]FINAL!$A$1:$Z$1,0),0),"")</f>
        <v>CHE</v>
      </c>
      <c r="E145" s="6">
        <f t="shared" si="10"/>
        <v>90203.065134099612</v>
      </c>
      <c r="F145" s="5">
        <f t="shared" si="11"/>
        <v>0.41379310344827586</v>
      </c>
      <c r="G145" s="5">
        <f>IFERROR(IF(H145&lt;&gt;"",H145,VLOOKUP($A145,[1]FINAL!$A$1:$BZ$1000,MATCH([1]FINAL!$BL$1,[1]FINAL!$A$1:$BZ$1,0),0)),0)</f>
        <v>0.41379310344827586</v>
      </c>
      <c r="I145" s="5">
        <f>IFERROR(IF(J145&lt;&gt;"",J145,(IF(VLOOKUP($A145,#REF!,MATCH(#REF!,#REF!,0),0)=0,G145,VLOOKUP($A145,#REF!,MATCH(#REF!,#REF!,0),0)))),G145)</f>
        <v>0.41379310344827586</v>
      </c>
      <c r="K145" s="6">
        <f>IFERROR(VLOOKUP($A145,#REF!,MATCH(#REF!,#REF!,0),0),0)</f>
        <v>0</v>
      </c>
      <c r="L145" s="6">
        <f>IFERROR(VLOOKUP($A145,[1]FINAL!$A$1:$BZ$1000,MATCH([1]FINAL!$BF$1,[1]FINAL!$A$1:$BZ$1,0),0),0)</f>
        <v>67</v>
      </c>
      <c r="M145" s="7">
        <f t="shared" si="12"/>
        <v>0.74444444444444446</v>
      </c>
      <c r="N145" s="6">
        <f>IFERROR(VLOOKUP($A145,#REF!,MATCH(#REF!,#REF!,0),0),0)</f>
        <v>0</v>
      </c>
      <c r="O145" s="7">
        <f t="shared" si="13"/>
        <v>0</v>
      </c>
      <c r="P145" s="10" t="str">
        <f>IFERROR(VLOOKUP($A145,[1]FINAL!$A$1:$BZ$1000,MATCH([1]FINAL!$BB$1,[1]FINAL!$A$1:$BZ$1,0),0),"")</f>
        <v/>
      </c>
      <c r="Q145" s="18">
        <f t="shared" si="14"/>
        <v>1</v>
      </c>
    </row>
    <row r="146" spans="1:17" x14ac:dyDescent="0.25">
      <c r="A146" s="14" t="str">
        <f>[1]FINAL!$A486</f>
        <v>Mason Burstow</v>
      </c>
      <c r="B146" s="20" t="str">
        <f>IFERROR(VLOOKUP($A146,[1]FINAL!$A$1:$Z$1000,MATCH([1]FINAL!$T$1,[1]FINAL!$A$1:$Z$1,0),0),"")</f>
        <v>FWD</v>
      </c>
      <c r="C146" s="3" t="str">
        <f>IFERROR(VLOOKUP($A146,[1]FINAL!$A$1:$Z$1000,MATCH([1]FINAL!$U$1,[1]FINAL!$A$1:$Z$1,0),0),"")</f>
        <v>CF</v>
      </c>
      <c r="D146" s="3" t="str">
        <f>IFERROR(VLOOKUP($A146,[1]FINAL!$A$1:$Z$1000,MATCH([1]FINAL!$V$1,[1]FINAL!$A$1:$Z$1,0),0),"")</f>
        <v>HUL</v>
      </c>
      <c r="E146" s="6">
        <f t="shared" si="10"/>
        <v>0</v>
      </c>
      <c r="F146" s="5">
        <f t="shared" si="11"/>
        <v>0</v>
      </c>
      <c r="G146" s="5">
        <f>IFERROR(IF(H146&lt;&gt;"",H146,VLOOKUP($A146,[1]FINAL!$A$1:$BZ$1000,MATCH([1]FINAL!$BL$1,[1]FINAL!$A$1:$BZ$1,0),0)),0)</f>
        <v>0</v>
      </c>
      <c r="I146" s="5">
        <f>IFERROR(IF(J146&lt;&gt;"",J146,(IF(VLOOKUP($A146,#REF!,MATCH(#REF!,#REF!,0),0)=0,G146,VLOOKUP($A146,#REF!,MATCH(#REF!,#REF!,0),0)))),G146)</f>
        <v>0</v>
      </c>
      <c r="K146" s="6">
        <f>IFERROR(VLOOKUP($A146,#REF!,MATCH(#REF!,#REF!,0),0),0)</f>
        <v>0</v>
      </c>
      <c r="L146" s="6">
        <f>IFERROR(VLOOKUP($A146,[1]FINAL!$A$1:$BZ$1000,MATCH([1]FINAL!$BF$1,[1]FINAL!$A$1:$BZ$1,0),0),0)</f>
        <v>0</v>
      </c>
      <c r="M146" s="7">
        <f t="shared" si="12"/>
        <v>0</v>
      </c>
      <c r="N146" s="6">
        <f>IFERROR(VLOOKUP($A146,#REF!,MATCH(#REF!,#REF!,0),0),0)</f>
        <v>0</v>
      </c>
      <c r="O146" s="7">
        <f t="shared" si="13"/>
        <v>0</v>
      </c>
      <c r="P146" s="10" t="str">
        <f>IFERROR(VLOOKUP($A146,[1]FINAL!$A$1:$BZ$1000,MATCH([1]FINAL!$BB$1,[1]FINAL!$A$1:$BZ$1,0),0),"")</f>
        <v/>
      </c>
      <c r="Q146" s="18">
        <f t="shared" si="14"/>
        <v>1</v>
      </c>
    </row>
    <row r="147" spans="1:17" x14ac:dyDescent="0.25">
      <c r="A147" s="14" t="str">
        <f>[1]FINAL!$A34</f>
        <v>Charalampos Kostoulas</v>
      </c>
      <c r="B147" s="20" t="str">
        <f>IFERROR(VLOOKUP($A147,[1]FINAL!$A$1:$Z$1000,MATCH([1]FINAL!$T$1,[1]FINAL!$A$1:$Z$1,0),0),"")</f>
        <v>FWD</v>
      </c>
      <c r="C147" s="3" t="str">
        <f>IFERROR(VLOOKUP($A147,[1]FINAL!$A$1:$Z$1000,MATCH([1]FINAL!$U$1,[1]FINAL!$A$1:$Z$1,0),0),"")</f>
        <v>CF</v>
      </c>
      <c r="D147" s="3" t="str">
        <f>IFERROR(VLOOKUP($A147,[1]FINAL!$A$1:$Z$1000,MATCH([1]FINAL!$V$1,[1]FINAL!$A$1:$Z$1,0),0),"")</f>
        <v>BHA</v>
      </c>
      <c r="E147" s="6">
        <f t="shared" si="10"/>
        <v>22237.547892720308</v>
      </c>
      <c r="F147" s="5">
        <f t="shared" si="11"/>
        <v>6.8965517241379309E-2</v>
      </c>
      <c r="G147" s="5">
        <f>IFERROR(IF(H147&lt;&gt;"",H147,VLOOKUP($A147,[1]FINAL!$A$1:$BZ$1000,MATCH([1]FINAL!$BL$1,[1]FINAL!$A$1:$BZ$1,0),0)),0)</f>
        <v>6.8965517241379309E-2</v>
      </c>
      <c r="I147" s="5">
        <f>IFERROR(IF(J147&lt;&gt;"",J147,(IF(VLOOKUP($A147,#REF!,MATCH(#REF!,#REF!,0),0)=0,G147,VLOOKUP($A147,#REF!,MATCH(#REF!,#REF!,0),0)))),G147)</f>
        <v>6.8965517241379309E-2</v>
      </c>
      <c r="K147" s="6">
        <f>IFERROR(VLOOKUP($A147,#REF!,MATCH(#REF!,#REF!,0),0),0)</f>
        <v>0</v>
      </c>
      <c r="L147" s="6">
        <f>IFERROR(VLOOKUP($A147,[1]FINAL!$A$1:$BZ$1000,MATCH([1]FINAL!$BF$1,[1]FINAL!$A$1:$BZ$1,0),0),0)</f>
        <v>76</v>
      </c>
      <c r="M147" s="7">
        <f t="shared" si="12"/>
        <v>0.84444444444444444</v>
      </c>
      <c r="N147" s="6">
        <f>IFERROR(VLOOKUP($A147,#REF!,MATCH(#REF!,#REF!,0),0),0)</f>
        <v>0</v>
      </c>
      <c r="O147" s="7">
        <f t="shared" si="13"/>
        <v>0</v>
      </c>
      <c r="P147" s="10" t="str">
        <f>IFERROR(VLOOKUP($A147,[1]FINAL!$A$1:$BZ$1000,MATCH([1]FINAL!$BB$1,[1]FINAL!$A$1:$BZ$1,0),0),"")</f>
        <v/>
      </c>
      <c r="Q147" s="18">
        <f t="shared" si="14"/>
        <v>1</v>
      </c>
    </row>
    <row r="148" spans="1:17" x14ac:dyDescent="0.25">
      <c r="A148" s="14" t="str">
        <f>[1]FINAL!$A38</f>
        <v>Dominic Calvert-Lewin</v>
      </c>
      <c r="B148" s="20" t="str">
        <f>IFERROR(VLOOKUP($A148,[1]FINAL!$A$1:$Z$1000,MATCH([1]FINAL!$T$1,[1]FINAL!$A$1:$Z$1,0),0),"")</f>
        <v>FWD</v>
      </c>
      <c r="C148" s="3" t="str">
        <f>IFERROR(VLOOKUP($A148,[1]FINAL!$A$1:$Z$1000,MATCH([1]FINAL!$U$1,[1]FINAL!$A$1:$Z$1,0),0),"")</f>
        <v>CF</v>
      </c>
      <c r="D148" s="3" t="str">
        <f>IFERROR(VLOOKUP($A148,[1]FINAL!$A$1:$Z$1000,MATCH([1]FINAL!$V$1,[1]FINAL!$A$1:$Z$1,0),0),"")</f>
        <v>LEE</v>
      </c>
      <c r="E148" s="6">
        <f t="shared" si="10"/>
        <v>181095.23809523808</v>
      </c>
      <c r="F148" s="5">
        <f t="shared" si="11"/>
        <v>0.8571428571428571</v>
      </c>
      <c r="G148" s="5">
        <f>IFERROR(IF(H148&lt;&gt;"",H148,VLOOKUP($A148,[1]FINAL!$A$1:$BZ$1000,MATCH([1]FINAL!$BL$1,[1]FINAL!$A$1:$BZ$1,0),0)),0)</f>
        <v>0.8571428571428571</v>
      </c>
      <c r="I148" s="5">
        <f>IFERROR(IF(J148&lt;&gt;"",J148,(IF(VLOOKUP($A148,#REF!,MATCH(#REF!,#REF!,0),0)=0,G148,VLOOKUP($A148,#REF!,MATCH(#REF!,#REF!,0),0)))),G148)</f>
        <v>0.8571428571428571</v>
      </c>
      <c r="K148" s="6">
        <f>IFERROR(VLOOKUP($A148,#REF!,MATCH(#REF!,#REF!,0),0),0)</f>
        <v>0</v>
      </c>
      <c r="L148" s="6">
        <f>IFERROR(VLOOKUP($A148,[1]FINAL!$A$1:$BZ$1000,MATCH([1]FINAL!$BF$1,[1]FINAL!$A$1:$BZ$1,0),0),0)</f>
        <v>87</v>
      </c>
      <c r="M148" s="7">
        <f t="shared" si="12"/>
        <v>0.96666666666666667</v>
      </c>
      <c r="N148" s="6">
        <f>IFERROR(VLOOKUP($A148,#REF!,MATCH(#REF!,#REF!,0),0),0)</f>
        <v>0</v>
      </c>
      <c r="O148" s="7">
        <f t="shared" si="13"/>
        <v>0</v>
      </c>
      <c r="P148" s="10" t="str">
        <f>IFERROR(VLOOKUP($A148,[1]FINAL!$A$1:$BZ$1000,MATCH([1]FINAL!$BB$1,[1]FINAL!$A$1:$BZ$1,0),0),"")</f>
        <v/>
      </c>
      <c r="Q148" s="18">
        <f t="shared" si="14"/>
        <v>1</v>
      </c>
    </row>
    <row r="149" spans="1:17" x14ac:dyDescent="0.25">
      <c r="A149" s="14" t="str">
        <f>[1]FINAL!$A95</f>
        <v>Yéremy Pino Santos</v>
      </c>
      <c r="B149" s="20" t="str">
        <f>IFERROR(VLOOKUP($A149,[1]FINAL!$A$1:$Z$1000,MATCH([1]FINAL!$T$1,[1]FINAL!$A$1:$Z$1,0),0),"")</f>
        <v>MID</v>
      </c>
      <c r="C149" s="3" t="str">
        <f>IFERROR(VLOOKUP($A149,[1]FINAL!$A$1:$Z$1000,MATCH([1]FINAL!$U$1,[1]FINAL!$A$1:$Z$1,0),0),"")</f>
        <v/>
      </c>
      <c r="D149" s="3" t="str">
        <f>IFERROR(VLOOKUP($A149,[1]FINAL!$A$1:$Z$1000,MATCH([1]FINAL!$V$1,[1]FINAL!$A$1:$Z$1,0),0),"")</f>
        <v>CRY</v>
      </c>
      <c r="E149" s="6">
        <f t="shared" si="10"/>
        <v>152555.55555555556</v>
      </c>
      <c r="F149" s="5">
        <f t="shared" si="11"/>
        <v>0.72222222222222221</v>
      </c>
      <c r="G149" s="5">
        <f>IFERROR(IF(H149&lt;&gt;"",H149,VLOOKUP($A149,[1]FINAL!$A$1:$BZ$1000,MATCH([1]FINAL!$BL$1,[1]FINAL!$A$1:$BZ$1,0),0)),0)</f>
        <v>0.72222222222222221</v>
      </c>
      <c r="I149" s="5">
        <f>IFERROR(IF(J149&lt;&gt;"",J149,(IF(VLOOKUP($A149,#REF!,MATCH(#REF!,#REF!,0),0)=0,G149,VLOOKUP($A149,#REF!,MATCH(#REF!,#REF!,0),0)))),G149)</f>
        <v>0.72222222222222221</v>
      </c>
      <c r="K149" s="6">
        <f>IFERROR(VLOOKUP($A149,#REF!,MATCH(#REF!,#REF!,0),0),0)</f>
        <v>0</v>
      </c>
      <c r="L149" s="6">
        <f>IFERROR(VLOOKUP($A149,[1]FINAL!$A$1:$BZ$1000,MATCH([1]FINAL!$BF$1,[1]FINAL!$A$1:$BZ$1,0),0),0)</f>
        <v>73</v>
      </c>
      <c r="M149" s="7">
        <f t="shared" si="12"/>
        <v>0.81111111111111112</v>
      </c>
      <c r="N149" s="6">
        <f>IFERROR(VLOOKUP($A149,#REF!,MATCH(#REF!,#REF!,0),0),0)</f>
        <v>0</v>
      </c>
      <c r="O149" s="7">
        <f t="shared" si="13"/>
        <v>0</v>
      </c>
      <c r="P149" s="10" t="str">
        <f>IFERROR(VLOOKUP($A149,[1]FINAL!$A$1:$BZ$1000,MATCH([1]FINAL!$BB$1,[1]FINAL!$A$1:$BZ$1,0),0),"")</f>
        <v/>
      </c>
      <c r="Q149" s="18">
        <f t="shared" si="14"/>
        <v>1</v>
      </c>
    </row>
    <row r="150" spans="1:17" x14ac:dyDescent="0.25">
      <c r="A150" s="14" t="str">
        <f>[1]FINAL!$A105</f>
        <v>Karl Darlow</v>
      </c>
      <c r="B150" s="20" t="str">
        <f>IFERROR(VLOOKUP($A150,[1]FINAL!$A$1:$Z$1000,MATCH([1]FINAL!$T$1,[1]FINAL!$A$1:$Z$1,0),0),"")</f>
        <v>GK</v>
      </c>
      <c r="C150" s="3" t="str">
        <f>IFERROR(VLOOKUP($A150,[1]FINAL!$A$1:$Z$1000,MATCH([1]FINAL!$U$1,[1]FINAL!$A$1:$Z$1,0),0),"")</f>
        <v>GK</v>
      </c>
      <c r="D150" s="3" t="str">
        <f>IFERROR(VLOOKUP($A150,[1]FINAL!$A$1:$Z$1000,MATCH([1]FINAL!$V$1,[1]FINAL!$A$1:$Z$1,0),0),"")</f>
        <v>MUN</v>
      </c>
      <c r="E150" s="6">
        <f t="shared" si="10"/>
        <v>96689.189189189186</v>
      </c>
      <c r="F150" s="5">
        <f t="shared" si="11"/>
        <v>0.44594594594594594</v>
      </c>
      <c r="G150" s="5">
        <f>IFERROR(IF(H150&lt;&gt;"",H150,VLOOKUP($A150,[1]FINAL!$A$1:$BZ$1000,MATCH([1]FINAL!$BL$1,[1]FINAL!$A$1:$BZ$1,0),0)),0)</f>
        <v>0.59459459459459463</v>
      </c>
      <c r="I150" s="5">
        <f>IFERROR(IF(J150&lt;&gt;"",J150,(IF(VLOOKUP($A150,#REF!,MATCH(#REF!,#REF!,0),0)=0,G150,VLOOKUP($A150,#REF!,MATCH(#REF!,#REF!,0),0)))),G150)</f>
        <v>0.59459459459459463</v>
      </c>
      <c r="K150" s="6">
        <f>IFERROR(VLOOKUP($A150,#REF!,MATCH(#REF!,#REF!,0),0),0)</f>
        <v>0</v>
      </c>
      <c r="L150" s="6">
        <f>IFERROR(VLOOKUP($A150,[1]FINAL!$A$1:$BZ$1000,MATCH([1]FINAL!$BF$1,[1]FINAL!$A$1:$BZ$1,0),0),0)</f>
        <v>90</v>
      </c>
      <c r="M150" s="7">
        <f t="shared" si="12"/>
        <v>1</v>
      </c>
      <c r="N150" s="6">
        <f>IFERROR(VLOOKUP($A150,#REF!,MATCH(#REF!,#REF!,0),0),0)</f>
        <v>0</v>
      </c>
      <c r="O150" s="7">
        <f t="shared" si="13"/>
        <v>0</v>
      </c>
      <c r="P150" s="10">
        <f>IFERROR(VLOOKUP($A150,[1]FINAL!$A$1:$BZ$1000,MATCH([1]FINAL!$BB$1,[1]FINAL!$A$1:$BZ$1,0),0),"")</f>
        <v>75</v>
      </c>
      <c r="Q150" s="18">
        <f t="shared" si="14"/>
        <v>0.75</v>
      </c>
    </row>
    <row r="151" spans="1:17" x14ac:dyDescent="0.25">
      <c r="A151" s="14" t="str">
        <f>[1]FINAL!$A48</f>
        <v>Maxim De Cuyper</v>
      </c>
      <c r="B151" s="20" t="str">
        <f>IFERROR(VLOOKUP($A151,[1]FINAL!$A$1:$Z$1000,MATCH([1]FINAL!$T$1,[1]FINAL!$A$1:$Z$1,0),0),"")</f>
        <v>DEF</v>
      </c>
      <c r="C151" s="3" t="str">
        <f>IFERROR(VLOOKUP($A151,[1]FINAL!$A$1:$Z$1000,MATCH([1]FINAL!$U$1,[1]FINAL!$A$1:$Z$1,0),0),"")</f>
        <v>LB</v>
      </c>
      <c r="D151" s="3" t="str">
        <f>IFERROR(VLOOKUP($A151,[1]FINAL!$A$1:$Z$1000,MATCH([1]FINAL!$V$1,[1]FINAL!$A$1:$Z$1,0),0),"")</f>
        <v>BHA</v>
      </c>
      <c r="E151" s="6">
        <f t="shared" si="10"/>
        <v>102222.22222222222</v>
      </c>
      <c r="F151" s="5">
        <f t="shared" si="11"/>
        <v>0.47222222222222221</v>
      </c>
      <c r="G151" s="5">
        <f>IFERROR(IF(H151&lt;&gt;"",H151,VLOOKUP($A151,[1]FINAL!$A$1:$BZ$1000,MATCH([1]FINAL!$BL$1,[1]FINAL!$A$1:$BZ$1,0),0)),0)</f>
        <v>0.47222222222222221</v>
      </c>
      <c r="I151" s="5">
        <f>IFERROR(IF(J151&lt;&gt;"",J151,(IF(VLOOKUP($A151,#REF!,MATCH(#REF!,#REF!,0),0)=0,G151,VLOOKUP($A151,#REF!,MATCH(#REF!,#REF!,0),0)))),G151)</f>
        <v>0.47222222222222221</v>
      </c>
      <c r="K151" s="6">
        <f>IFERROR(VLOOKUP($A151,#REF!,MATCH(#REF!,#REF!,0),0),0)</f>
        <v>0</v>
      </c>
      <c r="L151" s="6">
        <f>IFERROR(VLOOKUP($A151,[1]FINAL!$A$1:$BZ$1000,MATCH([1]FINAL!$BF$1,[1]FINAL!$A$1:$BZ$1,0),0),0)</f>
        <v>70</v>
      </c>
      <c r="M151" s="7">
        <f t="shared" si="12"/>
        <v>0.77777777777777779</v>
      </c>
      <c r="N151" s="6">
        <f>IFERROR(VLOOKUP($A151,#REF!,MATCH(#REF!,#REF!,0),0),0)</f>
        <v>0</v>
      </c>
      <c r="O151" s="7">
        <f t="shared" si="13"/>
        <v>0</v>
      </c>
      <c r="P151" s="10" t="str">
        <f>IFERROR(VLOOKUP($A151,[1]FINAL!$A$1:$BZ$1000,MATCH([1]FINAL!$BB$1,[1]FINAL!$A$1:$BZ$1,0),0),"")</f>
        <v/>
      </c>
      <c r="Q151" s="18">
        <f t="shared" si="14"/>
        <v>1</v>
      </c>
    </row>
    <row r="152" spans="1:17" x14ac:dyDescent="0.25">
      <c r="A152" s="14" t="str">
        <f>[1]FINAL!$A388</f>
        <v>Tom King</v>
      </c>
      <c r="B152" s="20" t="str">
        <f>IFERROR(VLOOKUP($A152,[1]FINAL!$A$1:$Z$1000,MATCH([1]FINAL!$T$1,[1]FINAL!$A$1:$Z$1,0),0),"")</f>
        <v>GK</v>
      </c>
      <c r="C152" s="3" t="str">
        <f>IFERROR(VLOOKUP($A152,[1]FINAL!$A$1:$Z$1000,MATCH([1]FINAL!$U$1,[1]FINAL!$A$1:$Z$1,0),0),"")</f>
        <v>GK</v>
      </c>
      <c r="D152" s="3" t="str">
        <f>IFERROR(VLOOKUP($A152,[1]FINAL!$A$1:$Z$1000,MATCH([1]FINAL!$V$1,[1]FINAL!$A$1:$Z$1,0),0),"")</f>
        <v>EVE</v>
      </c>
      <c r="E152" s="6">
        <f t="shared" si="10"/>
        <v>0</v>
      </c>
      <c r="F152" s="5">
        <f t="shared" si="11"/>
        <v>0</v>
      </c>
      <c r="G152" s="5">
        <f>IFERROR(IF(H152&lt;&gt;"",H152,VLOOKUP($A152,[1]FINAL!$A$1:$BZ$1000,MATCH([1]FINAL!$BL$1,[1]FINAL!$A$1:$BZ$1,0),0)),0)</f>
        <v>0</v>
      </c>
      <c r="I152" s="5">
        <f>IFERROR(IF(J152&lt;&gt;"",J152,(IF(VLOOKUP($A152,#REF!,MATCH(#REF!,#REF!,0),0)=0,G152,VLOOKUP($A152,#REF!,MATCH(#REF!,#REF!,0),0)))),G152)</f>
        <v>0</v>
      </c>
      <c r="K152" s="6">
        <f>IFERROR(VLOOKUP($A152,#REF!,MATCH(#REF!,#REF!,0),0),0)</f>
        <v>0</v>
      </c>
      <c r="L152" s="6">
        <f>IFERROR(VLOOKUP($A152,[1]FINAL!$A$1:$BZ$1000,MATCH([1]FINAL!$BF$1,[1]FINAL!$A$1:$BZ$1,0),0),0)</f>
        <v>0</v>
      </c>
      <c r="M152" s="7">
        <f t="shared" si="12"/>
        <v>0</v>
      </c>
      <c r="N152" s="6">
        <f>IFERROR(VLOOKUP($A152,#REF!,MATCH(#REF!,#REF!,0),0),0)</f>
        <v>0</v>
      </c>
      <c r="O152" s="7">
        <f t="shared" si="13"/>
        <v>0</v>
      </c>
      <c r="P152" s="10" t="str">
        <f>IFERROR(VLOOKUP($A152,[1]FINAL!$A$1:$BZ$1000,MATCH([1]FINAL!$BB$1,[1]FINAL!$A$1:$BZ$1,0),0),"")</f>
        <v/>
      </c>
      <c r="Q152" s="18">
        <f t="shared" si="14"/>
        <v>1</v>
      </c>
    </row>
    <row r="153" spans="1:17" x14ac:dyDescent="0.25">
      <c r="A153" s="14" t="str">
        <f>[1]FINAL!$A232</f>
        <v>Evann Guessand</v>
      </c>
      <c r="B153" s="20" t="str">
        <f>IFERROR(VLOOKUP($A153,[1]FINAL!$A$1:$Z$1000,MATCH([1]FINAL!$T$1,[1]FINAL!$A$1:$Z$1,0),0),"")</f>
        <v>MID</v>
      </c>
      <c r="C153" s="3" t="str">
        <f>IFERROR(VLOOKUP($A153,[1]FINAL!$A$1:$Z$1000,MATCH([1]FINAL!$U$1,[1]FINAL!$A$1:$Z$1,0),0),"")</f>
        <v>RW</v>
      </c>
      <c r="D153" s="3" t="str">
        <f>IFERROR(VLOOKUP($A153,[1]FINAL!$A$1:$Z$1000,MATCH([1]FINAL!$V$1,[1]FINAL!$A$1:$Z$1,0),0),"")</f>
        <v>AVL</v>
      </c>
      <c r="E153" s="6">
        <f t="shared" si="10"/>
        <v>74111.111111111095</v>
      </c>
      <c r="F153" s="5">
        <f t="shared" si="11"/>
        <v>0.33333333333333331</v>
      </c>
      <c r="G153" s="5">
        <f>IFERROR(IF(H153&lt;&gt;"",H153,VLOOKUP($A153,[1]FINAL!$A$1:$BZ$1000,MATCH([1]FINAL!$BL$1,[1]FINAL!$A$1:$BZ$1,0),0)),0)</f>
        <v>0.33333333333333331</v>
      </c>
      <c r="I153" s="5">
        <f>IFERROR(IF(J153&lt;&gt;"",J153,(IF(VLOOKUP($A153,#REF!,MATCH(#REF!,#REF!,0),0)=0,G153,VLOOKUP($A153,#REF!,MATCH(#REF!,#REF!,0),0)))),G153)</f>
        <v>0.33333333333333331</v>
      </c>
      <c r="K153" s="6">
        <f>IFERROR(VLOOKUP($A153,#REF!,MATCH(#REF!,#REF!,0),0),0)</f>
        <v>0</v>
      </c>
      <c r="L153" s="6">
        <f>IFERROR(VLOOKUP($A153,[1]FINAL!$A$1:$BZ$1000,MATCH([1]FINAL!$BF$1,[1]FINAL!$A$1:$BZ$1,0),0),0)</f>
        <v>67</v>
      </c>
      <c r="M153" s="7">
        <f t="shared" si="12"/>
        <v>0.74444444444444446</v>
      </c>
      <c r="N153" s="6">
        <f>IFERROR(VLOOKUP($A153,#REF!,MATCH(#REF!,#REF!,0),0),0)</f>
        <v>0</v>
      </c>
      <c r="O153" s="7">
        <f t="shared" si="13"/>
        <v>0</v>
      </c>
      <c r="P153" s="10" t="str">
        <f>IFERROR(VLOOKUP($A153,[1]FINAL!$A$1:$BZ$1000,MATCH([1]FINAL!$BB$1,[1]FINAL!$A$1:$BZ$1,0),0),"")</f>
        <v/>
      </c>
      <c r="Q153" s="18">
        <f t="shared" si="14"/>
        <v>1</v>
      </c>
    </row>
    <row r="154" spans="1:17" x14ac:dyDescent="0.25">
      <c r="A154" s="14" t="str">
        <f>[1]FINAL!$A207</f>
        <v>Pedro Porro Sauceda</v>
      </c>
      <c r="B154" s="20" t="str">
        <f>IFERROR(VLOOKUP($A154,[1]FINAL!$A$1:$Z$1000,MATCH([1]FINAL!$T$1,[1]FINAL!$A$1:$Z$1,0),0),"")</f>
        <v>DEF</v>
      </c>
      <c r="C154" s="3" t="str">
        <f>IFERROR(VLOOKUP($A154,[1]FINAL!$A$1:$Z$1000,MATCH([1]FINAL!$U$1,[1]FINAL!$A$1:$Z$1,0),0),"")</f>
        <v>RB</v>
      </c>
      <c r="D154" s="3" t="str">
        <f>IFERROR(VLOOKUP($A154,[1]FINAL!$A$1:$Z$1000,MATCH([1]FINAL!$V$1,[1]FINAL!$A$1:$Z$1,0),0),"")</f>
        <v>TOT</v>
      </c>
      <c r="E154" s="6">
        <f t="shared" si="10"/>
        <v>197790.84967320261</v>
      </c>
      <c r="F154" s="5">
        <f t="shared" si="11"/>
        <v>0.94117647058823528</v>
      </c>
      <c r="G154" s="5">
        <f>IFERROR(IF(H154&lt;&gt;"",H154,VLOOKUP($A154,[1]FINAL!$A$1:$BZ$1000,MATCH([1]FINAL!$BL$1,[1]FINAL!$A$1:$BZ$1,0),0)),0)</f>
        <v>0.94117647058823528</v>
      </c>
      <c r="I154" s="5">
        <f>IFERROR(IF(J154&lt;&gt;"",J154,(IF(VLOOKUP($A154,#REF!,MATCH(#REF!,#REF!,0),0)=0,G154,VLOOKUP($A154,#REF!,MATCH(#REF!,#REF!,0),0)))),G154)</f>
        <v>0.94117647058823528</v>
      </c>
      <c r="K154" s="6">
        <f>IFERROR(VLOOKUP($A154,#REF!,MATCH(#REF!,#REF!,0),0),0)</f>
        <v>0</v>
      </c>
      <c r="L154" s="6">
        <f>IFERROR(VLOOKUP($A154,[1]FINAL!$A$1:$BZ$1000,MATCH([1]FINAL!$BF$1,[1]FINAL!$A$1:$BZ$1,0),0),0)</f>
        <v>86</v>
      </c>
      <c r="M154" s="7">
        <f t="shared" si="12"/>
        <v>0.9555555555555556</v>
      </c>
      <c r="N154" s="6">
        <f>IFERROR(VLOOKUP($A154,#REF!,MATCH(#REF!,#REF!,0),0),0)</f>
        <v>0</v>
      </c>
      <c r="O154" s="7">
        <f t="shared" si="13"/>
        <v>0</v>
      </c>
      <c r="P154" s="10" t="str">
        <f>IFERROR(VLOOKUP($A154,[1]FINAL!$A$1:$BZ$1000,MATCH([1]FINAL!$BB$1,[1]FINAL!$A$1:$BZ$1,0),0),"")</f>
        <v/>
      </c>
      <c r="Q154" s="18">
        <f t="shared" si="14"/>
        <v>1</v>
      </c>
    </row>
    <row r="155" spans="1:17" x14ac:dyDescent="0.25">
      <c r="A155" s="14" t="str">
        <f>[1]FINAL!$A83</f>
        <v>Junior Kroupi</v>
      </c>
      <c r="B155" s="20" t="str">
        <f>IFERROR(VLOOKUP($A155,[1]FINAL!$A$1:$Z$1000,MATCH([1]FINAL!$T$1,[1]FINAL!$A$1:$Z$1,0),0),"")</f>
        <v>MID</v>
      </c>
      <c r="C155" s="3" t="str">
        <f>IFERROR(VLOOKUP($A155,[1]FINAL!$A$1:$Z$1000,MATCH([1]FINAL!$U$1,[1]FINAL!$A$1:$Z$1,0),0),"")</f>
        <v>CF</v>
      </c>
      <c r="D155" s="3" t="str">
        <f>IFERROR(VLOOKUP($A155,[1]FINAL!$A$1:$Z$1000,MATCH([1]FINAL!$V$1,[1]FINAL!$A$1:$Z$1,0),0),"")</f>
        <v>BOU</v>
      </c>
      <c r="E155" s="6">
        <f t="shared" si="10"/>
        <v>118415.20467836258</v>
      </c>
      <c r="F155" s="5">
        <f t="shared" si="11"/>
        <v>0.55263157894736847</v>
      </c>
      <c r="G155" s="5">
        <f>IFERROR(IF(H155&lt;&gt;"",H155,VLOOKUP($A155,[1]FINAL!$A$1:$BZ$1000,MATCH([1]FINAL!$BL$1,[1]FINAL!$A$1:$BZ$1,0),0)),0)</f>
        <v>0.55263157894736847</v>
      </c>
      <c r="I155" s="5">
        <f>IFERROR(IF(J155&lt;&gt;"",J155,(IF(VLOOKUP($A155,#REF!,MATCH(#REF!,#REF!,0),0)=0,G155,VLOOKUP($A155,#REF!,MATCH(#REF!,#REF!,0),0)))),G155)</f>
        <v>0.55263157894736847</v>
      </c>
      <c r="K155" s="6">
        <f>IFERROR(VLOOKUP($A155,#REF!,MATCH(#REF!,#REF!,0),0),0)</f>
        <v>0</v>
      </c>
      <c r="L155" s="6">
        <f>IFERROR(VLOOKUP($A155,[1]FINAL!$A$1:$BZ$1000,MATCH([1]FINAL!$BF$1,[1]FINAL!$A$1:$BZ$1,0),0),0)</f>
        <v>71</v>
      </c>
      <c r="M155" s="7">
        <f t="shared" si="12"/>
        <v>0.78888888888888886</v>
      </c>
      <c r="N155" s="6">
        <f>IFERROR(VLOOKUP($A155,#REF!,MATCH(#REF!,#REF!,0),0),0)</f>
        <v>0</v>
      </c>
      <c r="O155" s="7">
        <f t="shared" si="13"/>
        <v>0</v>
      </c>
      <c r="P155" s="10" t="str">
        <f>IFERROR(VLOOKUP($A155,[1]FINAL!$A$1:$BZ$1000,MATCH([1]FINAL!$BB$1,[1]FINAL!$A$1:$BZ$1,0),0),"")</f>
        <v/>
      </c>
      <c r="Q155" s="18">
        <f t="shared" si="14"/>
        <v>1</v>
      </c>
    </row>
    <row r="156" spans="1:17" x14ac:dyDescent="0.25">
      <c r="A156" s="14" t="str">
        <f>[1]FINAL!$A226</f>
        <v>Noussair Mazraoui</v>
      </c>
      <c r="B156" s="20" t="str">
        <f>IFERROR(VLOOKUP($A156,[1]FINAL!$A$1:$Z$1000,MATCH([1]FINAL!$T$1,[1]FINAL!$A$1:$Z$1,0),0),"")</f>
        <v>DEF</v>
      </c>
      <c r="C156" s="3" t="str">
        <f>IFERROR(VLOOKUP($A156,[1]FINAL!$A$1:$Z$1000,MATCH([1]FINAL!$U$1,[1]FINAL!$A$1:$Z$1,0),0),"")</f>
        <v>RB</v>
      </c>
      <c r="D156" s="3" t="str">
        <f>IFERROR(VLOOKUP($A156,[1]FINAL!$A$1:$Z$1000,MATCH([1]FINAL!$V$1,[1]FINAL!$A$1:$Z$1,0),0),"")</f>
        <v>MUN</v>
      </c>
      <c r="E156" s="6">
        <f t="shared" si="10"/>
        <v>92615.38461538461</v>
      </c>
      <c r="F156" s="5">
        <f t="shared" si="11"/>
        <v>0.42307692307692307</v>
      </c>
      <c r="G156" s="5">
        <f>IFERROR(IF(H156&lt;&gt;"",H156,VLOOKUP($A156,[1]FINAL!$A$1:$BZ$1000,MATCH([1]FINAL!$BL$1,[1]FINAL!$A$1:$BZ$1,0),0)),0)</f>
        <v>0.42307692307692307</v>
      </c>
      <c r="I156" s="5">
        <f>IFERROR(IF(J156&lt;&gt;"",J156,(IF(VLOOKUP($A156,#REF!,MATCH(#REF!,#REF!,0),0)=0,G156,VLOOKUP($A156,#REF!,MATCH(#REF!,#REF!,0),0)))),G156)</f>
        <v>0.42307692307692307</v>
      </c>
      <c r="K156" s="6">
        <f>IFERROR(VLOOKUP($A156,#REF!,MATCH(#REF!,#REF!,0),0),0)</f>
        <v>0</v>
      </c>
      <c r="L156" s="6">
        <f>IFERROR(VLOOKUP($A156,[1]FINAL!$A$1:$BZ$1000,MATCH([1]FINAL!$BF$1,[1]FINAL!$A$1:$BZ$1,0),0),0)</f>
        <v>72</v>
      </c>
      <c r="M156" s="7">
        <f t="shared" si="12"/>
        <v>0.8</v>
      </c>
      <c r="N156" s="6">
        <f>IFERROR(VLOOKUP($A156,#REF!,MATCH(#REF!,#REF!,0),0),0)</f>
        <v>0</v>
      </c>
      <c r="O156" s="7">
        <f t="shared" si="13"/>
        <v>0</v>
      </c>
      <c r="P156" s="10" t="str">
        <f>IFERROR(VLOOKUP($A156,[1]FINAL!$A$1:$BZ$1000,MATCH([1]FINAL!$BB$1,[1]FINAL!$A$1:$BZ$1,0),0),"")</f>
        <v/>
      </c>
      <c r="Q156" s="18">
        <f t="shared" si="14"/>
        <v>1</v>
      </c>
    </row>
    <row r="157" spans="1:17" x14ac:dyDescent="0.25">
      <c r="A157" s="14" t="str">
        <f>[1]FINAL!$A21</f>
        <v>William Osula</v>
      </c>
      <c r="B157" s="20" t="str">
        <f>IFERROR(VLOOKUP($A157,[1]FINAL!$A$1:$Z$1000,MATCH([1]FINAL!$T$1,[1]FINAL!$A$1:$Z$1,0),0),"")</f>
        <v>FWD</v>
      </c>
      <c r="C157" s="3" t="str">
        <f>IFERROR(VLOOKUP($A157,[1]FINAL!$A$1:$Z$1000,MATCH([1]FINAL!$U$1,[1]FINAL!$A$1:$Z$1,0),0),"")</f>
        <v>CF</v>
      </c>
      <c r="D157" s="3" t="str">
        <f>IFERROR(VLOOKUP($A157,[1]FINAL!$A$1:$Z$1000,MATCH([1]FINAL!$V$1,[1]FINAL!$A$1:$Z$1,0),0),"")</f>
        <v>NEW</v>
      </c>
      <c r="E157" s="6">
        <f t="shared" si="10"/>
        <v>70094.017094017094</v>
      </c>
      <c r="F157" s="5">
        <f t="shared" si="11"/>
        <v>0.30769230769230771</v>
      </c>
      <c r="G157" s="5">
        <f>IFERROR(IF(H157&lt;&gt;"",H157,VLOOKUP($A157,[1]FINAL!$A$1:$BZ$1000,MATCH([1]FINAL!$BL$1,[1]FINAL!$A$1:$BZ$1,0),0)),0)</f>
        <v>0.30769230769230771</v>
      </c>
      <c r="I157" s="5">
        <f>IFERROR(IF(J157&lt;&gt;"",J157,(IF(VLOOKUP($A157,#REF!,MATCH(#REF!,#REF!,0),0)=0,G157,VLOOKUP($A157,#REF!,MATCH(#REF!,#REF!,0),0)))),G157)</f>
        <v>0.30769230769230771</v>
      </c>
      <c r="K157" s="6">
        <f>IFERROR(VLOOKUP($A157,#REF!,MATCH(#REF!,#REF!,0),0),0)</f>
        <v>0</v>
      </c>
      <c r="L157" s="6">
        <f>IFERROR(VLOOKUP($A157,[1]FINAL!$A$1:$BZ$1000,MATCH([1]FINAL!$BF$1,[1]FINAL!$A$1:$BZ$1,0),0),0)</f>
        <v>77</v>
      </c>
      <c r="M157" s="7">
        <f t="shared" si="12"/>
        <v>0.85555555555555551</v>
      </c>
      <c r="N157" s="6">
        <f>IFERROR(VLOOKUP($A157,#REF!,MATCH(#REF!,#REF!,0),0),0)</f>
        <v>0</v>
      </c>
      <c r="O157" s="7">
        <f t="shared" si="13"/>
        <v>0</v>
      </c>
      <c r="P157" s="10" t="str">
        <f>IFERROR(VLOOKUP($A157,[1]FINAL!$A$1:$BZ$1000,MATCH([1]FINAL!$BB$1,[1]FINAL!$A$1:$BZ$1,0),0),"")</f>
        <v/>
      </c>
      <c r="Q157" s="18">
        <f t="shared" si="14"/>
        <v>1</v>
      </c>
    </row>
    <row r="158" spans="1:17" x14ac:dyDescent="0.25">
      <c r="A158" s="14" t="str">
        <f>[1]FINAL!$A78</f>
        <v>Noah Okafor</v>
      </c>
      <c r="B158" s="20" t="str">
        <f>IFERROR(VLOOKUP($A158,[1]FINAL!$A$1:$Z$1000,MATCH([1]FINAL!$T$1,[1]FINAL!$A$1:$Z$1,0),0),"")</f>
        <v>MID</v>
      </c>
      <c r="C158" s="3" t="str">
        <f>IFERROR(VLOOKUP($A158,[1]FINAL!$A$1:$Z$1000,MATCH([1]FINAL!$U$1,[1]FINAL!$A$1:$Z$1,0),0),"")</f>
        <v>LW</v>
      </c>
      <c r="D158" s="3" t="str">
        <f>IFERROR(VLOOKUP($A158,[1]FINAL!$A$1:$Z$1000,MATCH([1]FINAL!$V$1,[1]FINAL!$A$1:$Z$1,0),0),"")</f>
        <v>LEE</v>
      </c>
      <c r="E158" s="6">
        <f t="shared" si="10"/>
        <v>139034.4827586207</v>
      </c>
      <c r="F158" s="5">
        <f t="shared" si="11"/>
        <v>0.65517241379310343</v>
      </c>
      <c r="G158" s="5">
        <f>IFERROR(IF(H158&lt;&gt;"",H158,VLOOKUP($A158,[1]FINAL!$A$1:$BZ$1000,MATCH([1]FINAL!$BL$1,[1]FINAL!$A$1:$BZ$1,0),0)),0)</f>
        <v>0.65517241379310343</v>
      </c>
      <c r="I158" s="5">
        <f>IFERROR(IF(J158&lt;&gt;"",J158,(IF(VLOOKUP($A158,#REF!,MATCH(#REF!,#REF!,0),0)=0,G158,VLOOKUP($A158,#REF!,MATCH(#REF!,#REF!,0),0)))),G158)</f>
        <v>0.65517241379310343</v>
      </c>
      <c r="K158" s="6">
        <f>IFERROR(VLOOKUP($A158,#REF!,MATCH(#REF!,#REF!,0),0),0)</f>
        <v>0</v>
      </c>
      <c r="L158" s="6">
        <f>IFERROR(VLOOKUP($A158,[1]FINAL!$A$1:$BZ$1000,MATCH([1]FINAL!$BF$1,[1]FINAL!$A$1:$BZ$1,0),0),0)</f>
        <v>72</v>
      </c>
      <c r="M158" s="7">
        <f t="shared" si="12"/>
        <v>0.8</v>
      </c>
      <c r="N158" s="6">
        <f>IFERROR(VLOOKUP($A158,#REF!,MATCH(#REF!,#REF!,0),0),0)</f>
        <v>0</v>
      </c>
      <c r="O158" s="7">
        <f t="shared" si="13"/>
        <v>0</v>
      </c>
      <c r="P158" s="10" t="str">
        <f>IFERROR(VLOOKUP($A158,[1]FINAL!$A$1:$BZ$1000,MATCH([1]FINAL!$BB$1,[1]FINAL!$A$1:$BZ$1,0),0),"")</f>
        <v/>
      </c>
      <c r="Q158" s="18">
        <f t="shared" si="14"/>
        <v>1</v>
      </c>
    </row>
    <row r="159" spans="1:17" x14ac:dyDescent="0.25">
      <c r="A159" s="14" t="str">
        <f>[1]FINAL!$A150</f>
        <v>Francisco Evanilson de Lima Barbosa</v>
      </c>
      <c r="B159" s="20" t="str">
        <f>IFERROR(VLOOKUP($A159,[1]FINAL!$A$1:$Z$1000,MATCH([1]FINAL!$T$1,[1]FINAL!$A$1:$Z$1,0),0),"")</f>
        <v>FWD</v>
      </c>
      <c r="C159" s="3" t="str">
        <f>IFERROR(VLOOKUP($A159,[1]FINAL!$A$1:$Z$1000,MATCH([1]FINAL!$U$1,[1]FINAL!$A$1:$Z$1,0),0),"")</f>
        <v>CF</v>
      </c>
      <c r="D159" s="3" t="str">
        <f>IFERROR(VLOOKUP($A159,[1]FINAL!$A$1:$Z$1000,MATCH([1]FINAL!$V$1,[1]FINAL!$A$1:$Z$1,0),0),"")</f>
        <v>BOU</v>
      </c>
      <c r="E159" s="6">
        <f t="shared" si="10"/>
        <v>186777.77777777778</v>
      </c>
      <c r="F159" s="5">
        <f t="shared" si="11"/>
        <v>0.88888888888888884</v>
      </c>
      <c r="G159" s="5">
        <f>IFERROR(IF(H159&lt;&gt;"",H159,VLOOKUP($A159,[1]FINAL!$A$1:$BZ$1000,MATCH([1]FINAL!$BL$1,[1]FINAL!$A$1:$BZ$1,0),0)),0)</f>
        <v>0.88888888888888884</v>
      </c>
      <c r="I159" s="5">
        <f>IFERROR(IF(J159&lt;&gt;"",J159,(IF(VLOOKUP($A159,#REF!,MATCH(#REF!,#REF!,0),0)=0,G159,VLOOKUP($A159,#REF!,MATCH(#REF!,#REF!,0),0)))),G159)</f>
        <v>0.88888888888888884</v>
      </c>
      <c r="K159" s="6">
        <f>IFERROR(VLOOKUP($A159,#REF!,MATCH(#REF!,#REF!,0),0),0)</f>
        <v>0</v>
      </c>
      <c r="L159" s="6">
        <f>IFERROR(VLOOKUP($A159,[1]FINAL!$A$1:$BZ$1000,MATCH([1]FINAL!$BF$1,[1]FINAL!$A$1:$BZ$1,0),0),0)</f>
        <v>81</v>
      </c>
      <c r="M159" s="7">
        <f t="shared" si="12"/>
        <v>0.9</v>
      </c>
      <c r="N159" s="6">
        <f>IFERROR(VLOOKUP($A159,#REF!,MATCH(#REF!,#REF!,0),0),0)</f>
        <v>0</v>
      </c>
      <c r="O159" s="7">
        <f t="shared" si="13"/>
        <v>0</v>
      </c>
      <c r="P159" s="10" t="str">
        <f>IFERROR(VLOOKUP($A159,[1]FINAL!$A$1:$BZ$1000,MATCH([1]FINAL!$BB$1,[1]FINAL!$A$1:$BZ$1,0),0),"")</f>
        <v/>
      </c>
      <c r="Q159" s="18">
        <f t="shared" si="14"/>
        <v>1</v>
      </c>
    </row>
    <row r="160" spans="1:17" x14ac:dyDescent="0.25">
      <c r="A160" s="14" t="str">
        <f>[1]FINAL!$A186</f>
        <v>Lucas Estella Perri</v>
      </c>
      <c r="B160" s="20" t="str">
        <f>IFERROR(VLOOKUP($A160,[1]FINAL!$A$1:$Z$1000,MATCH([1]FINAL!$T$1,[1]FINAL!$A$1:$Z$1,0),0),"")</f>
        <v>GK</v>
      </c>
      <c r="C160" s="3" t="str">
        <f>IFERROR(VLOOKUP($A160,[1]FINAL!$A$1:$Z$1000,MATCH([1]FINAL!$U$1,[1]FINAL!$A$1:$Z$1,0),0),"")</f>
        <v>GK</v>
      </c>
      <c r="D160" s="3" t="str">
        <f>IFERROR(VLOOKUP($A160,[1]FINAL!$A$1:$Z$1000,MATCH([1]FINAL!$V$1,[1]FINAL!$A$1:$Z$1,0),0),"")</f>
        <v>LEE</v>
      </c>
      <c r="E160" s="6">
        <f t="shared" si="10"/>
        <v>104117.64705882352</v>
      </c>
      <c r="F160" s="5">
        <f t="shared" si="11"/>
        <v>0.47058823529411764</v>
      </c>
      <c r="G160" s="5">
        <f>IFERROR(IF(H160&lt;&gt;"",H160,VLOOKUP($A160,[1]FINAL!$A$1:$BZ$1000,MATCH([1]FINAL!$BL$1,[1]FINAL!$A$1:$BZ$1,0),0)),0)</f>
        <v>0.47058823529411764</v>
      </c>
      <c r="I160" s="5">
        <f>IFERROR(IF(J160&lt;&gt;"",J160,(IF(VLOOKUP($A160,#REF!,MATCH(#REF!,#REF!,0),0)=0,G160,VLOOKUP($A160,#REF!,MATCH(#REF!,#REF!,0),0)))),G160)</f>
        <v>0.47058823529411764</v>
      </c>
      <c r="K160" s="6">
        <f>IFERROR(VLOOKUP($A160,#REF!,MATCH(#REF!,#REF!,0),0),0)</f>
        <v>0</v>
      </c>
      <c r="L160" s="6">
        <f>IFERROR(VLOOKUP($A160,[1]FINAL!$A$1:$BZ$1000,MATCH([1]FINAL!$BF$1,[1]FINAL!$A$1:$BZ$1,0),0),0)</f>
        <v>90</v>
      </c>
      <c r="M160" s="7">
        <f t="shared" si="12"/>
        <v>1</v>
      </c>
      <c r="N160" s="6">
        <f>IFERROR(VLOOKUP($A160,#REF!,MATCH(#REF!,#REF!,0),0),0)</f>
        <v>0</v>
      </c>
      <c r="O160" s="7">
        <f t="shared" si="13"/>
        <v>0</v>
      </c>
      <c r="P160" s="10" t="str">
        <f>IFERROR(VLOOKUP($A160,[1]FINAL!$A$1:$BZ$1000,MATCH([1]FINAL!$BB$1,[1]FINAL!$A$1:$BZ$1,0),0),"")</f>
        <v/>
      </c>
      <c r="Q160" s="18">
        <f t="shared" si="14"/>
        <v>1</v>
      </c>
    </row>
    <row r="161" spans="1:17" x14ac:dyDescent="0.25">
      <c r="A161" s="14" t="str">
        <f>[1]FINAL!$A286</f>
        <v>Trai Hume</v>
      </c>
      <c r="B161" s="20" t="str">
        <f>IFERROR(VLOOKUP($A161,[1]FINAL!$A$1:$Z$1000,MATCH([1]FINAL!$T$1,[1]FINAL!$A$1:$Z$1,0),0),"")</f>
        <v>DEF</v>
      </c>
      <c r="C161" s="3" t="str">
        <f>IFERROR(VLOOKUP($A161,[1]FINAL!$A$1:$Z$1000,MATCH([1]FINAL!$U$1,[1]FINAL!$A$1:$Z$1,0),0),"")</f>
        <v>RB</v>
      </c>
      <c r="D161" s="3" t="str">
        <f>IFERROR(VLOOKUP($A161,[1]FINAL!$A$1:$Z$1000,MATCH([1]FINAL!$V$1,[1]FINAL!$A$1:$Z$1,0),0),"")</f>
        <v>SUN</v>
      </c>
      <c r="E161" s="6">
        <f t="shared" si="10"/>
        <v>188614.0350877193</v>
      </c>
      <c r="F161" s="5">
        <f t="shared" si="11"/>
        <v>0.89473684210526316</v>
      </c>
      <c r="G161" s="5">
        <f>IFERROR(IF(H161&lt;&gt;"",H161,VLOOKUP($A161,[1]FINAL!$A$1:$BZ$1000,MATCH([1]FINAL!$BL$1,[1]FINAL!$A$1:$BZ$1,0),0)),0)</f>
        <v>0.89473684210526316</v>
      </c>
      <c r="I161" s="5">
        <f>IFERROR(IF(J161&lt;&gt;"",J161,(IF(VLOOKUP($A161,#REF!,MATCH(#REF!,#REF!,0),0)=0,G161,VLOOKUP($A161,#REF!,MATCH(#REF!,#REF!,0),0)))),G161)</f>
        <v>0.89473684210526316</v>
      </c>
      <c r="K161" s="6">
        <f>IFERROR(VLOOKUP($A161,#REF!,MATCH(#REF!,#REF!,0),0),0)</f>
        <v>0</v>
      </c>
      <c r="L161" s="6">
        <f>IFERROR(VLOOKUP($A161,[1]FINAL!$A$1:$BZ$1000,MATCH([1]FINAL!$BF$1,[1]FINAL!$A$1:$BZ$1,0),0),0)</f>
        <v>87</v>
      </c>
      <c r="M161" s="7">
        <f t="shared" si="12"/>
        <v>0.96666666666666667</v>
      </c>
      <c r="N161" s="6">
        <f>IFERROR(VLOOKUP($A161,#REF!,MATCH(#REF!,#REF!,0),0),0)</f>
        <v>0</v>
      </c>
      <c r="O161" s="7">
        <f t="shared" si="13"/>
        <v>0</v>
      </c>
      <c r="P161" s="10" t="str">
        <f>IFERROR(VLOOKUP($A161,[1]FINAL!$A$1:$BZ$1000,MATCH([1]FINAL!$BB$1,[1]FINAL!$A$1:$BZ$1,0),0),"")</f>
        <v/>
      </c>
      <c r="Q161" s="18">
        <f t="shared" si="14"/>
        <v>1</v>
      </c>
    </row>
    <row r="162" spans="1:17" x14ac:dyDescent="0.25">
      <c r="A162" s="14" t="str">
        <f>[1]FINAL!$A136</f>
        <v>Guglielmo Vicario</v>
      </c>
      <c r="B162" s="20" t="str">
        <f>IFERROR(VLOOKUP($A162,[1]FINAL!$A$1:$Z$1000,MATCH([1]FINAL!$T$1,[1]FINAL!$A$1:$Z$1,0),0),"")</f>
        <v>GK</v>
      </c>
      <c r="C162" s="3" t="str">
        <f>IFERROR(VLOOKUP($A162,[1]FINAL!$A$1:$Z$1000,MATCH([1]FINAL!$U$1,[1]FINAL!$A$1:$Z$1,0),0),"")</f>
        <v>GK</v>
      </c>
      <c r="D162" s="3" t="str">
        <f>IFERROR(VLOOKUP($A162,[1]FINAL!$A$1:$Z$1000,MATCH([1]FINAL!$V$1,[1]FINAL!$A$1:$Z$1,0),0),"")</f>
        <v>TOT</v>
      </c>
      <c r="E162" s="6">
        <f t="shared" si="10"/>
        <v>197878.7878787879</v>
      </c>
      <c r="F162" s="5">
        <f t="shared" si="11"/>
        <v>0.93939393939393945</v>
      </c>
      <c r="G162" s="5">
        <f>IFERROR(IF(H162&lt;&gt;"",H162,VLOOKUP($A162,[1]FINAL!$A$1:$BZ$1000,MATCH([1]FINAL!$BL$1,[1]FINAL!$A$1:$BZ$1,0),0)),0)</f>
        <v>0.93939393939393945</v>
      </c>
      <c r="I162" s="5">
        <f>IFERROR(IF(J162&lt;&gt;"",J162,(IF(VLOOKUP($A162,#REF!,MATCH(#REF!,#REF!,0),0)=0,G162,VLOOKUP($A162,#REF!,MATCH(#REF!,#REF!,0),0)))),G162)</f>
        <v>0.93939393939393945</v>
      </c>
      <c r="K162" s="6">
        <f>IFERROR(VLOOKUP($A162,#REF!,MATCH(#REF!,#REF!,0),0),0)</f>
        <v>0</v>
      </c>
      <c r="L162" s="6">
        <f>IFERROR(VLOOKUP($A162,[1]FINAL!$A$1:$BZ$1000,MATCH([1]FINAL!$BF$1,[1]FINAL!$A$1:$BZ$1,0),0),0)</f>
        <v>90</v>
      </c>
      <c r="M162" s="7">
        <f t="shared" si="12"/>
        <v>1</v>
      </c>
      <c r="N162" s="6">
        <f>IFERROR(VLOOKUP($A162,#REF!,MATCH(#REF!,#REF!,0),0),0)</f>
        <v>0</v>
      </c>
      <c r="O162" s="7">
        <f t="shared" si="13"/>
        <v>0</v>
      </c>
      <c r="P162" s="10" t="str">
        <f>IFERROR(VLOOKUP($A162,[1]FINAL!$A$1:$BZ$1000,MATCH([1]FINAL!$BB$1,[1]FINAL!$A$1:$BZ$1,0),0),"")</f>
        <v/>
      </c>
      <c r="Q162" s="18">
        <f t="shared" si="14"/>
        <v>1</v>
      </c>
    </row>
    <row r="163" spans="1:17" x14ac:dyDescent="0.25">
      <c r="A163" s="14" t="str">
        <f>[1]FINAL!$A375</f>
        <v>Ryan Yates</v>
      </c>
      <c r="B163" s="20" t="str">
        <f>IFERROR(VLOOKUP($A163,[1]FINAL!$A$1:$Z$1000,MATCH([1]FINAL!$T$1,[1]FINAL!$A$1:$Z$1,0),0),"")</f>
        <v>MID</v>
      </c>
      <c r="C163" s="3" t="str">
        <f>IFERROR(VLOOKUP($A163,[1]FINAL!$A$1:$Z$1000,MATCH([1]FINAL!$U$1,[1]FINAL!$A$1:$Z$1,0),0),"")</f>
        <v>CM</v>
      </c>
      <c r="D163" s="3" t="str">
        <f>IFERROR(VLOOKUP($A163,[1]FINAL!$A$1:$Z$1000,MATCH([1]FINAL!$V$1,[1]FINAL!$A$1:$Z$1,0),0),"")</f>
        <v>NFO</v>
      </c>
      <c r="E163" s="6">
        <f t="shared" si="10"/>
        <v>21055.555555555555</v>
      </c>
      <c r="F163" s="5">
        <f t="shared" si="11"/>
        <v>6.25E-2</v>
      </c>
      <c r="G163" s="5">
        <f>IFERROR(IF(H163&lt;&gt;"",H163,VLOOKUP($A163,[1]FINAL!$A$1:$BZ$1000,MATCH([1]FINAL!$BL$1,[1]FINAL!$A$1:$BZ$1,0),0)),0)</f>
        <v>6.25E-2</v>
      </c>
      <c r="I163" s="5">
        <f>IFERROR(IF(J163&lt;&gt;"",J163,(IF(VLOOKUP($A163,#REF!,MATCH(#REF!,#REF!,0),0)=0,G163,VLOOKUP($A163,#REF!,MATCH(#REF!,#REF!,0),0)))),G163)</f>
        <v>6.25E-2</v>
      </c>
      <c r="K163" s="6">
        <f>IFERROR(VLOOKUP($A163,#REF!,MATCH(#REF!,#REF!,0),0),0)</f>
        <v>0</v>
      </c>
      <c r="L163" s="6">
        <f>IFERROR(VLOOKUP($A163,[1]FINAL!$A$1:$BZ$1000,MATCH([1]FINAL!$BF$1,[1]FINAL!$A$1:$BZ$1,0),0),0)</f>
        <v>77</v>
      </c>
      <c r="M163" s="7">
        <f t="shared" si="12"/>
        <v>0.85555555555555551</v>
      </c>
      <c r="N163" s="6">
        <f>IFERROR(VLOOKUP($A163,#REF!,MATCH(#REF!,#REF!,0),0),0)</f>
        <v>0</v>
      </c>
      <c r="O163" s="7">
        <f t="shared" si="13"/>
        <v>0</v>
      </c>
      <c r="P163" s="10" t="str">
        <f>IFERROR(VLOOKUP($A163,[1]FINAL!$A$1:$BZ$1000,MATCH([1]FINAL!$BB$1,[1]FINAL!$A$1:$BZ$1,0),0),"")</f>
        <v/>
      </c>
      <c r="Q163" s="18">
        <f t="shared" si="14"/>
        <v>1</v>
      </c>
    </row>
    <row r="164" spans="1:17" x14ac:dyDescent="0.25">
      <c r="A164" s="14" t="str">
        <f>[1]FINAL!$A168</f>
        <v>Jordan Pickford</v>
      </c>
      <c r="B164" s="20" t="str">
        <f>IFERROR(VLOOKUP($A164,[1]FINAL!$A$1:$Z$1000,MATCH([1]FINAL!$T$1,[1]FINAL!$A$1:$Z$1,0),0),"")</f>
        <v>GK</v>
      </c>
      <c r="C164" s="3" t="str">
        <f>IFERROR(VLOOKUP($A164,[1]FINAL!$A$1:$Z$1000,MATCH([1]FINAL!$U$1,[1]FINAL!$A$1:$Z$1,0),0),"")</f>
        <v>GK</v>
      </c>
      <c r="D164" s="3" t="str">
        <f>IFERROR(VLOOKUP($A164,[1]FINAL!$A$1:$Z$1000,MATCH([1]FINAL!$V$1,[1]FINAL!$A$1:$Z$1,0),0),"")</f>
        <v>EVE</v>
      </c>
      <c r="E164" s="6">
        <f t="shared" si="10"/>
        <v>210000</v>
      </c>
      <c r="F164" s="5">
        <f t="shared" si="11"/>
        <v>1</v>
      </c>
      <c r="G164" s="5">
        <f>IFERROR(IF(H164&lt;&gt;"",H164,VLOOKUP($A164,[1]FINAL!$A$1:$BZ$1000,MATCH([1]FINAL!$BL$1,[1]FINAL!$A$1:$BZ$1,0),0)),0)</f>
        <v>1</v>
      </c>
      <c r="I164" s="5">
        <f>IFERROR(IF(J164&lt;&gt;"",J164,(IF(VLOOKUP($A164,#REF!,MATCH(#REF!,#REF!,0),0)=0,G164,VLOOKUP($A164,#REF!,MATCH(#REF!,#REF!,0),0)))),G164)</f>
        <v>1</v>
      </c>
      <c r="K164" s="6">
        <f>IFERROR(VLOOKUP($A164,#REF!,MATCH(#REF!,#REF!,0),0),0)</f>
        <v>0</v>
      </c>
      <c r="L164" s="6">
        <f>IFERROR(VLOOKUP($A164,[1]FINAL!$A$1:$BZ$1000,MATCH([1]FINAL!$BF$1,[1]FINAL!$A$1:$BZ$1,0),0),0)</f>
        <v>90</v>
      </c>
      <c r="M164" s="7">
        <f t="shared" si="12"/>
        <v>1</v>
      </c>
      <c r="N164" s="6">
        <f>IFERROR(VLOOKUP($A164,#REF!,MATCH(#REF!,#REF!,0),0),0)</f>
        <v>0</v>
      </c>
      <c r="O164" s="7">
        <f t="shared" si="13"/>
        <v>0</v>
      </c>
      <c r="P164" s="10" t="str">
        <f>IFERROR(VLOOKUP($A164,[1]FINAL!$A$1:$BZ$1000,MATCH([1]FINAL!$BB$1,[1]FINAL!$A$1:$BZ$1,0),0),"")</f>
        <v/>
      </c>
      <c r="Q164" s="18">
        <f t="shared" si="14"/>
        <v>1</v>
      </c>
    </row>
    <row r="165" spans="1:17" x14ac:dyDescent="0.25">
      <c r="A165" s="14" t="str">
        <f>[1]FINAL!$A258</f>
        <v>Tom Cairney</v>
      </c>
      <c r="B165" s="20" t="str">
        <f>IFERROR(VLOOKUP($A165,[1]FINAL!$A$1:$Z$1000,MATCH([1]FINAL!$T$1,[1]FINAL!$A$1:$Z$1,0),0),"")</f>
        <v>MID</v>
      </c>
      <c r="C165" s="3" t="str">
        <f>IFERROR(VLOOKUP($A165,[1]FINAL!$A$1:$Z$1000,MATCH([1]FINAL!$U$1,[1]FINAL!$A$1:$Z$1,0),0),"")</f>
        <v>CM</v>
      </c>
      <c r="D165" s="3" t="str">
        <f>IFERROR(VLOOKUP($A165,[1]FINAL!$A$1:$Z$1000,MATCH([1]FINAL!$V$1,[1]FINAL!$A$1:$Z$1,0),0),"")</f>
        <v>FUL</v>
      </c>
      <c r="E165" s="6">
        <f t="shared" si="10"/>
        <v>41222.222222222219</v>
      </c>
      <c r="F165" s="5">
        <f t="shared" si="11"/>
        <v>0.16666666666666666</v>
      </c>
      <c r="G165" s="5">
        <f>IFERROR(IF(H165&lt;&gt;"",H165,VLOOKUP($A165,[1]FINAL!$A$1:$BZ$1000,MATCH([1]FINAL!$BL$1,[1]FINAL!$A$1:$BZ$1,0),0)),0)</f>
        <v>0.16666666666666666</v>
      </c>
      <c r="I165" s="5">
        <f>IFERROR(IF(J165&lt;&gt;"",J165,(IF(VLOOKUP($A165,#REF!,MATCH(#REF!,#REF!,0),0)=0,G165,VLOOKUP($A165,#REF!,MATCH(#REF!,#REF!,0),0)))),G165)</f>
        <v>0.16666666666666666</v>
      </c>
      <c r="K165" s="6">
        <f>IFERROR(VLOOKUP($A165,#REF!,MATCH(#REF!,#REF!,0),0),0)</f>
        <v>0</v>
      </c>
      <c r="L165" s="6">
        <f>IFERROR(VLOOKUP($A165,[1]FINAL!$A$1:$BZ$1000,MATCH([1]FINAL!$BF$1,[1]FINAL!$A$1:$BZ$1,0),0),0)</f>
        <v>71</v>
      </c>
      <c r="M165" s="7">
        <f t="shared" si="12"/>
        <v>0.78888888888888886</v>
      </c>
      <c r="N165" s="6">
        <f>IFERROR(VLOOKUP($A165,#REF!,MATCH(#REF!,#REF!,0),0),0)</f>
        <v>0</v>
      </c>
      <c r="O165" s="7">
        <f t="shared" si="13"/>
        <v>0</v>
      </c>
      <c r="P165" s="10" t="str">
        <f>IFERROR(VLOOKUP($A165,[1]FINAL!$A$1:$BZ$1000,MATCH([1]FINAL!$BB$1,[1]FINAL!$A$1:$BZ$1,0),0),"")</f>
        <v/>
      </c>
      <c r="Q165" s="18">
        <f t="shared" si="14"/>
        <v>1</v>
      </c>
    </row>
    <row r="166" spans="1:17" x14ac:dyDescent="0.25">
      <c r="A166" s="14" t="str">
        <f>[1]FINAL!$A77</f>
        <v>Marc Guéhi</v>
      </c>
      <c r="B166" s="20" t="str">
        <f>IFERROR(VLOOKUP($A166,[1]FINAL!$A$1:$Z$1000,MATCH([1]FINAL!$T$1,[1]FINAL!$A$1:$Z$1,0),0),"")</f>
        <v>DEF</v>
      </c>
      <c r="C166" s="3" t="str">
        <f>IFERROR(VLOOKUP($A166,[1]FINAL!$A$1:$Z$1000,MATCH([1]FINAL!$U$1,[1]FINAL!$A$1:$Z$1,0),0),"")</f>
        <v>CB</v>
      </c>
      <c r="D166" s="3" t="str">
        <f>IFERROR(VLOOKUP($A166,[1]FINAL!$A$1:$Z$1000,MATCH([1]FINAL!$V$1,[1]FINAL!$A$1:$Z$1,0),0),"")</f>
        <v>MCI</v>
      </c>
      <c r="E166" s="6">
        <f t="shared" si="10"/>
        <v>210000</v>
      </c>
      <c r="F166" s="5">
        <f t="shared" si="11"/>
        <v>1</v>
      </c>
      <c r="G166" s="5">
        <f>IFERROR(IF(H166&lt;&gt;"",H166,VLOOKUP($A166,[1]FINAL!$A$1:$BZ$1000,MATCH([1]FINAL!$BL$1,[1]FINAL!$A$1:$BZ$1,0),0)),0)</f>
        <v>1</v>
      </c>
      <c r="I166" s="5">
        <f>IFERROR(IF(J166&lt;&gt;"",J166,(IF(VLOOKUP($A166,#REF!,MATCH(#REF!,#REF!,0),0)=0,G166,VLOOKUP($A166,#REF!,MATCH(#REF!,#REF!,0),0)))),G166)</f>
        <v>1</v>
      </c>
      <c r="K166" s="6">
        <f>IFERROR(VLOOKUP($A166,#REF!,MATCH(#REF!,#REF!,0),0),0)</f>
        <v>0</v>
      </c>
      <c r="L166" s="6">
        <f>IFERROR(VLOOKUP($A166,[1]FINAL!$A$1:$BZ$1000,MATCH([1]FINAL!$BF$1,[1]FINAL!$A$1:$BZ$1,0),0),0)</f>
        <v>90</v>
      </c>
      <c r="M166" s="7">
        <f t="shared" si="12"/>
        <v>1</v>
      </c>
      <c r="N166" s="6">
        <f>IFERROR(VLOOKUP($A166,#REF!,MATCH(#REF!,#REF!,0),0),0)</f>
        <v>0</v>
      </c>
      <c r="O166" s="7">
        <f t="shared" si="13"/>
        <v>0</v>
      </c>
      <c r="P166" s="10" t="str">
        <f>IFERROR(VLOOKUP($A166,[1]FINAL!$A$1:$BZ$1000,MATCH([1]FINAL!$BB$1,[1]FINAL!$A$1:$BZ$1,0),0),"")</f>
        <v/>
      </c>
      <c r="Q166" s="18">
        <f t="shared" si="14"/>
        <v>1</v>
      </c>
    </row>
    <row r="167" spans="1:17" x14ac:dyDescent="0.25">
      <c r="A167" s="14" t="str">
        <f>[1]FINAL!$A255</f>
        <v>Harvey Elliott</v>
      </c>
      <c r="B167" s="20" t="str">
        <f>IFERROR(VLOOKUP($A167,[1]FINAL!$A$1:$Z$1000,MATCH([1]FINAL!$T$1,[1]FINAL!$A$1:$Z$1,0),0),"")</f>
        <v>MID</v>
      </c>
      <c r="C167" s="3" t="str">
        <f>IFERROR(VLOOKUP($A167,[1]FINAL!$A$1:$Z$1000,MATCH([1]FINAL!$U$1,[1]FINAL!$A$1:$Z$1,0),0),"")</f>
        <v>AM</v>
      </c>
      <c r="D167" s="3" t="str">
        <f>IFERROR(VLOOKUP($A167,[1]FINAL!$A$1:$Z$1000,MATCH([1]FINAL!$V$1,[1]FINAL!$A$1:$Z$1,0),0),"")</f>
        <v>LIV</v>
      </c>
      <c r="E167" s="6">
        <f t="shared" si="10"/>
        <v>30000</v>
      </c>
      <c r="F167" s="5">
        <f t="shared" si="11"/>
        <v>0.125</v>
      </c>
      <c r="G167" s="5">
        <f>IFERROR(IF(H167&lt;&gt;"",H167,VLOOKUP($A167,[1]FINAL!$A$1:$BZ$1000,MATCH([1]FINAL!$BL$1,[1]FINAL!$A$1:$BZ$1,0),0)),0)</f>
        <v>0.125</v>
      </c>
      <c r="I167" s="5">
        <f>IFERROR(IF(J167&lt;&gt;"",J167,(IF(VLOOKUP($A167,#REF!,MATCH(#REF!,#REF!,0),0)=0,G167,VLOOKUP($A167,#REF!,MATCH(#REF!,#REF!,0),0)))),G167)</f>
        <v>0.125</v>
      </c>
      <c r="K167" s="6">
        <f>IFERROR(VLOOKUP($A167,#REF!,MATCH(#REF!,#REF!,0),0),0)</f>
        <v>0</v>
      </c>
      <c r="L167" s="6">
        <f>IFERROR(VLOOKUP($A167,[1]FINAL!$A$1:$BZ$1000,MATCH([1]FINAL!$BF$1,[1]FINAL!$A$1:$BZ$1,0),0),0)</f>
        <v>45</v>
      </c>
      <c r="M167" s="7">
        <f t="shared" si="12"/>
        <v>0.5</v>
      </c>
      <c r="N167" s="6">
        <f>IFERROR(VLOOKUP($A167,#REF!,MATCH(#REF!,#REF!,0),0),0)</f>
        <v>0</v>
      </c>
      <c r="O167" s="7">
        <f t="shared" si="13"/>
        <v>0</v>
      </c>
      <c r="P167" s="10" t="str">
        <f>IFERROR(VLOOKUP($A167,[1]FINAL!$A$1:$BZ$1000,MATCH([1]FINAL!$BB$1,[1]FINAL!$A$1:$BZ$1,0),0),"")</f>
        <v/>
      </c>
      <c r="Q167" s="18">
        <f t="shared" si="14"/>
        <v>1</v>
      </c>
    </row>
    <row r="168" spans="1:17" x14ac:dyDescent="0.25">
      <c r="A168" s="14" t="str">
        <f>[1]FINAL!$A64</f>
        <v>Eberechi Eze</v>
      </c>
      <c r="B168" s="20" t="str">
        <f>IFERROR(VLOOKUP($A168,[1]FINAL!$A$1:$Z$1000,MATCH([1]FINAL!$T$1,[1]FINAL!$A$1:$Z$1,0),0),"")</f>
        <v>MID</v>
      </c>
      <c r="C168" s="3" t="str">
        <f>IFERROR(VLOOKUP($A168,[1]FINAL!$A$1:$Z$1000,MATCH([1]FINAL!$U$1,[1]FINAL!$A$1:$Z$1,0),0),"")</f>
        <v>AM</v>
      </c>
      <c r="D168" s="3" t="str">
        <f>IFERROR(VLOOKUP($A168,[1]FINAL!$A$1:$Z$1000,MATCH([1]FINAL!$V$1,[1]FINAL!$A$1:$Z$1,0),0),"")</f>
        <v>ARS</v>
      </c>
      <c r="E168" s="6">
        <f t="shared" si="10"/>
        <v>124888.88888888889</v>
      </c>
      <c r="F168" s="5">
        <f t="shared" si="11"/>
        <v>0.58333333333333337</v>
      </c>
      <c r="G168" s="5">
        <f>IFERROR(IF(H168&lt;&gt;"",H168,VLOOKUP($A168,[1]FINAL!$A$1:$BZ$1000,MATCH([1]FINAL!$BL$1,[1]FINAL!$A$1:$BZ$1,0),0)),0)</f>
        <v>0.58333333333333337</v>
      </c>
      <c r="I168" s="5">
        <f>IFERROR(IF(J168&lt;&gt;"",J168,(IF(VLOOKUP($A168,#REF!,MATCH(#REF!,#REF!,0),0)=0,G168,VLOOKUP($A168,#REF!,MATCH(#REF!,#REF!,0),0)))),G168)</f>
        <v>0.58333333333333337</v>
      </c>
      <c r="K168" s="6">
        <f>IFERROR(VLOOKUP($A168,#REF!,MATCH(#REF!,#REF!,0),0),0)</f>
        <v>0</v>
      </c>
      <c r="L168" s="6">
        <f>IFERROR(VLOOKUP($A168,[1]FINAL!$A$1:$BZ$1000,MATCH([1]FINAL!$BF$1,[1]FINAL!$A$1:$BZ$1,0),0),0)</f>
        <v>74</v>
      </c>
      <c r="M168" s="7">
        <f t="shared" si="12"/>
        <v>0.82222222222222219</v>
      </c>
      <c r="N168" s="6">
        <f>IFERROR(VLOOKUP($A168,#REF!,MATCH(#REF!,#REF!,0),0),0)</f>
        <v>0</v>
      </c>
      <c r="O168" s="7">
        <f t="shared" si="13"/>
        <v>0</v>
      </c>
      <c r="P168" s="10" t="str">
        <f>IFERROR(VLOOKUP($A168,[1]FINAL!$A$1:$BZ$1000,MATCH([1]FINAL!$BB$1,[1]FINAL!$A$1:$BZ$1,0),0),"")</f>
        <v/>
      </c>
      <c r="Q168" s="18">
        <f t="shared" si="14"/>
        <v>1</v>
      </c>
    </row>
    <row r="169" spans="1:17" x14ac:dyDescent="0.25">
      <c r="A169" s="14" t="str">
        <f>[1]FINAL!$A165</f>
        <v>Curtis Jones</v>
      </c>
      <c r="B169" s="20" t="str">
        <f>IFERROR(VLOOKUP($A169,[1]FINAL!$A$1:$Z$1000,MATCH([1]FINAL!$T$1,[1]FINAL!$A$1:$Z$1,0),0),"")</f>
        <v>MID</v>
      </c>
      <c r="C169" s="3" t="str">
        <f>IFERROR(VLOOKUP($A169,[1]FINAL!$A$1:$Z$1000,MATCH([1]FINAL!$U$1,[1]FINAL!$A$1:$Z$1,0),0),"")</f>
        <v>CM</v>
      </c>
      <c r="D169" s="3" t="str">
        <f>IFERROR(VLOOKUP($A169,[1]FINAL!$A$1:$Z$1000,MATCH([1]FINAL!$V$1,[1]FINAL!$A$1:$Z$1,0),0),"")</f>
        <v>LIV</v>
      </c>
      <c r="E169" s="6">
        <f t="shared" si="10"/>
        <v>109222.22222222222</v>
      </c>
      <c r="F169" s="5">
        <f t="shared" si="11"/>
        <v>0.5</v>
      </c>
      <c r="G169" s="5">
        <f>IFERROR(IF(H169&lt;&gt;"",H169,VLOOKUP($A169,[1]FINAL!$A$1:$BZ$1000,MATCH([1]FINAL!$BL$1,[1]FINAL!$A$1:$BZ$1,0),0)),0)</f>
        <v>0.5</v>
      </c>
      <c r="I169" s="5">
        <f>IFERROR(IF(J169&lt;&gt;"",J169,(IF(VLOOKUP($A169,#REF!,MATCH(#REF!,#REF!,0),0)=0,G169,VLOOKUP($A169,#REF!,MATCH(#REF!,#REF!,0),0)))),G169)</f>
        <v>0.5</v>
      </c>
      <c r="K169" s="6">
        <f>IFERROR(VLOOKUP($A169,#REF!,MATCH(#REF!,#REF!,0),0),0)</f>
        <v>0</v>
      </c>
      <c r="L169" s="6">
        <f>IFERROR(VLOOKUP($A169,[1]FINAL!$A$1:$BZ$1000,MATCH([1]FINAL!$BF$1,[1]FINAL!$A$1:$BZ$1,0),0),0)</f>
        <v>83</v>
      </c>
      <c r="M169" s="7">
        <f t="shared" si="12"/>
        <v>0.92222222222222228</v>
      </c>
      <c r="N169" s="6">
        <f>IFERROR(VLOOKUP($A169,#REF!,MATCH(#REF!,#REF!,0),0),0)</f>
        <v>0</v>
      </c>
      <c r="O169" s="7">
        <f t="shared" si="13"/>
        <v>0</v>
      </c>
      <c r="P169" s="10" t="str">
        <f>IFERROR(VLOOKUP($A169,[1]FINAL!$A$1:$BZ$1000,MATCH([1]FINAL!$BB$1,[1]FINAL!$A$1:$BZ$1,0),0),"")</f>
        <v/>
      </c>
      <c r="Q169" s="18">
        <f t="shared" si="14"/>
        <v>1</v>
      </c>
    </row>
    <row r="170" spans="1:17" x14ac:dyDescent="0.25">
      <c r="A170" s="14" t="str">
        <f>[1]FINAL!$A242</f>
        <v>Ryan Christie</v>
      </c>
      <c r="B170" s="20" t="str">
        <f>IFERROR(VLOOKUP($A170,[1]FINAL!$A$1:$Z$1000,MATCH([1]FINAL!$T$1,[1]FINAL!$A$1:$Z$1,0),0),"")</f>
        <v>MID</v>
      </c>
      <c r="C170" s="3" t="str">
        <f>IFERROR(VLOOKUP($A170,[1]FINAL!$A$1:$Z$1000,MATCH([1]FINAL!$U$1,[1]FINAL!$A$1:$Z$1,0),0),"")</f>
        <v>CM</v>
      </c>
      <c r="D170" s="3" t="str">
        <f>IFERROR(VLOOKUP($A170,[1]FINAL!$A$1:$Z$1000,MATCH([1]FINAL!$V$1,[1]FINAL!$A$1:$Z$1,0),0),"")</f>
        <v>BOU</v>
      </c>
      <c r="E170" s="6">
        <f t="shared" si="10"/>
        <v>73888.888888888876</v>
      </c>
      <c r="F170" s="5">
        <f t="shared" si="11"/>
        <v>0.33333333333333331</v>
      </c>
      <c r="G170" s="5">
        <f>IFERROR(IF(H170&lt;&gt;"",H170,VLOOKUP($A170,[1]FINAL!$A$1:$BZ$1000,MATCH([1]FINAL!$BL$1,[1]FINAL!$A$1:$BZ$1,0),0)),0)</f>
        <v>0.33333333333333331</v>
      </c>
      <c r="I170" s="5">
        <f>IFERROR(IF(J170&lt;&gt;"",J170,(IF(VLOOKUP($A170,#REF!,MATCH(#REF!,#REF!,0),0)=0,G170,VLOOKUP($A170,#REF!,MATCH(#REF!,#REF!,0),0)))),G170)</f>
        <v>0.33333333333333331</v>
      </c>
      <c r="K170" s="6">
        <f>IFERROR(VLOOKUP($A170,#REF!,MATCH(#REF!,#REF!,0),0),0)</f>
        <v>0</v>
      </c>
      <c r="L170" s="6">
        <f>IFERROR(VLOOKUP($A170,[1]FINAL!$A$1:$BZ$1000,MATCH([1]FINAL!$BF$1,[1]FINAL!$A$1:$BZ$1,0),0),0)</f>
        <v>65</v>
      </c>
      <c r="M170" s="7">
        <f t="shared" si="12"/>
        <v>0.72222222222222221</v>
      </c>
      <c r="N170" s="6">
        <f>IFERROR(VLOOKUP($A170,#REF!,MATCH(#REF!,#REF!,0),0),0)</f>
        <v>0</v>
      </c>
      <c r="O170" s="7">
        <f t="shared" si="13"/>
        <v>0</v>
      </c>
      <c r="P170" s="10" t="str">
        <f>IFERROR(VLOOKUP($A170,[1]FINAL!$A$1:$BZ$1000,MATCH([1]FINAL!$BB$1,[1]FINAL!$A$1:$BZ$1,0),0),"")</f>
        <v/>
      </c>
      <c r="Q170" s="18">
        <f t="shared" si="14"/>
        <v>1</v>
      </c>
    </row>
    <row r="171" spans="1:17" x14ac:dyDescent="0.25">
      <c r="A171" s="14" t="str">
        <f>[1]FINAL!$A76</f>
        <v>Richarlison de Andrade</v>
      </c>
      <c r="B171" s="20" t="str">
        <f>IFERROR(VLOOKUP($A171,[1]FINAL!$A$1:$Z$1000,MATCH([1]FINAL!$T$1,[1]FINAL!$A$1:$Z$1,0),0),"")</f>
        <v>FWD</v>
      </c>
      <c r="C171" s="3" t="str">
        <f>IFERROR(VLOOKUP($A171,[1]FINAL!$A$1:$Z$1000,MATCH([1]FINAL!$U$1,[1]FINAL!$A$1:$Z$1,0),0),"")</f>
        <v>CF</v>
      </c>
      <c r="D171" s="3" t="str">
        <f>IFERROR(VLOOKUP($A171,[1]FINAL!$A$1:$Z$1000,MATCH([1]FINAL!$V$1,[1]FINAL!$A$1:$Z$1,0),0),"")</f>
        <v>TOT</v>
      </c>
      <c r="E171" s="6">
        <f t="shared" si="10"/>
        <v>130434.34343434343</v>
      </c>
      <c r="F171" s="5">
        <f t="shared" si="11"/>
        <v>0.60606060606060608</v>
      </c>
      <c r="G171" s="5">
        <f>IFERROR(IF(H171&lt;&gt;"",H171,VLOOKUP($A171,[1]FINAL!$A$1:$BZ$1000,MATCH([1]FINAL!$BL$1,[1]FINAL!$A$1:$BZ$1,0),0)),0)</f>
        <v>0.60606060606060608</v>
      </c>
      <c r="I171" s="5">
        <f>IFERROR(IF(J171&lt;&gt;"",J171,(IF(VLOOKUP($A171,#REF!,MATCH(#REF!,#REF!,0),0)=0,G171,VLOOKUP($A171,#REF!,MATCH(#REF!,#REF!,0),0)))),G171)</f>
        <v>0.60606060606060608</v>
      </c>
      <c r="K171" s="6">
        <f>IFERROR(VLOOKUP($A171,#REF!,MATCH(#REF!,#REF!,0),0),0)</f>
        <v>0</v>
      </c>
      <c r="L171" s="6">
        <f>IFERROR(VLOOKUP($A171,[1]FINAL!$A$1:$BZ$1000,MATCH([1]FINAL!$BF$1,[1]FINAL!$A$1:$BZ$1,0),0),0)</f>
        <v>83</v>
      </c>
      <c r="M171" s="7">
        <f t="shared" si="12"/>
        <v>0.92222222222222228</v>
      </c>
      <c r="N171" s="6">
        <f>IFERROR(VLOOKUP($A171,#REF!,MATCH(#REF!,#REF!,0),0),0)</f>
        <v>0</v>
      </c>
      <c r="O171" s="7">
        <f t="shared" si="13"/>
        <v>0</v>
      </c>
      <c r="P171" s="10" t="str">
        <f>IFERROR(VLOOKUP($A171,[1]FINAL!$A$1:$BZ$1000,MATCH([1]FINAL!$BB$1,[1]FINAL!$A$1:$BZ$1,0),0),"")</f>
        <v/>
      </c>
      <c r="Q171" s="18">
        <f t="shared" si="14"/>
        <v>1</v>
      </c>
    </row>
    <row r="172" spans="1:17" x14ac:dyDescent="0.25">
      <c r="A172" s="14" t="str">
        <f>[1]FINAL!$A260</f>
        <v>Nathan Collins</v>
      </c>
      <c r="B172" s="20" t="str">
        <f>IFERROR(VLOOKUP($A172,[1]FINAL!$A$1:$Z$1000,MATCH([1]FINAL!$T$1,[1]FINAL!$A$1:$Z$1,0),0),"")</f>
        <v>DEF</v>
      </c>
      <c r="C172" s="3" t="str">
        <f>IFERROR(VLOOKUP($A172,[1]FINAL!$A$1:$Z$1000,MATCH([1]FINAL!$U$1,[1]FINAL!$A$1:$Z$1,0),0),"")</f>
        <v>CB</v>
      </c>
      <c r="D172" s="3" t="str">
        <f>IFERROR(VLOOKUP($A172,[1]FINAL!$A$1:$Z$1000,MATCH([1]FINAL!$V$1,[1]FINAL!$A$1:$Z$1,0),0),"")</f>
        <v>BRE</v>
      </c>
      <c r="E172" s="6">
        <f t="shared" si="10"/>
        <v>178421.05263157893</v>
      </c>
      <c r="F172" s="5">
        <f t="shared" si="11"/>
        <v>0.84210526315789469</v>
      </c>
      <c r="G172" s="5">
        <f>IFERROR(IF(H172&lt;&gt;"",H172,VLOOKUP($A172,[1]FINAL!$A$1:$BZ$1000,MATCH([1]FINAL!$BL$1,[1]FINAL!$A$1:$BZ$1,0),0)),0)</f>
        <v>0.84210526315789469</v>
      </c>
      <c r="I172" s="5">
        <f>IFERROR(IF(J172&lt;&gt;"",J172,(IF(VLOOKUP($A172,#REF!,MATCH(#REF!,#REF!,0),0)=0,G172,VLOOKUP($A172,#REF!,MATCH(#REF!,#REF!,0),0)))),G172)</f>
        <v>0.84210526315789469</v>
      </c>
      <c r="K172" s="6">
        <f>IFERROR(VLOOKUP($A172,#REF!,MATCH(#REF!,#REF!,0),0),0)</f>
        <v>0</v>
      </c>
      <c r="L172" s="6">
        <f>IFERROR(VLOOKUP($A172,[1]FINAL!$A$1:$BZ$1000,MATCH([1]FINAL!$BF$1,[1]FINAL!$A$1:$BZ$1,0),0),0)</f>
        <v>90</v>
      </c>
      <c r="M172" s="7">
        <f t="shared" si="12"/>
        <v>1</v>
      </c>
      <c r="N172" s="6">
        <f>IFERROR(VLOOKUP($A172,#REF!,MATCH(#REF!,#REF!,0),0),0)</f>
        <v>0</v>
      </c>
      <c r="O172" s="7">
        <f t="shared" si="13"/>
        <v>0</v>
      </c>
      <c r="P172" s="10" t="str">
        <f>IFERROR(VLOOKUP($A172,[1]FINAL!$A$1:$BZ$1000,MATCH([1]FINAL!$BB$1,[1]FINAL!$A$1:$BZ$1,0),0),"")</f>
        <v/>
      </c>
      <c r="Q172" s="18">
        <f t="shared" si="14"/>
        <v>1</v>
      </c>
    </row>
    <row r="173" spans="1:17" x14ac:dyDescent="0.25">
      <c r="A173" s="14" t="str">
        <f>[1]FINAL!$A93</f>
        <v>Mikkel Damsgaard</v>
      </c>
      <c r="B173" s="20" t="str">
        <f>IFERROR(VLOOKUP($A173,[1]FINAL!$A$1:$Z$1000,MATCH([1]FINAL!$T$1,[1]FINAL!$A$1:$Z$1,0),0),"")</f>
        <v>MID</v>
      </c>
      <c r="C173" s="3" t="str">
        <f>IFERROR(VLOOKUP($A173,[1]FINAL!$A$1:$Z$1000,MATCH([1]FINAL!$U$1,[1]FINAL!$A$1:$Z$1,0),0),"")</f>
        <v>AM</v>
      </c>
      <c r="D173" s="3" t="str">
        <f>IFERROR(VLOOKUP($A173,[1]FINAL!$A$1:$Z$1000,MATCH([1]FINAL!$V$1,[1]FINAL!$A$1:$Z$1,0),0),"")</f>
        <v>BRE</v>
      </c>
      <c r="E173" s="6">
        <f t="shared" si="10"/>
        <v>145809.52380952379</v>
      </c>
      <c r="F173" s="5">
        <f t="shared" si="11"/>
        <v>0.68571428571428572</v>
      </c>
      <c r="G173" s="5">
        <f>IFERROR(IF(H173&lt;&gt;"",H173,VLOOKUP($A173,[1]FINAL!$A$1:$BZ$1000,MATCH([1]FINAL!$BL$1,[1]FINAL!$A$1:$BZ$1,0),0)),0)</f>
        <v>0.68571428571428572</v>
      </c>
      <c r="I173" s="5">
        <f>IFERROR(IF(J173&lt;&gt;"",J173,(IF(VLOOKUP($A173,#REF!,MATCH(#REF!,#REF!,0),0)=0,G173,VLOOKUP($A173,#REF!,MATCH(#REF!,#REF!,0),0)))),G173)</f>
        <v>0.68571428571428572</v>
      </c>
      <c r="K173" s="6">
        <f>IFERROR(VLOOKUP($A173,#REF!,MATCH(#REF!,#REF!,0),0),0)</f>
        <v>0</v>
      </c>
      <c r="L173" s="6">
        <f>IFERROR(VLOOKUP($A173,[1]FINAL!$A$1:$BZ$1000,MATCH([1]FINAL!$BF$1,[1]FINAL!$A$1:$BZ$1,0),0),0)</f>
        <v>78</v>
      </c>
      <c r="M173" s="7">
        <f t="shared" si="12"/>
        <v>0.8666666666666667</v>
      </c>
      <c r="N173" s="6">
        <f>IFERROR(VLOOKUP($A173,#REF!,MATCH(#REF!,#REF!,0),0),0)</f>
        <v>0</v>
      </c>
      <c r="O173" s="7">
        <f t="shared" si="13"/>
        <v>0</v>
      </c>
      <c r="P173" s="10" t="str">
        <f>IFERROR(VLOOKUP($A173,[1]FINAL!$A$1:$BZ$1000,MATCH([1]FINAL!$BB$1,[1]FINAL!$A$1:$BZ$1,0),0),"")</f>
        <v/>
      </c>
      <c r="Q173" s="18">
        <f t="shared" si="14"/>
        <v>1</v>
      </c>
    </row>
    <row r="174" spans="1:17" x14ac:dyDescent="0.25">
      <c r="A174" s="14" t="str">
        <f>[1]FINAL!$A126</f>
        <v>Sean Longstaff</v>
      </c>
      <c r="B174" s="20" t="str">
        <f>IFERROR(VLOOKUP($A174,[1]FINAL!$A$1:$Z$1000,MATCH([1]FINAL!$T$1,[1]FINAL!$A$1:$Z$1,0),0),"")</f>
        <v>MID</v>
      </c>
      <c r="C174" s="3" t="str">
        <f>IFERROR(VLOOKUP($A174,[1]FINAL!$A$1:$Z$1000,MATCH([1]FINAL!$U$1,[1]FINAL!$A$1:$Z$1,0),0),"")</f>
        <v>CM</v>
      </c>
      <c r="D174" s="3" t="str">
        <f>IFERROR(VLOOKUP($A174,[1]FINAL!$A$1:$Z$1000,MATCH([1]FINAL!$V$1,[1]FINAL!$A$1:$Z$1,0),0),"")</f>
        <v>LEE</v>
      </c>
      <c r="E174" s="6">
        <f t="shared" si="10"/>
        <v>78298.850574712647</v>
      </c>
      <c r="F174" s="5">
        <f t="shared" si="11"/>
        <v>0.34482758620689657</v>
      </c>
      <c r="G174" s="5">
        <f>IFERROR(IF(H174&lt;&gt;"",H174,VLOOKUP($A174,[1]FINAL!$A$1:$BZ$1000,MATCH([1]FINAL!$BL$1,[1]FINAL!$A$1:$BZ$1,0),0)),0)</f>
        <v>0.34482758620689657</v>
      </c>
      <c r="I174" s="5">
        <f>IFERROR(IF(J174&lt;&gt;"",J174,(IF(VLOOKUP($A174,#REF!,MATCH(#REF!,#REF!,0),0)=0,G174,VLOOKUP($A174,#REF!,MATCH(#REF!,#REF!,0),0)))),G174)</f>
        <v>0.34482758620689657</v>
      </c>
      <c r="K174" s="6">
        <f>IFERROR(VLOOKUP($A174,#REF!,MATCH(#REF!,#REF!,0),0),0)</f>
        <v>0</v>
      </c>
      <c r="L174" s="6">
        <f>IFERROR(VLOOKUP($A174,[1]FINAL!$A$1:$BZ$1000,MATCH([1]FINAL!$BF$1,[1]FINAL!$A$1:$BZ$1,0),0),0)</f>
        <v>84</v>
      </c>
      <c r="M174" s="7">
        <f t="shared" si="12"/>
        <v>0.93333333333333335</v>
      </c>
      <c r="N174" s="6">
        <f>IFERROR(VLOOKUP($A174,#REF!,MATCH(#REF!,#REF!,0),0),0)</f>
        <v>0</v>
      </c>
      <c r="O174" s="7">
        <f t="shared" si="13"/>
        <v>0</v>
      </c>
      <c r="P174" s="10" t="str">
        <f>IFERROR(VLOOKUP($A174,[1]FINAL!$A$1:$BZ$1000,MATCH([1]FINAL!$BB$1,[1]FINAL!$A$1:$BZ$1,0),0),"")</f>
        <v/>
      </c>
      <c r="Q174" s="18">
        <f t="shared" si="14"/>
        <v>1</v>
      </c>
    </row>
    <row r="175" spans="1:17" x14ac:dyDescent="0.25">
      <c r="A175" s="14" t="str">
        <f>[1]FINAL!$A102</f>
        <v>Mathys Tel</v>
      </c>
      <c r="B175" s="20" t="str">
        <f>IFERROR(VLOOKUP($A175,[1]FINAL!$A$1:$Z$1000,MATCH([1]FINAL!$T$1,[1]FINAL!$A$1:$Z$1,0),0),"")</f>
        <v>MID</v>
      </c>
      <c r="C175" s="3" t="str">
        <f>IFERROR(VLOOKUP($A175,[1]FINAL!$A$1:$Z$1000,MATCH([1]FINAL!$U$1,[1]FINAL!$A$1:$Z$1,0),0),"")</f>
        <v>CF</v>
      </c>
      <c r="D175" s="3" t="str">
        <f>IFERROR(VLOOKUP($A175,[1]FINAL!$A$1:$Z$1000,MATCH([1]FINAL!$V$1,[1]FINAL!$A$1:$Z$1,0),0),"")</f>
        <v>TOT</v>
      </c>
      <c r="E175" s="6">
        <f t="shared" si="10"/>
        <v>77087.719298245618</v>
      </c>
      <c r="F175" s="5">
        <f t="shared" si="11"/>
        <v>0.34210526315789475</v>
      </c>
      <c r="G175" s="5">
        <f>IFERROR(IF(H175&lt;&gt;"",H175,VLOOKUP($A175,[1]FINAL!$A$1:$BZ$1000,MATCH([1]FINAL!$BL$1,[1]FINAL!$A$1:$BZ$1,0),0)),0)</f>
        <v>0.34210526315789475</v>
      </c>
      <c r="I175" s="5">
        <f>IFERROR(IF(J175&lt;&gt;"",J175,(IF(VLOOKUP($A175,#REF!,MATCH(#REF!,#REF!,0),0)=0,G175,VLOOKUP($A175,#REF!,MATCH(#REF!,#REF!,0),0)))),G175)</f>
        <v>0.34210526315789475</v>
      </c>
      <c r="K175" s="6">
        <f>IFERROR(VLOOKUP($A175,#REF!,MATCH(#REF!,#REF!,0),0),0)</f>
        <v>0</v>
      </c>
      <c r="L175" s="6">
        <f>IFERROR(VLOOKUP($A175,[1]FINAL!$A$1:$BZ$1000,MATCH([1]FINAL!$BF$1,[1]FINAL!$A$1:$BZ$1,0),0),0)</f>
        <v>78</v>
      </c>
      <c r="M175" s="7">
        <f t="shared" si="12"/>
        <v>0.8666666666666667</v>
      </c>
      <c r="N175" s="6">
        <f>IFERROR(VLOOKUP($A175,#REF!,MATCH(#REF!,#REF!,0),0),0)</f>
        <v>0</v>
      </c>
      <c r="O175" s="7">
        <f t="shared" si="13"/>
        <v>0</v>
      </c>
      <c r="P175" s="10" t="str">
        <f>IFERROR(VLOOKUP($A175,[1]FINAL!$A$1:$BZ$1000,MATCH([1]FINAL!$BB$1,[1]FINAL!$A$1:$BZ$1,0),0),"")</f>
        <v/>
      </c>
      <c r="Q175" s="18">
        <f t="shared" si="14"/>
        <v>1</v>
      </c>
    </row>
    <row r="176" spans="1:17" x14ac:dyDescent="0.25">
      <c r="A176" s="14" t="str">
        <f>[1]FINAL!$A147</f>
        <v>Altay Bayındır</v>
      </c>
      <c r="B176" s="20" t="str">
        <f>IFERROR(VLOOKUP($A176,[1]FINAL!$A$1:$Z$1000,MATCH([1]FINAL!$T$1,[1]FINAL!$A$1:$Z$1,0),0),"")</f>
        <v>GK</v>
      </c>
      <c r="C176" s="3" t="str">
        <f>IFERROR(VLOOKUP($A176,[1]FINAL!$A$1:$Z$1000,MATCH([1]FINAL!$U$1,[1]FINAL!$A$1:$Z$1,0),0),"")</f>
        <v>GK</v>
      </c>
      <c r="D176" s="3" t="str">
        <f>IFERROR(VLOOKUP($A176,[1]FINAL!$A$1:$Z$1000,MATCH([1]FINAL!$V$1,[1]FINAL!$A$1:$Z$1,0),0),"")</f>
        <v>MUN</v>
      </c>
      <c r="E176" s="6">
        <f t="shared" si="10"/>
        <v>41578.947368421053</v>
      </c>
      <c r="F176" s="5">
        <f t="shared" si="11"/>
        <v>0.15789473684210525</v>
      </c>
      <c r="G176" s="5">
        <f>IFERROR(IF(H176&lt;&gt;"",H176,VLOOKUP($A176,[1]FINAL!$A$1:$BZ$1000,MATCH([1]FINAL!$BL$1,[1]FINAL!$A$1:$BZ$1,0),0)),0)</f>
        <v>0.15789473684210525</v>
      </c>
      <c r="I176" s="5">
        <f>IFERROR(IF(J176&lt;&gt;"",J176,(IF(VLOOKUP($A176,#REF!,MATCH(#REF!,#REF!,0),0)=0,G176,VLOOKUP($A176,#REF!,MATCH(#REF!,#REF!,0),0)))),G176)</f>
        <v>0.15789473684210525</v>
      </c>
      <c r="K176" s="6">
        <f>IFERROR(VLOOKUP($A176,#REF!,MATCH(#REF!,#REF!,0),0),0)</f>
        <v>0</v>
      </c>
      <c r="L176" s="6">
        <f>IFERROR(VLOOKUP($A176,[1]FINAL!$A$1:$BZ$1000,MATCH([1]FINAL!$BF$1,[1]FINAL!$A$1:$BZ$1,0),0),0)</f>
        <v>90</v>
      </c>
      <c r="M176" s="7">
        <f t="shared" si="12"/>
        <v>1</v>
      </c>
      <c r="N176" s="6">
        <f>IFERROR(VLOOKUP($A176,#REF!,MATCH(#REF!,#REF!,0),0),0)</f>
        <v>0</v>
      </c>
      <c r="O176" s="7">
        <f t="shared" si="13"/>
        <v>0</v>
      </c>
      <c r="P176" s="10" t="str">
        <f>IFERROR(VLOOKUP($A176,[1]FINAL!$A$1:$BZ$1000,MATCH([1]FINAL!$BB$1,[1]FINAL!$A$1:$BZ$1,0),0),"")</f>
        <v/>
      </c>
      <c r="Q176" s="18">
        <f t="shared" si="14"/>
        <v>1</v>
      </c>
    </row>
    <row r="177" spans="1:17" x14ac:dyDescent="0.25">
      <c r="A177" s="14" t="str">
        <f>[1]FINAL!$A246</f>
        <v>Milos Kerkez</v>
      </c>
      <c r="B177" s="20" t="str">
        <f>IFERROR(VLOOKUP($A177,[1]FINAL!$A$1:$Z$1000,MATCH([1]FINAL!$T$1,[1]FINAL!$A$1:$Z$1,0),0),"")</f>
        <v>DEF</v>
      </c>
      <c r="C177" s="3" t="str">
        <f>IFERROR(VLOOKUP($A177,[1]FINAL!$A$1:$Z$1000,MATCH([1]FINAL!$U$1,[1]FINAL!$A$1:$Z$1,0),0),"")</f>
        <v>LB</v>
      </c>
      <c r="D177" s="3" t="str">
        <f>IFERROR(VLOOKUP($A177,[1]FINAL!$A$1:$Z$1000,MATCH([1]FINAL!$V$1,[1]FINAL!$A$1:$Z$1,0),0),"")</f>
        <v>LIV</v>
      </c>
      <c r="E177" s="6">
        <f t="shared" si="10"/>
        <v>150883.04093567253</v>
      </c>
      <c r="F177" s="5">
        <f t="shared" si="11"/>
        <v>0.71052631578947367</v>
      </c>
      <c r="G177" s="5">
        <f>IFERROR(IF(H177&lt;&gt;"",H177,VLOOKUP($A177,[1]FINAL!$A$1:$BZ$1000,MATCH([1]FINAL!$BL$1,[1]FINAL!$A$1:$BZ$1,0),0)),0)</f>
        <v>0.71052631578947367</v>
      </c>
      <c r="I177" s="5">
        <f>IFERROR(IF(J177&lt;&gt;"",J177,(IF(VLOOKUP($A177,#REF!,MATCH(#REF!,#REF!,0),0)=0,G177,VLOOKUP($A177,#REF!,MATCH(#REF!,#REF!,0),0)))),G177)</f>
        <v>0.71052631578947367</v>
      </c>
      <c r="K177" s="6">
        <f>IFERROR(VLOOKUP($A177,#REF!,MATCH(#REF!,#REF!,0),0),0)</f>
        <v>0</v>
      </c>
      <c r="L177" s="6">
        <f>IFERROR(VLOOKUP($A177,[1]FINAL!$A$1:$BZ$1000,MATCH([1]FINAL!$BF$1,[1]FINAL!$A$1:$BZ$1,0),0),0)</f>
        <v>79</v>
      </c>
      <c r="M177" s="7">
        <f t="shared" si="12"/>
        <v>0.87777777777777777</v>
      </c>
      <c r="N177" s="6">
        <f>IFERROR(VLOOKUP($A177,#REF!,MATCH(#REF!,#REF!,0),0),0)</f>
        <v>0</v>
      </c>
      <c r="O177" s="7">
        <f t="shared" si="13"/>
        <v>0</v>
      </c>
      <c r="P177" s="10" t="str">
        <f>IFERROR(VLOOKUP($A177,[1]FINAL!$A$1:$BZ$1000,MATCH([1]FINAL!$BB$1,[1]FINAL!$A$1:$BZ$1,0),0),"")</f>
        <v/>
      </c>
      <c r="Q177" s="18">
        <f t="shared" si="14"/>
        <v>1</v>
      </c>
    </row>
    <row r="178" spans="1:17" x14ac:dyDescent="0.25">
      <c r="A178" s="14" t="str">
        <f>[1]FINAL!$A390</f>
        <v>Tyler Adams</v>
      </c>
      <c r="B178" s="20" t="str">
        <f>IFERROR(VLOOKUP($A178,[1]FINAL!$A$1:$Z$1000,MATCH([1]FINAL!$T$1,[1]FINAL!$A$1:$Z$1,0),0),"")</f>
        <v>MID</v>
      </c>
      <c r="C178" s="3" t="str">
        <f>IFERROR(VLOOKUP($A178,[1]FINAL!$A$1:$Z$1000,MATCH([1]FINAL!$U$1,[1]FINAL!$A$1:$Z$1,0),0),"")</f>
        <v>DM</v>
      </c>
      <c r="D178" s="3" t="str">
        <f>IFERROR(VLOOKUP($A178,[1]FINAL!$A$1:$Z$1000,MATCH([1]FINAL!$V$1,[1]FINAL!$A$1:$Z$1,0),0),"")</f>
        <v>BOU</v>
      </c>
      <c r="E178" s="6">
        <f t="shared" si="10"/>
        <v>170316.23931623931</v>
      </c>
      <c r="F178" s="5">
        <f t="shared" si="11"/>
        <v>0.80769230769230771</v>
      </c>
      <c r="G178" s="5">
        <f>IFERROR(IF(H178&lt;&gt;"",H178,VLOOKUP($A178,[1]FINAL!$A$1:$BZ$1000,MATCH([1]FINAL!$BL$1,[1]FINAL!$A$1:$BZ$1,0),0)),0)</f>
        <v>0.80769230769230771</v>
      </c>
      <c r="I178" s="5">
        <f>IFERROR(IF(J178&lt;&gt;"",J178,(IF(VLOOKUP($A178,#REF!,MATCH(#REF!,#REF!,0),0)=0,G178,VLOOKUP($A178,#REF!,MATCH(#REF!,#REF!,0),0)))),G178)</f>
        <v>0.80769230769230771</v>
      </c>
      <c r="K178" s="6">
        <f>IFERROR(VLOOKUP($A178,#REF!,MATCH(#REF!,#REF!,0),0),0)</f>
        <v>0</v>
      </c>
      <c r="L178" s="6">
        <f>IFERROR(VLOOKUP($A178,[1]FINAL!$A$1:$BZ$1000,MATCH([1]FINAL!$BF$1,[1]FINAL!$A$1:$BZ$1,0),0),0)</f>
        <v>79</v>
      </c>
      <c r="M178" s="7">
        <f t="shared" si="12"/>
        <v>0.87777777777777777</v>
      </c>
      <c r="N178" s="6">
        <f>IFERROR(VLOOKUP($A178,#REF!,MATCH(#REF!,#REF!,0),0),0)</f>
        <v>0</v>
      </c>
      <c r="O178" s="7">
        <f t="shared" si="13"/>
        <v>0</v>
      </c>
      <c r="P178" s="10" t="str">
        <f>IFERROR(VLOOKUP($A178,[1]FINAL!$A$1:$BZ$1000,MATCH([1]FINAL!$BB$1,[1]FINAL!$A$1:$BZ$1,0),0),"")</f>
        <v/>
      </c>
      <c r="Q178" s="18">
        <f t="shared" si="14"/>
        <v>1</v>
      </c>
    </row>
    <row r="179" spans="1:17" x14ac:dyDescent="0.25">
      <c r="A179" s="14" t="str">
        <f>[1]FINAL!$A106</f>
        <v>Yankuba Minteh</v>
      </c>
      <c r="B179" s="20" t="str">
        <f>IFERROR(VLOOKUP($A179,[1]FINAL!$A$1:$Z$1000,MATCH([1]FINAL!$T$1,[1]FINAL!$A$1:$Z$1,0),0),"")</f>
        <v>MID</v>
      </c>
      <c r="C179" s="3" t="str">
        <f>IFERROR(VLOOKUP($A179,[1]FINAL!$A$1:$Z$1000,MATCH([1]FINAL!$U$1,[1]FINAL!$A$1:$Z$1,0),0),"")</f>
        <v>RW</v>
      </c>
      <c r="D179" s="3" t="str">
        <f>IFERROR(VLOOKUP($A179,[1]FINAL!$A$1:$Z$1000,MATCH([1]FINAL!$V$1,[1]FINAL!$A$1:$Z$1,0),0),"")</f>
        <v>BHA</v>
      </c>
      <c r="E179" s="6">
        <f t="shared" si="10"/>
        <v>153666.66666666666</v>
      </c>
      <c r="F179" s="5">
        <f t="shared" si="11"/>
        <v>0.72222222222222221</v>
      </c>
      <c r="G179" s="5">
        <f>IFERROR(IF(H179&lt;&gt;"",H179,VLOOKUP($A179,[1]FINAL!$A$1:$BZ$1000,MATCH([1]FINAL!$BL$1,[1]FINAL!$A$1:$BZ$1,0),0)),0)</f>
        <v>0.72222222222222221</v>
      </c>
      <c r="I179" s="5">
        <f>IFERROR(IF(J179&lt;&gt;"",J179,(IF(VLOOKUP($A179,#REF!,MATCH(#REF!,#REF!,0),0)=0,G179,VLOOKUP($A179,#REF!,MATCH(#REF!,#REF!,0),0)))),G179)</f>
        <v>0.72222222222222221</v>
      </c>
      <c r="K179" s="6">
        <f>IFERROR(VLOOKUP($A179,#REF!,MATCH(#REF!,#REF!,0),0),0)</f>
        <v>0</v>
      </c>
      <c r="L179" s="6">
        <f>IFERROR(VLOOKUP($A179,[1]FINAL!$A$1:$BZ$1000,MATCH([1]FINAL!$BF$1,[1]FINAL!$A$1:$BZ$1,0),0),0)</f>
        <v>83</v>
      </c>
      <c r="M179" s="7">
        <f t="shared" si="12"/>
        <v>0.92222222222222228</v>
      </c>
      <c r="N179" s="6">
        <f>IFERROR(VLOOKUP($A179,#REF!,MATCH(#REF!,#REF!,0),0),0)</f>
        <v>0</v>
      </c>
      <c r="O179" s="7">
        <f t="shared" si="13"/>
        <v>0</v>
      </c>
      <c r="P179" s="10" t="str">
        <f>IFERROR(VLOOKUP($A179,[1]FINAL!$A$1:$BZ$1000,MATCH([1]FINAL!$BB$1,[1]FINAL!$A$1:$BZ$1,0),0),"")</f>
        <v/>
      </c>
      <c r="Q179" s="18">
        <f t="shared" si="14"/>
        <v>1</v>
      </c>
    </row>
    <row r="180" spans="1:17" x14ac:dyDescent="0.25">
      <c r="A180" s="14" t="str">
        <f>[1]FINAL!$A125</f>
        <v>Mitoma Kaoru</v>
      </c>
      <c r="B180" s="20" t="str">
        <f>IFERROR(VLOOKUP($A180,[1]FINAL!$A$1:$Z$1000,MATCH([1]FINAL!$T$1,[1]FINAL!$A$1:$Z$1,0),0),"")</f>
        <v>MID</v>
      </c>
      <c r="C180" s="3" t="str">
        <f>IFERROR(VLOOKUP($A180,[1]FINAL!$A$1:$Z$1000,MATCH([1]FINAL!$U$1,[1]FINAL!$A$1:$Z$1,0),0),"")</f>
        <v>LW</v>
      </c>
      <c r="D180" s="3" t="str">
        <f>IFERROR(VLOOKUP($A180,[1]FINAL!$A$1:$Z$1000,MATCH([1]FINAL!$V$1,[1]FINAL!$A$1:$Z$1,0),0),"")</f>
        <v>BHA</v>
      </c>
      <c r="E180" s="6">
        <f t="shared" si="10"/>
        <v>161111.11111111112</v>
      </c>
      <c r="F180" s="5">
        <f t="shared" si="11"/>
        <v>0.76</v>
      </c>
      <c r="G180" s="5">
        <f>IFERROR(IF(H180&lt;&gt;"",H180,VLOOKUP($A180,[1]FINAL!$A$1:$BZ$1000,MATCH([1]FINAL!$BL$1,[1]FINAL!$A$1:$BZ$1,0),0)),0)</f>
        <v>0.76</v>
      </c>
      <c r="I180" s="5">
        <f>IFERROR(IF(J180&lt;&gt;"",J180,(IF(VLOOKUP($A180,#REF!,MATCH(#REF!,#REF!,0),0)=0,G180,VLOOKUP($A180,#REF!,MATCH(#REF!,#REF!,0),0)))),G180)</f>
        <v>0.76</v>
      </c>
      <c r="K180" s="6">
        <f>IFERROR(VLOOKUP($A180,#REF!,MATCH(#REF!,#REF!,0),0),0)</f>
        <v>0</v>
      </c>
      <c r="L180" s="6">
        <f>IFERROR(VLOOKUP($A180,[1]FINAL!$A$1:$BZ$1000,MATCH([1]FINAL!$BF$1,[1]FINAL!$A$1:$BZ$1,0),0),0)</f>
        <v>82</v>
      </c>
      <c r="M180" s="7">
        <f t="shared" si="12"/>
        <v>0.91111111111111109</v>
      </c>
      <c r="N180" s="6">
        <f>IFERROR(VLOOKUP($A180,#REF!,MATCH(#REF!,#REF!,0),0),0)</f>
        <v>0</v>
      </c>
      <c r="O180" s="7">
        <f t="shared" si="13"/>
        <v>0</v>
      </c>
      <c r="P180" s="10" t="str">
        <f>IFERROR(VLOOKUP($A180,[1]FINAL!$A$1:$BZ$1000,MATCH([1]FINAL!$BB$1,[1]FINAL!$A$1:$BZ$1,0),0),"")</f>
        <v/>
      </c>
      <c r="Q180" s="18">
        <f t="shared" si="14"/>
        <v>1</v>
      </c>
    </row>
    <row r="181" spans="1:17" x14ac:dyDescent="0.25">
      <c r="A181" s="14" t="str">
        <f>[1]FINAL!$A295</f>
        <v>Nilson Angulo</v>
      </c>
      <c r="B181" s="20" t="str">
        <f>IFERROR(VLOOKUP($A181,[1]FINAL!$A$1:$Z$1000,MATCH([1]FINAL!$T$1,[1]FINAL!$A$1:$Z$1,0),0),"")</f>
        <v>MID</v>
      </c>
      <c r="C181" s="3" t="str">
        <f>IFERROR(VLOOKUP($A181,[1]FINAL!$A$1:$Z$1000,MATCH([1]FINAL!$U$1,[1]FINAL!$A$1:$Z$1,0),0),"")</f>
        <v>LW</v>
      </c>
      <c r="D181" s="3" t="str">
        <f>IFERROR(VLOOKUP($A181,[1]FINAL!$A$1:$Z$1000,MATCH([1]FINAL!$V$1,[1]FINAL!$A$1:$Z$1,0),0),"")</f>
        <v>SUN</v>
      </c>
      <c r="E181" s="6">
        <f t="shared" si="10"/>
        <v>133222.22222222222</v>
      </c>
      <c r="F181" s="5">
        <f t="shared" si="11"/>
        <v>0.625</v>
      </c>
      <c r="G181" s="5">
        <f>IFERROR(IF(H181&lt;&gt;"",H181,VLOOKUP($A181,[1]FINAL!$A$1:$BZ$1000,MATCH([1]FINAL!$BL$1,[1]FINAL!$A$1:$BZ$1,0),0)),0)</f>
        <v>0.625</v>
      </c>
      <c r="I181" s="5">
        <f>IFERROR(IF(J181&lt;&gt;"",J181,(IF(VLOOKUP($A181,#REF!,MATCH(#REF!,#REF!,0),0)=0,G181,VLOOKUP($A181,#REF!,MATCH(#REF!,#REF!,0),0)))),G181)</f>
        <v>0.625</v>
      </c>
      <c r="K181" s="6">
        <f>IFERROR(VLOOKUP($A181,#REF!,MATCH(#REF!,#REF!,0),0),0)</f>
        <v>0</v>
      </c>
      <c r="L181" s="6">
        <f>IFERROR(VLOOKUP($A181,[1]FINAL!$A$1:$BZ$1000,MATCH([1]FINAL!$BF$1,[1]FINAL!$A$1:$BZ$1,0),0),0)</f>
        <v>74</v>
      </c>
      <c r="M181" s="7">
        <f t="shared" si="12"/>
        <v>0.82222222222222219</v>
      </c>
      <c r="N181" s="6">
        <f>IFERROR(VLOOKUP($A181,#REF!,MATCH(#REF!,#REF!,0),0),0)</f>
        <v>0</v>
      </c>
      <c r="O181" s="7">
        <f t="shared" si="13"/>
        <v>0</v>
      </c>
      <c r="P181" s="10" t="str">
        <f>IFERROR(VLOOKUP($A181,[1]FINAL!$A$1:$BZ$1000,MATCH([1]FINAL!$BB$1,[1]FINAL!$A$1:$BZ$1,0),0),"")</f>
        <v/>
      </c>
      <c r="Q181" s="18">
        <f t="shared" si="14"/>
        <v>1</v>
      </c>
    </row>
    <row r="182" spans="1:17" x14ac:dyDescent="0.25">
      <c r="A182" s="14" t="str">
        <f>[1]FINAL!$A355</f>
        <v>Djiamgone Jocelin Ta Bi</v>
      </c>
      <c r="B182" s="20" t="str">
        <f>IFERROR(VLOOKUP($A182,[1]FINAL!$A$1:$Z$1000,MATCH([1]FINAL!$T$1,[1]FINAL!$A$1:$Z$1,0),0),"")</f>
        <v>MID</v>
      </c>
      <c r="C182" s="3" t="str">
        <f>IFERROR(VLOOKUP($A182,[1]FINAL!$A$1:$Z$1000,MATCH([1]FINAL!$U$1,[1]FINAL!$A$1:$Z$1,0),0),"")</f>
        <v/>
      </c>
      <c r="D182" s="3" t="str">
        <f>IFERROR(VLOOKUP($A182,[1]FINAL!$A$1:$Z$1000,MATCH([1]FINAL!$V$1,[1]FINAL!$A$1:$Z$1,0),0),"")</f>
        <v>SUN</v>
      </c>
      <c r="E182" s="6">
        <f t="shared" si="10"/>
        <v>0</v>
      </c>
      <c r="F182" s="5">
        <f t="shared" si="11"/>
        <v>0</v>
      </c>
      <c r="G182" s="5">
        <f>IFERROR(IF(H182&lt;&gt;"",H182,VLOOKUP($A182,[1]FINAL!$A$1:$BZ$1000,MATCH([1]FINAL!$BL$1,[1]FINAL!$A$1:$BZ$1,0),0)),0)</f>
        <v>0</v>
      </c>
      <c r="I182" s="5">
        <f>IFERROR(IF(J182&lt;&gt;"",J182,(IF(VLOOKUP($A182,#REF!,MATCH(#REF!,#REF!,0),0)=0,G182,VLOOKUP($A182,#REF!,MATCH(#REF!,#REF!,0),0)))),G182)</f>
        <v>0</v>
      </c>
      <c r="K182" s="6">
        <f>IFERROR(VLOOKUP($A182,#REF!,MATCH(#REF!,#REF!,0),0),0)</f>
        <v>0</v>
      </c>
      <c r="L182" s="6">
        <f>IFERROR(VLOOKUP($A182,[1]FINAL!$A$1:$BZ$1000,MATCH([1]FINAL!$BF$1,[1]FINAL!$A$1:$BZ$1,0),0),0)</f>
        <v>0</v>
      </c>
      <c r="M182" s="7">
        <f t="shared" si="12"/>
        <v>0</v>
      </c>
      <c r="N182" s="6">
        <f>IFERROR(VLOOKUP($A182,#REF!,MATCH(#REF!,#REF!,0),0),0)</f>
        <v>0</v>
      </c>
      <c r="O182" s="7">
        <f t="shared" si="13"/>
        <v>0</v>
      </c>
      <c r="P182" s="10" t="str">
        <f>IFERROR(VLOOKUP($A182,[1]FINAL!$A$1:$BZ$1000,MATCH([1]FINAL!$BB$1,[1]FINAL!$A$1:$BZ$1,0),0),"")</f>
        <v/>
      </c>
      <c r="Q182" s="18">
        <f t="shared" si="14"/>
        <v>1</v>
      </c>
    </row>
    <row r="183" spans="1:17" x14ac:dyDescent="0.25">
      <c r="A183" s="14" t="str">
        <f>[1]FINAL!$A416</f>
        <v>João Victor de Souza Menezes</v>
      </c>
      <c r="B183" s="20" t="str">
        <f>IFERROR(VLOOKUP($A183,[1]FINAL!$A$1:$Z$1000,MATCH([1]FINAL!$T$1,[1]FINAL!$A$1:$Z$1,0),0),"")</f>
        <v>DEF</v>
      </c>
      <c r="C183" s="3" t="str">
        <f>IFERROR(VLOOKUP($A183,[1]FINAL!$A$1:$Z$1000,MATCH([1]FINAL!$U$1,[1]FINAL!$A$1:$Z$1,0),0),"")</f>
        <v>LB</v>
      </c>
      <c r="D183" s="3" t="str">
        <f>IFERROR(VLOOKUP($A183,[1]FINAL!$A$1:$Z$1000,MATCH([1]FINAL!$V$1,[1]FINAL!$A$1:$Z$1,0),0),"")</f>
        <v>TOT</v>
      </c>
      <c r="E183" s="6">
        <f t="shared" si="10"/>
        <v>38777.777777777774</v>
      </c>
      <c r="F183" s="5">
        <f t="shared" si="11"/>
        <v>0.16666666666666666</v>
      </c>
      <c r="G183" s="5">
        <f>IFERROR(IF(H183&lt;&gt;"",H183,VLOOKUP($A183,[1]FINAL!$A$1:$BZ$1000,MATCH([1]FINAL!$BL$1,[1]FINAL!$A$1:$BZ$1,0),0)),0)</f>
        <v>0.16666666666666666</v>
      </c>
      <c r="I183" s="5">
        <f>IFERROR(IF(J183&lt;&gt;"",J183,(IF(VLOOKUP($A183,#REF!,MATCH(#REF!,#REF!,0),0)=0,G183,VLOOKUP($A183,#REF!,MATCH(#REF!,#REF!,0),0)))),G183)</f>
        <v>0.16666666666666666</v>
      </c>
      <c r="K183" s="6">
        <f>IFERROR(VLOOKUP($A183,#REF!,MATCH(#REF!,#REF!,0),0),0)</f>
        <v>0</v>
      </c>
      <c r="L183" s="6">
        <f>IFERROR(VLOOKUP($A183,[1]FINAL!$A$1:$BZ$1000,MATCH([1]FINAL!$BF$1,[1]FINAL!$A$1:$BZ$1,0),0),0)</f>
        <v>49</v>
      </c>
      <c r="M183" s="7">
        <f t="shared" si="12"/>
        <v>0.5444444444444444</v>
      </c>
      <c r="N183" s="6">
        <f>IFERROR(VLOOKUP($A183,#REF!,MATCH(#REF!,#REF!,0),0),0)</f>
        <v>0</v>
      </c>
      <c r="O183" s="7">
        <f t="shared" si="13"/>
        <v>0</v>
      </c>
      <c r="P183" s="10" t="str">
        <f>IFERROR(VLOOKUP($A183,[1]FINAL!$A$1:$BZ$1000,MATCH([1]FINAL!$BB$1,[1]FINAL!$A$1:$BZ$1,0),0),"")</f>
        <v/>
      </c>
      <c r="Q183" s="18">
        <f t="shared" si="14"/>
        <v>1</v>
      </c>
    </row>
    <row r="184" spans="1:17" x14ac:dyDescent="0.25">
      <c r="A184" s="14" t="str">
        <f>[1]FINAL!$A549</f>
        <v>Harry Howell</v>
      </c>
      <c r="B184" s="20" t="str">
        <f>IFERROR(VLOOKUP($A184,[1]FINAL!$A$1:$Z$1000,MATCH([1]FINAL!$T$1,[1]FINAL!$A$1:$Z$1,0),0),"")</f>
        <v>MID</v>
      </c>
      <c r="C184" s="3" t="str">
        <f>IFERROR(VLOOKUP($A184,[1]FINAL!$A$1:$Z$1000,MATCH([1]FINAL!$U$1,[1]FINAL!$A$1:$Z$1,0),0),"")</f>
        <v/>
      </c>
      <c r="D184" s="3" t="str">
        <f>IFERROR(VLOOKUP($A184,[1]FINAL!$A$1:$Z$1000,MATCH([1]FINAL!$V$1,[1]FINAL!$A$1:$Z$1,0),0),"")</f>
        <v>BHA</v>
      </c>
      <c r="E184" s="6">
        <f t="shared" si="10"/>
        <v>36349.206349206346</v>
      </c>
      <c r="F184" s="5">
        <f t="shared" si="11"/>
        <v>0.14285714285714285</v>
      </c>
      <c r="G184" s="5">
        <f>IFERROR(IF(H184&lt;&gt;"",H184,VLOOKUP($A184,[1]FINAL!$A$1:$BZ$1000,MATCH([1]FINAL!$BL$1,[1]FINAL!$A$1:$BZ$1,0),0)),0)</f>
        <v>0.14285714285714285</v>
      </c>
      <c r="I184" s="5">
        <f>IFERROR(IF(J184&lt;&gt;"",J184,(IF(VLOOKUP($A184,#REF!,MATCH(#REF!,#REF!,0),0)=0,G184,VLOOKUP($A184,#REF!,MATCH(#REF!,#REF!,0),0)))),G184)</f>
        <v>0.14285714285714285</v>
      </c>
      <c r="K184" s="6">
        <f>IFERROR(VLOOKUP($A184,#REF!,MATCH(#REF!,#REF!,0),0),0)</f>
        <v>0</v>
      </c>
      <c r="L184" s="6">
        <f>IFERROR(VLOOKUP($A184,[1]FINAL!$A$1:$BZ$1000,MATCH([1]FINAL!$BF$1,[1]FINAL!$A$1:$BZ$1,0),0),0)</f>
        <v>70</v>
      </c>
      <c r="M184" s="7">
        <f t="shared" si="12"/>
        <v>0.77777777777777779</v>
      </c>
      <c r="N184" s="6">
        <f>IFERROR(VLOOKUP($A184,#REF!,MATCH(#REF!,#REF!,0),0),0)</f>
        <v>0</v>
      </c>
      <c r="O184" s="7">
        <f t="shared" si="13"/>
        <v>0</v>
      </c>
      <c r="P184" s="10" t="str">
        <f>IFERROR(VLOOKUP($A184,[1]FINAL!$A$1:$BZ$1000,MATCH([1]FINAL!$BB$1,[1]FINAL!$A$1:$BZ$1,0),0),"")</f>
        <v/>
      </c>
      <c r="Q184" s="18">
        <f t="shared" si="14"/>
        <v>1</v>
      </c>
    </row>
    <row r="185" spans="1:17" x14ac:dyDescent="0.25">
      <c r="A185" s="14" t="str">
        <f>[1]FINAL!$A347</f>
        <v>Destiny Udogie</v>
      </c>
      <c r="B185" s="20" t="str">
        <f>IFERROR(VLOOKUP($A185,[1]FINAL!$A$1:$Z$1000,MATCH([1]FINAL!$T$1,[1]FINAL!$A$1:$Z$1,0),0),"")</f>
        <v>DEF</v>
      </c>
      <c r="C185" s="3" t="str">
        <f>IFERROR(VLOOKUP($A185,[1]FINAL!$A$1:$Z$1000,MATCH([1]FINAL!$U$1,[1]FINAL!$A$1:$Z$1,0),0),"")</f>
        <v>LB</v>
      </c>
      <c r="D185" s="3" t="str">
        <f>IFERROR(VLOOKUP($A185,[1]FINAL!$A$1:$Z$1000,MATCH([1]FINAL!$V$1,[1]FINAL!$A$1:$Z$1,0),0),"")</f>
        <v>TOT</v>
      </c>
      <c r="E185" s="6">
        <f t="shared" si="10"/>
        <v>142555.55555555553</v>
      </c>
      <c r="F185" s="5">
        <f t="shared" si="11"/>
        <v>0.66666666666666663</v>
      </c>
      <c r="G185" s="5">
        <f>IFERROR(IF(H185&lt;&gt;"",H185,VLOOKUP($A185,[1]FINAL!$A$1:$BZ$1000,MATCH([1]FINAL!$BL$1,[1]FINAL!$A$1:$BZ$1,0),0)),0)</f>
        <v>0.66666666666666663</v>
      </c>
      <c r="I185" s="5">
        <f>IFERROR(IF(J185&lt;&gt;"",J185,(IF(VLOOKUP($A185,#REF!,MATCH(#REF!,#REF!,0),0)=0,G185,VLOOKUP($A185,#REF!,MATCH(#REF!,#REF!,0),0)))),G185)</f>
        <v>0.66666666666666663</v>
      </c>
      <c r="K185" s="6">
        <f>IFERROR(VLOOKUP($A185,#REF!,MATCH(#REF!,#REF!,0),0),0)</f>
        <v>0</v>
      </c>
      <c r="L185" s="6">
        <f>IFERROR(VLOOKUP($A185,[1]FINAL!$A$1:$BZ$1000,MATCH([1]FINAL!$BF$1,[1]FINAL!$A$1:$BZ$1,0),0),0)</f>
        <v>83</v>
      </c>
      <c r="M185" s="7">
        <f t="shared" si="12"/>
        <v>0.92222222222222228</v>
      </c>
      <c r="N185" s="6">
        <f>IFERROR(VLOOKUP($A185,#REF!,MATCH(#REF!,#REF!,0),0),0)</f>
        <v>0</v>
      </c>
      <c r="O185" s="7">
        <f t="shared" si="13"/>
        <v>0</v>
      </c>
      <c r="P185" s="10" t="str">
        <f>IFERROR(VLOOKUP($A185,[1]FINAL!$A$1:$BZ$1000,MATCH([1]FINAL!$BB$1,[1]FINAL!$A$1:$BZ$1,0),0),"")</f>
        <v/>
      </c>
      <c r="Q185" s="18">
        <f t="shared" si="14"/>
        <v>1</v>
      </c>
    </row>
    <row r="186" spans="1:17" x14ac:dyDescent="0.25">
      <c r="A186" s="14" t="str">
        <f>[1]FINAL!$A62</f>
        <v>David Raya Martín</v>
      </c>
      <c r="B186" s="20" t="str">
        <f>IFERROR(VLOOKUP($A186,[1]FINAL!$A$1:$Z$1000,MATCH([1]FINAL!$T$1,[1]FINAL!$A$1:$Z$1,0),0),"")</f>
        <v>GK</v>
      </c>
      <c r="C186" s="3" t="str">
        <f>IFERROR(VLOOKUP($A186,[1]FINAL!$A$1:$Z$1000,MATCH([1]FINAL!$U$1,[1]FINAL!$A$1:$Z$1,0),0),"")</f>
        <v>GK</v>
      </c>
      <c r="D186" s="3" t="str">
        <f>IFERROR(VLOOKUP($A186,[1]FINAL!$A$1:$Z$1000,MATCH([1]FINAL!$V$1,[1]FINAL!$A$1:$Z$1,0),0),"")</f>
        <v>ARS</v>
      </c>
      <c r="E186" s="6">
        <f t="shared" si="10"/>
        <v>210000</v>
      </c>
      <c r="F186" s="5">
        <f t="shared" si="11"/>
        <v>1</v>
      </c>
      <c r="G186" s="5">
        <f>IFERROR(IF(H186&lt;&gt;"",H186,VLOOKUP($A186,[1]FINAL!$A$1:$BZ$1000,MATCH([1]FINAL!$BL$1,[1]FINAL!$A$1:$BZ$1,0),0)),0)</f>
        <v>1</v>
      </c>
      <c r="I186" s="5">
        <f>IFERROR(IF(J186&lt;&gt;"",J186,(IF(VLOOKUP($A186,#REF!,MATCH(#REF!,#REF!,0),0)=0,G186,VLOOKUP($A186,#REF!,MATCH(#REF!,#REF!,0),0)))),G186)</f>
        <v>1</v>
      </c>
      <c r="K186" s="6">
        <f>IFERROR(VLOOKUP($A186,#REF!,MATCH(#REF!,#REF!,0),0),0)</f>
        <v>0</v>
      </c>
      <c r="L186" s="6">
        <f>IFERROR(VLOOKUP($A186,[1]FINAL!$A$1:$BZ$1000,MATCH([1]FINAL!$BF$1,[1]FINAL!$A$1:$BZ$1,0),0),0)</f>
        <v>90</v>
      </c>
      <c r="M186" s="7">
        <f t="shared" si="12"/>
        <v>1</v>
      </c>
      <c r="N186" s="6">
        <f>IFERROR(VLOOKUP($A186,#REF!,MATCH(#REF!,#REF!,0),0),0)</f>
        <v>0</v>
      </c>
      <c r="O186" s="7">
        <f t="shared" si="13"/>
        <v>0</v>
      </c>
      <c r="P186" s="10" t="str">
        <f>IFERROR(VLOOKUP($A186,[1]FINAL!$A$1:$BZ$1000,MATCH([1]FINAL!$BB$1,[1]FINAL!$A$1:$BZ$1,0),0),"")</f>
        <v/>
      </c>
      <c r="Q186" s="18">
        <f t="shared" si="14"/>
        <v>1</v>
      </c>
    </row>
    <row r="187" spans="1:17" x14ac:dyDescent="0.25">
      <c r="A187" s="14" t="str">
        <f>[1]FINAL!$A394</f>
        <v>Jorrel Hato</v>
      </c>
      <c r="B187" s="20" t="str">
        <f>IFERROR(VLOOKUP($A187,[1]FINAL!$A$1:$Z$1000,MATCH([1]FINAL!$T$1,[1]FINAL!$A$1:$Z$1,0),0),"")</f>
        <v>DEF</v>
      </c>
      <c r="C187" s="3" t="str">
        <f>IFERROR(VLOOKUP($A187,[1]FINAL!$A$1:$Z$1000,MATCH([1]FINAL!$U$1,[1]FINAL!$A$1:$Z$1,0),0),"")</f>
        <v>LB</v>
      </c>
      <c r="D187" s="3" t="str">
        <f>IFERROR(VLOOKUP($A187,[1]FINAL!$A$1:$Z$1000,MATCH([1]FINAL!$V$1,[1]FINAL!$A$1:$Z$1,0),0),"")</f>
        <v>CHE</v>
      </c>
      <c r="E187" s="6">
        <f t="shared" si="10"/>
        <v>77126.984126984113</v>
      </c>
      <c r="F187" s="5">
        <f t="shared" si="11"/>
        <v>0.34285714285714286</v>
      </c>
      <c r="G187" s="5">
        <f>IFERROR(IF(H187&lt;&gt;"",H187,VLOOKUP($A187,[1]FINAL!$A$1:$BZ$1000,MATCH([1]FINAL!$BL$1,[1]FINAL!$A$1:$BZ$1,0),0)),0)</f>
        <v>0.34285714285714286</v>
      </c>
      <c r="I187" s="5">
        <f>IFERROR(IF(J187&lt;&gt;"",J187,(IF(VLOOKUP($A187,#REF!,MATCH(#REF!,#REF!,0),0)=0,G187,VLOOKUP($A187,#REF!,MATCH(#REF!,#REF!,0),0)))),G187)</f>
        <v>0.34285714285714286</v>
      </c>
      <c r="K187" s="6">
        <f>IFERROR(VLOOKUP($A187,#REF!,MATCH(#REF!,#REF!,0),0),0)</f>
        <v>0</v>
      </c>
      <c r="L187" s="6">
        <f>IFERROR(VLOOKUP($A187,[1]FINAL!$A$1:$BZ$1000,MATCH([1]FINAL!$BF$1,[1]FINAL!$A$1:$BZ$1,0),0),0)</f>
        <v>77</v>
      </c>
      <c r="M187" s="7">
        <f t="shared" si="12"/>
        <v>0.85555555555555551</v>
      </c>
      <c r="N187" s="6">
        <f>IFERROR(VLOOKUP($A187,#REF!,MATCH(#REF!,#REF!,0),0),0)</f>
        <v>0</v>
      </c>
      <c r="O187" s="7">
        <f t="shared" si="13"/>
        <v>0</v>
      </c>
      <c r="P187" s="10" t="str">
        <f>IFERROR(VLOOKUP($A187,[1]FINAL!$A$1:$BZ$1000,MATCH([1]FINAL!$BB$1,[1]FINAL!$A$1:$BZ$1,0),0),"")</f>
        <v/>
      </c>
      <c r="Q187" s="18">
        <f t="shared" si="14"/>
        <v>1</v>
      </c>
    </row>
    <row r="188" spans="1:17" x14ac:dyDescent="0.25">
      <c r="A188" s="14" t="str">
        <f>[1]FINAL!$A154</f>
        <v>Leon Bailey</v>
      </c>
      <c r="B188" s="20" t="str">
        <f>IFERROR(VLOOKUP($A188,[1]FINAL!$A$1:$Z$1000,MATCH([1]FINAL!$T$1,[1]FINAL!$A$1:$Z$1,0),0),"")</f>
        <v>MID</v>
      </c>
      <c r="C188" s="3" t="str">
        <f>IFERROR(VLOOKUP($A188,[1]FINAL!$A$1:$Z$1000,MATCH([1]FINAL!$U$1,[1]FINAL!$A$1:$Z$1,0),0),"")</f>
        <v>RW</v>
      </c>
      <c r="D188" s="3" t="str">
        <f>IFERROR(VLOOKUP($A188,[1]FINAL!$A$1:$Z$1000,MATCH([1]FINAL!$V$1,[1]FINAL!$A$1:$Z$1,0),0),"")</f>
        <v>AVL</v>
      </c>
      <c r="E188" s="6">
        <f t="shared" si="10"/>
        <v>45388.888888888891</v>
      </c>
      <c r="F188" s="5">
        <f t="shared" si="11"/>
        <v>0.1875</v>
      </c>
      <c r="G188" s="5">
        <f>IFERROR(IF(H188&lt;&gt;"",H188,VLOOKUP($A188,[1]FINAL!$A$1:$BZ$1000,MATCH([1]FINAL!$BL$1,[1]FINAL!$A$1:$BZ$1,0),0)),0)</f>
        <v>0.1875</v>
      </c>
      <c r="I188" s="5">
        <f>IFERROR(IF(J188&lt;&gt;"",J188,(IF(VLOOKUP($A188,#REF!,MATCH(#REF!,#REF!,0),0)=0,G188,VLOOKUP($A188,#REF!,MATCH(#REF!,#REF!,0),0)))),G188)</f>
        <v>0.1875</v>
      </c>
      <c r="K188" s="6">
        <f>IFERROR(VLOOKUP($A188,#REF!,MATCH(#REF!,#REF!,0),0),0)</f>
        <v>0</v>
      </c>
      <c r="L188" s="6">
        <f>IFERROR(VLOOKUP($A188,[1]FINAL!$A$1:$BZ$1000,MATCH([1]FINAL!$BF$1,[1]FINAL!$A$1:$BZ$1,0),0),0)</f>
        <v>71</v>
      </c>
      <c r="M188" s="7">
        <f t="shared" si="12"/>
        <v>0.78888888888888886</v>
      </c>
      <c r="N188" s="6">
        <f>IFERROR(VLOOKUP($A188,#REF!,MATCH(#REF!,#REF!,0),0),0)</f>
        <v>0</v>
      </c>
      <c r="O188" s="7">
        <f t="shared" si="13"/>
        <v>0</v>
      </c>
      <c r="P188" s="10" t="str">
        <f>IFERROR(VLOOKUP($A188,[1]FINAL!$A$1:$BZ$1000,MATCH([1]FINAL!$BB$1,[1]FINAL!$A$1:$BZ$1,0),0),"")</f>
        <v/>
      </c>
      <c r="Q188" s="18">
        <f t="shared" si="14"/>
        <v>1</v>
      </c>
    </row>
    <row r="189" spans="1:17" x14ac:dyDescent="0.25">
      <c r="A189" s="14" t="str">
        <f>[1]FINAL!$A351</f>
        <v>Dan Burn</v>
      </c>
      <c r="B189" s="20" t="str">
        <f>IFERROR(VLOOKUP($A189,[1]FINAL!$A$1:$Z$1000,MATCH([1]FINAL!$T$1,[1]FINAL!$A$1:$Z$1,0),0),"")</f>
        <v>DEF</v>
      </c>
      <c r="C189" s="3" t="str">
        <f>IFERROR(VLOOKUP($A189,[1]FINAL!$A$1:$Z$1000,MATCH([1]FINAL!$U$1,[1]FINAL!$A$1:$Z$1,0),0),"")</f>
        <v>CB</v>
      </c>
      <c r="D189" s="3" t="str">
        <f>IFERROR(VLOOKUP($A189,[1]FINAL!$A$1:$Z$1000,MATCH([1]FINAL!$V$1,[1]FINAL!$A$1:$Z$1,0),0),"")</f>
        <v>NEW</v>
      </c>
      <c r="E189" s="6">
        <f t="shared" si="10"/>
        <v>170845.87813620071</v>
      </c>
      <c r="F189" s="5">
        <f t="shared" si="11"/>
        <v>0.80645161290322576</v>
      </c>
      <c r="G189" s="5">
        <f>IFERROR(IF(H189&lt;&gt;"",H189,VLOOKUP($A189,[1]FINAL!$A$1:$BZ$1000,MATCH([1]FINAL!$BL$1,[1]FINAL!$A$1:$BZ$1,0),0)),0)</f>
        <v>0.80645161290322576</v>
      </c>
      <c r="I189" s="5">
        <f>IFERROR(IF(J189&lt;&gt;"",J189,(IF(VLOOKUP($A189,#REF!,MATCH(#REF!,#REF!,0),0)=0,G189,VLOOKUP($A189,#REF!,MATCH(#REF!,#REF!,0),0)))),G189)</f>
        <v>0.80645161290322576</v>
      </c>
      <c r="K189" s="6">
        <f>IFERROR(VLOOKUP($A189,#REF!,MATCH(#REF!,#REF!,0),0),0)</f>
        <v>0</v>
      </c>
      <c r="L189" s="6">
        <f>IFERROR(VLOOKUP($A189,[1]FINAL!$A$1:$BZ$1000,MATCH([1]FINAL!$BF$1,[1]FINAL!$A$1:$BZ$1,0),0),0)</f>
        <v>86</v>
      </c>
      <c r="M189" s="7">
        <f t="shared" si="12"/>
        <v>0.9555555555555556</v>
      </c>
      <c r="N189" s="6">
        <f>IFERROR(VLOOKUP($A189,#REF!,MATCH(#REF!,#REF!,0),0),0)</f>
        <v>0</v>
      </c>
      <c r="O189" s="7">
        <f t="shared" si="13"/>
        <v>0</v>
      </c>
      <c r="P189" s="10" t="str">
        <f>IFERROR(VLOOKUP($A189,[1]FINAL!$A$1:$BZ$1000,MATCH([1]FINAL!$BB$1,[1]FINAL!$A$1:$BZ$1,0),0),"")</f>
        <v/>
      </c>
      <c r="Q189" s="18">
        <f t="shared" si="14"/>
        <v>1</v>
      </c>
    </row>
    <row r="190" spans="1:17" x14ac:dyDescent="0.25">
      <c r="A190" s="14" t="str">
        <f>[1]FINAL!$A133</f>
        <v>Malick Thiaw</v>
      </c>
      <c r="B190" s="20" t="str">
        <f>IFERROR(VLOOKUP($A190,[1]FINAL!$A$1:$Z$1000,MATCH([1]FINAL!$T$1,[1]FINAL!$A$1:$Z$1,0),0),"")</f>
        <v>DEF</v>
      </c>
      <c r="C190" s="3" t="str">
        <f>IFERROR(VLOOKUP($A190,[1]FINAL!$A$1:$Z$1000,MATCH([1]FINAL!$U$1,[1]FINAL!$A$1:$Z$1,0),0),"")</f>
        <v>CB</v>
      </c>
      <c r="D190" s="3" t="str">
        <f>IFERROR(VLOOKUP($A190,[1]FINAL!$A$1:$Z$1000,MATCH([1]FINAL!$V$1,[1]FINAL!$A$1:$Z$1,0),0),"")</f>
        <v>NEW</v>
      </c>
      <c r="E190" s="6">
        <f t="shared" si="10"/>
        <v>183461.98830409357</v>
      </c>
      <c r="F190" s="5">
        <f t="shared" si="11"/>
        <v>0.86842105263157898</v>
      </c>
      <c r="G190" s="5">
        <f>IFERROR(IF(H190&lt;&gt;"",H190,VLOOKUP($A190,[1]FINAL!$A$1:$BZ$1000,MATCH([1]FINAL!$BL$1,[1]FINAL!$A$1:$BZ$1,0),0)),0)</f>
        <v>0.86842105263157898</v>
      </c>
      <c r="I190" s="5">
        <f>IFERROR(IF(J190&lt;&gt;"",J190,(IF(VLOOKUP($A190,#REF!,MATCH(#REF!,#REF!,0),0)=0,G190,VLOOKUP($A190,#REF!,MATCH(#REF!,#REF!,0),0)))),G190)</f>
        <v>0.86842105263157898</v>
      </c>
      <c r="K190" s="6">
        <f>IFERROR(VLOOKUP($A190,#REF!,MATCH(#REF!,#REF!,0),0),0)</f>
        <v>0</v>
      </c>
      <c r="L190" s="6">
        <f>IFERROR(VLOOKUP($A190,[1]FINAL!$A$1:$BZ$1000,MATCH([1]FINAL!$BF$1,[1]FINAL!$A$1:$BZ$1,0),0),0)</f>
        <v>88</v>
      </c>
      <c r="M190" s="7">
        <f t="shared" si="12"/>
        <v>0.97777777777777775</v>
      </c>
      <c r="N190" s="6">
        <f>IFERROR(VLOOKUP($A190,#REF!,MATCH(#REF!,#REF!,0),0),0)</f>
        <v>0</v>
      </c>
      <c r="O190" s="7">
        <f t="shared" si="13"/>
        <v>0</v>
      </c>
      <c r="P190" s="10" t="str">
        <f>IFERROR(VLOOKUP($A190,[1]FINAL!$A$1:$BZ$1000,MATCH([1]FINAL!$BB$1,[1]FINAL!$A$1:$BZ$1,0),0),"")</f>
        <v/>
      </c>
      <c r="Q190" s="18">
        <f t="shared" si="14"/>
        <v>1</v>
      </c>
    </row>
    <row r="191" spans="1:17" x14ac:dyDescent="0.25">
      <c r="A191" s="14" t="str">
        <f>[1]FINAL!$A45</f>
        <v>Harvey Barnes</v>
      </c>
      <c r="B191" s="20" t="str">
        <f>IFERROR(VLOOKUP($A191,[1]FINAL!$A$1:$Z$1000,MATCH([1]FINAL!$T$1,[1]FINAL!$A$1:$Z$1,0),0),"")</f>
        <v>MID</v>
      </c>
      <c r="C191" s="3" t="str">
        <f>IFERROR(VLOOKUP($A191,[1]FINAL!$A$1:$Z$1000,MATCH([1]FINAL!$U$1,[1]FINAL!$A$1:$Z$1,0),0),"")</f>
        <v>LW</v>
      </c>
      <c r="D191" s="3" t="str">
        <f>IFERROR(VLOOKUP($A191,[1]FINAL!$A$1:$Z$1000,MATCH([1]FINAL!$V$1,[1]FINAL!$A$1:$Z$1,0),0),"")</f>
        <v>NEW</v>
      </c>
      <c r="E191" s="6">
        <f t="shared" si="10"/>
        <v>108777.77777777778</v>
      </c>
      <c r="F191" s="5">
        <f t="shared" si="11"/>
        <v>0.5</v>
      </c>
      <c r="G191" s="5">
        <f>IFERROR(IF(H191&lt;&gt;"",H191,VLOOKUP($A191,[1]FINAL!$A$1:$BZ$1000,MATCH([1]FINAL!$BL$1,[1]FINAL!$A$1:$BZ$1,0),0)),0)</f>
        <v>0.5</v>
      </c>
      <c r="I191" s="5">
        <f>IFERROR(IF(J191&lt;&gt;"",J191,(IF(VLOOKUP($A191,#REF!,MATCH(#REF!,#REF!,0),0)=0,G191,VLOOKUP($A191,#REF!,MATCH(#REF!,#REF!,0),0)))),G191)</f>
        <v>0.5</v>
      </c>
      <c r="K191" s="6">
        <f>IFERROR(VLOOKUP($A191,#REF!,MATCH(#REF!,#REF!,0),0),0)</f>
        <v>0</v>
      </c>
      <c r="L191" s="6">
        <f>IFERROR(VLOOKUP($A191,[1]FINAL!$A$1:$BZ$1000,MATCH([1]FINAL!$BF$1,[1]FINAL!$A$1:$BZ$1,0),0),0)</f>
        <v>79</v>
      </c>
      <c r="M191" s="7">
        <f t="shared" si="12"/>
        <v>0.87777777777777777</v>
      </c>
      <c r="N191" s="6">
        <f>IFERROR(VLOOKUP($A191,#REF!,MATCH(#REF!,#REF!,0),0),0)</f>
        <v>0</v>
      </c>
      <c r="O191" s="7">
        <f t="shared" si="13"/>
        <v>0</v>
      </c>
      <c r="P191" s="10" t="str">
        <f>IFERROR(VLOOKUP($A191,[1]FINAL!$A$1:$BZ$1000,MATCH([1]FINAL!$BB$1,[1]FINAL!$A$1:$BZ$1,0),0),"")</f>
        <v/>
      </c>
      <c r="Q191" s="18">
        <f t="shared" si="14"/>
        <v>1</v>
      </c>
    </row>
    <row r="192" spans="1:17" x14ac:dyDescent="0.25">
      <c r="A192" s="14" t="str">
        <f>[1]FINAL!$A149</f>
        <v>Abdukodir Khusanov</v>
      </c>
      <c r="B192" s="20" t="str">
        <f>IFERROR(VLOOKUP($A192,[1]FINAL!$A$1:$Z$1000,MATCH([1]FINAL!$T$1,[1]FINAL!$A$1:$Z$1,0),0),"")</f>
        <v>DEF</v>
      </c>
      <c r="C192" s="3" t="str">
        <f>IFERROR(VLOOKUP($A192,[1]FINAL!$A$1:$Z$1000,MATCH([1]FINAL!$U$1,[1]FINAL!$A$1:$Z$1,0),0),"")</f>
        <v>CB</v>
      </c>
      <c r="D192" s="3" t="str">
        <f>IFERROR(VLOOKUP($A192,[1]FINAL!$A$1:$Z$1000,MATCH([1]FINAL!$V$1,[1]FINAL!$A$1:$Z$1,0),0),"")</f>
        <v>MCI</v>
      </c>
      <c r="E192" s="6">
        <f t="shared" si="10"/>
        <v>109444.44444444444</v>
      </c>
      <c r="F192" s="5">
        <f t="shared" si="11"/>
        <v>0.5</v>
      </c>
      <c r="G192" s="5">
        <f>IFERROR(IF(H192&lt;&gt;"",H192,VLOOKUP($A192,[1]FINAL!$A$1:$BZ$1000,MATCH([1]FINAL!$BL$1,[1]FINAL!$A$1:$BZ$1,0),0)),0)</f>
        <v>0.5</v>
      </c>
      <c r="I192" s="5">
        <f>IFERROR(IF(J192&lt;&gt;"",J192,(IF(VLOOKUP($A192,#REF!,MATCH(#REF!,#REF!,0),0)=0,G192,VLOOKUP($A192,#REF!,MATCH(#REF!,#REF!,0),0)))),G192)</f>
        <v>0.5</v>
      </c>
      <c r="K192" s="6">
        <f>IFERROR(VLOOKUP($A192,#REF!,MATCH(#REF!,#REF!,0),0),0)</f>
        <v>0</v>
      </c>
      <c r="L192" s="6">
        <f>IFERROR(VLOOKUP($A192,[1]FINAL!$A$1:$BZ$1000,MATCH([1]FINAL!$BF$1,[1]FINAL!$A$1:$BZ$1,0),0),0)</f>
        <v>85</v>
      </c>
      <c r="M192" s="7">
        <f t="shared" si="12"/>
        <v>0.94444444444444442</v>
      </c>
      <c r="N192" s="6">
        <f>IFERROR(VLOOKUP($A192,#REF!,MATCH(#REF!,#REF!,0),0),0)</f>
        <v>0</v>
      </c>
      <c r="O192" s="7">
        <f t="shared" si="13"/>
        <v>0</v>
      </c>
      <c r="P192" s="10" t="str">
        <f>IFERROR(VLOOKUP($A192,[1]FINAL!$A$1:$BZ$1000,MATCH([1]FINAL!$BB$1,[1]FINAL!$A$1:$BZ$1,0),0),"")</f>
        <v/>
      </c>
      <c r="Q192" s="18">
        <f t="shared" si="14"/>
        <v>1</v>
      </c>
    </row>
    <row r="193" spans="1:17" x14ac:dyDescent="0.25">
      <c r="A193" s="14" t="str">
        <f>[1]FINAL!$A25</f>
        <v>Ismaïla Sarr</v>
      </c>
      <c r="B193" s="20" t="str">
        <f>IFERROR(VLOOKUP($A193,[1]FINAL!$A$1:$Z$1000,MATCH([1]FINAL!$T$1,[1]FINAL!$A$1:$Z$1,0),0),"")</f>
        <v>MID</v>
      </c>
      <c r="C193" s="3" t="str">
        <f>IFERROR(VLOOKUP($A193,[1]FINAL!$A$1:$Z$1000,MATCH([1]FINAL!$U$1,[1]FINAL!$A$1:$Z$1,0),0),"")</f>
        <v>RW</v>
      </c>
      <c r="D193" s="3" t="str">
        <f>IFERROR(VLOOKUP($A193,[1]FINAL!$A$1:$Z$1000,MATCH([1]FINAL!$V$1,[1]FINAL!$A$1:$Z$1,0),0),"")</f>
        <v>CRY</v>
      </c>
      <c r="E193" s="6">
        <f t="shared" si="10"/>
        <v>180873.01587301586</v>
      </c>
      <c r="F193" s="5">
        <f t="shared" si="11"/>
        <v>0.8571428571428571</v>
      </c>
      <c r="G193" s="5">
        <f>IFERROR(IF(H193&lt;&gt;"",H193,VLOOKUP($A193,[1]FINAL!$A$1:$BZ$1000,MATCH([1]FINAL!$BL$1,[1]FINAL!$A$1:$BZ$1,0),0)),0)</f>
        <v>0.8571428571428571</v>
      </c>
      <c r="I193" s="5">
        <f>IFERROR(IF(J193&lt;&gt;"",J193,(IF(VLOOKUP($A193,#REF!,MATCH(#REF!,#REF!,0),0)=0,G193,VLOOKUP($A193,#REF!,MATCH(#REF!,#REF!,0),0)))),G193)</f>
        <v>0.8571428571428571</v>
      </c>
      <c r="K193" s="6">
        <f>IFERROR(VLOOKUP($A193,#REF!,MATCH(#REF!,#REF!,0),0),0)</f>
        <v>0</v>
      </c>
      <c r="L193" s="6">
        <f>IFERROR(VLOOKUP($A193,[1]FINAL!$A$1:$BZ$1000,MATCH([1]FINAL!$BF$1,[1]FINAL!$A$1:$BZ$1,0),0),0)</f>
        <v>85</v>
      </c>
      <c r="M193" s="7">
        <f t="shared" si="12"/>
        <v>0.94444444444444442</v>
      </c>
      <c r="N193" s="6">
        <f>IFERROR(VLOOKUP($A193,#REF!,MATCH(#REF!,#REF!,0),0),0)</f>
        <v>0</v>
      </c>
      <c r="O193" s="7">
        <f t="shared" si="13"/>
        <v>0</v>
      </c>
      <c r="P193" s="10" t="str">
        <f>IFERROR(VLOOKUP($A193,[1]FINAL!$A$1:$BZ$1000,MATCH([1]FINAL!$BB$1,[1]FINAL!$A$1:$BZ$1,0),0),"")</f>
        <v/>
      </c>
      <c r="Q193" s="18">
        <f t="shared" si="14"/>
        <v>1</v>
      </c>
    </row>
    <row r="194" spans="1:17" x14ac:dyDescent="0.25">
      <c r="A194" s="14" t="str">
        <f>[1]FINAL!$A104</f>
        <v>Arnaud Kalimuendo</v>
      </c>
      <c r="B194" s="20" t="str">
        <f>IFERROR(VLOOKUP($A194,[1]FINAL!$A$1:$Z$1000,MATCH([1]FINAL!$T$1,[1]FINAL!$A$1:$Z$1,0),0),"")</f>
        <v>FWD</v>
      </c>
      <c r="C194" s="3" t="str">
        <f>IFERROR(VLOOKUP($A194,[1]FINAL!$A$1:$Z$1000,MATCH([1]FINAL!$U$1,[1]FINAL!$A$1:$Z$1,0),0),"")</f>
        <v>CF</v>
      </c>
      <c r="D194" s="3" t="str">
        <f>IFERROR(VLOOKUP($A194,[1]FINAL!$A$1:$Z$1000,MATCH([1]FINAL!$V$1,[1]FINAL!$A$1:$Z$1,0),0),"")</f>
        <v>NFO</v>
      </c>
      <c r="E194" s="6">
        <f t="shared" ref="E194:E257" si="15">IF($Q$1="ON",((G194*100000)+(I194*100000)+(M194*10000)+(O194*10000)+(K194*10))*Q194,((G194*100000)+(I194*100000)+(M194*10000)+(O194*10000)+(K194*10)))</f>
        <v>0</v>
      </c>
      <c r="F194" s="5">
        <f t="shared" ref="F194:F257" si="16">IFERROR(IF($Q$1="ON",((G194*$W$1)+(I194*$U$1))*Q194,((G194*$W$1)+(I194*$U$1))),0)</f>
        <v>0</v>
      </c>
      <c r="G194" s="5">
        <f>IFERROR(IF(H194&lt;&gt;"",H194,VLOOKUP($A194,[1]FINAL!$A$1:$BZ$1000,MATCH([1]FINAL!$BL$1,[1]FINAL!$A$1:$BZ$1,0),0)),0)</f>
        <v>0</v>
      </c>
      <c r="I194" s="5">
        <f>IFERROR(IF(J194&lt;&gt;"",J194,(IF(VLOOKUP($A194,#REF!,MATCH(#REF!,#REF!,0),0)=0,G194,VLOOKUP($A194,#REF!,MATCH(#REF!,#REF!,0),0)))),G194)</f>
        <v>0</v>
      </c>
      <c r="K194" s="6">
        <f>IFERROR(VLOOKUP($A194,#REF!,MATCH(#REF!,#REF!,0),0),0)</f>
        <v>0</v>
      </c>
      <c r="L194" s="6">
        <f>IFERROR(VLOOKUP($A194,[1]FINAL!$A$1:$BZ$1000,MATCH([1]FINAL!$BF$1,[1]FINAL!$A$1:$BZ$1,0),0),0)</f>
        <v>0</v>
      </c>
      <c r="M194" s="7">
        <f t="shared" ref="M194:M257" si="17">L194/90</f>
        <v>0</v>
      </c>
      <c r="N194" s="6">
        <f>IFERROR(VLOOKUP($A194,#REF!,MATCH(#REF!,#REF!,0),0),0)</f>
        <v>0</v>
      </c>
      <c r="O194" s="7">
        <f t="shared" ref="O194:O257" si="18">N194/90</f>
        <v>0</v>
      </c>
      <c r="P194" s="10" t="str">
        <f>IFERROR(VLOOKUP($A194,[1]FINAL!$A$1:$BZ$1000,MATCH([1]FINAL!$BB$1,[1]FINAL!$A$1:$BZ$1,0),0),"")</f>
        <v/>
      </c>
      <c r="Q194" s="18">
        <f t="shared" ref="Q194:Q257" si="19">IF(P194="",1,IF(P194=0,0.0001,P194/100))</f>
        <v>1</v>
      </c>
    </row>
    <row r="195" spans="1:17" x14ac:dyDescent="0.25">
      <c r="A195" s="14" t="str">
        <f>[1]FINAL!$A99</f>
        <v>Ben Gannon-Doak</v>
      </c>
      <c r="B195" s="20" t="str">
        <f>IFERROR(VLOOKUP($A195,[1]FINAL!$A$1:$Z$1000,MATCH([1]FINAL!$T$1,[1]FINAL!$A$1:$Z$1,0),0),"")</f>
        <v>MID</v>
      </c>
      <c r="C195" s="3" t="str">
        <f>IFERROR(VLOOKUP($A195,[1]FINAL!$A$1:$Z$1000,MATCH([1]FINAL!$U$1,[1]FINAL!$A$1:$Z$1,0),0),"")</f>
        <v>RW</v>
      </c>
      <c r="D195" s="3" t="str">
        <f>IFERROR(VLOOKUP($A195,[1]FINAL!$A$1:$Z$1000,MATCH([1]FINAL!$V$1,[1]FINAL!$A$1:$Z$1,0),0),"")</f>
        <v>BOU</v>
      </c>
      <c r="E195" s="6">
        <f t="shared" si="15"/>
        <v>0</v>
      </c>
      <c r="F195" s="5">
        <f t="shared" si="16"/>
        <v>0</v>
      </c>
      <c r="G195" s="5">
        <f>IFERROR(IF(H195&lt;&gt;"",H195,VLOOKUP($A195,[1]FINAL!$A$1:$BZ$1000,MATCH([1]FINAL!$BL$1,[1]FINAL!$A$1:$BZ$1,0),0)),0)</f>
        <v>0</v>
      </c>
      <c r="I195" s="5">
        <f>IFERROR(IF(J195&lt;&gt;"",J195,(IF(VLOOKUP($A195,#REF!,MATCH(#REF!,#REF!,0),0)=0,G195,VLOOKUP($A195,#REF!,MATCH(#REF!,#REF!,0),0)))),G195)</f>
        <v>0</v>
      </c>
      <c r="K195" s="6">
        <f>IFERROR(VLOOKUP($A195,#REF!,MATCH(#REF!,#REF!,0),0),0)</f>
        <v>0</v>
      </c>
      <c r="L195" s="6">
        <f>IFERROR(VLOOKUP($A195,[1]FINAL!$A$1:$BZ$1000,MATCH([1]FINAL!$BF$1,[1]FINAL!$A$1:$BZ$1,0),0),0)</f>
        <v>0</v>
      </c>
      <c r="M195" s="7">
        <f t="shared" si="17"/>
        <v>0</v>
      </c>
      <c r="N195" s="6">
        <f>IFERROR(VLOOKUP($A195,#REF!,MATCH(#REF!,#REF!,0),0),0)</f>
        <v>0</v>
      </c>
      <c r="O195" s="7">
        <f t="shared" si="18"/>
        <v>0</v>
      </c>
      <c r="P195" s="10" t="str">
        <f>IFERROR(VLOOKUP($A195,[1]FINAL!$A$1:$BZ$1000,MATCH([1]FINAL!$BB$1,[1]FINAL!$A$1:$BZ$1,0),0),"")</f>
        <v/>
      </c>
      <c r="Q195" s="18">
        <f t="shared" si="19"/>
        <v>1</v>
      </c>
    </row>
    <row r="196" spans="1:17" x14ac:dyDescent="0.25">
      <c r="A196" s="14" t="str">
        <f>[1]FINAL!$A384</f>
        <v>Carlos Baleba</v>
      </c>
      <c r="B196" s="20" t="str">
        <f>IFERROR(VLOOKUP($A196,[1]FINAL!$A$1:$Z$1000,MATCH([1]FINAL!$T$1,[1]FINAL!$A$1:$Z$1,0),0),"")</f>
        <v>MID</v>
      </c>
      <c r="C196" s="3" t="str">
        <f>IFERROR(VLOOKUP($A196,[1]FINAL!$A$1:$Z$1000,MATCH([1]FINAL!$U$1,[1]FINAL!$A$1:$Z$1,0),0),"")</f>
        <v>DM</v>
      </c>
      <c r="D196" s="3" t="str">
        <f>IFERROR(VLOOKUP($A196,[1]FINAL!$A$1:$Z$1000,MATCH([1]FINAL!$V$1,[1]FINAL!$A$1:$Z$1,0),0),"")</f>
        <v>BHA</v>
      </c>
      <c r="E196" s="6">
        <f t="shared" si="15"/>
        <v>151083.33333333334</v>
      </c>
      <c r="F196" s="5">
        <f t="shared" si="16"/>
        <v>0.71875</v>
      </c>
      <c r="G196" s="5">
        <f>IFERROR(IF(H196&lt;&gt;"",H196,VLOOKUP($A196,[1]FINAL!$A$1:$BZ$1000,MATCH([1]FINAL!$BL$1,[1]FINAL!$A$1:$BZ$1,0),0)),0)</f>
        <v>0.71875</v>
      </c>
      <c r="I196" s="5">
        <f>IFERROR(IF(J196&lt;&gt;"",J196,(IF(VLOOKUP($A196,#REF!,MATCH(#REF!,#REF!,0),0)=0,G196,VLOOKUP($A196,#REF!,MATCH(#REF!,#REF!,0),0)))),G196)</f>
        <v>0.71875</v>
      </c>
      <c r="K196" s="6">
        <f>IFERROR(VLOOKUP($A196,#REF!,MATCH(#REF!,#REF!,0),0),0)</f>
        <v>0</v>
      </c>
      <c r="L196" s="6">
        <f>IFERROR(VLOOKUP($A196,[1]FINAL!$A$1:$BZ$1000,MATCH([1]FINAL!$BF$1,[1]FINAL!$A$1:$BZ$1,0),0),0)</f>
        <v>66</v>
      </c>
      <c r="M196" s="7">
        <f t="shared" si="17"/>
        <v>0.73333333333333328</v>
      </c>
      <c r="N196" s="6">
        <f>IFERROR(VLOOKUP($A196,#REF!,MATCH(#REF!,#REF!,0),0),0)</f>
        <v>0</v>
      </c>
      <c r="O196" s="7">
        <f t="shared" si="18"/>
        <v>0</v>
      </c>
      <c r="P196" s="10" t="str">
        <f>IFERROR(VLOOKUP($A196,[1]FINAL!$A$1:$BZ$1000,MATCH([1]FINAL!$BB$1,[1]FINAL!$A$1:$BZ$1,0),0),"")</f>
        <v/>
      </c>
      <c r="Q196" s="18">
        <f t="shared" si="19"/>
        <v>1</v>
      </c>
    </row>
    <row r="197" spans="1:17" x14ac:dyDescent="0.25">
      <c r="A197" s="14" t="str">
        <f>[1]FINAL!$A122</f>
        <v>Joshua Zirkzee</v>
      </c>
      <c r="B197" s="20" t="str">
        <f>IFERROR(VLOOKUP($A197,[1]FINAL!$A$1:$Z$1000,MATCH([1]FINAL!$T$1,[1]FINAL!$A$1:$Z$1,0),0),"")</f>
        <v>FWD</v>
      </c>
      <c r="C197" s="3" t="str">
        <f>IFERROR(VLOOKUP($A197,[1]FINAL!$A$1:$Z$1000,MATCH([1]FINAL!$U$1,[1]FINAL!$A$1:$Z$1,0),0),"")</f>
        <v>CF</v>
      </c>
      <c r="D197" s="3" t="str">
        <f>IFERROR(VLOOKUP($A197,[1]FINAL!$A$1:$Z$1000,MATCH([1]FINAL!$V$1,[1]FINAL!$A$1:$Z$1,0),0),"")</f>
        <v>MUN</v>
      </c>
      <c r="E197" s="6">
        <f t="shared" si="15"/>
        <v>35888.888888888891</v>
      </c>
      <c r="F197" s="5">
        <f t="shared" si="16"/>
        <v>0.1388888888888889</v>
      </c>
      <c r="G197" s="5">
        <f>IFERROR(IF(H197&lt;&gt;"",H197,VLOOKUP($A197,[1]FINAL!$A$1:$BZ$1000,MATCH([1]FINAL!$BL$1,[1]FINAL!$A$1:$BZ$1,0),0)),0)</f>
        <v>0.1388888888888889</v>
      </c>
      <c r="I197" s="5">
        <f>IFERROR(IF(J197&lt;&gt;"",J197,(IF(VLOOKUP($A197,#REF!,MATCH(#REF!,#REF!,0),0)=0,G197,VLOOKUP($A197,#REF!,MATCH(#REF!,#REF!,0),0)))),G197)</f>
        <v>0.1388888888888889</v>
      </c>
      <c r="K197" s="6">
        <f>IFERROR(VLOOKUP($A197,#REF!,MATCH(#REF!,#REF!,0),0),0)</f>
        <v>0</v>
      </c>
      <c r="L197" s="6">
        <f>IFERROR(VLOOKUP($A197,[1]FINAL!$A$1:$BZ$1000,MATCH([1]FINAL!$BF$1,[1]FINAL!$A$1:$BZ$1,0),0),0)</f>
        <v>73</v>
      </c>
      <c r="M197" s="7">
        <f t="shared" si="17"/>
        <v>0.81111111111111112</v>
      </c>
      <c r="N197" s="6">
        <f>IFERROR(VLOOKUP($A197,#REF!,MATCH(#REF!,#REF!,0),0),0)</f>
        <v>0</v>
      </c>
      <c r="O197" s="7">
        <f t="shared" si="18"/>
        <v>0</v>
      </c>
      <c r="P197" s="10" t="str">
        <f>IFERROR(VLOOKUP($A197,[1]FINAL!$A$1:$BZ$1000,MATCH([1]FINAL!$BB$1,[1]FINAL!$A$1:$BZ$1,0),0),"")</f>
        <v/>
      </c>
      <c r="Q197" s="18">
        <f t="shared" si="19"/>
        <v>1</v>
      </c>
    </row>
    <row r="198" spans="1:17" x14ac:dyDescent="0.25">
      <c r="A198" s="14" t="str">
        <f>[1]FINAL!$A314</f>
        <v>Victor Lindelöf</v>
      </c>
      <c r="B198" s="20" t="str">
        <f>IFERROR(VLOOKUP($A198,[1]FINAL!$A$1:$Z$1000,MATCH([1]FINAL!$T$1,[1]FINAL!$A$1:$Z$1,0),0),"")</f>
        <v>DEF</v>
      </c>
      <c r="C198" s="3" t="str">
        <f>IFERROR(VLOOKUP($A198,[1]FINAL!$A$1:$Z$1000,MATCH([1]FINAL!$U$1,[1]FINAL!$A$1:$Z$1,0),0),"")</f>
        <v>CB</v>
      </c>
      <c r="D198" s="3" t="str">
        <f>IFERROR(VLOOKUP($A198,[1]FINAL!$A$1:$Z$1000,MATCH([1]FINAL!$V$1,[1]FINAL!$A$1:$Z$1,0),0),"")</f>
        <v>AVL</v>
      </c>
      <c r="E198" s="6">
        <f t="shared" si="15"/>
        <v>73928.104575163408</v>
      </c>
      <c r="F198" s="5">
        <f t="shared" si="16"/>
        <v>0.3235294117647059</v>
      </c>
      <c r="G198" s="5">
        <f>IFERROR(IF(H198&lt;&gt;"",H198,VLOOKUP($A198,[1]FINAL!$A$1:$BZ$1000,MATCH([1]FINAL!$BL$1,[1]FINAL!$A$1:$BZ$1,0),0)),0)</f>
        <v>0.3235294117647059</v>
      </c>
      <c r="I198" s="5">
        <f>IFERROR(IF(J198&lt;&gt;"",J198,(IF(VLOOKUP($A198,#REF!,MATCH(#REF!,#REF!,0),0)=0,G198,VLOOKUP($A198,#REF!,MATCH(#REF!,#REF!,0),0)))),G198)</f>
        <v>0.3235294117647059</v>
      </c>
      <c r="K198" s="6">
        <f>IFERROR(VLOOKUP($A198,#REF!,MATCH(#REF!,#REF!,0),0),0)</f>
        <v>0</v>
      </c>
      <c r="L198" s="6">
        <f>IFERROR(VLOOKUP($A198,[1]FINAL!$A$1:$BZ$1000,MATCH([1]FINAL!$BF$1,[1]FINAL!$A$1:$BZ$1,0),0),0)</f>
        <v>83</v>
      </c>
      <c r="M198" s="7">
        <f t="shared" si="17"/>
        <v>0.92222222222222228</v>
      </c>
      <c r="N198" s="6">
        <f>IFERROR(VLOOKUP($A198,#REF!,MATCH(#REF!,#REF!,0),0),0)</f>
        <v>0</v>
      </c>
      <c r="O198" s="7">
        <f t="shared" si="18"/>
        <v>0</v>
      </c>
      <c r="P198" s="10" t="str">
        <f>IFERROR(VLOOKUP($A198,[1]FINAL!$A$1:$BZ$1000,MATCH([1]FINAL!$BB$1,[1]FINAL!$A$1:$BZ$1,0),0),"")</f>
        <v/>
      </c>
      <c r="Q198" s="18">
        <f t="shared" si="19"/>
        <v>1</v>
      </c>
    </row>
    <row r="199" spans="1:17" x14ac:dyDescent="0.25">
      <c r="A199" s="14" t="str">
        <f>[1]FINAL!$A234</f>
        <v>Michael Keane</v>
      </c>
      <c r="B199" s="20" t="str">
        <f>IFERROR(VLOOKUP($A199,[1]FINAL!$A$1:$Z$1000,MATCH([1]FINAL!$T$1,[1]FINAL!$A$1:$Z$1,0),0),"")</f>
        <v>DEF</v>
      </c>
      <c r="C199" s="3" t="str">
        <f>IFERROR(VLOOKUP($A199,[1]FINAL!$A$1:$Z$1000,MATCH([1]FINAL!$U$1,[1]FINAL!$A$1:$Z$1,0),0),"")</f>
        <v>CB</v>
      </c>
      <c r="D199" s="3" t="str">
        <f>IFERROR(VLOOKUP($A199,[1]FINAL!$A$1:$Z$1000,MATCH([1]FINAL!$V$1,[1]FINAL!$A$1:$Z$1,0),0),"")</f>
        <v>EVE</v>
      </c>
      <c r="E199" s="6">
        <f t="shared" si="15"/>
        <v>180477.12418300653</v>
      </c>
      <c r="F199" s="5">
        <f t="shared" si="16"/>
        <v>0.8529411764705882</v>
      </c>
      <c r="G199" s="5">
        <f>IFERROR(IF(H199&lt;&gt;"",H199,VLOOKUP($A199,[1]FINAL!$A$1:$BZ$1000,MATCH([1]FINAL!$BL$1,[1]FINAL!$A$1:$BZ$1,0),0)),0)</f>
        <v>0.8529411764705882</v>
      </c>
      <c r="I199" s="5">
        <f>IFERROR(IF(J199&lt;&gt;"",J199,(IF(VLOOKUP($A199,#REF!,MATCH(#REF!,#REF!,0),0)=0,G199,VLOOKUP($A199,#REF!,MATCH(#REF!,#REF!,0),0)))),G199)</f>
        <v>0.8529411764705882</v>
      </c>
      <c r="K199" s="6">
        <f>IFERROR(VLOOKUP($A199,#REF!,MATCH(#REF!,#REF!,0),0),0)</f>
        <v>0</v>
      </c>
      <c r="L199" s="6">
        <f>IFERROR(VLOOKUP($A199,[1]FINAL!$A$1:$BZ$1000,MATCH([1]FINAL!$BF$1,[1]FINAL!$A$1:$BZ$1,0),0),0)</f>
        <v>89</v>
      </c>
      <c r="M199" s="7">
        <f t="shared" si="17"/>
        <v>0.98888888888888893</v>
      </c>
      <c r="N199" s="6">
        <f>IFERROR(VLOOKUP($A199,#REF!,MATCH(#REF!,#REF!,0),0),0)</f>
        <v>0</v>
      </c>
      <c r="O199" s="7">
        <f t="shared" si="18"/>
        <v>0</v>
      </c>
      <c r="P199" s="10" t="str">
        <f>IFERROR(VLOOKUP($A199,[1]FINAL!$A$1:$BZ$1000,MATCH([1]FINAL!$BB$1,[1]FINAL!$A$1:$BZ$1,0),0),"")</f>
        <v/>
      </c>
      <c r="Q199" s="18">
        <f t="shared" si="19"/>
        <v>1</v>
      </c>
    </row>
    <row r="200" spans="1:17" x14ac:dyDescent="0.25">
      <c r="A200" s="14" t="str">
        <f>[1]FINAL!$A337</f>
        <v>Ibrahim Sangaré</v>
      </c>
      <c r="B200" s="20" t="str">
        <f>IFERROR(VLOOKUP($A200,[1]FINAL!$A$1:$Z$1000,MATCH([1]FINAL!$T$1,[1]FINAL!$A$1:$Z$1,0),0),"")</f>
        <v>MID</v>
      </c>
      <c r="C200" s="3" t="str">
        <f>IFERROR(VLOOKUP($A200,[1]FINAL!$A$1:$Z$1000,MATCH([1]FINAL!$U$1,[1]FINAL!$A$1:$Z$1,0),0),"")</f>
        <v>DM</v>
      </c>
      <c r="D200" s="3" t="str">
        <f>IFERROR(VLOOKUP($A200,[1]FINAL!$A$1:$Z$1000,MATCH([1]FINAL!$V$1,[1]FINAL!$A$1:$Z$1,0),0),"")</f>
        <v>NFO</v>
      </c>
      <c r="E200" s="6">
        <f t="shared" si="15"/>
        <v>170401.43369175628</v>
      </c>
      <c r="F200" s="5">
        <f t="shared" si="16"/>
        <v>0.80645161290322576</v>
      </c>
      <c r="G200" s="5">
        <f>IFERROR(IF(H200&lt;&gt;"",H200,VLOOKUP($A200,[1]FINAL!$A$1:$BZ$1000,MATCH([1]FINAL!$BL$1,[1]FINAL!$A$1:$BZ$1,0),0)),0)</f>
        <v>0.80645161290322576</v>
      </c>
      <c r="I200" s="5">
        <f>IFERROR(IF(J200&lt;&gt;"",J200,(IF(VLOOKUP($A200,#REF!,MATCH(#REF!,#REF!,0),0)=0,G200,VLOOKUP($A200,#REF!,MATCH(#REF!,#REF!,0),0)))),G200)</f>
        <v>0.80645161290322576</v>
      </c>
      <c r="K200" s="6">
        <f>IFERROR(VLOOKUP($A200,#REF!,MATCH(#REF!,#REF!,0),0),0)</f>
        <v>0</v>
      </c>
      <c r="L200" s="6">
        <f>IFERROR(VLOOKUP($A200,[1]FINAL!$A$1:$BZ$1000,MATCH([1]FINAL!$BF$1,[1]FINAL!$A$1:$BZ$1,0),0),0)</f>
        <v>82</v>
      </c>
      <c r="M200" s="7">
        <f t="shared" si="17"/>
        <v>0.91111111111111109</v>
      </c>
      <c r="N200" s="6">
        <f>IFERROR(VLOOKUP($A200,#REF!,MATCH(#REF!,#REF!,0),0),0)</f>
        <v>0</v>
      </c>
      <c r="O200" s="7">
        <f t="shared" si="18"/>
        <v>0</v>
      </c>
      <c r="P200" s="10" t="str">
        <f>IFERROR(VLOOKUP($A200,[1]FINAL!$A$1:$BZ$1000,MATCH([1]FINAL!$BB$1,[1]FINAL!$A$1:$BZ$1,0),0),"")</f>
        <v/>
      </c>
      <c r="Q200" s="18">
        <f t="shared" si="19"/>
        <v>1</v>
      </c>
    </row>
    <row r="201" spans="1:17" x14ac:dyDescent="0.25">
      <c r="A201" s="14" t="str">
        <f>[1]FINAL!$A17</f>
        <v>Cole Palmer</v>
      </c>
      <c r="B201" s="20" t="str">
        <f>IFERROR(VLOOKUP($A201,[1]FINAL!$A$1:$Z$1000,MATCH([1]FINAL!$T$1,[1]FINAL!$A$1:$Z$1,0),0),"")</f>
        <v>MID</v>
      </c>
      <c r="C201" s="3" t="str">
        <f>IFERROR(VLOOKUP($A201,[1]FINAL!$A$1:$Z$1000,MATCH([1]FINAL!$U$1,[1]FINAL!$A$1:$Z$1,0),0),"")</f>
        <v>AM</v>
      </c>
      <c r="D201" s="3" t="str">
        <f>IFERROR(VLOOKUP($A201,[1]FINAL!$A$1:$Z$1000,MATCH([1]FINAL!$V$1,[1]FINAL!$A$1:$Z$1,0),0),"")</f>
        <v>CHE</v>
      </c>
      <c r="E201" s="6">
        <f t="shared" si="15"/>
        <v>186555.55555555556</v>
      </c>
      <c r="F201" s="5">
        <f t="shared" si="16"/>
        <v>0.88888888888888884</v>
      </c>
      <c r="G201" s="5">
        <f>IFERROR(IF(H201&lt;&gt;"",H201,VLOOKUP($A201,[1]FINAL!$A$1:$BZ$1000,MATCH([1]FINAL!$BL$1,[1]FINAL!$A$1:$BZ$1,0),0)),0)</f>
        <v>0.88888888888888884</v>
      </c>
      <c r="I201" s="5">
        <f>IFERROR(IF(J201&lt;&gt;"",J201,(IF(VLOOKUP($A201,#REF!,MATCH(#REF!,#REF!,0),0)=0,G201,VLOOKUP($A201,#REF!,MATCH(#REF!,#REF!,0),0)))),G201)</f>
        <v>0.88888888888888884</v>
      </c>
      <c r="K201" s="6">
        <f>IFERROR(VLOOKUP($A201,#REF!,MATCH(#REF!,#REF!,0),0),0)</f>
        <v>0</v>
      </c>
      <c r="L201" s="6">
        <f>IFERROR(VLOOKUP($A201,[1]FINAL!$A$1:$BZ$1000,MATCH([1]FINAL!$BF$1,[1]FINAL!$A$1:$BZ$1,0),0),0)</f>
        <v>79</v>
      </c>
      <c r="M201" s="7">
        <f t="shared" si="17"/>
        <v>0.87777777777777777</v>
      </c>
      <c r="N201" s="6">
        <f>IFERROR(VLOOKUP($A201,#REF!,MATCH(#REF!,#REF!,0),0),0)</f>
        <v>0</v>
      </c>
      <c r="O201" s="7">
        <f t="shared" si="18"/>
        <v>0</v>
      </c>
      <c r="P201" s="10" t="str">
        <f>IFERROR(VLOOKUP($A201,[1]FINAL!$A$1:$BZ$1000,MATCH([1]FINAL!$BB$1,[1]FINAL!$A$1:$BZ$1,0),0),"")</f>
        <v/>
      </c>
      <c r="Q201" s="18">
        <f t="shared" si="19"/>
        <v>1</v>
      </c>
    </row>
    <row r="202" spans="1:17" x14ac:dyDescent="0.25">
      <c r="A202" s="14" t="str">
        <f>[1]FINAL!$A61</f>
        <v>Matheus Santos Carneiro Da Cunha</v>
      </c>
      <c r="B202" s="20" t="str">
        <f>IFERROR(VLOOKUP($A202,[1]FINAL!$A$1:$Z$1000,MATCH([1]FINAL!$T$1,[1]FINAL!$A$1:$Z$1,0),0),"")</f>
        <v>MID</v>
      </c>
      <c r="C202" s="3" t="str">
        <f>IFERROR(VLOOKUP($A202,[1]FINAL!$A$1:$Z$1000,MATCH([1]FINAL!$U$1,[1]FINAL!$A$1:$Z$1,0),0),"")</f>
        <v>CF</v>
      </c>
      <c r="D202" s="3" t="str">
        <f>IFERROR(VLOOKUP($A202,[1]FINAL!$A$1:$Z$1000,MATCH([1]FINAL!$V$1,[1]FINAL!$A$1:$Z$1,0),0),"")</f>
        <v>MUN</v>
      </c>
      <c r="E202" s="6">
        <f t="shared" si="15"/>
        <v>179810.45751633987</v>
      </c>
      <c r="F202" s="5">
        <f t="shared" si="16"/>
        <v>0.8529411764705882</v>
      </c>
      <c r="G202" s="5">
        <f>IFERROR(IF(H202&lt;&gt;"",H202,VLOOKUP($A202,[1]FINAL!$A$1:$BZ$1000,MATCH([1]FINAL!$BL$1,[1]FINAL!$A$1:$BZ$1,0),0)),0)</f>
        <v>0.8529411764705882</v>
      </c>
      <c r="I202" s="5">
        <f>IFERROR(IF(J202&lt;&gt;"",J202,(IF(VLOOKUP($A202,#REF!,MATCH(#REF!,#REF!,0),0)=0,G202,VLOOKUP($A202,#REF!,MATCH(#REF!,#REF!,0),0)))),G202)</f>
        <v>0.8529411764705882</v>
      </c>
      <c r="K202" s="6">
        <f>IFERROR(VLOOKUP($A202,#REF!,MATCH(#REF!,#REF!,0),0),0)</f>
        <v>0</v>
      </c>
      <c r="L202" s="6">
        <f>IFERROR(VLOOKUP($A202,[1]FINAL!$A$1:$BZ$1000,MATCH([1]FINAL!$BF$1,[1]FINAL!$A$1:$BZ$1,0),0),0)</f>
        <v>83</v>
      </c>
      <c r="M202" s="7">
        <f t="shared" si="17"/>
        <v>0.92222222222222228</v>
      </c>
      <c r="N202" s="6">
        <f>IFERROR(VLOOKUP($A202,#REF!,MATCH(#REF!,#REF!,0),0),0)</f>
        <v>0</v>
      </c>
      <c r="O202" s="7">
        <f t="shared" si="18"/>
        <v>0</v>
      </c>
      <c r="P202" s="10" t="str">
        <f>IFERROR(VLOOKUP($A202,[1]FINAL!$A$1:$BZ$1000,MATCH([1]FINAL!$BB$1,[1]FINAL!$A$1:$BZ$1,0),0),"")</f>
        <v/>
      </c>
      <c r="Q202" s="18">
        <f t="shared" si="19"/>
        <v>1</v>
      </c>
    </row>
    <row r="203" spans="1:17" x14ac:dyDescent="0.25">
      <c r="A203" s="14" t="str">
        <f>[1]FINAL!$A343</f>
        <v>Bafodé Diakité</v>
      </c>
      <c r="B203" s="20" t="str">
        <f>IFERROR(VLOOKUP($A203,[1]FINAL!$A$1:$Z$1000,MATCH([1]FINAL!$T$1,[1]FINAL!$A$1:$Z$1,0),0),"")</f>
        <v>DEF</v>
      </c>
      <c r="C203" s="3" t="str">
        <f>IFERROR(VLOOKUP($A203,[1]FINAL!$A$1:$Z$1000,MATCH([1]FINAL!$U$1,[1]FINAL!$A$1:$Z$1,0),0),"")</f>
        <v>CB</v>
      </c>
      <c r="D203" s="3" t="str">
        <f>IFERROR(VLOOKUP($A203,[1]FINAL!$A$1:$Z$1000,MATCH([1]FINAL!$V$1,[1]FINAL!$A$1:$Z$1,0),0),"")</f>
        <v>BOU</v>
      </c>
      <c r="E203" s="6">
        <f t="shared" si="15"/>
        <v>90414.414414414408</v>
      </c>
      <c r="F203" s="5">
        <f t="shared" si="16"/>
        <v>0.40540540540540543</v>
      </c>
      <c r="G203" s="5">
        <f>IFERROR(IF(H203&lt;&gt;"",H203,VLOOKUP($A203,[1]FINAL!$A$1:$BZ$1000,MATCH([1]FINAL!$BL$1,[1]FINAL!$A$1:$BZ$1,0),0)),0)</f>
        <v>0.40540540540540543</v>
      </c>
      <c r="I203" s="5">
        <f>IFERROR(IF(J203&lt;&gt;"",J203,(IF(VLOOKUP($A203,#REF!,MATCH(#REF!,#REF!,0),0)=0,G203,VLOOKUP($A203,#REF!,MATCH(#REF!,#REF!,0),0)))),G203)</f>
        <v>0.40540540540540543</v>
      </c>
      <c r="K203" s="6">
        <f>IFERROR(VLOOKUP($A203,#REF!,MATCH(#REF!,#REF!,0),0),0)</f>
        <v>0</v>
      </c>
      <c r="L203" s="6">
        <f>IFERROR(VLOOKUP($A203,[1]FINAL!$A$1:$BZ$1000,MATCH([1]FINAL!$BF$1,[1]FINAL!$A$1:$BZ$1,0),0),0)</f>
        <v>84</v>
      </c>
      <c r="M203" s="7">
        <f t="shared" si="17"/>
        <v>0.93333333333333335</v>
      </c>
      <c r="N203" s="6">
        <f>IFERROR(VLOOKUP($A203,#REF!,MATCH(#REF!,#REF!,0),0),0)</f>
        <v>0</v>
      </c>
      <c r="O203" s="7">
        <f t="shared" si="18"/>
        <v>0</v>
      </c>
      <c r="P203" s="10" t="str">
        <f>IFERROR(VLOOKUP($A203,[1]FINAL!$A$1:$BZ$1000,MATCH([1]FINAL!$BB$1,[1]FINAL!$A$1:$BZ$1,0),0),"")</f>
        <v/>
      </c>
      <c r="Q203" s="18">
        <f t="shared" si="19"/>
        <v>1</v>
      </c>
    </row>
    <row r="204" spans="1:17" x14ac:dyDescent="0.25">
      <c r="A204" s="14" t="str">
        <f>[1]FINAL!$A206</f>
        <v>Dwight McNeil</v>
      </c>
      <c r="B204" s="20" t="str">
        <f>IFERROR(VLOOKUP($A204,[1]FINAL!$A$1:$Z$1000,MATCH([1]FINAL!$T$1,[1]FINAL!$A$1:$Z$1,0),0),"")</f>
        <v>MID</v>
      </c>
      <c r="C204" s="3" t="str">
        <f>IFERROR(VLOOKUP($A204,[1]FINAL!$A$1:$Z$1000,MATCH([1]FINAL!$U$1,[1]FINAL!$A$1:$Z$1,0),0),"")</f>
        <v>LW</v>
      </c>
      <c r="D204" s="3" t="str">
        <f>IFERROR(VLOOKUP($A204,[1]FINAL!$A$1:$Z$1000,MATCH([1]FINAL!$V$1,[1]FINAL!$A$1:$Z$1,0),0),"")</f>
        <v>EVE</v>
      </c>
      <c r="E204" s="6">
        <f t="shared" si="15"/>
        <v>86222.222222222219</v>
      </c>
      <c r="F204" s="5">
        <f t="shared" si="16"/>
        <v>0.3888888888888889</v>
      </c>
      <c r="G204" s="5">
        <f>IFERROR(IF(H204&lt;&gt;"",H204,VLOOKUP($A204,[1]FINAL!$A$1:$BZ$1000,MATCH([1]FINAL!$BL$1,[1]FINAL!$A$1:$BZ$1,0),0)),0)</f>
        <v>0.3888888888888889</v>
      </c>
      <c r="I204" s="5">
        <f>IFERROR(IF(J204&lt;&gt;"",J204,(IF(VLOOKUP($A204,#REF!,MATCH(#REF!,#REF!,0),0)=0,G204,VLOOKUP($A204,#REF!,MATCH(#REF!,#REF!,0),0)))),G204)</f>
        <v>0.3888888888888889</v>
      </c>
      <c r="K204" s="6">
        <f>IFERROR(VLOOKUP($A204,#REF!,MATCH(#REF!,#REF!,0),0),0)</f>
        <v>0</v>
      </c>
      <c r="L204" s="6">
        <f>IFERROR(VLOOKUP($A204,[1]FINAL!$A$1:$BZ$1000,MATCH([1]FINAL!$BF$1,[1]FINAL!$A$1:$BZ$1,0),0),0)</f>
        <v>76</v>
      </c>
      <c r="M204" s="7">
        <f t="shared" si="17"/>
        <v>0.84444444444444444</v>
      </c>
      <c r="N204" s="6">
        <f>IFERROR(VLOOKUP($A204,#REF!,MATCH(#REF!,#REF!,0),0),0)</f>
        <v>0</v>
      </c>
      <c r="O204" s="7">
        <f t="shared" si="18"/>
        <v>0</v>
      </c>
      <c r="P204" s="10" t="str">
        <f>IFERROR(VLOOKUP($A204,[1]FINAL!$A$1:$BZ$1000,MATCH([1]FINAL!$BB$1,[1]FINAL!$A$1:$BZ$1,0),0),"")</f>
        <v/>
      </c>
      <c r="Q204" s="18">
        <f t="shared" si="19"/>
        <v>1</v>
      </c>
    </row>
    <row r="205" spans="1:17" x14ac:dyDescent="0.25">
      <c r="A205" s="14" t="str">
        <f>[1]FINAL!$A359</f>
        <v>Nico González Iglesias</v>
      </c>
      <c r="B205" s="20" t="str">
        <f>IFERROR(VLOOKUP($A205,[1]FINAL!$A$1:$Z$1000,MATCH([1]FINAL!$T$1,[1]FINAL!$A$1:$Z$1,0),0),"")</f>
        <v>MID</v>
      </c>
      <c r="C205" s="3" t="str">
        <f>IFERROR(VLOOKUP($A205,[1]FINAL!$A$1:$Z$1000,MATCH([1]FINAL!$U$1,[1]FINAL!$A$1:$Z$1,0),0),"")</f>
        <v>DM</v>
      </c>
      <c r="D205" s="3" t="str">
        <f>IFERROR(VLOOKUP($A205,[1]FINAL!$A$1:$Z$1000,MATCH([1]FINAL!$V$1,[1]FINAL!$A$1:$Z$1,0),0),"")</f>
        <v>MCI</v>
      </c>
      <c r="E205" s="6">
        <f t="shared" si="15"/>
        <v>112030.30303030302</v>
      </c>
      <c r="F205" s="5">
        <f t="shared" si="16"/>
        <v>0.51515151515151514</v>
      </c>
      <c r="G205" s="5">
        <f>IFERROR(IF(H205&lt;&gt;"",H205,VLOOKUP($A205,[1]FINAL!$A$1:$BZ$1000,MATCH([1]FINAL!$BL$1,[1]FINAL!$A$1:$BZ$1,0),0)),0)</f>
        <v>0.51515151515151514</v>
      </c>
      <c r="I205" s="5">
        <f>IFERROR(IF(J205&lt;&gt;"",J205,(IF(VLOOKUP($A205,#REF!,MATCH(#REF!,#REF!,0),0)=0,G205,VLOOKUP($A205,#REF!,MATCH(#REF!,#REF!,0),0)))),G205)</f>
        <v>0.51515151515151514</v>
      </c>
      <c r="K205" s="6">
        <f>IFERROR(VLOOKUP($A205,#REF!,MATCH(#REF!,#REF!,0),0),0)</f>
        <v>0</v>
      </c>
      <c r="L205" s="6">
        <f>IFERROR(VLOOKUP($A205,[1]FINAL!$A$1:$BZ$1000,MATCH([1]FINAL!$BF$1,[1]FINAL!$A$1:$BZ$1,0),0),0)</f>
        <v>81</v>
      </c>
      <c r="M205" s="7">
        <f t="shared" si="17"/>
        <v>0.9</v>
      </c>
      <c r="N205" s="6">
        <f>IFERROR(VLOOKUP($A205,#REF!,MATCH(#REF!,#REF!,0),0),0)</f>
        <v>0</v>
      </c>
      <c r="O205" s="7">
        <f t="shared" si="18"/>
        <v>0</v>
      </c>
      <c r="P205" s="10" t="str">
        <f>IFERROR(VLOOKUP($A205,[1]FINAL!$A$1:$BZ$1000,MATCH([1]FINAL!$BB$1,[1]FINAL!$A$1:$BZ$1,0),0),"")</f>
        <v/>
      </c>
      <c r="Q205" s="18">
        <f t="shared" si="19"/>
        <v>1</v>
      </c>
    </row>
    <row r="206" spans="1:17" x14ac:dyDescent="0.25">
      <c r="A206" s="14" t="str">
        <f>[1]FINAL!$A155</f>
        <v>Virgil van Dijk</v>
      </c>
      <c r="B206" s="20" t="str">
        <f>IFERROR(VLOOKUP($A206,[1]FINAL!$A$1:$Z$1000,MATCH([1]FINAL!$T$1,[1]FINAL!$A$1:$Z$1,0),0),"")</f>
        <v>DEF</v>
      </c>
      <c r="C206" s="3" t="str">
        <f>IFERROR(VLOOKUP($A206,[1]FINAL!$A$1:$Z$1000,MATCH([1]FINAL!$U$1,[1]FINAL!$A$1:$Z$1,0),0),"")</f>
        <v>CB</v>
      </c>
      <c r="D206" s="3" t="str">
        <f>IFERROR(VLOOKUP($A206,[1]FINAL!$A$1:$Z$1000,MATCH([1]FINAL!$V$1,[1]FINAL!$A$1:$Z$1,0),0),"")</f>
        <v>LIV</v>
      </c>
      <c r="E206" s="6">
        <f t="shared" si="15"/>
        <v>210000</v>
      </c>
      <c r="F206" s="5">
        <f t="shared" si="16"/>
        <v>1</v>
      </c>
      <c r="G206" s="5">
        <f>IFERROR(IF(H206&lt;&gt;"",H206,VLOOKUP($A206,[1]FINAL!$A$1:$BZ$1000,MATCH([1]FINAL!$BL$1,[1]FINAL!$A$1:$BZ$1,0),0)),0)</f>
        <v>1</v>
      </c>
      <c r="I206" s="5">
        <f>IFERROR(IF(J206&lt;&gt;"",J206,(IF(VLOOKUP($A206,#REF!,MATCH(#REF!,#REF!,0),0)=0,G206,VLOOKUP($A206,#REF!,MATCH(#REF!,#REF!,0),0)))),G206)</f>
        <v>1</v>
      </c>
      <c r="K206" s="6">
        <f>IFERROR(VLOOKUP($A206,#REF!,MATCH(#REF!,#REF!,0),0),0)</f>
        <v>0</v>
      </c>
      <c r="L206" s="6">
        <f>IFERROR(VLOOKUP($A206,[1]FINAL!$A$1:$BZ$1000,MATCH([1]FINAL!$BF$1,[1]FINAL!$A$1:$BZ$1,0),0),0)</f>
        <v>90</v>
      </c>
      <c r="M206" s="7">
        <f t="shared" si="17"/>
        <v>1</v>
      </c>
      <c r="N206" s="6">
        <f>IFERROR(VLOOKUP($A206,#REF!,MATCH(#REF!,#REF!,0),0),0)</f>
        <v>0</v>
      </c>
      <c r="O206" s="7">
        <f t="shared" si="18"/>
        <v>0</v>
      </c>
      <c r="P206" s="10" t="str">
        <f>IFERROR(VLOOKUP($A206,[1]FINAL!$A$1:$BZ$1000,MATCH([1]FINAL!$BB$1,[1]FINAL!$A$1:$BZ$1,0),0),"")</f>
        <v/>
      </c>
      <c r="Q206" s="18">
        <f t="shared" si="19"/>
        <v>1</v>
      </c>
    </row>
    <row r="207" spans="1:17" x14ac:dyDescent="0.25">
      <c r="A207" s="14" t="str">
        <f>[1]FINAL!$A39</f>
        <v>Marcus Tavernier</v>
      </c>
      <c r="B207" s="20" t="str">
        <f>IFERROR(VLOOKUP($A207,[1]FINAL!$A$1:$Z$1000,MATCH([1]FINAL!$T$1,[1]FINAL!$A$1:$Z$1,0),0),"")</f>
        <v>MID</v>
      </c>
      <c r="C207" s="3" t="str">
        <f>IFERROR(VLOOKUP($A207,[1]FINAL!$A$1:$Z$1000,MATCH([1]FINAL!$U$1,[1]FINAL!$A$1:$Z$1,0),0),"")</f>
        <v>AM</v>
      </c>
      <c r="D207" s="3" t="str">
        <f>IFERROR(VLOOKUP($A207,[1]FINAL!$A$1:$Z$1000,MATCH([1]FINAL!$V$1,[1]FINAL!$A$1:$Z$1,0),0),"")</f>
        <v>BOU</v>
      </c>
      <c r="E207" s="6">
        <f t="shared" si="15"/>
        <v>191908.49673202613</v>
      </c>
      <c r="F207" s="5">
        <f t="shared" si="16"/>
        <v>0.91176470588235292</v>
      </c>
      <c r="G207" s="5">
        <f>IFERROR(IF(H207&lt;&gt;"",H207,VLOOKUP($A207,[1]FINAL!$A$1:$BZ$1000,MATCH([1]FINAL!$BL$1,[1]FINAL!$A$1:$BZ$1,0),0)),0)</f>
        <v>0.91176470588235292</v>
      </c>
      <c r="I207" s="5">
        <f>IFERROR(IF(J207&lt;&gt;"",J207,(IF(VLOOKUP($A207,#REF!,MATCH(#REF!,#REF!,0),0)=0,G207,VLOOKUP($A207,#REF!,MATCH(#REF!,#REF!,0),0)))),G207)</f>
        <v>0.91176470588235292</v>
      </c>
      <c r="K207" s="6">
        <f>IFERROR(VLOOKUP($A207,#REF!,MATCH(#REF!,#REF!,0),0),0)</f>
        <v>0</v>
      </c>
      <c r="L207" s="6">
        <f>IFERROR(VLOOKUP($A207,[1]FINAL!$A$1:$BZ$1000,MATCH([1]FINAL!$BF$1,[1]FINAL!$A$1:$BZ$1,0),0),0)</f>
        <v>86</v>
      </c>
      <c r="M207" s="7">
        <f t="shared" si="17"/>
        <v>0.9555555555555556</v>
      </c>
      <c r="N207" s="6">
        <f>IFERROR(VLOOKUP($A207,#REF!,MATCH(#REF!,#REF!,0),0),0)</f>
        <v>0</v>
      </c>
      <c r="O207" s="7">
        <f t="shared" si="18"/>
        <v>0</v>
      </c>
      <c r="P207" s="10" t="str">
        <f>IFERROR(VLOOKUP($A207,[1]FINAL!$A$1:$BZ$1000,MATCH([1]FINAL!$BB$1,[1]FINAL!$A$1:$BZ$1,0),0),"")</f>
        <v/>
      </c>
      <c r="Q207" s="18">
        <f t="shared" si="19"/>
        <v>1</v>
      </c>
    </row>
    <row r="208" spans="1:17" x14ac:dyDescent="0.25">
      <c r="A208" s="14" t="str">
        <f>[1]FINAL!$A454</f>
        <v>Wes Burns</v>
      </c>
      <c r="B208" s="20" t="str">
        <f>IFERROR(VLOOKUP($A208,[1]FINAL!$A$1:$Z$1000,MATCH([1]FINAL!$T$1,[1]FINAL!$A$1:$Z$1,0),0),"")</f>
        <v>MID</v>
      </c>
      <c r="C208" s="3" t="str">
        <f>IFERROR(VLOOKUP($A208,[1]FINAL!$A$1:$Z$1000,MATCH([1]FINAL!$U$1,[1]FINAL!$A$1:$Z$1,0),0),"")</f>
        <v>RM</v>
      </c>
      <c r="D208" s="3" t="str">
        <f>IFERROR(VLOOKUP($A208,[1]FINAL!$A$1:$Z$1000,MATCH([1]FINAL!$V$1,[1]FINAL!$A$1:$Z$1,0),0),"")</f>
        <v>IPS</v>
      </c>
      <c r="E208" s="6">
        <f t="shared" si="15"/>
        <v>107333.33333333333</v>
      </c>
      <c r="F208" s="5">
        <f t="shared" si="16"/>
        <v>0.5</v>
      </c>
      <c r="G208" s="5">
        <f>IFERROR(IF(H208&lt;&gt;"",H208,VLOOKUP($A208,[1]FINAL!$A$1:$BZ$1000,MATCH([1]FINAL!$BL$1,[1]FINAL!$A$1:$BZ$1,0),0)),0)</f>
        <v>0.5</v>
      </c>
      <c r="I208" s="5">
        <f>IFERROR(IF(J208&lt;&gt;"",J208,(IF(VLOOKUP($A208,#REF!,MATCH(#REF!,#REF!,0),0)=0,G208,VLOOKUP($A208,#REF!,MATCH(#REF!,#REF!,0),0)))),G208)</f>
        <v>0.5</v>
      </c>
      <c r="K208" s="6">
        <f>IFERROR(VLOOKUP($A208,#REF!,MATCH(#REF!,#REF!,0),0),0)</f>
        <v>0</v>
      </c>
      <c r="L208" s="6">
        <f>IFERROR(VLOOKUP($A208,[1]FINAL!$A$1:$BZ$1000,MATCH([1]FINAL!$BF$1,[1]FINAL!$A$1:$BZ$1,0),0),0)</f>
        <v>66</v>
      </c>
      <c r="M208" s="7">
        <f t="shared" si="17"/>
        <v>0.73333333333333328</v>
      </c>
      <c r="N208" s="6">
        <f>IFERROR(VLOOKUP($A208,#REF!,MATCH(#REF!,#REF!,0),0),0)</f>
        <v>0</v>
      </c>
      <c r="O208" s="7">
        <f t="shared" si="18"/>
        <v>0</v>
      </c>
      <c r="P208" s="10" t="str">
        <f>IFERROR(VLOOKUP($A208,[1]FINAL!$A$1:$BZ$1000,MATCH([1]FINAL!$BB$1,[1]FINAL!$A$1:$BZ$1,0),0),"")</f>
        <v/>
      </c>
      <c r="Q208" s="18">
        <f t="shared" si="19"/>
        <v>1</v>
      </c>
    </row>
    <row r="209" spans="1:17" x14ac:dyDescent="0.25">
      <c r="A209" s="14" t="str">
        <f>[1]FINAL!$A120</f>
        <v>Xavi Simons</v>
      </c>
      <c r="B209" s="20" t="str">
        <f>IFERROR(VLOOKUP($A209,[1]FINAL!$A$1:$Z$1000,MATCH([1]FINAL!$T$1,[1]FINAL!$A$1:$Z$1,0),0),"")</f>
        <v>MID</v>
      </c>
      <c r="C209" s="3" t="str">
        <f>IFERROR(VLOOKUP($A209,[1]FINAL!$A$1:$Z$1000,MATCH([1]FINAL!$U$1,[1]FINAL!$A$1:$Z$1,0),0),"")</f>
        <v>AM</v>
      </c>
      <c r="D209" s="3" t="str">
        <f>IFERROR(VLOOKUP($A209,[1]FINAL!$A$1:$Z$1000,MATCH([1]FINAL!$V$1,[1]FINAL!$A$1:$Z$1,0),0),"")</f>
        <v>TOT</v>
      </c>
      <c r="E209" s="6">
        <f t="shared" si="15"/>
        <v>14.438095238095237</v>
      </c>
      <c r="F209" s="5">
        <f t="shared" si="16"/>
        <v>6.7857142857142861E-5</v>
      </c>
      <c r="G209" s="5">
        <f>IFERROR(IF(H209&lt;&gt;"",H209,VLOOKUP($A209,[1]FINAL!$A$1:$BZ$1000,MATCH([1]FINAL!$BL$1,[1]FINAL!$A$1:$BZ$1,0),0)),0)</f>
        <v>0.6785714285714286</v>
      </c>
      <c r="I209" s="5">
        <f>IFERROR(IF(J209&lt;&gt;"",J209,(IF(VLOOKUP($A209,#REF!,MATCH(#REF!,#REF!,0),0)=0,G209,VLOOKUP($A209,#REF!,MATCH(#REF!,#REF!,0),0)))),G209)</f>
        <v>0.6785714285714286</v>
      </c>
      <c r="K209" s="6">
        <f>IFERROR(VLOOKUP($A209,#REF!,MATCH(#REF!,#REF!,0),0),0)</f>
        <v>0</v>
      </c>
      <c r="L209" s="6">
        <f>IFERROR(VLOOKUP($A209,[1]FINAL!$A$1:$BZ$1000,MATCH([1]FINAL!$BF$1,[1]FINAL!$A$1:$BZ$1,0),0),0)</f>
        <v>78</v>
      </c>
      <c r="M209" s="7">
        <f t="shared" si="17"/>
        <v>0.8666666666666667</v>
      </c>
      <c r="N209" s="6">
        <f>IFERROR(VLOOKUP($A209,#REF!,MATCH(#REF!,#REF!,0),0),0)</f>
        <v>0</v>
      </c>
      <c r="O209" s="7">
        <f t="shared" si="18"/>
        <v>0</v>
      </c>
      <c r="P209" s="10">
        <f>IFERROR(VLOOKUP($A209,[1]FINAL!$A$1:$BZ$1000,MATCH([1]FINAL!$BB$1,[1]FINAL!$A$1:$BZ$1,0),0),"")</f>
        <v>0</v>
      </c>
      <c r="Q209" s="18">
        <f t="shared" si="19"/>
        <v>1E-4</v>
      </c>
    </row>
    <row r="210" spans="1:17" x14ac:dyDescent="0.25">
      <c r="A210" s="14" t="str">
        <f>[1]FINAL!$A362</f>
        <v>Chadi Riad Dnanou</v>
      </c>
      <c r="B210" s="20" t="str">
        <f>IFERROR(VLOOKUP($A210,[1]FINAL!$A$1:$Z$1000,MATCH([1]FINAL!$T$1,[1]FINAL!$A$1:$Z$1,0),0),"")</f>
        <v>DEF</v>
      </c>
      <c r="C210" s="3" t="str">
        <f>IFERROR(VLOOKUP($A210,[1]FINAL!$A$1:$Z$1000,MATCH([1]FINAL!$U$1,[1]FINAL!$A$1:$Z$1,0),0),"")</f>
        <v>CB</v>
      </c>
      <c r="D210" s="3" t="str">
        <f>IFERROR(VLOOKUP($A210,[1]FINAL!$A$1:$Z$1000,MATCH([1]FINAL!$V$1,[1]FINAL!$A$1:$Z$1,0),0),"")</f>
        <v>CRY</v>
      </c>
      <c r="E210" s="6">
        <f t="shared" si="15"/>
        <v>79143.790849673213</v>
      </c>
      <c r="F210" s="5">
        <f t="shared" si="16"/>
        <v>0.35294117647058826</v>
      </c>
      <c r="G210" s="5">
        <f>IFERROR(IF(H210&lt;&gt;"",H210,VLOOKUP($A210,[1]FINAL!$A$1:$BZ$1000,MATCH([1]FINAL!$BL$1,[1]FINAL!$A$1:$BZ$1,0),0)),0)</f>
        <v>0.35294117647058826</v>
      </c>
      <c r="I210" s="5">
        <f>IFERROR(IF(J210&lt;&gt;"",J210,(IF(VLOOKUP($A210,#REF!,MATCH(#REF!,#REF!,0),0)=0,G210,VLOOKUP($A210,#REF!,MATCH(#REF!,#REF!,0),0)))),G210)</f>
        <v>0.35294117647058826</v>
      </c>
      <c r="K210" s="6">
        <f>IFERROR(VLOOKUP($A210,#REF!,MATCH(#REF!,#REF!,0),0),0)</f>
        <v>0</v>
      </c>
      <c r="L210" s="6">
        <f>IFERROR(VLOOKUP($A210,[1]FINAL!$A$1:$BZ$1000,MATCH([1]FINAL!$BF$1,[1]FINAL!$A$1:$BZ$1,0),0),0)</f>
        <v>77</v>
      </c>
      <c r="M210" s="7">
        <f t="shared" si="17"/>
        <v>0.85555555555555551</v>
      </c>
      <c r="N210" s="6">
        <f>IFERROR(VLOOKUP($A210,#REF!,MATCH(#REF!,#REF!,0),0),0)</f>
        <v>0</v>
      </c>
      <c r="O210" s="7">
        <f t="shared" si="18"/>
        <v>0</v>
      </c>
      <c r="P210" s="10" t="str">
        <f>IFERROR(VLOOKUP($A210,[1]FINAL!$A$1:$BZ$1000,MATCH([1]FINAL!$BB$1,[1]FINAL!$A$1:$BZ$1,0),0),"")</f>
        <v/>
      </c>
      <c r="Q210" s="18">
        <f t="shared" si="19"/>
        <v>1</v>
      </c>
    </row>
    <row r="211" spans="1:17" x14ac:dyDescent="0.25">
      <c r="A211" s="14" t="str">
        <f>[1]FINAL!$A184</f>
        <v>Rio Cardines</v>
      </c>
      <c r="B211" s="20" t="str">
        <f>IFERROR(VLOOKUP($A211,[1]FINAL!$A$1:$Z$1000,MATCH([1]FINAL!$T$1,[1]FINAL!$A$1:$Z$1,0),0),"")</f>
        <v>DEF</v>
      </c>
      <c r="C211" s="3" t="str">
        <f>IFERROR(VLOOKUP($A211,[1]FINAL!$A$1:$Z$1000,MATCH([1]FINAL!$U$1,[1]FINAL!$A$1:$Z$1,0),0),"")</f>
        <v>LB</v>
      </c>
      <c r="D211" s="3" t="str">
        <f>IFERROR(VLOOKUP($A211,[1]FINAL!$A$1:$Z$1000,MATCH([1]FINAL!$V$1,[1]FINAL!$A$1:$Z$1,0),0),"")</f>
        <v>CRY</v>
      </c>
      <c r="E211" s="6">
        <f t="shared" si="15"/>
        <v>25384.615384615383</v>
      </c>
      <c r="F211" s="5">
        <f t="shared" si="16"/>
        <v>7.6923076923076927E-2</v>
      </c>
      <c r="G211" s="5">
        <f>IFERROR(IF(H211&lt;&gt;"",H211,VLOOKUP($A211,[1]FINAL!$A$1:$BZ$1000,MATCH([1]FINAL!$BL$1,[1]FINAL!$A$1:$BZ$1,0),0)),0)</f>
        <v>7.6923076923076927E-2</v>
      </c>
      <c r="I211" s="5">
        <f>IFERROR(IF(J211&lt;&gt;"",J211,(IF(VLOOKUP($A211,#REF!,MATCH(#REF!,#REF!,0),0)=0,G211,VLOOKUP($A211,#REF!,MATCH(#REF!,#REF!,0),0)))),G211)</f>
        <v>7.6923076923076927E-2</v>
      </c>
      <c r="K211" s="6">
        <f>IFERROR(VLOOKUP($A211,#REF!,MATCH(#REF!,#REF!,0),0),0)</f>
        <v>0</v>
      </c>
      <c r="L211" s="6">
        <f>IFERROR(VLOOKUP($A211,[1]FINAL!$A$1:$BZ$1000,MATCH([1]FINAL!$BF$1,[1]FINAL!$A$1:$BZ$1,0),0),0)</f>
        <v>90</v>
      </c>
      <c r="M211" s="7">
        <f t="shared" si="17"/>
        <v>1</v>
      </c>
      <c r="N211" s="6">
        <f>IFERROR(VLOOKUP($A211,#REF!,MATCH(#REF!,#REF!,0),0),0)</f>
        <v>0</v>
      </c>
      <c r="O211" s="7">
        <f t="shared" si="18"/>
        <v>0</v>
      </c>
      <c r="P211" s="10" t="str">
        <f>IFERROR(VLOOKUP($A211,[1]FINAL!$A$1:$BZ$1000,MATCH([1]FINAL!$BB$1,[1]FINAL!$A$1:$BZ$1,0),0),"")</f>
        <v/>
      </c>
      <c r="Q211" s="18">
        <f t="shared" si="19"/>
        <v>1</v>
      </c>
    </row>
    <row r="212" spans="1:17" x14ac:dyDescent="0.25">
      <c r="A212" s="14" t="str">
        <f>[1]FINAL!$A89</f>
        <v>Frank Onyeka</v>
      </c>
      <c r="B212" s="20" t="str">
        <f>IFERROR(VLOOKUP($A212,[1]FINAL!$A$1:$Z$1000,MATCH([1]FINAL!$T$1,[1]FINAL!$A$1:$Z$1,0),0),"")</f>
        <v>MID</v>
      </c>
      <c r="C212" s="3" t="str">
        <f>IFERROR(VLOOKUP($A212,[1]FINAL!$A$1:$Z$1000,MATCH([1]FINAL!$U$1,[1]FINAL!$A$1:$Z$1,0),0),"")</f>
        <v>CM</v>
      </c>
      <c r="D212" s="3" t="str">
        <f>IFERROR(VLOOKUP($A212,[1]FINAL!$A$1:$Z$1000,MATCH([1]FINAL!$V$1,[1]FINAL!$A$1:$Z$1,0),0),"")</f>
        <v>COV</v>
      </c>
      <c r="E212" s="6">
        <f t="shared" si="15"/>
        <v>0</v>
      </c>
      <c r="F212" s="5">
        <f t="shared" si="16"/>
        <v>0</v>
      </c>
      <c r="G212" s="5">
        <f>IFERROR(IF(H212&lt;&gt;"",H212,VLOOKUP($A212,[1]FINAL!$A$1:$BZ$1000,MATCH([1]FINAL!$BL$1,[1]FINAL!$A$1:$BZ$1,0),0)),0)</f>
        <v>0</v>
      </c>
      <c r="I212" s="5">
        <f>IFERROR(IF(J212&lt;&gt;"",J212,(IF(VLOOKUP($A212,#REF!,MATCH(#REF!,#REF!,0),0)=0,G212,VLOOKUP($A212,#REF!,MATCH(#REF!,#REF!,0),0)))),G212)</f>
        <v>0</v>
      </c>
      <c r="K212" s="6">
        <f>IFERROR(VLOOKUP($A212,#REF!,MATCH(#REF!,#REF!,0),0),0)</f>
        <v>0</v>
      </c>
      <c r="L212" s="6">
        <f>IFERROR(VLOOKUP($A212,[1]FINAL!$A$1:$BZ$1000,MATCH([1]FINAL!$BF$1,[1]FINAL!$A$1:$BZ$1,0),0),0)</f>
        <v>0</v>
      </c>
      <c r="M212" s="7">
        <f t="shared" si="17"/>
        <v>0</v>
      </c>
      <c r="N212" s="6">
        <f>IFERROR(VLOOKUP($A212,#REF!,MATCH(#REF!,#REF!,0),0),0)</f>
        <v>0</v>
      </c>
      <c r="O212" s="7">
        <f t="shared" si="18"/>
        <v>0</v>
      </c>
      <c r="P212" s="10" t="str">
        <f>IFERROR(VLOOKUP($A212,[1]FINAL!$A$1:$BZ$1000,MATCH([1]FINAL!$BB$1,[1]FINAL!$A$1:$BZ$1,0),0),"")</f>
        <v/>
      </c>
      <c r="Q212" s="18">
        <f t="shared" si="19"/>
        <v>1</v>
      </c>
    </row>
    <row r="213" spans="1:17" x14ac:dyDescent="0.25">
      <c r="A213" s="14" t="str">
        <f>[1]FINAL!$A387</f>
        <v>Mark Travers</v>
      </c>
      <c r="B213" s="20" t="str">
        <f>IFERROR(VLOOKUP($A213,[1]FINAL!$A$1:$Z$1000,MATCH([1]FINAL!$T$1,[1]FINAL!$A$1:$Z$1,0),0),"")</f>
        <v>GK</v>
      </c>
      <c r="C213" s="3" t="str">
        <f>IFERROR(VLOOKUP($A213,[1]FINAL!$A$1:$Z$1000,MATCH([1]FINAL!$U$1,[1]FINAL!$A$1:$Z$1,0),0),"")</f>
        <v>GK</v>
      </c>
      <c r="D213" s="3" t="str">
        <f>IFERROR(VLOOKUP($A213,[1]FINAL!$A$1:$Z$1000,MATCH([1]FINAL!$V$1,[1]FINAL!$A$1:$Z$1,0),0),"")</f>
        <v>EVE</v>
      </c>
      <c r="E213" s="6">
        <f t="shared" si="15"/>
        <v>0</v>
      </c>
      <c r="F213" s="5">
        <f t="shared" si="16"/>
        <v>0</v>
      </c>
      <c r="G213" s="5">
        <f>IFERROR(IF(H213&lt;&gt;"",H213,VLOOKUP($A213,[1]FINAL!$A$1:$BZ$1000,MATCH([1]FINAL!$BL$1,[1]FINAL!$A$1:$BZ$1,0),0)),0)</f>
        <v>0</v>
      </c>
      <c r="I213" s="5">
        <f>IFERROR(IF(J213&lt;&gt;"",J213,(IF(VLOOKUP($A213,#REF!,MATCH(#REF!,#REF!,0),0)=0,G213,VLOOKUP($A213,#REF!,MATCH(#REF!,#REF!,0),0)))),G213)</f>
        <v>0</v>
      </c>
      <c r="K213" s="6">
        <f>IFERROR(VLOOKUP($A213,#REF!,MATCH(#REF!,#REF!,0),0),0)</f>
        <v>0</v>
      </c>
      <c r="L213" s="6">
        <f>IFERROR(VLOOKUP($A213,[1]FINAL!$A$1:$BZ$1000,MATCH([1]FINAL!$BF$1,[1]FINAL!$A$1:$BZ$1,0),0),0)</f>
        <v>0</v>
      </c>
      <c r="M213" s="7">
        <f t="shared" si="17"/>
        <v>0</v>
      </c>
      <c r="N213" s="6">
        <f>IFERROR(VLOOKUP($A213,#REF!,MATCH(#REF!,#REF!,0),0),0)</f>
        <v>0</v>
      </c>
      <c r="O213" s="7">
        <f t="shared" si="18"/>
        <v>0</v>
      </c>
      <c r="P213" s="10" t="str">
        <f>IFERROR(VLOOKUP($A213,[1]FINAL!$A$1:$BZ$1000,MATCH([1]FINAL!$BB$1,[1]FINAL!$A$1:$BZ$1,0),0),"")</f>
        <v/>
      </c>
      <c r="Q213" s="18">
        <f t="shared" si="19"/>
        <v>1</v>
      </c>
    </row>
    <row r="214" spans="1:17" x14ac:dyDescent="0.25">
      <c r="A214" s="14" t="str">
        <f>[1]FINAL!$A14</f>
        <v>Reiss Nelson</v>
      </c>
      <c r="B214" s="20" t="str">
        <f>IFERROR(VLOOKUP($A214,[1]FINAL!$A$1:$Z$1000,MATCH([1]FINAL!$T$1,[1]FINAL!$A$1:$Z$1,0),0),"")</f>
        <v>MID</v>
      </c>
      <c r="C214" s="3" t="str">
        <f>IFERROR(VLOOKUP($A214,[1]FINAL!$A$1:$Z$1000,MATCH([1]FINAL!$U$1,[1]FINAL!$A$1:$Z$1,0),0),"")</f>
        <v>LW</v>
      </c>
      <c r="D214" s="3" t="str">
        <f>IFERROR(VLOOKUP($A214,[1]FINAL!$A$1:$Z$1000,MATCH([1]FINAL!$V$1,[1]FINAL!$A$1:$Z$1,0),0),"")</f>
        <v>ARS</v>
      </c>
      <c r="E214" s="6">
        <f t="shared" si="15"/>
        <v>0</v>
      </c>
      <c r="F214" s="5">
        <f t="shared" si="16"/>
        <v>0</v>
      </c>
      <c r="G214" s="5">
        <f>IFERROR(IF(H214&lt;&gt;"",H214,VLOOKUP($A214,[1]FINAL!$A$1:$BZ$1000,MATCH([1]FINAL!$BL$1,[1]FINAL!$A$1:$BZ$1,0),0)),0)</f>
        <v>0</v>
      </c>
      <c r="I214" s="5">
        <f>IFERROR(IF(J214&lt;&gt;"",J214,(IF(VLOOKUP($A214,#REF!,MATCH(#REF!,#REF!,0),0)=0,G214,VLOOKUP($A214,#REF!,MATCH(#REF!,#REF!,0),0)))),G214)</f>
        <v>0</v>
      </c>
      <c r="K214" s="6">
        <f>IFERROR(VLOOKUP($A214,#REF!,MATCH(#REF!,#REF!,0),0),0)</f>
        <v>0</v>
      </c>
      <c r="L214" s="6">
        <f>IFERROR(VLOOKUP($A214,[1]FINAL!$A$1:$BZ$1000,MATCH([1]FINAL!$BF$1,[1]FINAL!$A$1:$BZ$1,0),0),0)</f>
        <v>0</v>
      </c>
      <c r="M214" s="7">
        <f t="shared" si="17"/>
        <v>0</v>
      </c>
      <c r="N214" s="6">
        <f>IFERROR(VLOOKUP($A214,#REF!,MATCH(#REF!,#REF!,0),0),0)</f>
        <v>0</v>
      </c>
      <c r="O214" s="7">
        <f t="shared" si="18"/>
        <v>0</v>
      </c>
      <c r="P214" s="10" t="str">
        <f>IFERROR(VLOOKUP($A214,[1]FINAL!$A$1:$BZ$1000,MATCH([1]FINAL!$BB$1,[1]FINAL!$A$1:$BZ$1,0),0),"")</f>
        <v/>
      </c>
      <c r="Q214" s="18">
        <f t="shared" si="19"/>
        <v>1</v>
      </c>
    </row>
    <row r="215" spans="1:17" x14ac:dyDescent="0.25">
      <c r="A215" s="14" t="str">
        <f>[1]FINAL!$A135</f>
        <v>Robin Roefs</v>
      </c>
      <c r="B215" s="20" t="str">
        <f>IFERROR(VLOOKUP($A215,[1]FINAL!$A$1:$Z$1000,MATCH([1]FINAL!$T$1,[1]FINAL!$A$1:$Z$1,0),0),"")</f>
        <v>GK</v>
      </c>
      <c r="C215" s="3" t="str">
        <f>IFERROR(VLOOKUP($A215,[1]FINAL!$A$1:$Z$1000,MATCH([1]FINAL!$U$1,[1]FINAL!$A$1:$Z$1,0),0),"")</f>
        <v>GK</v>
      </c>
      <c r="D215" s="3" t="str">
        <f>IFERROR(VLOOKUP($A215,[1]FINAL!$A$1:$Z$1000,MATCH([1]FINAL!$V$1,[1]FINAL!$A$1:$Z$1,0),0),"")</f>
        <v>SUN</v>
      </c>
      <c r="E215" s="6">
        <f t="shared" si="15"/>
        <v>210000</v>
      </c>
      <c r="F215" s="5">
        <f t="shared" si="16"/>
        <v>1</v>
      </c>
      <c r="G215" s="5">
        <f>IFERROR(IF(H215&lt;&gt;"",H215,VLOOKUP($A215,[1]FINAL!$A$1:$BZ$1000,MATCH([1]FINAL!$BL$1,[1]FINAL!$A$1:$BZ$1,0),0)),0)</f>
        <v>1</v>
      </c>
      <c r="I215" s="5">
        <f>IFERROR(IF(J215&lt;&gt;"",J215,(IF(VLOOKUP($A215,#REF!,MATCH(#REF!,#REF!,0),0)=0,G215,VLOOKUP($A215,#REF!,MATCH(#REF!,#REF!,0),0)))),G215)</f>
        <v>1</v>
      </c>
      <c r="K215" s="6">
        <f>IFERROR(VLOOKUP($A215,#REF!,MATCH(#REF!,#REF!,0),0),0)</f>
        <v>0</v>
      </c>
      <c r="L215" s="6">
        <f>IFERROR(VLOOKUP($A215,[1]FINAL!$A$1:$BZ$1000,MATCH([1]FINAL!$BF$1,[1]FINAL!$A$1:$BZ$1,0),0),0)</f>
        <v>90</v>
      </c>
      <c r="M215" s="7">
        <f t="shared" si="17"/>
        <v>1</v>
      </c>
      <c r="N215" s="6">
        <f>IFERROR(VLOOKUP($A215,#REF!,MATCH(#REF!,#REF!,0),0),0)</f>
        <v>0</v>
      </c>
      <c r="O215" s="7">
        <f t="shared" si="18"/>
        <v>0</v>
      </c>
      <c r="P215" s="10" t="str">
        <f>IFERROR(VLOOKUP($A215,[1]FINAL!$A$1:$BZ$1000,MATCH([1]FINAL!$BB$1,[1]FINAL!$A$1:$BZ$1,0),0),"")</f>
        <v/>
      </c>
      <c r="Q215" s="18">
        <f t="shared" si="19"/>
        <v>1</v>
      </c>
    </row>
    <row r="216" spans="1:17" x14ac:dyDescent="0.25">
      <c r="A216" s="14" t="str">
        <f>[1]FINAL!$A408</f>
        <v>Samuel Iling-Junior</v>
      </c>
      <c r="B216" s="20" t="str">
        <f>IFERROR(VLOOKUP($A216,[1]FINAL!$A$1:$Z$1000,MATCH([1]FINAL!$T$1,[1]FINAL!$A$1:$Z$1,0),0),"")</f>
        <v>MID</v>
      </c>
      <c r="C216" s="3" t="str">
        <f>IFERROR(VLOOKUP($A216,[1]FINAL!$A$1:$Z$1000,MATCH([1]FINAL!$U$1,[1]FINAL!$A$1:$Z$1,0),0),"")</f>
        <v>LW</v>
      </c>
      <c r="D216" s="3" t="str">
        <f>IFERROR(VLOOKUP($A216,[1]FINAL!$A$1:$Z$1000,MATCH([1]FINAL!$V$1,[1]FINAL!$A$1:$Z$1,0),0),"")</f>
        <v>AVL</v>
      </c>
      <c r="E216" s="6">
        <f t="shared" si="15"/>
        <v>0</v>
      </c>
      <c r="F216" s="5">
        <f t="shared" si="16"/>
        <v>0</v>
      </c>
      <c r="G216" s="5">
        <f>IFERROR(IF(H216&lt;&gt;"",H216,VLOOKUP($A216,[1]FINAL!$A$1:$BZ$1000,MATCH([1]FINAL!$BL$1,[1]FINAL!$A$1:$BZ$1,0),0)),0)</f>
        <v>0</v>
      </c>
      <c r="I216" s="5">
        <f>IFERROR(IF(J216&lt;&gt;"",J216,(IF(VLOOKUP($A216,#REF!,MATCH(#REF!,#REF!,0),0)=0,G216,VLOOKUP($A216,#REF!,MATCH(#REF!,#REF!,0),0)))),G216)</f>
        <v>0</v>
      </c>
      <c r="K216" s="6">
        <f>IFERROR(VLOOKUP($A216,#REF!,MATCH(#REF!,#REF!,0),0),0)</f>
        <v>0</v>
      </c>
      <c r="L216" s="6">
        <f>IFERROR(VLOOKUP($A216,[1]FINAL!$A$1:$BZ$1000,MATCH([1]FINAL!$BF$1,[1]FINAL!$A$1:$BZ$1,0),0),0)</f>
        <v>0</v>
      </c>
      <c r="M216" s="7">
        <f t="shared" si="17"/>
        <v>0</v>
      </c>
      <c r="N216" s="6">
        <f>IFERROR(VLOOKUP($A216,#REF!,MATCH(#REF!,#REF!,0),0),0)</f>
        <v>0</v>
      </c>
      <c r="O216" s="7">
        <f t="shared" si="18"/>
        <v>0</v>
      </c>
      <c r="P216" s="10" t="str">
        <f>IFERROR(VLOOKUP($A216,[1]FINAL!$A$1:$BZ$1000,MATCH([1]FINAL!$BB$1,[1]FINAL!$A$1:$BZ$1,0),0),"")</f>
        <v/>
      </c>
      <c r="Q216" s="18">
        <f t="shared" si="19"/>
        <v>1</v>
      </c>
    </row>
    <row r="217" spans="1:17" x14ac:dyDescent="0.25">
      <c r="A217" s="14" t="str">
        <f>[1]FINAL!$A19</f>
        <v>Lukas Nmecha</v>
      </c>
      <c r="B217" s="20" t="str">
        <f>IFERROR(VLOOKUP($A217,[1]FINAL!$A$1:$Z$1000,MATCH([1]FINAL!$T$1,[1]FINAL!$A$1:$Z$1,0),0),"")</f>
        <v>FWD</v>
      </c>
      <c r="C217" s="3" t="str">
        <f>IFERROR(VLOOKUP($A217,[1]FINAL!$A$1:$Z$1000,MATCH([1]FINAL!$U$1,[1]FINAL!$A$1:$Z$1,0),0),"")</f>
        <v>CF</v>
      </c>
      <c r="D217" s="3" t="str">
        <f>IFERROR(VLOOKUP($A217,[1]FINAL!$A$1:$Z$1000,MATCH([1]FINAL!$V$1,[1]FINAL!$A$1:$Z$1,0),0),"")</f>
        <v>LEE</v>
      </c>
      <c r="E217" s="6">
        <f t="shared" si="15"/>
        <v>66712.41830065359</v>
      </c>
      <c r="F217" s="5">
        <f t="shared" si="16"/>
        <v>0.29411764705882354</v>
      </c>
      <c r="G217" s="5">
        <f>IFERROR(IF(H217&lt;&gt;"",H217,VLOOKUP($A217,[1]FINAL!$A$1:$BZ$1000,MATCH([1]FINAL!$BL$1,[1]FINAL!$A$1:$BZ$1,0),0)),0)</f>
        <v>0.29411764705882354</v>
      </c>
      <c r="I217" s="5">
        <f>IFERROR(IF(J217&lt;&gt;"",J217,(IF(VLOOKUP($A217,#REF!,MATCH(#REF!,#REF!,0),0)=0,G217,VLOOKUP($A217,#REF!,MATCH(#REF!,#REF!,0),0)))),G217)</f>
        <v>0.29411764705882354</v>
      </c>
      <c r="K217" s="6">
        <f>IFERROR(VLOOKUP($A217,#REF!,MATCH(#REF!,#REF!,0),0),0)</f>
        <v>0</v>
      </c>
      <c r="L217" s="6">
        <f>IFERROR(VLOOKUP($A217,[1]FINAL!$A$1:$BZ$1000,MATCH([1]FINAL!$BF$1,[1]FINAL!$A$1:$BZ$1,0),0),0)</f>
        <v>71</v>
      </c>
      <c r="M217" s="7">
        <f t="shared" si="17"/>
        <v>0.78888888888888886</v>
      </c>
      <c r="N217" s="6">
        <f>IFERROR(VLOOKUP($A217,#REF!,MATCH(#REF!,#REF!,0),0),0)</f>
        <v>0</v>
      </c>
      <c r="O217" s="7">
        <f t="shared" si="18"/>
        <v>0</v>
      </c>
      <c r="P217" s="10" t="str">
        <f>IFERROR(VLOOKUP($A217,[1]FINAL!$A$1:$BZ$1000,MATCH([1]FINAL!$BB$1,[1]FINAL!$A$1:$BZ$1,0),0),"")</f>
        <v/>
      </c>
      <c r="Q217" s="18">
        <f t="shared" si="19"/>
        <v>1</v>
      </c>
    </row>
    <row r="218" spans="1:17" x14ac:dyDescent="0.25">
      <c r="A218" s="14" t="str">
        <f>[1]FINAL!$A131</f>
        <v>Gianluigi Donnarumma</v>
      </c>
      <c r="B218" s="20" t="str">
        <f>IFERROR(VLOOKUP($A218,[1]FINAL!$A$1:$Z$1000,MATCH([1]FINAL!$T$1,[1]FINAL!$A$1:$Z$1,0),0),"")</f>
        <v>GK</v>
      </c>
      <c r="C218" s="3" t="str">
        <f>IFERROR(VLOOKUP($A218,[1]FINAL!$A$1:$Z$1000,MATCH([1]FINAL!$U$1,[1]FINAL!$A$1:$Z$1,0),0),"")</f>
        <v>GK</v>
      </c>
      <c r="D218" s="3" t="str">
        <f>IFERROR(VLOOKUP($A218,[1]FINAL!$A$1:$Z$1000,MATCH([1]FINAL!$V$1,[1]FINAL!$A$1:$Z$1,0),0),"")</f>
        <v>MCI</v>
      </c>
      <c r="E218" s="6">
        <f t="shared" si="15"/>
        <v>210000</v>
      </c>
      <c r="F218" s="5">
        <f t="shared" si="16"/>
        <v>1</v>
      </c>
      <c r="G218" s="5">
        <f>IFERROR(IF(H218&lt;&gt;"",H218,VLOOKUP($A218,[1]FINAL!$A$1:$BZ$1000,MATCH([1]FINAL!$BL$1,[1]FINAL!$A$1:$BZ$1,0),0)),0)</f>
        <v>1</v>
      </c>
      <c r="I218" s="5">
        <f>IFERROR(IF(J218&lt;&gt;"",J218,(IF(VLOOKUP($A218,#REF!,MATCH(#REF!,#REF!,0),0)=0,G218,VLOOKUP($A218,#REF!,MATCH(#REF!,#REF!,0),0)))),G218)</f>
        <v>1</v>
      </c>
      <c r="K218" s="6">
        <f>IFERROR(VLOOKUP($A218,#REF!,MATCH(#REF!,#REF!,0),0),0)</f>
        <v>0</v>
      </c>
      <c r="L218" s="6">
        <f>IFERROR(VLOOKUP($A218,[1]FINAL!$A$1:$BZ$1000,MATCH([1]FINAL!$BF$1,[1]FINAL!$A$1:$BZ$1,0),0),0)</f>
        <v>90</v>
      </c>
      <c r="M218" s="7">
        <f t="shared" si="17"/>
        <v>1</v>
      </c>
      <c r="N218" s="6">
        <f>IFERROR(VLOOKUP($A218,#REF!,MATCH(#REF!,#REF!,0),0),0)</f>
        <v>0</v>
      </c>
      <c r="O218" s="7">
        <f t="shared" si="18"/>
        <v>0</v>
      </c>
      <c r="P218" s="10" t="str">
        <f>IFERROR(VLOOKUP($A218,[1]FINAL!$A$1:$BZ$1000,MATCH([1]FINAL!$BB$1,[1]FINAL!$A$1:$BZ$1,0),0),"")</f>
        <v/>
      </c>
      <c r="Q218" s="18">
        <f t="shared" si="19"/>
        <v>1</v>
      </c>
    </row>
    <row r="219" spans="1:17" x14ac:dyDescent="0.25">
      <c r="A219" s="14" t="str">
        <f>[1]FINAL!$A372</f>
        <v>Illan Meslier</v>
      </c>
      <c r="B219" s="20" t="str">
        <f>IFERROR(VLOOKUP($A219,[1]FINAL!$A$1:$Z$1000,MATCH([1]FINAL!$T$1,[1]FINAL!$A$1:$Z$1,0),0),"")</f>
        <v>GK</v>
      </c>
      <c r="C219" s="3" t="str">
        <f>IFERROR(VLOOKUP($A219,[1]FINAL!$A$1:$Z$1000,MATCH([1]FINAL!$U$1,[1]FINAL!$A$1:$Z$1,0),0),"")</f>
        <v>GK</v>
      </c>
      <c r="D219" s="3" t="str">
        <f>IFERROR(VLOOKUP($A219,[1]FINAL!$A$1:$Z$1000,MATCH([1]FINAL!$V$1,[1]FINAL!$A$1:$Z$1,0),0),"")</f>
        <v>ARS</v>
      </c>
      <c r="E219" s="6">
        <f t="shared" si="15"/>
        <v>0</v>
      </c>
      <c r="F219" s="5">
        <f t="shared" si="16"/>
        <v>0</v>
      </c>
      <c r="G219" s="5">
        <f>IFERROR(IF(H219&lt;&gt;"",H219,VLOOKUP($A219,[1]FINAL!$A$1:$BZ$1000,MATCH([1]FINAL!$BL$1,[1]FINAL!$A$1:$BZ$1,0),0)),0)</f>
        <v>0</v>
      </c>
      <c r="I219" s="5">
        <f>IFERROR(IF(J219&lt;&gt;"",J219,(IF(VLOOKUP($A219,#REF!,MATCH(#REF!,#REF!,0),0)=0,G219,VLOOKUP($A219,#REF!,MATCH(#REF!,#REF!,0),0)))),G219)</f>
        <v>0</v>
      </c>
      <c r="K219" s="6">
        <f>IFERROR(VLOOKUP($A219,#REF!,MATCH(#REF!,#REF!,0),0),0)</f>
        <v>0</v>
      </c>
      <c r="L219" s="6">
        <f>IFERROR(VLOOKUP($A219,[1]FINAL!$A$1:$BZ$1000,MATCH([1]FINAL!$BF$1,[1]FINAL!$A$1:$BZ$1,0),0),0)</f>
        <v>0</v>
      </c>
      <c r="M219" s="7">
        <f t="shared" si="17"/>
        <v>0</v>
      </c>
      <c r="N219" s="6">
        <f>IFERROR(VLOOKUP($A219,#REF!,MATCH(#REF!,#REF!,0),0),0)</f>
        <v>0</v>
      </c>
      <c r="O219" s="7">
        <f t="shared" si="18"/>
        <v>0</v>
      </c>
      <c r="P219" s="10" t="str">
        <f>IFERROR(VLOOKUP($A219,[1]FINAL!$A$1:$BZ$1000,MATCH([1]FINAL!$BB$1,[1]FINAL!$A$1:$BZ$1,0),0),"")</f>
        <v/>
      </c>
      <c r="Q219" s="18">
        <f t="shared" si="19"/>
        <v>1</v>
      </c>
    </row>
    <row r="220" spans="1:17" x14ac:dyDescent="0.25">
      <c r="A220" s="14" t="str">
        <f>[1]FINAL!$A276</f>
        <v>Tino Livramento</v>
      </c>
      <c r="B220" s="20" t="str">
        <f>IFERROR(VLOOKUP($A220,[1]FINAL!$A$1:$Z$1000,MATCH([1]FINAL!$T$1,[1]FINAL!$A$1:$Z$1,0),0),"")</f>
        <v>DEF</v>
      </c>
      <c r="C220" s="3" t="str">
        <f>IFERROR(VLOOKUP($A220,[1]FINAL!$A$1:$Z$1000,MATCH([1]FINAL!$U$1,[1]FINAL!$A$1:$Z$1,0),0),"")</f>
        <v>RB</v>
      </c>
      <c r="D220" s="3" t="str">
        <f>IFERROR(VLOOKUP($A220,[1]FINAL!$A$1:$Z$1000,MATCH([1]FINAL!$V$1,[1]FINAL!$A$1:$Z$1,0),0),"")</f>
        <v>NEW</v>
      </c>
      <c r="E220" s="6">
        <f t="shared" si="15"/>
        <v>130862.74509803922</v>
      </c>
      <c r="F220" s="5">
        <f t="shared" si="16"/>
        <v>0.61764705882352944</v>
      </c>
      <c r="G220" s="5">
        <f>IFERROR(IF(H220&lt;&gt;"",H220,VLOOKUP($A220,[1]FINAL!$A$1:$BZ$1000,MATCH([1]FINAL!$BL$1,[1]FINAL!$A$1:$BZ$1,0),0)),0)</f>
        <v>0.82352941176470584</v>
      </c>
      <c r="I220" s="5">
        <f>IFERROR(IF(J220&lt;&gt;"",J220,(IF(VLOOKUP($A220,#REF!,MATCH(#REF!,#REF!,0),0)=0,G220,VLOOKUP($A220,#REF!,MATCH(#REF!,#REF!,0),0)))),G220)</f>
        <v>0.82352941176470584</v>
      </c>
      <c r="K220" s="6">
        <f>IFERROR(VLOOKUP($A220,#REF!,MATCH(#REF!,#REF!,0),0),0)</f>
        <v>0</v>
      </c>
      <c r="L220" s="6">
        <f>IFERROR(VLOOKUP($A220,[1]FINAL!$A$1:$BZ$1000,MATCH([1]FINAL!$BF$1,[1]FINAL!$A$1:$BZ$1,0),0),0)</f>
        <v>88</v>
      </c>
      <c r="M220" s="7">
        <f t="shared" si="17"/>
        <v>0.97777777777777775</v>
      </c>
      <c r="N220" s="6">
        <f>IFERROR(VLOOKUP($A220,#REF!,MATCH(#REF!,#REF!,0),0),0)</f>
        <v>0</v>
      </c>
      <c r="O220" s="7">
        <f t="shared" si="18"/>
        <v>0</v>
      </c>
      <c r="P220" s="10">
        <f>IFERROR(VLOOKUP($A220,[1]FINAL!$A$1:$BZ$1000,MATCH([1]FINAL!$BB$1,[1]FINAL!$A$1:$BZ$1,0),0),"")</f>
        <v>75</v>
      </c>
      <c r="Q220" s="18">
        <f t="shared" si="19"/>
        <v>0.75</v>
      </c>
    </row>
    <row r="221" spans="1:17" x14ac:dyDescent="0.25">
      <c r="A221" s="14" t="str">
        <f>[1]FINAL!$A59</f>
        <v>Cody Gakpo</v>
      </c>
      <c r="B221" s="20" t="str">
        <f>IFERROR(VLOOKUP($A221,[1]FINAL!$A$1:$Z$1000,MATCH([1]FINAL!$T$1,[1]FINAL!$A$1:$Z$1,0),0),"")</f>
        <v>MID</v>
      </c>
      <c r="C221" s="3" t="str">
        <f>IFERROR(VLOOKUP($A221,[1]FINAL!$A$1:$Z$1000,MATCH([1]FINAL!$U$1,[1]FINAL!$A$1:$Z$1,0),0),"")</f>
        <v>LW</v>
      </c>
      <c r="D221" s="3" t="str">
        <f>IFERROR(VLOOKUP($A221,[1]FINAL!$A$1:$Z$1000,MATCH([1]FINAL!$V$1,[1]FINAL!$A$1:$Z$1,0),0),"")</f>
        <v>LIV</v>
      </c>
      <c r="E221" s="6">
        <f t="shared" si="15"/>
        <v>186888.88888888891</v>
      </c>
      <c r="F221" s="5">
        <f t="shared" si="16"/>
        <v>0.88888888888888884</v>
      </c>
      <c r="G221" s="5">
        <f>IFERROR(IF(H221&lt;&gt;"",H221,VLOOKUP($A221,[1]FINAL!$A$1:$BZ$1000,MATCH([1]FINAL!$BL$1,[1]FINAL!$A$1:$BZ$1,0),0)),0)</f>
        <v>0.88888888888888884</v>
      </c>
      <c r="I221" s="5">
        <f>IFERROR(IF(J221&lt;&gt;"",J221,(IF(VLOOKUP($A221,#REF!,MATCH(#REF!,#REF!,0),0)=0,G221,VLOOKUP($A221,#REF!,MATCH(#REF!,#REF!,0),0)))),G221)</f>
        <v>0.88888888888888884</v>
      </c>
      <c r="K221" s="6">
        <f>IFERROR(VLOOKUP($A221,#REF!,MATCH(#REF!,#REF!,0),0),0)</f>
        <v>0</v>
      </c>
      <c r="L221" s="6">
        <f>IFERROR(VLOOKUP($A221,[1]FINAL!$A$1:$BZ$1000,MATCH([1]FINAL!$BF$1,[1]FINAL!$A$1:$BZ$1,0),0),0)</f>
        <v>82</v>
      </c>
      <c r="M221" s="7">
        <f t="shared" si="17"/>
        <v>0.91111111111111109</v>
      </c>
      <c r="N221" s="6">
        <f>IFERROR(VLOOKUP($A221,#REF!,MATCH(#REF!,#REF!,0),0),0)</f>
        <v>0</v>
      </c>
      <c r="O221" s="7">
        <f t="shared" si="18"/>
        <v>0</v>
      </c>
      <c r="P221" s="10" t="str">
        <f>IFERROR(VLOOKUP($A221,[1]FINAL!$A$1:$BZ$1000,MATCH([1]FINAL!$BB$1,[1]FINAL!$A$1:$BZ$1,0),0),"")</f>
        <v/>
      </c>
      <c r="Q221" s="18">
        <f t="shared" si="19"/>
        <v>1</v>
      </c>
    </row>
    <row r="222" spans="1:17" x14ac:dyDescent="0.25">
      <c r="A222" s="14" t="str">
        <f>[1]FINAL!$A245</f>
        <v>Dilane Bakwa</v>
      </c>
      <c r="B222" s="20" t="str">
        <f>IFERROR(VLOOKUP($A222,[1]FINAL!$A$1:$Z$1000,MATCH([1]FINAL!$T$1,[1]FINAL!$A$1:$Z$1,0),0),"")</f>
        <v>MID</v>
      </c>
      <c r="C222" s="3" t="str">
        <f>IFERROR(VLOOKUP($A222,[1]FINAL!$A$1:$Z$1000,MATCH([1]FINAL!$U$1,[1]FINAL!$A$1:$Z$1,0),0),"")</f>
        <v>RW</v>
      </c>
      <c r="D222" s="3" t="str">
        <f>IFERROR(VLOOKUP($A222,[1]FINAL!$A$1:$Z$1000,MATCH([1]FINAL!$V$1,[1]FINAL!$A$1:$Z$1,0),0),"")</f>
        <v>NFO</v>
      </c>
      <c r="E222" s="6">
        <f t="shared" si="15"/>
        <v>64253.968253968247</v>
      </c>
      <c r="F222" s="5">
        <f t="shared" si="16"/>
        <v>0.2857142857142857</v>
      </c>
      <c r="G222" s="5">
        <f>IFERROR(IF(H222&lt;&gt;"",H222,VLOOKUP($A222,[1]FINAL!$A$1:$BZ$1000,MATCH([1]FINAL!$BL$1,[1]FINAL!$A$1:$BZ$1,0),0)),0)</f>
        <v>0.2857142857142857</v>
      </c>
      <c r="I222" s="5">
        <f>IFERROR(IF(J222&lt;&gt;"",J222,(IF(VLOOKUP($A222,#REF!,MATCH(#REF!,#REF!,0),0)=0,G222,VLOOKUP($A222,#REF!,MATCH(#REF!,#REF!,0),0)))),G222)</f>
        <v>0.2857142857142857</v>
      </c>
      <c r="K222" s="6">
        <f>IFERROR(VLOOKUP($A222,#REF!,MATCH(#REF!,#REF!,0),0),0)</f>
        <v>0</v>
      </c>
      <c r="L222" s="6">
        <f>IFERROR(VLOOKUP($A222,[1]FINAL!$A$1:$BZ$1000,MATCH([1]FINAL!$BF$1,[1]FINAL!$A$1:$BZ$1,0),0),0)</f>
        <v>64</v>
      </c>
      <c r="M222" s="7">
        <f t="shared" si="17"/>
        <v>0.71111111111111114</v>
      </c>
      <c r="N222" s="6">
        <f>IFERROR(VLOOKUP($A222,#REF!,MATCH(#REF!,#REF!,0),0),0)</f>
        <v>0</v>
      </c>
      <c r="O222" s="7">
        <f t="shared" si="18"/>
        <v>0</v>
      </c>
      <c r="P222" s="10" t="str">
        <f>IFERROR(VLOOKUP($A222,[1]FINAL!$A$1:$BZ$1000,MATCH([1]FINAL!$BB$1,[1]FINAL!$A$1:$BZ$1,0),0),"")</f>
        <v/>
      </c>
      <c r="Q222" s="18">
        <f t="shared" si="19"/>
        <v>1</v>
      </c>
    </row>
    <row r="223" spans="1:17" x14ac:dyDescent="0.25">
      <c r="A223" s="14" t="str">
        <f>[1]FINAL!$A487</f>
        <v>Dillon Phillips</v>
      </c>
      <c r="B223" s="20" t="str">
        <f>IFERROR(VLOOKUP($A223,[1]FINAL!$A$1:$Z$1000,MATCH([1]FINAL!$T$1,[1]FINAL!$A$1:$Z$1,0),0),"")</f>
        <v>GK</v>
      </c>
      <c r="C223" s="3" t="str">
        <f>IFERROR(VLOOKUP($A223,[1]FINAL!$A$1:$Z$1000,MATCH([1]FINAL!$U$1,[1]FINAL!$A$1:$Z$1,0),0),"")</f>
        <v>GK</v>
      </c>
      <c r="D223" s="3" t="str">
        <f>IFERROR(VLOOKUP($A223,[1]FINAL!$A$1:$Z$1000,MATCH([1]FINAL!$V$1,[1]FINAL!$A$1:$Z$1,0),0),"")</f>
        <v>HUL</v>
      </c>
      <c r="E223" s="6">
        <f t="shared" si="15"/>
        <v>10000</v>
      </c>
      <c r="F223" s="5">
        <f t="shared" si="16"/>
        <v>0</v>
      </c>
      <c r="G223" s="5">
        <f>IFERROR(IF(H223&lt;&gt;"",H223,VLOOKUP($A223,[1]FINAL!$A$1:$BZ$1000,MATCH([1]FINAL!$BL$1,[1]FINAL!$A$1:$BZ$1,0),0)),0)</f>
        <v>0</v>
      </c>
      <c r="I223" s="5">
        <f>IFERROR(IF(J223&lt;&gt;"",J223,(IF(VLOOKUP($A223,#REF!,MATCH(#REF!,#REF!,0),0)=0,G223,VLOOKUP($A223,#REF!,MATCH(#REF!,#REF!,0),0)))),G223)</f>
        <v>0</v>
      </c>
      <c r="K223" s="6">
        <f>IFERROR(VLOOKUP($A223,#REF!,MATCH(#REF!,#REF!,0),0),0)</f>
        <v>0</v>
      </c>
      <c r="L223" s="6">
        <f>IFERROR(VLOOKUP($A223,[1]FINAL!$A$1:$BZ$1000,MATCH([1]FINAL!$BF$1,[1]FINAL!$A$1:$BZ$1,0),0),0)</f>
        <v>90</v>
      </c>
      <c r="M223" s="7">
        <f t="shared" si="17"/>
        <v>1</v>
      </c>
      <c r="N223" s="6">
        <f>IFERROR(VLOOKUP($A223,#REF!,MATCH(#REF!,#REF!,0),0),0)</f>
        <v>0</v>
      </c>
      <c r="O223" s="7">
        <f t="shared" si="18"/>
        <v>0</v>
      </c>
      <c r="P223" s="10" t="str">
        <f>IFERROR(VLOOKUP($A223,[1]FINAL!$A$1:$BZ$1000,MATCH([1]FINAL!$BB$1,[1]FINAL!$A$1:$BZ$1,0),0),"")</f>
        <v/>
      </c>
      <c r="Q223" s="18">
        <f t="shared" si="19"/>
        <v>1</v>
      </c>
    </row>
    <row r="224" spans="1:17" x14ac:dyDescent="0.25">
      <c r="A224" s="14" t="str">
        <f>[1]FINAL!$A88</f>
        <v>Rayan Vitor Simplício Rocha</v>
      </c>
      <c r="B224" s="20" t="str">
        <f>IFERROR(VLOOKUP($A224,[1]FINAL!$A$1:$Z$1000,MATCH([1]FINAL!$T$1,[1]FINAL!$A$1:$Z$1,0),0),"")</f>
        <v>MID</v>
      </c>
      <c r="C224" s="3" t="str">
        <f>IFERROR(VLOOKUP($A224,[1]FINAL!$A$1:$Z$1000,MATCH([1]FINAL!$U$1,[1]FINAL!$A$1:$Z$1,0),0),"")</f>
        <v>RW</v>
      </c>
      <c r="D224" s="3" t="str">
        <f>IFERROR(VLOOKUP($A224,[1]FINAL!$A$1:$Z$1000,MATCH([1]FINAL!$V$1,[1]FINAL!$A$1:$Z$1,0),0),"")</f>
        <v>BOU</v>
      </c>
      <c r="E224" s="6">
        <f t="shared" si="15"/>
        <v>182444.44444444447</v>
      </c>
      <c r="F224" s="5">
        <f t="shared" si="16"/>
        <v>0.8666666666666667</v>
      </c>
      <c r="G224" s="5">
        <f>IFERROR(IF(H224&lt;&gt;"",H224,VLOOKUP($A224,[1]FINAL!$A$1:$BZ$1000,MATCH([1]FINAL!$BL$1,[1]FINAL!$A$1:$BZ$1,0),0)),0)</f>
        <v>0.8666666666666667</v>
      </c>
      <c r="I224" s="5">
        <f>IFERROR(IF(J224&lt;&gt;"",J224,(IF(VLOOKUP($A224,#REF!,MATCH(#REF!,#REF!,0),0)=0,G224,VLOOKUP($A224,#REF!,MATCH(#REF!,#REF!,0),0)))),G224)</f>
        <v>0.8666666666666667</v>
      </c>
      <c r="K224" s="6">
        <f>IFERROR(VLOOKUP($A224,#REF!,MATCH(#REF!,#REF!,0),0),0)</f>
        <v>0</v>
      </c>
      <c r="L224" s="6">
        <f>IFERROR(VLOOKUP($A224,[1]FINAL!$A$1:$BZ$1000,MATCH([1]FINAL!$BF$1,[1]FINAL!$A$1:$BZ$1,0),0),0)</f>
        <v>82</v>
      </c>
      <c r="M224" s="7">
        <f t="shared" si="17"/>
        <v>0.91111111111111109</v>
      </c>
      <c r="N224" s="6">
        <f>IFERROR(VLOOKUP($A224,#REF!,MATCH(#REF!,#REF!,0),0),0)</f>
        <v>0</v>
      </c>
      <c r="O224" s="7">
        <f t="shared" si="18"/>
        <v>0</v>
      </c>
      <c r="P224" s="10" t="str">
        <f>IFERROR(VLOOKUP($A224,[1]FINAL!$A$1:$BZ$1000,MATCH([1]FINAL!$BB$1,[1]FINAL!$A$1:$BZ$1,0),0),"")</f>
        <v/>
      </c>
      <c r="Q224" s="18">
        <f t="shared" si="19"/>
        <v>1</v>
      </c>
    </row>
    <row r="225" spans="1:17" x14ac:dyDescent="0.25">
      <c r="A225" s="14" t="str">
        <f>[1]FINAL!$A399</f>
        <v>Toby Collyer</v>
      </c>
      <c r="B225" s="20" t="str">
        <f>IFERROR(VLOOKUP($A225,[1]FINAL!$A$1:$Z$1000,MATCH([1]FINAL!$T$1,[1]FINAL!$A$1:$Z$1,0),0),"")</f>
        <v>MID</v>
      </c>
      <c r="C225" s="3" t="str">
        <f>IFERROR(VLOOKUP($A225,[1]FINAL!$A$1:$Z$1000,MATCH([1]FINAL!$U$1,[1]FINAL!$A$1:$Z$1,0),0),"")</f>
        <v>DM</v>
      </c>
      <c r="D225" s="3" t="str">
        <f>IFERROR(VLOOKUP($A225,[1]FINAL!$A$1:$Z$1000,MATCH([1]FINAL!$V$1,[1]FINAL!$A$1:$Z$1,0),0),"")</f>
        <v>MUN</v>
      </c>
      <c r="E225" s="6">
        <f t="shared" si="15"/>
        <v>8111.1111111111113</v>
      </c>
      <c r="F225" s="5">
        <f t="shared" si="16"/>
        <v>0</v>
      </c>
      <c r="G225" s="5">
        <f>IFERROR(IF(H225&lt;&gt;"",H225,VLOOKUP($A225,[1]FINAL!$A$1:$BZ$1000,MATCH([1]FINAL!$BL$1,[1]FINAL!$A$1:$BZ$1,0),0)),0)</f>
        <v>0</v>
      </c>
      <c r="I225" s="5">
        <f>IFERROR(IF(J225&lt;&gt;"",J225,(IF(VLOOKUP($A225,#REF!,MATCH(#REF!,#REF!,0),0)=0,G225,VLOOKUP($A225,#REF!,MATCH(#REF!,#REF!,0),0)))),G225)</f>
        <v>0</v>
      </c>
      <c r="K225" s="6">
        <f>IFERROR(VLOOKUP($A225,#REF!,MATCH(#REF!,#REF!,0),0),0)</f>
        <v>0</v>
      </c>
      <c r="L225" s="6">
        <f>IFERROR(VLOOKUP($A225,[1]FINAL!$A$1:$BZ$1000,MATCH([1]FINAL!$BF$1,[1]FINAL!$A$1:$BZ$1,0),0),0)</f>
        <v>73</v>
      </c>
      <c r="M225" s="7">
        <f t="shared" si="17"/>
        <v>0.81111111111111112</v>
      </c>
      <c r="N225" s="6">
        <f>IFERROR(VLOOKUP($A225,#REF!,MATCH(#REF!,#REF!,0),0),0)</f>
        <v>0</v>
      </c>
      <c r="O225" s="7">
        <f t="shared" si="18"/>
        <v>0</v>
      </c>
      <c r="P225" s="10" t="str">
        <f>IFERROR(VLOOKUP($A225,[1]FINAL!$A$1:$BZ$1000,MATCH([1]FINAL!$BB$1,[1]FINAL!$A$1:$BZ$1,0),0),"")</f>
        <v/>
      </c>
      <c r="Q225" s="18">
        <f t="shared" si="19"/>
        <v>1</v>
      </c>
    </row>
    <row r="226" spans="1:17" x14ac:dyDescent="0.25">
      <c r="A226" s="14" t="str">
        <f>[1]FINAL!$A84</f>
        <v>Giorgi Mamardashvili</v>
      </c>
      <c r="B226" s="20" t="str">
        <f>IFERROR(VLOOKUP($A226,[1]FINAL!$A$1:$Z$1000,MATCH([1]FINAL!$T$1,[1]FINAL!$A$1:$Z$1,0),0),"")</f>
        <v>GK</v>
      </c>
      <c r="C226" s="3" t="str">
        <f>IFERROR(VLOOKUP($A226,[1]FINAL!$A$1:$Z$1000,MATCH([1]FINAL!$U$1,[1]FINAL!$A$1:$Z$1,0),0),"")</f>
        <v>GK</v>
      </c>
      <c r="D226" s="3" t="str">
        <f>IFERROR(VLOOKUP($A226,[1]FINAL!$A$1:$Z$1000,MATCH([1]FINAL!$V$1,[1]FINAL!$A$1:$Z$1,0),0),"")</f>
        <v>LIV</v>
      </c>
      <c r="E226" s="6">
        <f t="shared" si="15"/>
        <v>65222.222222222219</v>
      </c>
      <c r="F226" s="5">
        <f t="shared" si="16"/>
        <v>0.27777777777777779</v>
      </c>
      <c r="G226" s="5">
        <f>IFERROR(IF(H226&lt;&gt;"",H226,VLOOKUP($A226,[1]FINAL!$A$1:$BZ$1000,MATCH([1]FINAL!$BL$1,[1]FINAL!$A$1:$BZ$1,0),0)),0)</f>
        <v>0.27777777777777779</v>
      </c>
      <c r="I226" s="5">
        <f>IFERROR(IF(J226&lt;&gt;"",J226,(IF(VLOOKUP($A226,#REF!,MATCH(#REF!,#REF!,0),0)=0,G226,VLOOKUP($A226,#REF!,MATCH(#REF!,#REF!,0),0)))),G226)</f>
        <v>0.27777777777777779</v>
      </c>
      <c r="K226" s="6">
        <f>IFERROR(VLOOKUP($A226,#REF!,MATCH(#REF!,#REF!,0),0),0)</f>
        <v>0</v>
      </c>
      <c r="L226" s="6">
        <f>IFERROR(VLOOKUP($A226,[1]FINAL!$A$1:$BZ$1000,MATCH([1]FINAL!$BF$1,[1]FINAL!$A$1:$BZ$1,0),0),0)</f>
        <v>87</v>
      </c>
      <c r="M226" s="7">
        <f t="shared" si="17"/>
        <v>0.96666666666666667</v>
      </c>
      <c r="N226" s="6">
        <f>IFERROR(VLOOKUP($A226,#REF!,MATCH(#REF!,#REF!,0),0),0)</f>
        <v>0</v>
      </c>
      <c r="O226" s="7">
        <f t="shared" si="18"/>
        <v>0</v>
      </c>
      <c r="P226" s="10" t="str">
        <f>IFERROR(VLOOKUP($A226,[1]FINAL!$A$1:$BZ$1000,MATCH([1]FINAL!$BB$1,[1]FINAL!$A$1:$BZ$1,0),0),"")</f>
        <v/>
      </c>
      <c r="Q226" s="18">
        <f t="shared" si="19"/>
        <v>1</v>
      </c>
    </row>
    <row r="227" spans="1:17" x14ac:dyDescent="0.25">
      <c r="A227" s="14" t="str">
        <f>[1]FINAL!$A201</f>
        <v>Jaydee Canvot</v>
      </c>
      <c r="B227" s="20" t="str">
        <f>IFERROR(VLOOKUP($A227,[1]FINAL!$A$1:$Z$1000,MATCH([1]FINAL!$T$1,[1]FINAL!$A$1:$Z$1,0),0),"")</f>
        <v>DEF</v>
      </c>
      <c r="C227" s="3" t="str">
        <f>IFERROR(VLOOKUP($A227,[1]FINAL!$A$1:$Z$1000,MATCH([1]FINAL!$U$1,[1]FINAL!$A$1:$Z$1,0),0),"")</f>
        <v>CB</v>
      </c>
      <c r="D227" s="3" t="str">
        <f>IFERROR(VLOOKUP($A227,[1]FINAL!$A$1:$Z$1000,MATCH([1]FINAL!$V$1,[1]FINAL!$A$1:$Z$1,0),0),"")</f>
        <v>CRY</v>
      </c>
      <c r="E227" s="6">
        <f t="shared" si="15"/>
        <v>92019.607843137259</v>
      </c>
      <c r="F227" s="5">
        <f t="shared" si="16"/>
        <v>0.41176470588235292</v>
      </c>
      <c r="G227" s="5">
        <f>IFERROR(IF(H227&lt;&gt;"",H227,VLOOKUP($A227,[1]FINAL!$A$1:$BZ$1000,MATCH([1]FINAL!$BL$1,[1]FINAL!$A$1:$BZ$1,0),0)),0)</f>
        <v>0.41176470588235292</v>
      </c>
      <c r="I227" s="5">
        <f>IFERROR(IF(J227&lt;&gt;"",J227,(IF(VLOOKUP($A227,#REF!,MATCH(#REF!,#REF!,0),0)=0,G227,VLOOKUP($A227,#REF!,MATCH(#REF!,#REF!,0),0)))),G227)</f>
        <v>0.41176470588235292</v>
      </c>
      <c r="K227" s="6">
        <f>IFERROR(VLOOKUP($A227,#REF!,MATCH(#REF!,#REF!,0),0),0)</f>
        <v>0</v>
      </c>
      <c r="L227" s="6">
        <f>IFERROR(VLOOKUP($A227,[1]FINAL!$A$1:$BZ$1000,MATCH([1]FINAL!$BF$1,[1]FINAL!$A$1:$BZ$1,0),0),0)</f>
        <v>87</v>
      </c>
      <c r="M227" s="7">
        <f t="shared" si="17"/>
        <v>0.96666666666666667</v>
      </c>
      <c r="N227" s="6">
        <f>IFERROR(VLOOKUP($A227,#REF!,MATCH(#REF!,#REF!,0),0),0)</f>
        <v>0</v>
      </c>
      <c r="O227" s="7">
        <f t="shared" si="18"/>
        <v>0</v>
      </c>
      <c r="P227" s="10" t="str">
        <f>IFERROR(VLOOKUP($A227,[1]FINAL!$A$1:$BZ$1000,MATCH([1]FINAL!$BB$1,[1]FINAL!$A$1:$BZ$1,0),0),"")</f>
        <v/>
      </c>
      <c r="Q227" s="18">
        <f t="shared" si="19"/>
        <v>1</v>
      </c>
    </row>
    <row r="228" spans="1:17" x14ac:dyDescent="0.25">
      <c r="A228" s="14" t="str">
        <f>[1]FINAL!$A130</f>
        <v>Yoane Wissa</v>
      </c>
      <c r="B228" s="20" t="str">
        <f>IFERROR(VLOOKUP($A228,[1]FINAL!$A$1:$Z$1000,MATCH([1]FINAL!$T$1,[1]FINAL!$A$1:$Z$1,0),0),"")</f>
        <v>FWD</v>
      </c>
      <c r="C228" s="3" t="str">
        <f>IFERROR(VLOOKUP($A228,[1]FINAL!$A$1:$Z$1000,MATCH([1]FINAL!$U$1,[1]FINAL!$A$1:$Z$1,0),0),"")</f>
        <v>CF</v>
      </c>
      <c r="D228" s="3" t="str">
        <f>IFERROR(VLOOKUP($A228,[1]FINAL!$A$1:$Z$1000,MATCH([1]FINAL!$V$1,[1]FINAL!$A$1:$Z$1,0),0),"")</f>
        <v>NEW</v>
      </c>
      <c r="E228" s="6">
        <f t="shared" si="15"/>
        <v>42560.386473429957</v>
      </c>
      <c r="F228" s="5">
        <f t="shared" si="16"/>
        <v>0.17391304347826086</v>
      </c>
      <c r="G228" s="5">
        <f>IFERROR(IF(H228&lt;&gt;"",H228,VLOOKUP($A228,[1]FINAL!$A$1:$BZ$1000,MATCH([1]FINAL!$BL$1,[1]FINAL!$A$1:$BZ$1,0),0)),0)</f>
        <v>0.17391304347826086</v>
      </c>
      <c r="I228" s="5">
        <f>IFERROR(IF(J228&lt;&gt;"",J228,(IF(VLOOKUP($A228,#REF!,MATCH(#REF!,#REF!,0),0)=0,G228,VLOOKUP($A228,#REF!,MATCH(#REF!,#REF!,0),0)))),G228)</f>
        <v>0.17391304347826086</v>
      </c>
      <c r="K228" s="6">
        <f>IFERROR(VLOOKUP($A228,#REF!,MATCH(#REF!,#REF!,0),0),0)</f>
        <v>0</v>
      </c>
      <c r="L228" s="6">
        <f>IFERROR(VLOOKUP($A228,[1]FINAL!$A$1:$BZ$1000,MATCH([1]FINAL!$BF$1,[1]FINAL!$A$1:$BZ$1,0),0),0)</f>
        <v>70</v>
      </c>
      <c r="M228" s="7">
        <f t="shared" si="17"/>
        <v>0.77777777777777779</v>
      </c>
      <c r="N228" s="6">
        <f>IFERROR(VLOOKUP($A228,#REF!,MATCH(#REF!,#REF!,0),0),0)</f>
        <v>0</v>
      </c>
      <c r="O228" s="7">
        <f t="shared" si="18"/>
        <v>0</v>
      </c>
      <c r="P228" s="10" t="str">
        <f>IFERROR(VLOOKUP($A228,[1]FINAL!$A$1:$BZ$1000,MATCH([1]FINAL!$BB$1,[1]FINAL!$A$1:$BZ$1,0),0),"")</f>
        <v/>
      </c>
      <c r="Q228" s="18">
        <f t="shared" si="19"/>
        <v>1</v>
      </c>
    </row>
    <row r="229" spans="1:17" x14ac:dyDescent="0.25">
      <c r="A229" s="14" t="str">
        <f>[1]FINAL!$A183</f>
        <v>Bernd Leno</v>
      </c>
      <c r="B229" s="20" t="str">
        <f>IFERROR(VLOOKUP($A229,[1]FINAL!$A$1:$Z$1000,MATCH([1]FINAL!$T$1,[1]FINAL!$A$1:$Z$1,0),0),"")</f>
        <v>GK</v>
      </c>
      <c r="C229" s="3" t="str">
        <f>IFERROR(VLOOKUP($A229,[1]FINAL!$A$1:$Z$1000,MATCH([1]FINAL!$U$1,[1]FINAL!$A$1:$Z$1,0),0),"")</f>
        <v>GK</v>
      </c>
      <c r="D229" s="3" t="str">
        <f>IFERROR(VLOOKUP($A229,[1]FINAL!$A$1:$Z$1000,MATCH([1]FINAL!$V$1,[1]FINAL!$A$1:$Z$1,0),0),"")</f>
        <v>FUL</v>
      </c>
      <c r="E229" s="6">
        <f t="shared" si="15"/>
        <v>210000</v>
      </c>
      <c r="F229" s="5">
        <f t="shared" si="16"/>
        <v>1</v>
      </c>
      <c r="G229" s="5">
        <f>IFERROR(IF(H229&lt;&gt;"",H229,VLOOKUP($A229,[1]FINAL!$A$1:$BZ$1000,MATCH([1]FINAL!$BL$1,[1]FINAL!$A$1:$BZ$1,0),0)),0)</f>
        <v>1</v>
      </c>
      <c r="I229" s="5">
        <f>IFERROR(IF(J229&lt;&gt;"",J229,(IF(VLOOKUP($A229,#REF!,MATCH(#REF!,#REF!,0),0)=0,G229,VLOOKUP($A229,#REF!,MATCH(#REF!,#REF!,0),0)))),G229)</f>
        <v>1</v>
      </c>
      <c r="K229" s="6">
        <f>IFERROR(VLOOKUP($A229,#REF!,MATCH(#REF!,#REF!,0),0),0)</f>
        <v>0</v>
      </c>
      <c r="L229" s="6">
        <f>IFERROR(VLOOKUP($A229,[1]FINAL!$A$1:$BZ$1000,MATCH([1]FINAL!$BF$1,[1]FINAL!$A$1:$BZ$1,0),0),0)</f>
        <v>90</v>
      </c>
      <c r="M229" s="7">
        <f t="shared" si="17"/>
        <v>1</v>
      </c>
      <c r="N229" s="6">
        <f>IFERROR(VLOOKUP($A229,#REF!,MATCH(#REF!,#REF!,0),0),0)</f>
        <v>0</v>
      </c>
      <c r="O229" s="7">
        <f t="shared" si="18"/>
        <v>0</v>
      </c>
      <c r="P229" s="10" t="str">
        <f>IFERROR(VLOOKUP($A229,[1]FINAL!$A$1:$BZ$1000,MATCH([1]FINAL!$BB$1,[1]FINAL!$A$1:$BZ$1,0),0),"")</f>
        <v/>
      </c>
      <c r="Q229" s="18">
        <f t="shared" si="19"/>
        <v>1</v>
      </c>
    </row>
    <row r="230" spans="1:17" x14ac:dyDescent="0.25">
      <c r="A230" s="14" t="str">
        <f>[1]FINAL!$A250</f>
        <v>Kevin Santos Lopes de Macedo</v>
      </c>
      <c r="B230" s="20" t="str">
        <f>IFERROR(VLOOKUP($A230,[1]FINAL!$A$1:$Z$1000,MATCH([1]FINAL!$T$1,[1]FINAL!$A$1:$Z$1,0),0),"")</f>
        <v>MID</v>
      </c>
      <c r="C230" s="3" t="str">
        <f>IFERROR(VLOOKUP($A230,[1]FINAL!$A$1:$Z$1000,MATCH([1]FINAL!$U$1,[1]FINAL!$A$1:$Z$1,0),0),"")</f>
        <v>LW</v>
      </c>
      <c r="D230" s="3" t="str">
        <f>IFERROR(VLOOKUP($A230,[1]FINAL!$A$1:$Z$1000,MATCH([1]FINAL!$V$1,[1]FINAL!$A$1:$Z$1,0),0),"")</f>
        <v>FUL</v>
      </c>
      <c r="E230" s="6">
        <f t="shared" si="15"/>
        <v>74222.222222222219</v>
      </c>
      <c r="F230" s="5">
        <f t="shared" si="16"/>
        <v>0.33333333333333331</v>
      </c>
      <c r="G230" s="5">
        <f>IFERROR(IF(H230&lt;&gt;"",H230,VLOOKUP($A230,[1]FINAL!$A$1:$BZ$1000,MATCH([1]FINAL!$BL$1,[1]FINAL!$A$1:$BZ$1,0),0)),0)</f>
        <v>0.33333333333333331</v>
      </c>
      <c r="I230" s="5">
        <f>IFERROR(IF(J230&lt;&gt;"",J230,(IF(VLOOKUP($A230,#REF!,MATCH(#REF!,#REF!,0),0)=0,G230,VLOOKUP($A230,#REF!,MATCH(#REF!,#REF!,0),0)))),G230)</f>
        <v>0.33333333333333331</v>
      </c>
      <c r="K230" s="6">
        <f>IFERROR(VLOOKUP($A230,#REF!,MATCH(#REF!,#REF!,0),0),0)</f>
        <v>0</v>
      </c>
      <c r="L230" s="6">
        <f>IFERROR(VLOOKUP($A230,[1]FINAL!$A$1:$BZ$1000,MATCH([1]FINAL!$BF$1,[1]FINAL!$A$1:$BZ$1,0),0),0)</f>
        <v>68</v>
      </c>
      <c r="M230" s="7">
        <f t="shared" si="17"/>
        <v>0.75555555555555554</v>
      </c>
      <c r="N230" s="6">
        <f>IFERROR(VLOOKUP($A230,#REF!,MATCH(#REF!,#REF!,0),0),0)</f>
        <v>0</v>
      </c>
      <c r="O230" s="7">
        <f t="shared" si="18"/>
        <v>0</v>
      </c>
      <c r="P230" s="10" t="str">
        <f>IFERROR(VLOOKUP($A230,[1]FINAL!$A$1:$BZ$1000,MATCH([1]FINAL!$BB$1,[1]FINAL!$A$1:$BZ$1,0),0),"")</f>
        <v/>
      </c>
      <c r="Q230" s="18">
        <f t="shared" si="19"/>
        <v>1</v>
      </c>
    </row>
    <row r="231" spans="1:17" x14ac:dyDescent="0.25">
      <c r="A231" s="14" t="str">
        <f>[1]FINAL!$A263</f>
        <v>Merlin Röhl</v>
      </c>
      <c r="B231" s="20" t="str">
        <f>IFERROR(VLOOKUP($A231,[1]FINAL!$A$1:$Z$1000,MATCH([1]FINAL!$T$1,[1]FINAL!$A$1:$Z$1,0),0),"")</f>
        <v>MID</v>
      </c>
      <c r="C231" s="3" t="str">
        <f>IFERROR(VLOOKUP($A231,[1]FINAL!$A$1:$Z$1000,MATCH([1]FINAL!$U$1,[1]FINAL!$A$1:$Z$1,0),0),"")</f>
        <v>AM</v>
      </c>
      <c r="D231" s="3" t="str">
        <f>IFERROR(VLOOKUP($A231,[1]FINAL!$A$1:$Z$1000,MATCH([1]FINAL!$V$1,[1]FINAL!$A$1:$Z$1,0),0),"")</f>
        <v>EVE</v>
      </c>
      <c r="E231" s="6">
        <f t="shared" si="15"/>
        <v>53666.666666666672</v>
      </c>
      <c r="F231" s="5">
        <f t="shared" si="16"/>
        <v>0.22222222222222221</v>
      </c>
      <c r="G231" s="5">
        <f>IFERROR(IF(H231&lt;&gt;"",H231,VLOOKUP($A231,[1]FINAL!$A$1:$BZ$1000,MATCH([1]FINAL!$BL$1,[1]FINAL!$A$1:$BZ$1,0),0)),0)</f>
        <v>0.22222222222222221</v>
      </c>
      <c r="I231" s="5">
        <f>IFERROR(IF(J231&lt;&gt;"",J231,(IF(VLOOKUP($A231,#REF!,MATCH(#REF!,#REF!,0),0)=0,G231,VLOOKUP($A231,#REF!,MATCH(#REF!,#REF!,0),0)))),G231)</f>
        <v>0.22222222222222221</v>
      </c>
      <c r="K231" s="6">
        <f>IFERROR(VLOOKUP($A231,#REF!,MATCH(#REF!,#REF!,0),0),0)</f>
        <v>0</v>
      </c>
      <c r="L231" s="6">
        <f>IFERROR(VLOOKUP($A231,[1]FINAL!$A$1:$BZ$1000,MATCH([1]FINAL!$BF$1,[1]FINAL!$A$1:$BZ$1,0),0),0)</f>
        <v>83</v>
      </c>
      <c r="M231" s="7">
        <f t="shared" si="17"/>
        <v>0.92222222222222228</v>
      </c>
      <c r="N231" s="6">
        <f>IFERROR(VLOOKUP($A231,#REF!,MATCH(#REF!,#REF!,0),0),0)</f>
        <v>0</v>
      </c>
      <c r="O231" s="7">
        <f t="shared" si="18"/>
        <v>0</v>
      </c>
      <c r="P231" s="10" t="str">
        <f>IFERROR(VLOOKUP($A231,[1]FINAL!$A$1:$BZ$1000,MATCH([1]FINAL!$BB$1,[1]FINAL!$A$1:$BZ$1,0),0),"")</f>
        <v/>
      </c>
      <c r="Q231" s="18">
        <f t="shared" si="19"/>
        <v>1</v>
      </c>
    </row>
    <row r="232" spans="1:17" x14ac:dyDescent="0.25">
      <c r="A232" s="14" t="str">
        <f>[1]FINAL!$A414</f>
        <v>Jun'ai Byfield</v>
      </c>
      <c r="B232" s="20" t="str">
        <f>IFERROR(VLOOKUP($A232,[1]FINAL!$A$1:$Z$1000,MATCH([1]FINAL!$T$1,[1]FINAL!$A$1:$Z$1,0),0),"")</f>
        <v>DEF</v>
      </c>
      <c r="C232" s="3" t="str">
        <f>IFERROR(VLOOKUP($A232,[1]FINAL!$A$1:$Z$1000,MATCH([1]FINAL!$U$1,[1]FINAL!$A$1:$Z$1,0),0),"")</f>
        <v/>
      </c>
      <c r="D232" s="3" t="str">
        <f>IFERROR(VLOOKUP($A232,[1]FINAL!$A$1:$Z$1000,MATCH([1]FINAL!$V$1,[1]FINAL!$A$1:$Z$1,0),0),"")</f>
        <v>TOT</v>
      </c>
      <c r="E232" s="6">
        <f t="shared" si="15"/>
        <v>0</v>
      </c>
      <c r="F232" s="5">
        <f t="shared" si="16"/>
        <v>0</v>
      </c>
      <c r="G232" s="5">
        <f>IFERROR(IF(H232&lt;&gt;"",H232,VLOOKUP($A232,[1]FINAL!$A$1:$BZ$1000,MATCH([1]FINAL!$BL$1,[1]FINAL!$A$1:$BZ$1,0),0)),0)</f>
        <v>0</v>
      </c>
      <c r="I232" s="5">
        <f>IFERROR(IF(J232&lt;&gt;"",J232,(IF(VLOOKUP($A232,#REF!,MATCH(#REF!,#REF!,0),0)=0,G232,VLOOKUP($A232,#REF!,MATCH(#REF!,#REF!,0),0)))),G232)</f>
        <v>0</v>
      </c>
      <c r="K232" s="6">
        <f>IFERROR(VLOOKUP($A232,#REF!,MATCH(#REF!,#REF!,0),0),0)</f>
        <v>0</v>
      </c>
      <c r="L232" s="6">
        <f>IFERROR(VLOOKUP($A232,[1]FINAL!$A$1:$BZ$1000,MATCH([1]FINAL!$BF$1,[1]FINAL!$A$1:$BZ$1,0),0),0)</f>
        <v>0</v>
      </c>
      <c r="M232" s="7">
        <f t="shared" si="17"/>
        <v>0</v>
      </c>
      <c r="N232" s="6">
        <f>IFERROR(VLOOKUP($A232,#REF!,MATCH(#REF!,#REF!,0),0),0)</f>
        <v>0</v>
      </c>
      <c r="O232" s="7">
        <f t="shared" si="18"/>
        <v>0</v>
      </c>
      <c r="P232" s="10" t="str">
        <f>IFERROR(VLOOKUP($A232,[1]FINAL!$A$1:$BZ$1000,MATCH([1]FINAL!$BB$1,[1]FINAL!$A$1:$BZ$1,0),0),"")</f>
        <v/>
      </c>
      <c r="Q232" s="18">
        <f t="shared" si="19"/>
        <v>1</v>
      </c>
    </row>
    <row r="233" spans="1:17" x14ac:dyDescent="0.25">
      <c r="A233" s="14" t="str">
        <f>[1]FINAL!$A552</f>
        <v>Alysson Edward Franco da Rocha dos Santos</v>
      </c>
      <c r="B233" s="20" t="str">
        <f>IFERROR(VLOOKUP($A233,[1]FINAL!$A$1:$Z$1000,MATCH([1]FINAL!$T$1,[1]FINAL!$A$1:$Z$1,0),0),"")</f>
        <v>MID</v>
      </c>
      <c r="C233" s="3" t="str">
        <f>IFERROR(VLOOKUP($A233,[1]FINAL!$A$1:$Z$1000,MATCH([1]FINAL!$U$1,[1]FINAL!$A$1:$Z$1,0),0),"")</f>
        <v>RW</v>
      </c>
      <c r="D233" s="3" t="str">
        <f>IFERROR(VLOOKUP($A233,[1]FINAL!$A$1:$Z$1000,MATCH([1]FINAL!$V$1,[1]FINAL!$A$1:$Z$1,0),0),"")</f>
        <v>AVL</v>
      </c>
      <c r="E233" s="6">
        <f t="shared" si="15"/>
        <v>0</v>
      </c>
      <c r="F233" s="5">
        <f t="shared" si="16"/>
        <v>0</v>
      </c>
      <c r="G233" s="5">
        <f>IFERROR(IF(H233&lt;&gt;"",H233,VLOOKUP($A233,[1]FINAL!$A$1:$BZ$1000,MATCH([1]FINAL!$BL$1,[1]FINAL!$A$1:$BZ$1,0),0)),0)</f>
        <v>0</v>
      </c>
      <c r="I233" s="5">
        <f>IFERROR(IF(J233&lt;&gt;"",J233,(IF(VLOOKUP($A233,#REF!,MATCH(#REF!,#REF!,0),0)=0,G233,VLOOKUP($A233,#REF!,MATCH(#REF!,#REF!,0),0)))),G233)</f>
        <v>0</v>
      </c>
      <c r="K233" s="6">
        <f>IFERROR(VLOOKUP($A233,#REF!,MATCH(#REF!,#REF!,0),0),0)</f>
        <v>0</v>
      </c>
      <c r="L233" s="6">
        <f>IFERROR(VLOOKUP($A233,[1]FINAL!$A$1:$BZ$1000,MATCH([1]FINAL!$BF$1,[1]FINAL!$A$1:$BZ$1,0),0),0)</f>
        <v>0</v>
      </c>
      <c r="M233" s="7">
        <f t="shared" si="17"/>
        <v>0</v>
      </c>
      <c r="N233" s="6">
        <f>IFERROR(VLOOKUP($A233,#REF!,MATCH(#REF!,#REF!,0),0),0)</f>
        <v>0</v>
      </c>
      <c r="O233" s="7">
        <f t="shared" si="18"/>
        <v>0</v>
      </c>
      <c r="P233" s="10" t="str">
        <f>IFERROR(VLOOKUP($A233,[1]FINAL!$A$1:$BZ$1000,MATCH([1]FINAL!$BB$1,[1]FINAL!$A$1:$BZ$1,0),0),"")</f>
        <v/>
      </c>
      <c r="Q233" s="18">
        <f t="shared" si="19"/>
        <v>1</v>
      </c>
    </row>
    <row r="234" spans="1:17" x14ac:dyDescent="0.25">
      <c r="A234" s="14" t="str">
        <f>[1]FINAL!$A23</f>
        <v>Enzo Fernández</v>
      </c>
      <c r="B234" s="20" t="str">
        <f>IFERROR(VLOOKUP($A234,[1]FINAL!$A$1:$Z$1000,MATCH([1]FINAL!$T$1,[1]FINAL!$A$1:$Z$1,0),0),"")</f>
        <v>MID</v>
      </c>
      <c r="C234" s="3" t="str">
        <f>IFERROR(VLOOKUP($A234,[1]FINAL!$A$1:$Z$1000,MATCH([1]FINAL!$U$1,[1]FINAL!$A$1:$Z$1,0),0),"")</f>
        <v>CM</v>
      </c>
      <c r="D234" s="3" t="str">
        <f>IFERROR(VLOOKUP($A234,[1]FINAL!$A$1:$Z$1000,MATCH([1]FINAL!$V$1,[1]FINAL!$A$1:$Z$1,0),0),"")</f>
        <v>CHE</v>
      </c>
      <c r="E234" s="6">
        <f t="shared" si="15"/>
        <v>204222.22222222222</v>
      </c>
      <c r="F234" s="5">
        <f t="shared" si="16"/>
        <v>0.97222222222222221</v>
      </c>
      <c r="G234" s="5">
        <f>IFERROR(IF(H234&lt;&gt;"",H234,VLOOKUP($A234,[1]FINAL!$A$1:$BZ$1000,MATCH([1]FINAL!$BL$1,[1]FINAL!$A$1:$BZ$1,0),0)),0)</f>
        <v>0.97222222222222221</v>
      </c>
      <c r="I234" s="5">
        <f>IFERROR(IF(J234&lt;&gt;"",J234,(IF(VLOOKUP($A234,#REF!,MATCH(#REF!,#REF!,0),0)=0,G234,VLOOKUP($A234,#REF!,MATCH(#REF!,#REF!,0),0)))),G234)</f>
        <v>0.97222222222222221</v>
      </c>
      <c r="K234" s="6">
        <f>IFERROR(VLOOKUP($A234,#REF!,MATCH(#REF!,#REF!,0),0),0)</f>
        <v>0</v>
      </c>
      <c r="L234" s="6">
        <f>IFERROR(VLOOKUP($A234,[1]FINAL!$A$1:$BZ$1000,MATCH([1]FINAL!$BF$1,[1]FINAL!$A$1:$BZ$1,0),0),0)</f>
        <v>88</v>
      </c>
      <c r="M234" s="7">
        <f t="shared" si="17"/>
        <v>0.97777777777777775</v>
      </c>
      <c r="N234" s="6">
        <f>IFERROR(VLOOKUP($A234,#REF!,MATCH(#REF!,#REF!,0),0),0)</f>
        <v>0</v>
      </c>
      <c r="O234" s="7">
        <f t="shared" si="18"/>
        <v>0</v>
      </c>
      <c r="P234" s="10" t="str">
        <f>IFERROR(VLOOKUP($A234,[1]FINAL!$A$1:$BZ$1000,MATCH([1]FINAL!$BB$1,[1]FINAL!$A$1:$BZ$1,0),0),"")</f>
        <v/>
      </c>
      <c r="Q234" s="18">
        <f t="shared" si="19"/>
        <v>1</v>
      </c>
    </row>
    <row r="235" spans="1:17" x14ac:dyDescent="0.25">
      <c r="A235" s="14" t="str">
        <f>[1]FINAL!$A44</f>
        <v>Bruno Guimarães Rodriguez Moura</v>
      </c>
      <c r="B235" s="20" t="str">
        <f>IFERROR(VLOOKUP($A235,[1]FINAL!$A$1:$Z$1000,MATCH([1]FINAL!$T$1,[1]FINAL!$A$1:$Z$1,0),0),"")</f>
        <v>MID</v>
      </c>
      <c r="C235" s="3" t="str">
        <f>IFERROR(VLOOKUP($A235,[1]FINAL!$A$1:$Z$1000,MATCH([1]FINAL!$U$1,[1]FINAL!$A$1:$Z$1,0),0),"")</f>
        <v>CM</v>
      </c>
      <c r="D235" s="3" t="str">
        <f>IFERROR(VLOOKUP($A235,[1]FINAL!$A$1:$Z$1000,MATCH([1]FINAL!$V$1,[1]FINAL!$A$1:$Z$1,0),0),"")</f>
        <v>NEW</v>
      </c>
      <c r="E235" s="6">
        <f t="shared" si="15"/>
        <v>189777.77777777778</v>
      </c>
      <c r="F235" s="5">
        <f t="shared" si="16"/>
        <v>0.9</v>
      </c>
      <c r="G235" s="5">
        <f>IFERROR(IF(H235&lt;&gt;"",H235,VLOOKUP($A235,[1]FINAL!$A$1:$BZ$1000,MATCH([1]FINAL!$BL$1,[1]FINAL!$A$1:$BZ$1,0),0)),0)</f>
        <v>0.9</v>
      </c>
      <c r="I235" s="5">
        <f>IFERROR(IF(J235&lt;&gt;"",J235,(IF(VLOOKUP($A235,#REF!,MATCH(#REF!,#REF!,0),0)=0,G235,VLOOKUP($A235,#REF!,MATCH(#REF!,#REF!,0),0)))),G235)</f>
        <v>0.9</v>
      </c>
      <c r="K235" s="6">
        <f>IFERROR(VLOOKUP($A235,#REF!,MATCH(#REF!,#REF!,0),0),0)</f>
        <v>0</v>
      </c>
      <c r="L235" s="6">
        <f>IFERROR(VLOOKUP($A235,[1]FINAL!$A$1:$BZ$1000,MATCH([1]FINAL!$BF$1,[1]FINAL!$A$1:$BZ$1,0),0),0)</f>
        <v>88</v>
      </c>
      <c r="M235" s="7">
        <f t="shared" si="17"/>
        <v>0.97777777777777775</v>
      </c>
      <c r="N235" s="6">
        <f>IFERROR(VLOOKUP($A235,#REF!,MATCH(#REF!,#REF!,0),0),0)</f>
        <v>0</v>
      </c>
      <c r="O235" s="7">
        <f t="shared" si="18"/>
        <v>0</v>
      </c>
      <c r="P235" s="10" t="str">
        <f>IFERROR(VLOOKUP($A235,[1]FINAL!$A$1:$BZ$1000,MATCH([1]FINAL!$BB$1,[1]FINAL!$A$1:$BZ$1,0),0),"")</f>
        <v/>
      </c>
      <c r="Q235" s="18">
        <f t="shared" si="19"/>
        <v>1</v>
      </c>
    </row>
    <row r="236" spans="1:17" x14ac:dyDescent="0.25">
      <c r="A236" s="14" t="str">
        <f>[1]FINAL!$A65</f>
        <v>Omar Marmoush</v>
      </c>
      <c r="B236" s="20" t="str">
        <f>IFERROR(VLOOKUP($A236,[1]FINAL!$A$1:$Z$1000,MATCH([1]FINAL!$T$1,[1]FINAL!$A$1:$Z$1,0),0),"")</f>
        <v>FWD</v>
      </c>
      <c r="C236" s="3" t="str">
        <f>IFERROR(VLOOKUP($A236,[1]FINAL!$A$1:$Z$1000,MATCH([1]FINAL!$U$1,[1]FINAL!$A$1:$Z$1,0),0),"")</f>
        <v>CF</v>
      </c>
      <c r="D236" s="3" t="str">
        <f>IFERROR(VLOOKUP($A236,[1]FINAL!$A$1:$Z$1000,MATCH([1]FINAL!$V$1,[1]FINAL!$A$1:$Z$1,0),0),"")</f>
        <v>MCI</v>
      </c>
      <c r="E236" s="6">
        <f t="shared" si="15"/>
        <v>64365.079365079357</v>
      </c>
      <c r="F236" s="5">
        <f t="shared" si="16"/>
        <v>0.2857142857142857</v>
      </c>
      <c r="G236" s="5">
        <f>IFERROR(IF(H236&lt;&gt;"",H236,VLOOKUP($A236,[1]FINAL!$A$1:$BZ$1000,MATCH([1]FINAL!$BL$1,[1]FINAL!$A$1:$BZ$1,0),0)),0)</f>
        <v>0.2857142857142857</v>
      </c>
      <c r="I236" s="5">
        <f>IFERROR(IF(J236&lt;&gt;"",J236,(IF(VLOOKUP($A236,#REF!,MATCH(#REF!,#REF!,0),0)=0,G236,VLOOKUP($A236,#REF!,MATCH(#REF!,#REF!,0),0)))),G236)</f>
        <v>0.2857142857142857</v>
      </c>
      <c r="K236" s="6">
        <f>IFERROR(VLOOKUP($A236,#REF!,MATCH(#REF!,#REF!,0),0),0)</f>
        <v>0</v>
      </c>
      <c r="L236" s="6">
        <f>IFERROR(VLOOKUP($A236,[1]FINAL!$A$1:$BZ$1000,MATCH([1]FINAL!$BF$1,[1]FINAL!$A$1:$BZ$1,0),0),0)</f>
        <v>65</v>
      </c>
      <c r="M236" s="7">
        <f t="shared" si="17"/>
        <v>0.72222222222222221</v>
      </c>
      <c r="N236" s="6">
        <f>IFERROR(VLOOKUP($A236,#REF!,MATCH(#REF!,#REF!,0),0),0)</f>
        <v>0</v>
      </c>
      <c r="O236" s="7">
        <f t="shared" si="18"/>
        <v>0</v>
      </c>
      <c r="P236" s="10" t="str">
        <f>IFERROR(VLOOKUP($A236,[1]FINAL!$A$1:$BZ$1000,MATCH([1]FINAL!$BB$1,[1]FINAL!$A$1:$BZ$1,0),0),"")</f>
        <v/>
      </c>
      <c r="Q236" s="18">
        <f t="shared" si="19"/>
        <v>1</v>
      </c>
    </row>
    <row r="237" spans="1:17" x14ac:dyDescent="0.25">
      <c r="A237" s="14" t="str">
        <f>[1]FINAL!$A70</f>
        <v>Alejandro Garnacho Ferreyra</v>
      </c>
      <c r="B237" s="20" t="str">
        <f>IFERROR(VLOOKUP($A237,[1]FINAL!$A$1:$Z$1000,MATCH([1]FINAL!$T$1,[1]FINAL!$A$1:$Z$1,0),0),"")</f>
        <v>MID</v>
      </c>
      <c r="C237" s="3" t="str">
        <f>IFERROR(VLOOKUP($A237,[1]FINAL!$A$1:$Z$1000,MATCH([1]FINAL!$U$1,[1]FINAL!$A$1:$Z$1,0),0),"")</f>
        <v>LW</v>
      </c>
      <c r="D237" s="3" t="str">
        <f>IFERROR(VLOOKUP($A237,[1]FINAL!$A$1:$Z$1000,MATCH([1]FINAL!$V$1,[1]FINAL!$A$1:$Z$1,0),0),"")</f>
        <v>AVL</v>
      </c>
      <c r="E237" s="6">
        <f t="shared" si="15"/>
        <v>92404.04040404041</v>
      </c>
      <c r="F237" s="5">
        <f t="shared" si="16"/>
        <v>0.42424242424242425</v>
      </c>
      <c r="G237" s="5">
        <f>IFERROR(IF(H237&lt;&gt;"",H237,VLOOKUP($A237,[1]FINAL!$A$1:$BZ$1000,MATCH([1]FINAL!$BL$1,[1]FINAL!$A$1:$BZ$1,0),0)),0)</f>
        <v>0.42424242424242425</v>
      </c>
      <c r="I237" s="5">
        <f>IFERROR(IF(J237&lt;&gt;"",J237,(IF(VLOOKUP($A237,#REF!,MATCH(#REF!,#REF!,0),0)=0,G237,VLOOKUP($A237,#REF!,MATCH(#REF!,#REF!,0),0)))),G237)</f>
        <v>0.42424242424242425</v>
      </c>
      <c r="K237" s="6">
        <f>IFERROR(VLOOKUP($A237,#REF!,MATCH(#REF!,#REF!,0),0),0)</f>
        <v>0</v>
      </c>
      <c r="L237" s="6">
        <f>IFERROR(VLOOKUP($A237,[1]FINAL!$A$1:$BZ$1000,MATCH([1]FINAL!$BF$1,[1]FINAL!$A$1:$BZ$1,0),0),0)</f>
        <v>68</v>
      </c>
      <c r="M237" s="7">
        <f t="shared" si="17"/>
        <v>0.75555555555555554</v>
      </c>
      <c r="N237" s="6">
        <f>IFERROR(VLOOKUP($A237,#REF!,MATCH(#REF!,#REF!,0),0),0)</f>
        <v>0</v>
      </c>
      <c r="O237" s="7">
        <f t="shared" si="18"/>
        <v>0</v>
      </c>
      <c r="P237" s="10" t="str">
        <f>IFERROR(VLOOKUP($A237,[1]FINAL!$A$1:$BZ$1000,MATCH([1]FINAL!$BB$1,[1]FINAL!$A$1:$BZ$1,0),0),"")</f>
        <v/>
      </c>
      <c r="Q237" s="18">
        <f t="shared" si="19"/>
        <v>1</v>
      </c>
    </row>
    <row r="238" spans="1:17" x14ac:dyDescent="0.25">
      <c r="A238" s="14" t="str">
        <f>[1]FINAL!$A141</f>
        <v>Reece James</v>
      </c>
      <c r="B238" s="20" t="str">
        <f>IFERROR(VLOOKUP($A238,[1]FINAL!$A$1:$Z$1000,MATCH([1]FINAL!$T$1,[1]FINAL!$A$1:$Z$1,0),0),"")</f>
        <v>DEF</v>
      </c>
      <c r="C238" s="3" t="str">
        <f>IFERROR(VLOOKUP($A238,[1]FINAL!$A$1:$Z$1000,MATCH([1]FINAL!$U$1,[1]FINAL!$A$1:$Z$1,0),0),"")</f>
        <v>RB</v>
      </c>
      <c r="D238" s="3" t="str">
        <f>IFERROR(VLOOKUP($A238,[1]FINAL!$A$1:$Z$1000,MATCH([1]FINAL!$V$1,[1]FINAL!$A$1:$Z$1,0),0),"")</f>
        <v>CHE</v>
      </c>
      <c r="E238" s="6">
        <f t="shared" si="15"/>
        <v>134555.55555555556</v>
      </c>
      <c r="F238" s="5">
        <f t="shared" si="16"/>
        <v>0.625</v>
      </c>
      <c r="G238" s="5">
        <f>IFERROR(IF(H238&lt;&gt;"",H238,VLOOKUP($A238,[1]FINAL!$A$1:$BZ$1000,MATCH([1]FINAL!$BL$1,[1]FINAL!$A$1:$BZ$1,0),0)),0)</f>
        <v>0.625</v>
      </c>
      <c r="I238" s="5">
        <f>IFERROR(IF(J238&lt;&gt;"",J238,(IF(VLOOKUP($A238,#REF!,MATCH(#REF!,#REF!,0),0)=0,G238,VLOOKUP($A238,#REF!,MATCH(#REF!,#REF!,0),0)))),G238)</f>
        <v>0.625</v>
      </c>
      <c r="K238" s="6">
        <f>IFERROR(VLOOKUP($A238,#REF!,MATCH(#REF!,#REF!,0),0),0)</f>
        <v>0</v>
      </c>
      <c r="L238" s="6">
        <f>IFERROR(VLOOKUP($A238,[1]FINAL!$A$1:$BZ$1000,MATCH([1]FINAL!$BF$1,[1]FINAL!$A$1:$BZ$1,0),0),0)</f>
        <v>86</v>
      </c>
      <c r="M238" s="7">
        <f t="shared" si="17"/>
        <v>0.9555555555555556</v>
      </c>
      <c r="N238" s="6">
        <f>IFERROR(VLOOKUP($A238,#REF!,MATCH(#REF!,#REF!,0),0),0)</f>
        <v>0</v>
      </c>
      <c r="O238" s="7">
        <f t="shared" si="18"/>
        <v>0</v>
      </c>
      <c r="P238" s="10" t="str">
        <f>IFERROR(VLOOKUP($A238,[1]FINAL!$A$1:$BZ$1000,MATCH([1]FINAL!$BB$1,[1]FINAL!$A$1:$BZ$1,0),0),"")</f>
        <v/>
      </c>
      <c r="Q238" s="18">
        <f t="shared" si="19"/>
        <v>1</v>
      </c>
    </row>
    <row r="239" spans="1:17" x14ac:dyDescent="0.25">
      <c r="A239" s="14" t="str">
        <f>[1]FINAL!$A151</f>
        <v>Thierno Barry</v>
      </c>
      <c r="B239" s="20" t="str">
        <f>IFERROR(VLOOKUP($A239,[1]FINAL!$A$1:$Z$1000,MATCH([1]FINAL!$T$1,[1]FINAL!$A$1:$Z$1,0),0),"")</f>
        <v>FWD</v>
      </c>
      <c r="C239" s="3" t="str">
        <f>IFERROR(VLOOKUP($A239,[1]FINAL!$A$1:$Z$1000,MATCH([1]FINAL!$U$1,[1]FINAL!$A$1:$Z$1,0),0),"")</f>
        <v>CF</v>
      </c>
      <c r="D239" s="3" t="str">
        <f>IFERROR(VLOOKUP($A239,[1]FINAL!$A$1:$Z$1000,MATCH([1]FINAL!$V$1,[1]FINAL!$A$1:$Z$1,0),0),"")</f>
        <v>EVE</v>
      </c>
      <c r="E239" s="6">
        <f t="shared" si="15"/>
        <v>118970.76023391815</v>
      </c>
      <c r="F239" s="5">
        <f t="shared" si="16"/>
        <v>0.55263157894736847</v>
      </c>
      <c r="G239" s="5">
        <f>IFERROR(IF(H239&lt;&gt;"",H239,VLOOKUP($A239,[1]FINAL!$A$1:$BZ$1000,MATCH([1]FINAL!$BL$1,[1]FINAL!$A$1:$BZ$1,0),0)),0)</f>
        <v>0.55263157894736847</v>
      </c>
      <c r="I239" s="5">
        <f>IFERROR(IF(J239&lt;&gt;"",J239,(IF(VLOOKUP($A239,#REF!,MATCH(#REF!,#REF!,0),0)=0,G239,VLOOKUP($A239,#REF!,MATCH(#REF!,#REF!,0),0)))),G239)</f>
        <v>0.55263157894736847</v>
      </c>
      <c r="K239" s="6">
        <f>IFERROR(VLOOKUP($A239,#REF!,MATCH(#REF!,#REF!,0),0),0)</f>
        <v>0</v>
      </c>
      <c r="L239" s="6">
        <f>IFERROR(VLOOKUP($A239,[1]FINAL!$A$1:$BZ$1000,MATCH([1]FINAL!$BF$1,[1]FINAL!$A$1:$BZ$1,0),0),0)</f>
        <v>76</v>
      </c>
      <c r="M239" s="7">
        <f t="shared" si="17"/>
        <v>0.84444444444444444</v>
      </c>
      <c r="N239" s="6">
        <f>IFERROR(VLOOKUP($A239,#REF!,MATCH(#REF!,#REF!,0),0),0)</f>
        <v>0</v>
      </c>
      <c r="O239" s="7">
        <f t="shared" si="18"/>
        <v>0</v>
      </c>
      <c r="P239" s="10" t="str">
        <f>IFERROR(VLOOKUP($A239,[1]FINAL!$A$1:$BZ$1000,MATCH([1]FINAL!$BB$1,[1]FINAL!$A$1:$BZ$1,0),0),"")</f>
        <v/>
      </c>
      <c r="Q239" s="18">
        <f t="shared" si="19"/>
        <v>1</v>
      </c>
    </row>
    <row r="240" spans="1:17" x14ac:dyDescent="0.25">
      <c r="A240" s="14" t="str">
        <f>[1]FINAL!$A166</f>
        <v>Jeremie Frimpong</v>
      </c>
      <c r="B240" s="20" t="str">
        <f>IFERROR(VLOOKUP($A240,[1]FINAL!$A$1:$Z$1000,MATCH([1]FINAL!$T$1,[1]FINAL!$A$1:$Z$1,0),0),"")</f>
        <v>DEF</v>
      </c>
      <c r="C240" s="3" t="str">
        <f>IFERROR(VLOOKUP($A240,[1]FINAL!$A$1:$Z$1000,MATCH([1]FINAL!$U$1,[1]FINAL!$A$1:$Z$1,0),0),"")</f>
        <v>RB</v>
      </c>
      <c r="D240" s="3" t="str">
        <f>IFERROR(VLOOKUP($A240,[1]FINAL!$A$1:$Z$1000,MATCH([1]FINAL!$V$1,[1]FINAL!$A$1:$Z$1,0),0),"")</f>
        <v>LIV</v>
      </c>
      <c r="E240" s="6">
        <f t="shared" si="15"/>
        <v>112681.15942028984</v>
      </c>
      <c r="F240" s="5">
        <f t="shared" si="16"/>
        <v>0.52173913043478259</v>
      </c>
      <c r="G240" s="5">
        <f>IFERROR(IF(H240&lt;&gt;"",H240,VLOOKUP($A240,[1]FINAL!$A$1:$BZ$1000,MATCH([1]FINAL!$BL$1,[1]FINAL!$A$1:$BZ$1,0),0)),0)</f>
        <v>0.52173913043478259</v>
      </c>
      <c r="I240" s="5">
        <f>IFERROR(IF(J240&lt;&gt;"",J240,(IF(VLOOKUP($A240,#REF!,MATCH(#REF!,#REF!,0),0)=0,G240,VLOOKUP($A240,#REF!,MATCH(#REF!,#REF!,0),0)))),G240)</f>
        <v>0.52173913043478259</v>
      </c>
      <c r="K240" s="6">
        <f>IFERROR(VLOOKUP($A240,#REF!,MATCH(#REF!,#REF!,0),0),0)</f>
        <v>0</v>
      </c>
      <c r="L240" s="6">
        <f>IFERROR(VLOOKUP($A240,[1]FINAL!$A$1:$BZ$1000,MATCH([1]FINAL!$BF$1,[1]FINAL!$A$1:$BZ$1,0),0),0)</f>
        <v>75</v>
      </c>
      <c r="M240" s="7">
        <f t="shared" si="17"/>
        <v>0.83333333333333337</v>
      </c>
      <c r="N240" s="6">
        <f>IFERROR(VLOOKUP($A240,#REF!,MATCH(#REF!,#REF!,0),0),0)</f>
        <v>0</v>
      </c>
      <c r="O240" s="7">
        <f t="shared" si="18"/>
        <v>0</v>
      </c>
      <c r="P240" s="10" t="str">
        <f>IFERROR(VLOOKUP($A240,[1]FINAL!$A$1:$BZ$1000,MATCH([1]FINAL!$BB$1,[1]FINAL!$A$1:$BZ$1,0),0),"")</f>
        <v/>
      </c>
      <c r="Q240" s="18">
        <f t="shared" si="19"/>
        <v>1</v>
      </c>
    </row>
    <row r="241" spans="1:17" x14ac:dyDescent="0.25">
      <c r="A241" s="14" t="str">
        <f>[1]FINAL!$A210</f>
        <v>Rúben dos Santos Gato Alves Dias</v>
      </c>
      <c r="B241" s="20" t="str">
        <f>IFERROR(VLOOKUP($A241,[1]FINAL!$A$1:$Z$1000,MATCH([1]FINAL!$T$1,[1]FINAL!$A$1:$Z$1,0),0),"")</f>
        <v>DEF</v>
      </c>
      <c r="C241" s="3" t="str">
        <f>IFERROR(VLOOKUP($A241,[1]FINAL!$A$1:$Z$1000,MATCH([1]FINAL!$U$1,[1]FINAL!$A$1:$Z$1,0),0),"")</f>
        <v>CB</v>
      </c>
      <c r="D241" s="3" t="str">
        <f>IFERROR(VLOOKUP($A241,[1]FINAL!$A$1:$Z$1000,MATCH([1]FINAL!$V$1,[1]FINAL!$A$1:$Z$1,0),0),"")</f>
        <v>MCI</v>
      </c>
      <c r="E241" s="6">
        <f t="shared" si="15"/>
        <v>169777.77777777778</v>
      </c>
      <c r="F241" s="5">
        <f t="shared" si="16"/>
        <v>0.8</v>
      </c>
      <c r="G241" s="5">
        <f>IFERROR(IF(H241&lt;&gt;"",H241,VLOOKUP($A241,[1]FINAL!$A$1:$BZ$1000,MATCH([1]FINAL!$BL$1,[1]FINAL!$A$1:$BZ$1,0),0)),0)</f>
        <v>0.8</v>
      </c>
      <c r="I241" s="5">
        <f>IFERROR(IF(J241&lt;&gt;"",J241,(IF(VLOOKUP($A241,#REF!,MATCH(#REF!,#REF!,0),0)=0,G241,VLOOKUP($A241,#REF!,MATCH(#REF!,#REF!,0),0)))),G241)</f>
        <v>0.8</v>
      </c>
      <c r="K241" s="6">
        <f>IFERROR(VLOOKUP($A241,#REF!,MATCH(#REF!,#REF!,0),0),0)</f>
        <v>0</v>
      </c>
      <c r="L241" s="6">
        <f>IFERROR(VLOOKUP($A241,[1]FINAL!$A$1:$BZ$1000,MATCH([1]FINAL!$BF$1,[1]FINAL!$A$1:$BZ$1,0),0),0)</f>
        <v>88</v>
      </c>
      <c r="M241" s="7">
        <f t="shared" si="17"/>
        <v>0.97777777777777775</v>
      </c>
      <c r="N241" s="6">
        <f>IFERROR(VLOOKUP($A241,#REF!,MATCH(#REF!,#REF!,0),0),0)</f>
        <v>0</v>
      </c>
      <c r="O241" s="7">
        <f t="shared" si="18"/>
        <v>0</v>
      </c>
      <c r="P241" s="10" t="str">
        <f>IFERROR(VLOOKUP($A241,[1]FINAL!$A$1:$BZ$1000,MATCH([1]FINAL!$BB$1,[1]FINAL!$A$1:$BZ$1,0),0),"")</f>
        <v/>
      </c>
      <c r="Q241" s="18">
        <f t="shared" si="19"/>
        <v>1</v>
      </c>
    </row>
    <row r="242" spans="1:17" x14ac:dyDescent="0.25">
      <c r="A242" s="14" t="str">
        <f>[1]FINAL!$A211</f>
        <v>Habib Diarra</v>
      </c>
      <c r="B242" s="20" t="str">
        <f>IFERROR(VLOOKUP($A242,[1]FINAL!$A$1:$Z$1000,MATCH([1]FINAL!$T$1,[1]FINAL!$A$1:$Z$1,0),0),"")</f>
        <v>MID</v>
      </c>
      <c r="C242" s="3" t="str">
        <f>IFERROR(VLOOKUP($A242,[1]FINAL!$A$1:$Z$1000,MATCH([1]FINAL!$U$1,[1]FINAL!$A$1:$Z$1,0),0),"")</f>
        <v>CM</v>
      </c>
      <c r="D242" s="3" t="str">
        <f>IFERROR(VLOOKUP($A242,[1]FINAL!$A$1:$Z$1000,MATCH([1]FINAL!$V$1,[1]FINAL!$A$1:$Z$1,0),0),"")</f>
        <v>SUN</v>
      </c>
      <c r="E242" s="6">
        <f t="shared" si="15"/>
        <v>109444.44444444444</v>
      </c>
      <c r="F242" s="5">
        <f t="shared" si="16"/>
        <v>0.5</v>
      </c>
      <c r="G242" s="5">
        <f>IFERROR(IF(H242&lt;&gt;"",H242,VLOOKUP($A242,[1]FINAL!$A$1:$BZ$1000,MATCH([1]FINAL!$BL$1,[1]FINAL!$A$1:$BZ$1,0),0)),0)</f>
        <v>0.5</v>
      </c>
      <c r="H242" s="12">
        <v>0.5</v>
      </c>
      <c r="I242" s="5">
        <f>IFERROR(IF(J242&lt;&gt;"",J242,(IF(VLOOKUP($A242,#REF!,MATCH(#REF!,#REF!,0),0)=0,G242,VLOOKUP($A242,#REF!,MATCH(#REF!,#REF!,0),0)))),G242)</f>
        <v>0.5</v>
      </c>
      <c r="K242" s="6">
        <f>IFERROR(VLOOKUP($A242,#REF!,MATCH(#REF!,#REF!,0),0),0)</f>
        <v>0</v>
      </c>
      <c r="L242" s="6">
        <f>IFERROR(VLOOKUP($A242,[1]FINAL!$A$1:$BZ$1000,MATCH([1]FINAL!$BF$1,[1]FINAL!$A$1:$BZ$1,0),0),0)</f>
        <v>85</v>
      </c>
      <c r="M242" s="7">
        <f t="shared" si="17"/>
        <v>0.94444444444444442</v>
      </c>
      <c r="N242" s="6">
        <f>IFERROR(VLOOKUP($A242,#REF!,MATCH(#REF!,#REF!,0),0),0)</f>
        <v>0</v>
      </c>
      <c r="O242" s="7">
        <f t="shared" si="18"/>
        <v>0</v>
      </c>
      <c r="P242" s="10" t="str">
        <f>IFERROR(VLOOKUP($A242,[1]FINAL!$A$1:$BZ$1000,MATCH([1]FINAL!$BB$1,[1]FINAL!$A$1:$BZ$1,0),0),"")</f>
        <v/>
      </c>
      <c r="Q242" s="18">
        <f t="shared" si="19"/>
        <v>1</v>
      </c>
    </row>
    <row r="243" spans="1:17" x14ac:dyDescent="0.25">
      <c r="A243" s="14" t="str">
        <f>[1]FINAL!$A285</f>
        <v>Mats Wieffer</v>
      </c>
      <c r="B243" s="20" t="str">
        <f>IFERROR(VLOOKUP($A243,[1]FINAL!$A$1:$Z$1000,MATCH([1]FINAL!$T$1,[1]FINAL!$A$1:$Z$1,0),0),"")</f>
        <v>DEF</v>
      </c>
      <c r="C243" s="3" t="str">
        <f>IFERROR(VLOOKUP($A243,[1]FINAL!$A$1:$Z$1000,MATCH([1]FINAL!$U$1,[1]FINAL!$A$1:$Z$1,0),0),"")</f>
        <v>RB</v>
      </c>
      <c r="D243" s="3" t="str">
        <f>IFERROR(VLOOKUP($A243,[1]FINAL!$A$1:$Z$1000,MATCH([1]FINAL!$V$1,[1]FINAL!$A$1:$Z$1,0),0),"")</f>
        <v>BHA</v>
      </c>
      <c r="E243" s="6">
        <f t="shared" si="15"/>
        <v>185700.85470085469</v>
      </c>
      <c r="F243" s="5">
        <f t="shared" si="16"/>
        <v>0.88461538461538458</v>
      </c>
      <c r="G243" s="5">
        <f>IFERROR(IF(H243&lt;&gt;"",H243,VLOOKUP($A243,[1]FINAL!$A$1:$BZ$1000,MATCH([1]FINAL!$BL$1,[1]FINAL!$A$1:$BZ$1,0),0)),0)</f>
        <v>0.88461538461538458</v>
      </c>
      <c r="I243" s="5">
        <f>IFERROR(IF(J243&lt;&gt;"",J243,(IF(VLOOKUP($A243,#REF!,MATCH(#REF!,#REF!,0),0)=0,G243,VLOOKUP($A243,#REF!,MATCH(#REF!,#REF!,0),0)))),G243)</f>
        <v>0.88461538461538458</v>
      </c>
      <c r="K243" s="6">
        <f>IFERROR(VLOOKUP($A243,#REF!,MATCH(#REF!,#REF!,0),0),0)</f>
        <v>0</v>
      </c>
      <c r="L243" s="6">
        <f>IFERROR(VLOOKUP($A243,[1]FINAL!$A$1:$BZ$1000,MATCH([1]FINAL!$BF$1,[1]FINAL!$A$1:$BZ$1,0),0),0)</f>
        <v>79</v>
      </c>
      <c r="M243" s="7">
        <f t="shared" si="17"/>
        <v>0.87777777777777777</v>
      </c>
      <c r="N243" s="6">
        <f>IFERROR(VLOOKUP($A243,#REF!,MATCH(#REF!,#REF!,0),0),0)</f>
        <v>0</v>
      </c>
      <c r="O243" s="7">
        <f t="shared" si="18"/>
        <v>0</v>
      </c>
      <c r="P243" s="10" t="str">
        <f>IFERROR(VLOOKUP($A243,[1]FINAL!$A$1:$BZ$1000,MATCH([1]FINAL!$BB$1,[1]FINAL!$A$1:$BZ$1,0),0),"")</f>
        <v/>
      </c>
      <c r="Q243" s="18">
        <f t="shared" si="19"/>
        <v>1</v>
      </c>
    </row>
    <row r="244" spans="1:17" x14ac:dyDescent="0.25">
      <c r="A244" s="14" t="str">
        <f>[1]FINAL!$A317</f>
        <v>Lucas Bergvall</v>
      </c>
      <c r="B244" s="20" t="str">
        <f>IFERROR(VLOOKUP($A244,[1]FINAL!$A$1:$Z$1000,MATCH([1]FINAL!$T$1,[1]FINAL!$A$1:$Z$1,0),0),"")</f>
        <v>MID</v>
      </c>
      <c r="C244" s="3" t="str">
        <f>IFERROR(VLOOKUP($A244,[1]FINAL!$A$1:$Z$1000,MATCH([1]FINAL!$U$1,[1]FINAL!$A$1:$Z$1,0),0),"")</f>
        <v>CM</v>
      </c>
      <c r="D244" s="3" t="str">
        <f>IFERROR(VLOOKUP($A244,[1]FINAL!$A$1:$Z$1000,MATCH([1]FINAL!$V$1,[1]FINAL!$A$1:$Z$1,0),0),"")</f>
        <v>TOT</v>
      </c>
      <c r="E244" s="6">
        <f t="shared" si="15"/>
        <v>85904.761904761894</v>
      </c>
      <c r="F244" s="5">
        <f t="shared" si="16"/>
        <v>0.39285714285714285</v>
      </c>
      <c r="G244" s="5">
        <f>IFERROR(IF(H244&lt;&gt;"",H244,VLOOKUP($A244,[1]FINAL!$A$1:$BZ$1000,MATCH([1]FINAL!$BL$1,[1]FINAL!$A$1:$BZ$1,0),0)),0)</f>
        <v>0.39285714285714285</v>
      </c>
      <c r="I244" s="5">
        <f>IFERROR(IF(J244&lt;&gt;"",J244,(IF(VLOOKUP($A244,#REF!,MATCH(#REF!,#REF!,0),0)=0,G244,VLOOKUP($A244,#REF!,MATCH(#REF!,#REF!,0),0)))),G244)</f>
        <v>0.39285714285714285</v>
      </c>
      <c r="K244" s="6">
        <f>IFERROR(VLOOKUP($A244,#REF!,MATCH(#REF!,#REF!,0),0),0)</f>
        <v>0</v>
      </c>
      <c r="L244" s="6">
        <f>IFERROR(VLOOKUP($A244,[1]FINAL!$A$1:$BZ$1000,MATCH([1]FINAL!$BF$1,[1]FINAL!$A$1:$BZ$1,0),0),0)</f>
        <v>66</v>
      </c>
      <c r="M244" s="7">
        <f t="shared" si="17"/>
        <v>0.73333333333333328</v>
      </c>
      <c r="N244" s="6">
        <f>IFERROR(VLOOKUP($A244,#REF!,MATCH(#REF!,#REF!,0),0),0)</f>
        <v>0</v>
      </c>
      <c r="O244" s="7">
        <f t="shared" si="18"/>
        <v>0</v>
      </c>
      <c r="P244" s="10" t="str">
        <f>IFERROR(VLOOKUP($A244,[1]FINAL!$A$1:$BZ$1000,MATCH([1]FINAL!$BB$1,[1]FINAL!$A$1:$BZ$1,0),0),"")</f>
        <v/>
      </c>
      <c r="Q244" s="18">
        <f t="shared" si="19"/>
        <v>1</v>
      </c>
    </row>
    <row r="245" spans="1:17" x14ac:dyDescent="0.25">
      <c r="A245" s="14" t="str">
        <f>[1]FINAL!$A357</f>
        <v>Carl Rushworth</v>
      </c>
      <c r="B245" s="20" t="str">
        <f>IFERROR(VLOOKUP($A245,[1]FINAL!$A$1:$Z$1000,MATCH([1]FINAL!$T$1,[1]FINAL!$A$1:$Z$1,0),0),"")</f>
        <v>GK</v>
      </c>
      <c r="C245" s="3" t="str">
        <f>IFERROR(VLOOKUP($A245,[1]FINAL!$A$1:$Z$1000,MATCH([1]FINAL!$U$1,[1]FINAL!$A$1:$Z$1,0),0),"")</f>
        <v>GK</v>
      </c>
      <c r="D245" s="3" t="str">
        <f>IFERROR(VLOOKUP($A245,[1]FINAL!$A$1:$Z$1000,MATCH([1]FINAL!$V$1,[1]FINAL!$A$1:$Z$1,0),0),"")</f>
        <v>BHA</v>
      </c>
      <c r="E245" s="6">
        <f t="shared" si="15"/>
        <v>210000</v>
      </c>
      <c r="F245" s="5">
        <f t="shared" si="16"/>
        <v>1</v>
      </c>
      <c r="G245" s="5">
        <f>IFERROR(IF(H245&lt;&gt;"",H245,VLOOKUP($A245,[1]FINAL!$A$1:$BZ$1000,MATCH([1]FINAL!$BL$1,[1]FINAL!$A$1:$BZ$1,0),0)),0)</f>
        <v>1</v>
      </c>
      <c r="I245" s="5">
        <f>IFERROR(IF(J245&lt;&gt;"",J245,(IF(VLOOKUP($A245,#REF!,MATCH(#REF!,#REF!,0),0)=0,G245,VLOOKUP($A245,#REF!,MATCH(#REF!,#REF!,0),0)))),G245)</f>
        <v>1</v>
      </c>
      <c r="K245" s="6">
        <f>IFERROR(VLOOKUP($A245,#REF!,MATCH(#REF!,#REF!,0),0),0)</f>
        <v>0</v>
      </c>
      <c r="L245" s="6">
        <f>IFERROR(VLOOKUP($A245,[1]FINAL!$A$1:$BZ$1000,MATCH([1]FINAL!$BF$1,[1]FINAL!$A$1:$BZ$1,0),0),0)</f>
        <v>90</v>
      </c>
      <c r="M245" s="7">
        <f t="shared" si="17"/>
        <v>1</v>
      </c>
      <c r="N245" s="6">
        <f>IFERROR(VLOOKUP($A245,#REF!,MATCH(#REF!,#REF!,0),0),0)</f>
        <v>0</v>
      </c>
      <c r="O245" s="7">
        <f t="shared" si="18"/>
        <v>0</v>
      </c>
      <c r="P245" s="10" t="str">
        <f>IFERROR(VLOOKUP($A245,[1]FINAL!$A$1:$BZ$1000,MATCH([1]FINAL!$BB$1,[1]FINAL!$A$1:$BZ$1,0),0),"")</f>
        <v/>
      </c>
      <c r="Q245" s="18">
        <f t="shared" si="19"/>
        <v>1</v>
      </c>
    </row>
    <row r="246" spans="1:17" x14ac:dyDescent="0.25">
      <c r="A246" s="14" t="str">
        <f>[1]FINAL!$A262</f>
        <v>Olivier Boscagli</v>
      </c>
      <c r="B246" s="20" t="str">
        <f>IFERROR(VLOOKUP($A246,[1]FINAL!$A$1:$Z$1000,MATCH([1]FINAL!$T$1,[1]FINAL!$A$1:$Z$1,0),0),"")</f>
        <v>DEF</v>
      </c>
      <c r="C246" s="3" t="str">
        <f>IFERROR(VLOOKUP($A246,[1]FINAL!$A$1:$Z$1000,MATCH([1]FINAL!$U$1,[1]FINAL!$A$1:$Z$1,0),0),"")</f>
        <v>CB</v>
      </c>
      <c r="D246" s="3" t="str">
        <f>IFERROR(VLOOKUP($A246,[1]FINAL!$A$1:$Z$1000,MATCH([1]FINAL!$V$1,[1]FINAL!$A$1:$Z$1,0),0),"")</f>
        <v>BHA</v>
      </c>
      <c r="E246" s="6">
        <f t="shared" si="15"/>
        <v>56812.865497076018</v>
      </c>
      <c r="F246" s="5">
        <f t="shared" si="16"/>
        <v>0.23684210526315788</v>
      </c>
      <c r="G246" s="5">
        <f>IFERROR(IF(H246&lt;&gt;"",H246,VLOOKUP($A246,[1]FINAL!$A$1:$BZ$1000,MATCH([1]FINAL!$BL$1,[1]FINAL!$A$1:$BZ$1,0),0)),0)</f>
        <v>0.23684210526315788</v>
      </c>
      <c r="I246" s="5">
        <f>IFERROR(IF(J246&lt;&gt;"",J246,(IF(VLOOKUP($A246,#REF!,MATCH(#REF!,#REF!,0),0)=0,G246,VLOOKUP($A246,#REF!,MATCH(#REF!,#REF!,0),0)))),G246)</f>
        <v>0.23684210526315788</v>
      </c>
      <c r="K246" s="6">
        <f>IFERROR(VLOOKUP($A246,#REF!,MATCH(#REF!,#REF!,0),0),0)</f>
        <v>0</v>
      </c>
      <c r="L246" s="6">
        <f>IFERROR(VLOOKUP($A246,[1]FINAL!$A$1:$BZ$1000,MATCH([1]FINAL!$BF$1,[1]FINAL!$A$1:$BZ$1,0),0),0)</f>
        <v>85</v>
      </c>
      <c r="M246" s="7">
        <f t="shared" si="17"/>
        <v>0.94444444444444442</v>
      </c>
      <c r="N246" s="6">
        <f>IFERROR(VLOOKUP($A246,#REF!,MATCH(#REF!,#REF!,0),0),0)</f>
        <v>0</v>
      </c>
      <c r="O246" s="7">
        <f t="shared" si="18"/>
        <v>0</v>
      </c>
      <c r="P246" s="10" t="str">
        <f>IFERROR(VLOOKUP($A246,[1]FINAL!$A$1:$BZ$1000,MATCH([1]FINAL!$BB$1,[1]FINAL!$A$1:$BZ$1,0),0),"")</f>
        <v/>
      </c>
      <c r="Q246" s="18">
        <f t="shared" si="19"/>
        <v>1</v>
      </c>
    </row>
    <row r="247" spans="1:17" x14ac:dyDescent="0.25">
      <c r="A247" s="14" t="str">
        <f>[1]FINAL!$A281</f>
        <v>Jacob Ramsey</v>
      </c>
      <c r="B247" s="20" t="str">
        <f>IFERROR(VLOOKUP($A247,[1]FINAL!$A$1:$Z$1000,MATCH([1]FINAL!$T$1,[1]FINAL!$A$1:$Z$1,0),0),"")</f>
        <v>MID</v>
      </c>
      <c r="C247" s="3" t="str">
        <f>IFERROR(VLOOKUP($A247,[1]FINAL!$A$1:$Z$1000,MATCH([1]FINAL!$U$1,[1]FINAL!$A$1:$Z$1,0),0),"")</f>
        <v>CM</v>
      </c>
      <c r="D247" s="3" t="str">
        <f>IFERROR(VLOOKUP($A247,[1]FINAL!$A$1:$Z$1000,MATCH([1]FINAL!$V$1,[1]FINAL!$A$1:$Z$1,0),0),"")</f>
        <v>NEW</v>
      </c>
      <c r="E247" s="6">
        <f t="shared" si="15"/>
        <v>99353.53535353535</v>
      </c>
      <c r="F247" s="5">
        <f t="shared" si="16"/>
        <v>0.45454545454545453</v>
      </c>
      <c r="G247" s="5">
        <f>IFERROR(IF(H247&lt;&gt;"",H247,VLOOKUP($A247,[1]FINAL!$A$1:$BZ$1000,MATCH([1]FINAL!$BL$1,[1]FINAL!$A$1:$BZ$1,0),0)),0)</f>
        <v>0.45454545454545453</v>
      </c>
      <c r="I247" s="5">
        <f>IFERROR(IF(J247&lt;&gt;"",J247,(IF(VLOOKUP($A247,#REF!,MATCH(#REF!,#REF!,0),0)=0,G247,VLOOKUP($A247,#REF!,MATCH(#REF!,#REF!,0),0)))),G247)</f>
        <v>0.45454545454545453</v>
      </c>
      <c r="K247" s="6">
        <f>IFERROR(VLOOKUP($A247,#REF!,MATCH(#REF!,#REF!,0),0),0)</f>
        <v>0</v>
      </c>
      <c r="L247" s="6">
        <f>IFERROR(VLOOKUP($A247,[1]FINAL!$A$1:$BZ$1000,MATCH([1]FINAL!$BF$1,[1]FINAL!$A$1:$BZ$1,0),0),0)</f>
        <v>76</v>
      </c>
      <c r="M247" s="7">
        <f t="shared" si="17"/>
        <v>0.84444444444444444</v>
      </c>
      <c r="N247" s="6">
        <f>IFERROR(VLOOKUP($A247,#REF!,MATCH(#REF!,#REF!,0),0),0)</f>
        <v>0</v>
      </c>
      <c r="O247" s="7">
        <f t="shared" si="18"/>
        <v>0</v>
      </c>
      <c r="P247" s="10" t="str">
        <f>IFERROR(VLOOKUP($A247,[1]FINAL!$A$1:$BZ$1000,MATCH([1]FINAL!$BB$1,[1]FINAL!$A$1:$BZ$1,0),0),"")</f>
        <v/>
      </c>
      <c r="Q247" s="18">
        <f t="shared" si="19"/>
        <v>1</v>
      </c>
    </row>
    <row r="248" spans="1:17" x14ac:dyDescent="0.25">
      <c r="A248" s="14" t="str">
        <f>[1]FINAL!$A163</f>
        <v>John McGinn</v>
      </c>
      <c r="B248" s="20" t="str">
        <f>IFERROR(VLOOKUP($A248,[1]FINAL!$A$1:$Z$1000,MATCH([1]FINAL!$T$1,[1]FINAL!$A$1:$Z$1,0),0),"")</f>
        <v>MID</v>
      </c>
      <c r="C248" s="3" t="str">
        <f>IFERROR(VLOOKUP($A248,[1]FINAL!$A$1:$Z$1000,MATCH([1]FINAL!$U$1,[1]FINAL!$A$1:$Z$1,0),0),"")</f>
        <v>CM</v>
      </c>
      <c r="D248" s="3" t="str">
        <f>IFERROR(VLOOKUP($A248,[1]FINAL!$A$1:$Z$1000,MATCH([1]FINAL!$V$1,[1]FINAL!$A$1:$Z$1,0),0),"")</f>
        <v>AVL</v>
      </c>
      <c r="E248" s="6">
        <f t="shared" si="15"/>
        <v>195000</v>
      </c>
      <c r="F248" s="5">
        <f t="shared" si="16"/>
        <v>0.93333333333333335</v>
      </c>
      <c r="G248" s="5">
        <f>IFERROR(IF(H248&lt;&gt;"",H248,VLOOKUP($A248,[1]FINAL!$A$1:$BZ$1000,MATCH([1]FINAL!$BL$1,[1]FINAL!$A$1:$BZ$1,0),0)),0)</f>
        <v>0.93333333333333335</v>
      </c>
      <c r="I248" s="5">
        <f>IFERROR(IF(J248&lt;&gt;"",J248,(IF(VLOOKUP($A248,#REF!,MATCH(#REF!,#REF!,0),0)=0,G248,VLOOKUP($A248,#REF!,MATCH(#REF!,#REF!,0),0)))),G248)</f>
        <v>0.93333333333333335</v>
      </c>
      <c r="K248" s="6">
        <f>IFERROR(VLOOKUP($A248,#REF!,MATCH(#REF!,#REF!,0),0),0)</f>
        <v>0</v>
      </c>
      <c r="L248" s="6">
        <f>IFERROR(VLOOKUP($A248,[1]FINAL!$A$1:$BZ$1000,MATCH([1]FINAL!$BF$1,[1]FINAL!$A$1:$BZ$1,0),0),0)</f>
        <v>75</v>
      </c>
      <c r="M248" s="7">
        <f t="shared" si="17"/>
        <v>0.83333333333333337</v>
      </c>
      <c r="N248" s="6">
        <f>IFERROR(VLOOKUP($A248,#REF!,MATCH(#REF!,#REF!,0),0),0)</f>
        <v>0</v>
      </c>
      <c r="O248" s="7">
        <f t="shared" si="18"/>
        <v>0</v>
      </c>
      <c r="P248" s="10" t="str">
        <f>IFERROR(VLOOKUP($A248,[1]FINAL!$A$1:$BZ$1000,MATCH([1]FINAL!$BB$1,[1]FINAL!$A$1:$BZ$1,0),0),"")</f>
        <v/>
      </c>
      <c r="Q248" s="18">
        <f t="shared" si="19"/>
        <v>1</v>
      </c>
    </row>
    <row r="249" spans="1:17" x14ac:dyDescent="0.25">
      <c r="A249" s="14" t="str">
        <f>[1]FINAL!$A401</f>
        <v>Zach Abbott</v>
      </c>
      <c r="B249" s="20" t="str">
        <f>IFERROR(VLOOKUP($A249,[1]FINAL!$A$1:$Z$1000,MATCH([1]FINAL!$T$1,[1]FINAL!$A$1:$Z$1,0),0),"")</f>
        <v>DEF</v>
      </c>
      <c r="C249" s="3" t="str">
        <f>IFERROR(VLOOKUP($A249,[1]FINAL!$A$1:$Z$1000,MATCH([1]FINAL!$U$1,[1]FINAL!$A$1:$Z$1,0),0),"")</f>
        <v>CB</v>
      </c>
      <c r="D249" s="3" t="str">
        <f>IFERROR(VLOOKUP($A249,[1]FINAL!$A$1:$Z$1000,MATCH([1]FINAL!$V$1,[1]FINAL!$A$1:$Z$1,0),0),"")</f>
        <v>NFO</v>
      </c>
      <c r="E249" s="6">
        <f t="shared" si="15"/>
        <v>31666.666666666664</v>
      </c>
      <c r="F249" s="5">
        <f t="shared" si="16"/>
        <v>0.125</v>
      </c>
      <c r="G249" s="5">
        <f>IFERROR(IF(H249&lt;&gt;"",H249,VLOOKUP($A249,[1]FINAL!$A$1:$BZ$1000,MATCH([1]FINAL!$BL$1,[1]FINAL!$A$1:$BZ$1,0),0)),0)</f>
        <v>0.125</v>
      </c>
      <c r="I249" s="5">
        <f>IFERROR(IF(J249&lt;&gt;"",J249,(IF(VLOOKUP($A249,#REF!,MATCH(#REF!,#REF!,0),0)=0,G249,VLOOKUP($A249,#REF!,MATCH(#REF!,#REF!,0),0)))),G249)</f>
        <v>0.125</v>
      </c>
      <c r="K249" s="6">
        <f>IFERROR(VLOOKUP($A249,#REF!,MATCH(#REF!,#REF!,0),0),0)</f>
        <v>0</v>
      </c>
      <c r="L249" s="6">
        <f>IFERROR(VLOOKUP($A249,[1]FINAL!$A$1:$BZ$1000,MATCH([1]FINAL!$BF$1,[1]FINAL!$A$1:$BZ$1,0),0),0)</f>
        <v>60</v>
      </c>
      <c r="M249" s="7">
        <f t="shared" si="17"/>
        <v>0.66666666666666663</v>
      </c>
      <c r="N249" s="6">
        <f>IFERROR(VLOOKUP($A249,#REF!,MATCH(#REF!,#REF!,0),0),0)</f>
        <v>0</v>
      </c>
      <c r="O249" s="7">
        <f t="shared" si="18"/>
        <v>0</v>
      </c>
      <c r="P249" s="10" t="str">
        <f>IFERROR(VLOOKUP($A249,[1]FINAL!$A$1:$BZ$1000,MATCH([1]FINAL!$BB$1,[1]FINAL!$A$1:$BZ$1,0),0),"")</f>
        <v/>
      </c>
      <c r="Q249" s="18">
        <f t="shared" si="19"/>
        <v>1</v>
      </c>
    </row>
    <row r="250" spans="1:17" x14ac:dyDescent="0.25">
      <c r="A250" s="14" t="str">
        <f>[1]FINAL!$A46</f>
        <v>Ollie Watkins</v>
      </c>
      <c r="B250" s="20" t="str">
        <f>IFERROR(VLOOKUP($A250,[1]FINAL!$A$1:$Z$1000,MATCH([1]FINAL!$T$1,[1]FINAL!$A$1:$Z$1,0),0),"")</f>
        <v>FWD</v>
      </c>
      <c r="C250" s="3" t="str">
        <f>IFERROR(VLOOKUP($A250,[1]FINAL!$A$1:$Z$1000,MATCH([1]FINAL!$U$1,[1]FINAL!$A$1:$Z$1,0),0),"")</f>
        <v>CF</v>
      </c>
      <c r="D250" s="3" t="str">
        <f>IFERROR(VLOOKUP($A250,[1]FINAL!$A$1:$Z$1000,MATCH([1]FINAL!$V$1,[1]FINAL!$A$1:$Z$1,0),0),"")</f>
        <v>AVL</v>
      </c>
      <c r="E250" s="6">
        <f t="shared" si="15"/>
        <v>187489.4894894895</v>
      </c>
      <c r="F250" s="5">
        <f t="shared" si="16"/>
        <v>0.89189189189189189</v>
      </c>
      <c r="G250" s="5">
        <f>IFERROR(IF(H250&lt;&gt;"",H250,VLOOKUP($A250,[1]FINAL!$A$1:$BZ$1000,MATCH([1]FINAL!$BL$1,[1]FINAL!$A$1:$BZ$1,0),0)),0)</f>
        <v>0.89189189189189189</v>
      </c>
      <c r="I250" s="5">
        <f>IFERROR(IF(J250&lt;&gt;"",J250,(IF(VLOOKUP($A250,#REF!,MATCH(#REF!,#REF!,0),0)=0,G250,VLOOKUP($A250,#REF!,MATCH(#REF!,#REF!,0),0)))),G250)</f>
        <v>0.89189189189189189</v>
      </c>
      <c r="K250" s="6">
        <f>IFERROR(VLOOKUP($A250,#REF!,MATCH(#REF!,#REF!,0),0),0)</f>
        <v>0</v>
      </c>
      <c r="L250" s="6">
        <f>IFERROR(VLOOKUP($A250,[1]FINAL!$A$1:$BZ$1000,MATCH([1]FINAL!$BF$1,[1]FINAL!$A$1:$BZ$1,0),0),0)</f>
        <v>82</v>
      </c>
      <c r="M250" s="7">
        <f t="shared" si="17"/>
        <v>0.91111111111111109</v>
      </c>
      <c r="N250" s="6">
        <f>IFERROR(VLOOKUP($A250,#REF!,MATCH(#REF!,#REF!,0),0),0)</f>
        <v>0</v>
      </c>
      <c r="O250" s="7">
        <f t="shared" si="18"/>
        <v>0</v>
      </c>
      <c r="P250" s="10" t="str">
        <f>IFERROR(VLOOKUP($A250,[1]FINAL!$A$1:$BZ$1000,MATCH([1]FINAL!$BB$1,[1]FINAL!$A$1:$BZ$1,0),0),"")</f>
        <v/>
      </c>
      <c r="Q250" s="18">
        <f t="shared" si="19"/>
        <v>1</v>
      </c>
    </row>
    <row r="251" spans="1:17" x14ac:dyDescent="0.25">
      <c r="A251" s="14" t="str">
        <f>[1]FINAL!$A94</f>
        <v>Max Alleyne</v>
      </c>
      <c r="B251" s="20" t="str">
        <f>IFERROR(VLOOKUP($A251,[1]FINAL!$A$1:$Z$1000,MATCH([1]FINAL!$T$1,[1]FINAL!$A$1:$Z$1,0),0),"")</f>
        <v>DEF</v>
      </c>
      <c r="C251" s="3" t="str">
        <f>IFERROR(VLOOKUP($A251,[1]FINAL!$A$1:$Z$1000,MATCH([1]FINAL!$U$1,[1]FINAL!$A$1:$Z$1,0),0),"")</f>
        <v>CB</v>
      </c>
      <c r="D251" s="3" t="str">
        <f>IFERROR(VLOOKUP($A251,[1]FINAL!$A$1:$Z$1000,MATCH([1]FINAL!$V$1,[1]FINAL!$A$1:$Z$1,0),0),"")</f>
        <v>MCI</v>
      </c>
      <c r="E251" s="6">
        <f t="shared" si="15"/>
        <v>64698.412698412692</v>
      </c>
      <c r="F251" s="5">
        <f t="shared" si="16"/>
        <v>0.2857142857142857</v>
      </c>
      <c r="G251" s="5">
        <f>IFERROR(IF(H251&lt;&gt;"",H251,VLOOKUP($A251,[1]FINAL!$A$1:$BZ$1000,MATCH([1]FINAL!$BL$1,[1]FINAL!$A$1:$BZ$1,0),0)),0)</f>
        <v>0.2857142857142857</v>
      </c>
      <c r="I251" s="5">
        <f>IFERROR(IF(J251&lt;&gt;"",J251,(IF(VLOOKUP($A251,#REF!,MATCH(#REF!,#REF!,0),0)=0,G251,VLOOKUP($A251,#REF!,MATCH(#REF!,#REF!,0),0)))),G251)</f>
        <v>0.2857142857142857</v>
      </c>
      <c r="K251" s="6">
        <f>IFERROR(VLOOKUP($A251,#REF!,MATCH(#REF!,#REF!,0),0),0)</f>
        <v>0</v>
      </c>
      <c r="L251" s="6">
        <f>IFERROR(VLOOKUP($A251,[1]FINAL!$A$1:$BZ$1000,MATCH([1]FINAL!$BF$1,[1]FINAL!$A$1:$BZ$1,0),0),0)</f>
        <v>68</v>
      </c>
      <c r="M251" s="7">
        <f t="shared" si="17"/>
        <v>0.75555555555555554</v>
      </c>
      <c r="N251" s="6">
        <f>IFERROR(VLOOKUP($A251,#REF!,MATCH(#REF!,#REF!,0),0),0)</f>
        <v>0</v>
      </c>
      <c r="O251" s="7">
        <f t="shared" si="18"/>
        <v>0</v>
      </c>
      <c r="P251" s="10" t="str">
        <f>IFERROR(VLOOKUP($A251,[1]FINAL!$A$1:$BZ$1000,MATCH([1]FINAL!$BB$1,[1]FINAL!$A$1:$BZ$1,0),0),"")</f>
        <v/>
      </c>
      <c r="Q251" s="18">
        <f t="shared" si="19"/>
        <v>1</v>
      </c>
    </row>
    <row r="252" spans="1:17" x14ac:dyDescent="0.25">
      <c r="A252" s="14" t="str">
        <f>[1]FINAL!$A175</f>
        <v>James Justin</v>
      </c>
      <c r="B252" s="20" t="str">
        <f>IFERROR(VLOOKUP($A252,[1]FINAL!$A$1:$Z$1000,MATCH([1]FINAL!$T$1,[1]FINAL!$A$1:$Z$1,0),0),"")</f>
        <v>DEF</v>
      </c>
      <c r="C252" s="3" t="str">
        <f>IFERROR(VLOOKUP($A252,[1]FINAL!$A$1:$Z$1000,MATCH([1]FINAL!$U$1,[1]FINAL!$A$1:$Z$1,0),0),"")</f>
        <v>RB</v>
      </c>
      <c r="D252" s="3" t="str">
        <f>IFERROR(VLOOKUP($A252,[1]FINAL!$A$1:$Z$1000,MATCH([1]FINAL!$V$1,[1]FINAL!$A$1:$Z$1,0),0),"")</f>
        <v>LEE</v>
      </c>
      <c r="E252" s="6">
        <f t="shared" si="15"/>
        <v>126222.22222222223</v>
      </c>
      <c r="F252" s="5">
        <f t="shared" si="16"/>
        <v>0.58333333333333337</v>
      </c>
      <c r="G252" s="5">
        <f>IFERROR(IF(H252&lt;&gt;"",H252,VLOOKUP($A252,[1]FINAL!$A$1:$BZ$1000,MATCH([1]FINAL!$BL$1,[1]FINAL!$A$1:$BZ$1,0),0)),0)</f>
        <v>0.58333333333333337</v>
      </c>
      <c r="I252" s="5">
        <f>IFERROR(IF(J252&lt;&gt;"",J252,(IF(VLOOKUP($A252,#REF!,MATCH(#REF!,#REF!,0),0)=0,G252,VLOOKUP($A252,#REF!,MATCH(#REF!,#REF!,0),0)))),G252)</f>
        <v>0.58333333333333337</v>
      </c>
      <c r="K252" s="6">
        <f>IFERROR(VLOOKUP($A252,#REF!,MATCH(#REF!,#REF!,0),0),0)</f>
        <v>0</v>
      </c>
      <c r="L252" s="6">
        <f>IFERROR(VLOOKUP($A252,[1]FINAL!$A$1:$BZ$1000,MATCH([1]FINAL!$BF$1,[1]FINAL!$A$1:$BZ$1,0),0),0)</f>
        <v>86</v>
      </c>
      <c r="M252" s="7">
        <f t="shared" si="17"/>
        <v>0.9555555555555556</v>
      </c>
      <c r="N252" s="6">
        <f>IFERROR(VLOOKUP($A252,#REF!,MATCH(#REF!,#REF!,0),0),0)</f>
        <v>0</v>
      </c>
      <c r="O252" s="7">
        <f t="shared" si="18"/>
        <v>0</v>
      </c>
      <c r="P252" s="10" t="str">
        <f>IFERROR(VLOOKUP($A252,[1]FINAL!$A$1:$BZ$1000,MATCH([1]FINAL!$BB$1,[1]FINAL!$A$1:$BZ$1,0),0),"")</f>
        <v/>
      </c>
      <c r="Q252" s="18">
        <f t="shared" si="19"/>
        <v>1</v>
      </c>
    </row>
    <row r="253" spans="1:17" x14ac:dyDescent="0.25">
      <c r="A253" s="14" t="str">
        <f>[1]FINAL!$A346</f>
        <v>Ethan Pinnock</v>
      </c>
      <c r="B253" s="20" t="str">
        <f>IFERROR(VLOOKUP($A253,[1]FINAL!$A$1:$Z$1000,MATCH([1]FINAL!$T$1,[1]FINAL!$A$1:$Z$1,0),0),"")</f>
        <v>DEF</v>
      </c>
      <c r="C253" s="3" t="str">
        <f>IFERROR(VLOOKUP($A253,[1]FINAL!$A$1:$Z$1000,MATCH([1]FINAL!$U$1,[1]FINAL!$A$1:$Z$1,0),0),"")</f>
        <v>CB</v>
      </c>
      <c r="D253" s="3" t="str">
        <f>IFERROR(VLOOKUP($A253,[1]FINAL!$A$1:$Z$1000,MATCH([1]FINAL!$V$1,[1]FINAL!$A$1:$Z$1,0),0),"")</f>
        <v>BRE</v>
      </c>
      <c r="E253" s="6">
        <f t="shared" si="15"/>
        <v>31111.111111111109</v>
      </c>
      <c r="F253" s="5">
        <f t="shared" si="16"/>
        <v>0.1111111111111111</v>
      </c>
      <c r="G253" s="5">
        <f>IFERROR(IF(H253&lt;&gt;"",H253,VLOOKUP($A253,[1]FINAL!$A$1:$BZ$1000,MATCH([1]FINAL!$BL$1,[1]FINAL!$A$1:$BZ$1,0),0)),0)</f>
        <v>0.1111111111111111</v>
      </c>
      <c r="I253" s="5">
        <f>IFERROR(IF(J253&lt;&gt;"",J253,(IF(VLOOKUP($A253,#REF!,MATCH(#REF!,#REF!,0),0)=0,G253,VLOOKUP($A253,#REF!,MATCH(#REF!,#REF!,0),0)))),G253)</f>
        <v>0.1111111111111111</v>
      </c>
      <c r="K253" s="6">
        <f>IFERROR(VLOOKUP($A253,#REF!,MATCH(#REF!,#REF!,0),0),0)</f>
        <v>0</v>
      </c>
      <c r="L253" s="6">
        <f>IFERROR(VLOOKUP($A253,[1]FINAL!$A$1:$BZ$1000,MATCH([1]FINAL!$BF$1,[1]FINAL!$A$1:$BZ$1,0),0),0)</f>
        <v>80</v>
      </c>
      <c r="M253" s="7">
        <f t="shared" si="17"/>
        <v>0.88888888888888884</v>
      </c>
      <c r="N253" s="6">
        <f>IFERROR(VLOOKUP($A253,#REF!,MATCH(#REF!,#REF!,0),0),0)</f>
        <v>0</v>
      </c>
      <c r="O253" s="7">
        <f t="shared" si="18"/>
        <v>0</v>
      </c>
      <c r="P253" s="10" t="str">
        <f>IFERROR(VLOOKUP($A253,[1]FINAL!$A$1:$BZ$1000,MATCH([1]FINAL!$BB$1,[1]FINAL!$A$1:$BZ$1,0),0),"")</f>
        <v/>
      </c>
      <c r="Q253" s="18">
        <f t="shared" si="19"/>
        <v>1</v>
      </c>
    </row>
    <row r="254" spans="1:17" x14ac:dyDescent="0.25">
      <c r="A254" s="14" t="str">
        <f>[1]FINAL!$A132</f>
        <v>Adam Wharton</v>
      </c>
      <c r="B254" s="20" t="str">
        <f>IFERROR(VLOOKUP($A254,[1]FINAL!$A$1:$Z$1000,MATCH([1]FINAL!$T$1,[1]FINAL!$A$1:$Z$1,0),0),"")</f>
        <v>MID</v>
      </c>
      <c r="C254" s="3" t="str">
        <f>IFERROR(VLOOKUP($A254,[1]FINAL!$A$1:$Z$1000,MATCH([1]FINAL!$U$1,[1]FINAL!$A$1:$Z$1,0),0),"")</f>
        <v>DM</v>
      </c>
      <c r="D254" s="3" t="str">
        <f>IFERROR(VLOOKUP($A254,[1]FINAL!$A$1:$Z$1000,MATCH([1]FINAL!$V$1,[1]FINAL!$A$1:$Z$1,0),0),"")</f>
        <v>CRY</v>
      </c>
      <c r="E254" s="6">
        <f t="shared" si="15"/>
        <v>134857.84313725491</v>
      </c>
      <c r="F254" s="5">
        <f t="shared" si="16"/>
        <v>0.63970588235294112</v>
      </c>
      <c r="G254" s="5">
        <f>IFERROR(IF(H254&lt;&gt;"",H254,VLOOKUP($A254,[1]FINAL!$A$1:$BZ$1000,MATCH([1]FINAL!$BL$1,[1]FINAL!$A$1:$BZ$1,0),0)),0)</f>
        <v>0.8529411764705882</v>
      </c>
      <c r="I254" s="5">
        <f>IFERROR(IF(J254&lt;&gt;"",J254,(IF(VLOOKUP($A254,#REF!,MATCH(#REF!,#REF!,0),0)=0,G254,VLOOKUP($A254,#REF!,MATCH(#REF!,#REF!,0),0)))),G254)</f>
        <v>0.8529411764705882</v>
      </c>
      <c r="K254" s="6">
        <f>IFERROR(VLOOKUP($A254,#REF!,MATCH(#REF!,#REF!,0),0),0)</f>
        <v>0</v>
      </c>
      <c r="L254" s="6">
        <f>IFERROR(VLOOKUP($A254,[1]FINAL!$A$1:$BZ$1000,MATCH([1]FINAL!$BF$1,[1]FINAL!$A$1:$BZ$1,0),0),0)</f>
        <v>83</v>
      </c>
      <c r="M254" s="7">
        <f t="shared" si="17"/>
        <v>0.92222222222222228</v>
      </c>
      <c r="N254" s="6">
        <f>IFERROR(VLOOKUP($A254,#REF!,MATCH(#REF!,#REF!,0),0),0)</f>
        <v>0</v>
      </c>
      <c r="O254" s="7">
        <f t="shared" si="18"/>
        <v>0</v>
      </c>
      <c r="P254" s="10">
        <f>IFERROR(VLOOKUP($A254,[1]FINAL!$A$1:$BZ$1000,MATCH([1]FINAL!$BB$1,[1]FINAL!$A$1:$BZ$1,0),0),"")</f>
        <v>75</v>
      </c>
      <c r="Q254" s="18">
        <f t="shared" si="19"/>
        <v>0.75</v>
      </c>
    </row>
    <row r="255" spans="1:17" x14ac:dyDescent="0.25">
      <c r="A255" s="14" t="str">
        <f>[1]FINAL!$A370</f>
        <v>Mateus Fernandes</v>
      </c>
      <c r="B255" s="20" t="str">
        <f>IFERROR(VLOOKUP($A255,[1]FINAL!$A$1:$Z$1000,MATCH([1]FINAL!$T$1,[1]FINAL!$A$1:$Z$1,0),0),"")</f>
        <v>MID</v>
      </c>
      <c r="C255" s="3" t="str">
        <f>IFERROR(VLOOKUP($A255,[1]FINAL!$A$1:$Z$1000,MATCH([1]FINAL!$U$1,[1]FINAL!$A$1:$Z$1,0),0),"")</f>
        <v>CM</v>
      </c>
      <c r="D255" s="3" t="str">
        <f>IFERROR(VLOOKUP($A255,[1]FINAL!$A$1:$Z$1000,MATCH([1]FINAL!$V$1,[1]FINAL!$A$1:$Z$1,0),0),"")</f>
        <v>TOT</v>
      </c>
      <c r="E255" s="6">
        <f t="shared" si="15"/>
        <v>203888.88888888888</v>
      </c>
      <c r="F255" s="5">
        <f t="shared" si="16"/>
        <v>0.97222222222222221</v>
      </c>
      <c r="G255" s="5">
        <f>IFERROR(IF(H255&lt;&gt;"",H255,VLOOKUP($A255,[1]FINAL!$A$1:$BZ$1000,MATCH([1]FINAL!$BL$1,[1]FINAL!$A$1:$BZ$1,0),0)),0)</f>
        <v>0.97222222222222221</v>
      </c>
      <c r="I255" s="5">
        <f>IFERROR(IF(J255&lt;&gt;"",J255,(IF(VLOOKUP($A255,#REF!,MATCH(#REF!,#REF!,0),0)=0,G255,VLOOKUP($A255,#REF!,MATCH(#REF!,#REF!,0),0)))),G255)</f>
        <v>0.97222222222222221</v>
      </c>
      <c r="K255" s="6">
        <f>IFERROR(VLOOKUP($A255,#REF!,MATCH(#REF!,#REF!,0),0),0)</f>
        <v>0</v>
      </c>
      <c r="L255" s="6">
        <f>IFERROR(VLOOKUP($A255,[1]FINAL!$A$1:$BZ$1000,MATCH([1]FINAL!$BF$1,[1]FINAL!$A$1:$BZ$1,0),0),0)</f>
        <v>85</v>
      </c>
      <c r="M255" s="7">
        <f t="shared" si="17"/>
        <v>0.94444444444444442</v>
      </c>
      <c r="N255" s="6">
        <f>IFERROR(VLOOKUP($A255,#REF!,MATCH(#REF!,#REF!,0),0),0)</f>
        <v>0</v>
      </c>
      <c r="O255" s="7">
        <f t="shared" si="18"/>
        <v>0</v>
      </c>
      <c r="P255" s="10" t="str">
        <f>IFERROR(VLOOKUP($A255,[1]FINAL!$A$1:$BZ$1000,MATCH([1]FINAL!$BB$1,[1]FINAL!$A$1:$BZ$1,0),0),"")</f>
        <v/>
      </c>
      <c r="Q255" s="18">
        <f t="shared" si="19"/>
        <v>1</v>
      </c>
    </row>
    <row r="256" spans="1:17" x14ac:dyDescent="0.25">
      <c r="A256" s="14" t="str">
        <f>[1]FINAL!$A447</f>
        <v>Jack Clarke</v>
      </c>
      <c r="B256" s="20" t="str">
        <f>IFERROR(VLOOKUP($A256,[1]FINAL!$A$1:$Z$1000,MATCH([1]FINAL!$T$1,[1]FINAL!$A$1:$Z$1,0),0),"")</f>
        <v>MID</v>
      </c>
      <c r="C256" s="3" t="str">
        <f>IFERROR(VLOOKUP($A256,[1]FINAL!$A$1:$Z$1000,MATCH([1]FINAL!$U$1,[1]FINAL!$A$1:$Z$1,0),0),"")</f>
        <v>LW</v>
      </c>
      <c r="D256" s="3" t="str">
        <f>IFERROR(VLOOKUP($A256,[1]FINAL!$A$1:$Z$1000,MATCH([1]FINAL!$V$1,[1]FINAL!$A$1:$Z$1,0),0),"")</f>
        <v>IPS</v>
      </c>
      <c r="E256" s="6">
        <f t="shared" si="15"/>
        <v>109000</v>
      </c>
      <c r="F256" s="5">
        <f t="shared" si="16"/>
        <v>0.5</v>
      </c>
      <c r="G256" s="5">
        <f>IFERROR(IF(H256&lt;&gt;"",H256,VLOOKUP($A256,[1]FINAL!$A$1:$BZ$1000,MATCH([1]FINAL!$BL$1,[1]FINAL!$A$1:$BZ$1,0),0)),0)</f>
        <v>0.5</v>
      </c>
      <c r="I256" s="5">
        <f>IFERROR(IF(J256&lt;&gt;"",J256,(IF(VLOOKUP($A256,#REF!,MATCH(#REF!,#REF!,0),0)=0,G256,VLOOKUP($A256,#REF!,MATCH(#REF!,#REF!,0),0)))),G256)</f>
        <v>0.5</v>
      </c>
      <c r="K256" s="6">
        <f>IFERROR(VLOOKUP($A256,#REF!,MATCH(#REF!,#REF!,0),0),0)</f>
        <v>0</v>
      </c>
      <c r="L256" s="6">
        <f>IFERROR(VLOOKUP($A256,[1]FINAL!$A$1:$BZ$1000,MATCH([1]FINAL!$BF$1,[1]FINAL!$A$1:$BZ$1,0),0),0)</f>
        <v>81</v>
      </c>
      <c r="M256" s="7">
        <f t="shared" si="17"/>
        <v>0.9</v>
      </c>
      <c r="N256" s="6">
        <f>IFERROR(VLOOKUP($A256,#REF!,MATCH(#REF!,#REF!,0),0),0)</f>
        <v>0</v>
      </c>
      <c r="O256" s="7">
        <f t="shared" si="18"/>
        <v>0</v>
      </c>
      <c r="P256" s="10" t="str">
        <f>IFERROR(VLOOKUP($A256,[1]FINAL!$A$1:$BZ$1000,MATCH([1]FINAL!$BB$1,[1]FINAL!$A$1:$BZ$1,0),0),"")</f>
        <v/>
      </c>
      <c r="Q256" s="18">
        <f t="shared" si="19"/>
        <v>1</v>
      </c>
    </row>
    <row r="257" spans="1:17" x14ac:dyDescent="0.25">
      <c r="A257" s="14" t="str">
        <f>[1]FINAL!$A116</f>
        <v>Amine Adli</v>
      </c>
      <c r="B257" s="20" t="str">
        <f>IFERROR(VLOOKUP($A257,[1]FINAL!$A$1:$Z$1000,MATCH([1]FINAL!$T$1,[1]FINAL!$A$1:$Z$1,0),0),"")</f>
        <v>MID</v>
      </c>
      <c r="C257" s="3" t="str">
        <f>IFERROR(VLOOKUP($A257,[1]FINAL!$A$1:$Z$1000,MATCH([1]FINAL!$U$1,[1]FINAL!$A$1:$Z$1,0),0),"")</f>
        <v>LW</v>
      </c>
      <c r="D257" s="3" t="str">
        <f>IFERROR(VLOOKUP($A257,[1]FINAL!$A$1:$Z$1000,MATCH([1]FINAL!$V$1,[1]FINAL!$A$1:$Z$1,0),0),"")</f>
        <v>BOU</v>
      </c>
      <c r="E257" s="6">
        <f t="shared" si="15"/>
        <v>62165.16516516517</v>
      </c>
      <c r="F257" s="5">
        <f t="shared" si="16"/>
        <v>0.27027027027027029</v>
      </c>
      <c r="G257" s="5">
        <f>IFERROR(IF(H257&lt;&gt;"",H257,VLOOKUP($A257,[1]FINAL!$A$1:$BZ$1000,MATCH([1]FINAL!$BL$1,[1]FINAL!$A$1:$BZ$1,0),0)),0)</f>
        <v>0.27027027027027029</v>
      </c>
      <c r="I257" s="5">
        <f>IFERROR(IF(J257&lt;&gt;"",J257,(IF(VLOOKUP($A257,#REF!,MATCH(#REF!,#REF!,0),0)=0,G257,VLOOKUP($A257,#REF!,MATCH(#REF!,#REF!,0),0)))),G257)</f>
        <v>0.27027027027027029</v>
      </c>
      <c r="K257" s="6">
        <f>IFERROR(VLOOKUP($A257,#REF!,MATCH(#REF!,#REF!,0),0),0)</f>
        <v>0</v>
      </c>
      <c r="L257" s="6">
        <f>IFERROR(VLOOKUP($A257,[1]FINAL!$A$1:$BZ$1000,MATCH([1]FINAL!$BF$1,[1]FINAL!$A$1:$BZ$1,0),0),0)</f>
        <v>73</v>
      </c>
      <c r="M257" s="7">
        <f t="shared" si="17"/>
        <v>0.81111111111111112</v>
      </c>
      <c r="N257" s="6">
        <f>IFERROR(VLOOKUP($A257,#REF!,MATCH(#REF!,#REF!,0),0),0)</f>
        <v>0</v>
      </c>
      <c r="O257" s="7">
        <f t="shared" si="18"/>
        <v>0</v>
      </c>
      <c r="P257" s="10" t="str">
        <f>IFERROR(VLOOKUP($A257,[1]FINAL!$A$1:$BZ$1000,MATCH([1]FINAL!$BB$1,[1]FINAL!$A$1:$BZ$1,0),0),"")</f>
        <v/>
      </c>
      <c r="Q257" s="18">
        <f t="shared" si="19"/>
        <v>1</v>
      </c>
    </row>
    <row r="258" spans="1:17" x14ac:dyDescent="0.25">
      <c r="A258" s="14" t="str">
        <f>[1]FINAL!$A115</f>
        <v>Emiliano Martínez Romero</v>
      </c>
      <c r="B258" s="20" t="str">
        <f>IFERROR(VLOOKUP($A258,[1]FINAL!$A$1:$Z$1000,MATCH([1]FINAL!$T$1,[1]FINAL!$A$1:$Z$1,0),0),"")</f>
        <v>GK</v>
      </c>
      <c r="C258" s="3" t="str">
        <f>IFERROR(VLOOKUP($A258,[1]FINAL!$A$1:$Z$1000,MATCH([1]FINAL!$U$1,[1]FINAL!$A$1:$Z$1,0),0),"")</f>
        <v>GK</v>
      </c>
      <c r="D258" s="3" t="str">
        <f>IFERROR(VLOOKUP($A258,[1]FINAL!$A$1:$Z$1000,MATCH([1]FINAL!$V$1,[1]FINAL!$A$1:$Z$1,0),0),"")</f>
        <v>AVL</v>
      </c>
      <c r="E258" s="6">
        <f t="shared" ref="E258:E321" si="20">IF($Q$1="ON",((G258*100000)+(I258*100000)+(M258*10000)+(O258*10000)+(K258*10))*Q258,((G258*100000)+(I258*100000)+(M258*10000)+(O258*10000)+(K258*10)))</f>
        <v>209888.88888888888</v>
      </c>
      <c r="F258" s="5">
        <f t="shared" ref="F258:F321" si="21">IFERROR(IF($Q$1="ON",((G258*$W$1)+(I258*$U$1))*Q258,((G258*$W$1)+(I258*$U$1))),0)</f>
        <v>1</v>
      </c>
      <c r="G258" s="5">
        <f>IFERROR(IF(H258&lt;&gt;"",H258,VLOOKUP($A258,[1]FINAL!$A$1:$BZ$1000,MATCH([1]FINAL!$BL$1,[1]FINAL!$A$1:$BZ$1,0),0)),0)</f>
        <v>1</v>
      </c>
      <c r="I258" s="5">
        <f>IFERROR(IF(J258&lt;&gt;"",J258,(IF(VLOOKUP($A258,#REF!,MATCH(#REF!,#REF!,0),0)=0,G258,VLOOKUP($A258,#REF!,MATCH(#REF!,#REF!,0),0)))),G258)</f>
        <v>1</v>
      </c>
      <c r="K258" s="6">
        <f>IFERROR(VLOOKUP($A258,#REF!,MATCH(#REF!,#REF!,0),0),0)</f>
        <v>0</v>
      </c>
      <c r="L258" s="6">
        <f>IFERROR(VLOOKUP($A258,[1]FINAL!$A$1:$BZ$1000,MATCH([1]FINAL!$BF$1,[1]FINAL!$A$1:$BZ$1,0),0),0)</f>
        <v>89</v>
      </c>
      <c r="M258" s="7">
        <f t="shared" ref="M258:M321" si="22">L258/90</f>
        <v>0.98888888888888893</v>
      </c>
      <c r="N258" s="6">
        <f>IFERROR(VLOOKUP($A258,#REF!,MATCH(#REF!,#REF!,0),0),0)</f>
        <v>0</v>
      </c>
      <c r="O258" s="7">
        <f t="shared" ref="O258:O321" si="23">N258/90</f>
        <v>0</v>
      </c>
      <c r="P258" s="10" t="str">
        <f>IFERROR(VLOOKUP($A258,[1]FINAL!$A$1:$BZ$1000,MATCH([1]FINAL!$BB$1,[1]FINAL!$A$1:$BZ$1,0),0),"")</f>
        <v/>
      </c>
      <c r="Q258" s="18">
        <f t="shared" ref="Q258:Q321" si="24">IF(P258="",1,IF(P258=0,0.0001,P258/100))</f>
        <v>1</v>
      </c>
    </row>
    <row r="259" spans="1:17" x14ac:dyDescent="0.25">
      <c r="A259" s="14" t="str">
        <f>[1]FINAL!$A252</f>
        <v>Kenny Tete</v>
      </c>
      <c r="B259" s="20" t="str">
        <f>IFERROR(VLOOKUP($A259,[1]FINAL!$A$1:$Z$1000,MATCH([1]FINAL!$T$1,[1]FINAL!$A$1:$Z$1,0),0),"")</f>
        <v>DEF</v>
      </c>
      <c r="C259" s="3" t="str">
        <f>IFERROR(VLOOKUP($A259,[1]FINAL!$A$1:$Z$1000,MATCH([1]FINAL!$U$1,[1]FINAL!$A$1:$Z$1,0),0),"")</f>
        <v>RB</v>
      </c>
      <c r="D259" s="3" t="str">
        <f>IFERROR(VLOOKUP($A259,[1]FINAL!$A$1:$Z$1000,MATCH([1]FINAL!$V$1,[1]FINAL!$A$1:$Z$1,0),0),"")</f>
        <v>FUL</v>
      </c>
      <c r="E259" s="6">
        <f t="shared" si="20"/>
        <v>159444.44444444444</v>
      </c>
      <c r="F259" s="5">
        <f t="shared" si="21"/>
        <v>0.75</v>
      </c>
      <c r="G259" s="5">
        <f>IFERROR(IF(H259&lt;&gt;"",H259,VLOOKUP($A259,[1]FINAL!$A$1:$BZ$1000,MATCH([1]FINAL!$BL$1,[1]FINAL!$A$1:$BZ$1,0),0)),0)</f>
        <v>0.75</v>
      </c>
      <c r="I259" s="5">
        <f>IFERROR(IF(J259&lt;&gt;"",J259,(IF(VLOOKUP($A259,#REF!,MATCH(#REF!,#REF!,0),0)=0,G259,VLOOKUP($A259,#REF!,MATCH(#REF!,#REF!,0),0)))),G259)</f>
        <v>0.75</v>
      </c>
      <c r="K259" s="6">
        <f>IFERROR(VLOOKUP($A259,#REF!,MATCH(#REF!,#REF!,0),0),0)</f>
        <v>0</v>
      </c>
      <c r="L259" s="6">
        <f>IFERROR(VLOOKUP($A259,[1]FINAL!$A$1:$BZ$1000,MATCH([1]FINAL!$BF$1,[1]FINAL!$A$1:$BZ$1,0),0),0)</f>
        <v>85</v>
      </c>
      <c r="M259" s="7">
        <f t="shared" si="22"/>
        <v>0.94444444444444442</v>
      </c>
      <c r="N259" s="6">
        <f>IFERROR(VLOOKUP($A259,#REF!,MATCH(#REF!,#REF!,0),0),0)</f>
        <v>0</v>
      </c>
      <c r="O259" s="7">
        <f t="shared" si="23"/>
        <v>0</v>
      </c>
      <c r="P259" s="10" t="str">
        <f>IFERROR(VLOOKUP($A259,[1]FINAL!$A$1:$BZ$1000,MATCH([1]FINAL!$BB$1,[1]FINAL!$A$1:$BZ$1,0),0),"")</f>
        <v/>
      </c>
      <c r="Q259" s="18">
        <f t="shared" si="24"/>
        <v>1</v>
      </c>
    </row>
    <row r="260" spans="1:17" x14ac:dyDescent="0.25">
      <c r="A260" s="14" t="str">
        <f>[1]FINAL!$A318</f>
        <v>Aaron Hickey</v>
      </c>
      <c r="B260" s="20" t="str">
        <f>IFERROR(VLOOKUP($A260,[1]FINAL!$A$1:$Z$1000,MATCH([1]FINAL!$T$1,[1]FINAL!$A$1:$Z$1,0),0),"")</f>
        <v>DEF</v>
      </c>
      <c r="C260" s="3" t="str">
        <f>IFERROR(VLOOKUP($A260,[1]FINAL!$A$1:$Z$1000,MATCH([1]FINAL!$U$1,[1]FINAL!$A$1:$Z$1,0),0),"")</f>
        <v>RB</v>
      </c>
      <c r="D260" s="3" t="str">
        <f>IFERROR(VLOOKUP($A260,[1]FINAL!$A$1:$Z$1000,MATCH([1]FINAL!$V$1,[1]FINAL!$A$1:$Z$1,0),0),"")</f>
        <v>BRE</v>
      </c>
      <c r="E260" s="6">
        <f t="shared" si="20"/>
        <v>62727.969348659004</v>
      </c>
      <c r="F260" s="5">
        <f t="shared" si="21"/>
        <v>0.27586206896551724</v>
      </c>
      <c r="G260" s="5">
        <f>IFERROR(IF(H260&lt;&gt;"",H260,VLOOKUP($A260,[1]FINAL!$A$1:$BZ$1000,MATCH([1]FINAL!$BL$1,[1]FINAL!$A$1:$BZ$1,0),0)),0)</f>
        <v>0.27586206896551724</v>
      </c>
      <c r="I260" s="5">
        <f>IFERROR(IF(J260&lt;&gt;"",J260,(IF(VLOOKUP($A260,#REF!,MATCH(#REF!,#REF!,0),0)=0,G260,VLOOKUP($A260,#REF!,MATCH(#REF!,#REF!,0),0)))),G260)</f>
        <v>0.27586206896551724</v>
      </c>
      <c r="K260" s="6">
        <f>IFERROR(VLOOKUP($A260,#REF!,MATCH(#REF!,#REF!,0),0),0)</f>
        <v>0</v>
      </c>
      <c r="L260" s="6">
        <f>IFERROR(VLOOKUP($A260,[1]FINAL!$A$1:$BZ$1000,MATCH([1]FINAL!$BF$1,[1]FINAL!$A$1:$BZ$1,0),0),0)</f>
        <v>68</v>
      </c>
      <c r="M260" s="7">
        <f t="shared" si="22"/>
        <v>0.75555555555555554</v>
      </c>
      <c r="N260" s="6">
        <f>IFERROR(VLOOKUP($A260,#REF!,MATCH(#REF!,#REF!,0),0),0)</f>
        <v>0</v>
      </c>
      <c r="O260" s="7">
        <f t="shared" si="23"/>
        <v>0</v>
      </c>
      <c r="P260" s="10" t="str">
        <f>IFERROR(VLOOKUP($A260,[1]FINAL!$A$1:$BZ$1000,MATCH([1]FINAL!$BB$1,[1]FINAL!$A$1:$BZ$1,0),0),"")</f>
        <v/>
      </c>
      <c r="Q260" s="18">
        <f t="shared" si="24"/>
        <v>1</v>
      </c>
    </row>
    <row r="261" spans="1:17" x14ac:dyDescent="0.25">
      <c r="A261" s="14" t="str">
        <f>[1]FINAL!$A225</f>
        <v>Filip Jörgensen</v>
      </c>
      <c r="B261" s="20" t="str">
        <f>IFERROR(VLOOKUP($A261,[1]FINAL!$A$1:$Z$1000,MATCH([1]FINAL!$T$1,[1]FINAL!$A$1:$Z$1,0),0),"")</f>
        <v>GK</v>
      </c>
      <c r="C261" s="3" t="str">
        <f>IFERROR(VLOOKUP($A261,[1]FINAL!$A$1:$Z$1000,MATCH([1]FINAL!$U$1,[1]FINAL!$A$1:$Z$1,0),0),"")</f>
        <v>GK</v>
      </c>
      <c r="D261" s="3" t="str">
        <f>IFERROR(VLOOKUP($A261,[1]FINAL!$A$1:$Z$1000,MATCH([1]FINAL!$V$1,[1]FINAL!$A$1:$Z$1,0),0),"")</f>
        <v>CHE</v>
      </c>
      <c r="E261" s="6">
        <f t="shared" si="20"/>
        <v>31428.571428571428</v>
      </c>
      <c r="F261" s="5">
        <f t="shared" si="21"/>
        <v>0.10714285714285714</v>
      </c>
      <c r="G261" s="5">
        <f>IFERROR(IF(H261&lt;&gt;"",H261,VLOOKUP($A261,[1]FINAL!$A$1:$BZ$1000,MATCH([1]FINAL!$BL$1,[1]FINAL!$A$1:$BZ$1,0),0)),0)</f>
        <v>0.10714285714285714</v>
      </c>
      <c r="I261" s="5">
        <f>IFERROR(IF(J261&lt;&gt;"",J261,(IF(VLOOKUP($A261,#REF!,MATCH(#REF!,#REF!,0),0)=0,G261,VLOOKUP($A261,#REF!,MATCH(#REF!,#REF!,0),0)))),G261)</f>
        <v>0.10714285714285714</v>
      </c>
      <c r="K261" s="6">
        <f>IFERROR(VLOOKUP($A261,#REF!,MATCH(#REF!,#REF!,0),0),0)</f>
        <v>0</v>
      </c>
      <c r="L261" s="6">
        <f>IFERROR(VLOOKUP($A261,[1]FINAL!$A$1:$BZ$1000,MATCH([1]FINAL!$BF$1,[1]FINAL!$A$1:$BZ$1,0),0),0)</f>
        <v>90</v>
      </c>
      <c r="M261" s="7">
        <f t="shared" si="22"/>
        <v>1</v>
      </c>
      <c r="N261" s="6">
        <f>IFERROR(VLOOKUP($A261,#REF!,MATCH(#REF!,#REF!,0),0),0)</f>
        <v>0</v>
      </c>
      <c r="O261" s="7">
        <f t="shared" si="23"/>
        <v>0</v>
      </c>
      <c r="P261" s="10" t="str">
        <f>IFERROR(VLOOKUP($A261,[1]FINAL!$A$1:$BZ$1000,MATCH([1]FINAL!$BB$1,[1]FINAL!$A$1:$BZ$1,0),0),"")</f>
        <v/>
      </c>
      <c r="Q261" s="18">
        <f t="shared" si="24"/>
        <v>1</v>
      </c>
    </row>
    <row r="262" spans="1:17" x14ac:dyDescent="0.25">
      <c r="A262" s="14" t="str">
        <f>[1]FINAL!$A393</f>
        <v>Antoni Milambo</v>
      </c>
      <c r="B262" s="20" t="str">
        <f>IFERROR(VLOOKUP($A262,[1]FINAL!$A$1:$Z$1000,MATCH([1]FINAL!$T$1,[1]FINAL!$A$1:$Z$1,0),0),"")</f>
        <v>MID</v>
      </c>
      <c r="C262" s="3" t="str">
        <f>IFERROR(VLOOKUP($A262,[1]FINAL!$A$1:$Z$1000,MATCH([1]FINAL!$U$1,[1]FINAL!$A$1:$Z$1,0),0),"")</f>
        <v>AM</v>
      </c>
      <c r="D262" s="3" t="str">
        <f>IFERROR(VLOOKUP($A262,[1]FINAL!$A$1:$Z$1000,MATCH([1]FINAL!$V$1,[1]FINAL!$A$1:$Z$1,0),0),"")</f>
        <v>BRE</v>
      </c>
      <c r="E262" s="6">
        <f t="shared" si="20"/>
        <v>41250</v>
      </c>
      <c r="F262" s="5">
        <f t="shared" si="21"/>
        <v>0.1875</v>
      </c>
      <c r="G262" s="5">
        <f>IFERROR(IF(H262&lt;&gt;"",H262,VLOOKUP($A262,[1]FINAL!$A$1:$BZ$1000,MATCH([1]FINAL!$BL$1,[1]FINAL!$A$1:$BZ$1,0),0)),0)</f>
        <v>0.25</v>
      </c>
      <c r="I262" s="5">
        <f>IFERROR(IF(J262&lt;&gt;"",J262,(IF(VLOOKUP($A262,#REF!,MATCH(#REF!,#REF!,0),0)=0,G262,VLOOKUP($A262,#REF!,MATCH(#REF!,#REF!,0),0)))),G262)</f>
        <v>0.25</v>
      </c>
      <c r="K262" s="6">
        <f>IFERROR(VLOOKUP($A262,#REF!,MATCH(#REF!,#REF!,0),0),0)</f>
        <v>0</v>
      </c>
      <c r="L262" s="6">
        <f>IFERROR(VLOOKUP($A262,[1]FINAL!$A$1:$BZ$1000,MATCH([1]FINAL!$BF$1,[1]FINAL!$A$1:$BZ$1,0),0),0)</f>
        <v>45</v>
      </c>
      <c r="M262" s="7">
        <f t="shared" si="22"/>
        <v>0.5</v>
      </c>
      <c r="N262" s="6">
        <f>IFERROR(VLOOKUP($A262,#REF!,MATCH(#REF!,#REF!,0),0),0)</f>
        <v>0</v>
      </c>
      <c r="O262" s="7">
        <f t="shared" si="23"/>
        <v>0</v>
      </c>
      <c r="P262" s="10">
        <f>IFERROR(VLOOKUP($A262,[1]FINAL!$A$1:$BZ$1000,MATCH([1]FINAL!$BB$1,[1]FINAL!$A$1:$BZ$1,0),0),"")</f>
        <v>75</v>
      </c>
      <c r="Q262" s="18">
        <f t="shared" si="24"/>
        <v>0.75</v>
      </c>
    </row>
    <row r="263" spans="1:17" x14ac:dyDescent="0.25">
      <c r="A263" s="14" t="str">
        <f>[1]FINAL!$A446</f>
        <v>Mateo Joseph Fernández-Regatillo</v>
      </c>
      <c r="B263" s="20" t="str">
        <f>IFERROR(VLOOKUP($A263,[1]FINAL!$A$1:$Z$1000,MATCH([1]FINAL!$T$1,[1]FINAL!$A$1:$Z$1,0),0),"")</f>
        <v>FWD</v>
      </c>
      <c r="C263" s="3" t="str">
        <f>IFERROR(VLOOKUP($A263,[1]FINAL!$A$1:$Z$1000,MATCH([1]FINAL!$U$1,[1]FINAL!$A$1:$Z$1,0),0),"")</f>
        <v>CF</v>
      </c>
      <c r="D263" s="3" t="str">
        <f>IFERROR(VLOOKUP($A263,[1]FINAL!$A$1:$Z$1000,MATCH([1]FINAL!$V$1,[1]FINAL!$A$1:$Z$1,0),0),"")</f>
        <v>LEE</v>
      </c>
      <c r="E263" s="6">
        <f t="shared" si="20"/>
        <v>0</v>
      </c>
      <c r="F263" s="5">
        <f t="shared" si="21"/>
        <v>0</v>
      </c>
      <c r="G263" s="5">
        <f>IFERROR(IF(H263&lt;&gt;"",H263,VLOOKUP($A263,[1]FINAL!$A$1:$BZ$1000,MATCH([1]FINAL!$BL$1,[1]FINAL!$A$1:$BZ$1,0),0)),0)</f>
        <v>0</v>
      </c>
      <c r="I263" s="5">
        <f>IFERROR(IF(J263&lt;&gt;"",J263,(IF(VLOOKUP($A263,#REF!,MATCH(#REF!,#REF!,0),0)=0,G263,VLOOKUP($A263,#REF!,MATCH(#REF!,#REF!,0),0)))),G263)</f>
        <v>0</v>
      </c>
      <c r="K263" s="6">
        <f>IFERROR(VLOOKUP($A263,#REF!,MATCH(#REF!,#REF!,0),0),0)</f>
        <v>0</v>
      </c>
      <c r="L263" s="6">
        <f>IFERROR(VLOOKUP($A263,[1]FINAL!$A$1:$BZ$1000,MATCH([1]FINAL!$BF$1,[1]FINAL!$A$1:$BZ$1,0),0),0)</f>
        <v>0</v>
      </c>
      <c r="M263" s="7">
        <f t="shared" si="22"/>
        <v>0</v>
      </c>
      <c r="N263" s="6">
        <f>IFERROR(VLOOKUP($A263,#REF!,MATCH(#REF!,#REF!,0),0),0)</f>
        <v>0</v>
      </c>
      <c r="O263" s="7">
        <f t="shared" si="23"/>
        <v>0</v>
      </c>
      <c r="P263" s="10" t="str">
        <f>IFERROR(VLOOKUP($A263,[1]FINAL!$A$1:$BZ$1000,MATCH([1]FINAL!$BB$1,[1]FINAL!$A$1:$BZ$1,0),0),"")</f>
        <v/>
      </c>
      <c r="Q263" s="18">
        <f t="shared" si="24"/>
        <v>1</v>
      </c>
    </row>
    <row r="264" spans="1:17" x14ac:dyDescent="0.25">
      <c r="A264" s="14" t="str">
        <f>[1]FINAL!$A244</f>
        <v>Ayden Heaven</v>
      </c>
      <c r="B264" s="20" t="str">
        <f>IFERROR(VLOOKUP($A264,[1]FINAL!$A$1:$Z$1000,MATCH([1]FINAL!$T$1,[1]FINAL!$A$1:$Z$1,0),0),"")</f>
        <v>DEF</v>
      </c>
      <c r="C264" s="3" t="str">
        <f>IFERROR(VLOOKUP($A264,[1]FINAL!$A$1:$Z$1000,MATCH([1]FINAL!$U$1,[1]FINAL!$A$1:$Z$1,0),0),"")</f>
        <v>CB</v>
      </c>
      <c r="D264" s="3" t="str">
        <f>IFERROR(VLOOKUP($A264,[1]FINAL!$A$1:$Z$1000,MATCH([1]FINAL!$V$1,[1]FINAL!$A$1:$Z$1,0),0),"")</f>
        <v>MUN</v>
      </c>
      <c r="E264" s="6">
        <f t="shared" si="20"/>
        <v>66783.625730994157</v>
      </c>
      <c r="F264" s="5">
        <f t="shared" si="21"/>
        <v>0.28947368421052633</v>
      </c>
      <c r="G264" s="5">
        <f>IFERROR(IF(H264&lt;&gt;"",H264,VLOOKUP($A264,[1]FINAL!$A$1:$BZ$1000,MATCH([1]FINAL!$BL$1,[1]FINAL!$A$1:$BZ$1,0),0)),0)</f>
        <v>0.28947368421052633</v>
      </c>
      <c r="I264" s="5">
        <f>IFERROR(IF(J264&lt;&gt;"",J264,(IF(VLOOKUP($A264,#REF!,MATCH(#REF!,#REF!,0),0)=0,G264,VLOOKUP($A264,#REF!,MATCH(#REF!,#REF!,0),0)))),G264)</f>
        <v>0.28947368421052633</v>
      </c>
      <c r="K264" s="6">
        <f>IFERROR(VLOOKUP($A264,#REF!,MATCH(#REF!,#REF!,0),0),0)</f>
        <v>0</v>
      </c>
      <c r="L264" s="6">
        <f>IFERROR(VLOOKUP($A264,[1]FINAL!$A$1:$BZ$1000,MATCH([1]FINAL!$BF$1,[1]FINAL!$A$1:$BZ$1,0),0),0)</f>
        <v>80</v>
      </c>
      <c r="M264" s="7">
        <f t="shared" si="22"/>
        <v>0.88888888888888884</v>
      </c>
      <c r="N264" s="6">
        <f>IFERROR(VLOOKUP($A264,#REF!,MATCH(#REF!,#REF!,0),0),0)</f>
        <v>0</v>
      </c>
      <c r="O264" s="7">
        <f t="shared" si="23"/>
        <v>0</v>
      </c>
      <c r="P264" s="10" t="str">
        <f>IFERROR(VLOOKUP($A264,[1]FINAL!$A$1:$BZ$1000,MATCH([1]FINAL!$BB$1,[1]FINAL!$A$1:$BZ$1,0),0),"")</f>
        <v/>
      </c>
      <c r="Q264" s="18">
        <f t="shared" si="24"/>
        <v>1</v>
      </c>
    </row>
    <row r="265" spans="1:17" x14ac:dyDescent="0.25">
      <c r="A265" s="14" t="str">
        <f>[1]FINAL!$A162</f>
        <v>Justin Kluivert</v>
      </c>
      <c r="B265" s="20" t="str">
        <f>IFERROR(VLOOKUP($A265,[1]FINAL!$A$1:$Z$1000,MATCH([1]FINAL!$T$1,[1]FINAL!$A$1:$Z$1,0),0),"")</f>
        <v>MID</v>
      </c>
      <c r="C265" s="3" t="str">
        <f>IFERROR(VLOOKUP($A265,[1]FINAL!$A$1:$Z$1000,MATCH([1]FINAL!$U$1,[1]FINAL!$A$1:$Z$1,0),0),"")</f>
        <v>AM</v>
      </c>
      <c r="D265" s="3" t="str">
        <f>IFERROR(VLOOKUP($A265,[1]FINAL!$A$1:$Z$1000,MATCH([1]FINAL!$V$1,[1]FINAL!$A$1:$Z$1,0),0),"")</f>
        <v>BOU</v>
      </c>
      <c r="E265" s="6">
        <f t="shared" si="20"/>
        <v>103238.09523809524</v>
      </c>
      <c r="F265" s="5">
        <f t="shared" si="21"/>
        <v>0.47619047619047616</v>
      </c>
      <c r="G265" s="5">
        <f>IFERROR(IF(H265&lt;&gt;"",H265,VLOOKUP($A265,[1]FINAL!$A$1:$BZ$1000,MATCH([1]FINAL!$BL$1,[1]FINAL!$A$1:$BZ$1,0),0)),0)</f>
        <v>0.47619047619047616</v>
      </c>
      <c r="I265" s="5">
        <f>IFERROR(IF(J265&lt;&gt;"",J265,(IF(VLOOKUP($A265,#REF!,MATCH(#REF!,#REF!,0),0)=0,G265,VLOOKUP($A265,#REF!,MATCH(#REF!,#REF!,0),0)))),G265)</f>
        <v>0.47619047619047616</v>
      </c>
      <c r="K265" s="6">
        <f>IFERROR(VLOOKUP($A265,#REF!,MATCH(#REF!,#REF!,0),0),0)</f>
        <v>0</v>
      </c>
      <c r="L265" s="6">
        <f>IFERROR(VLOOKUP($A265,[1]FINAL!$A$1:$BZ$1000,MATCH([1]FINAL!$BF$1,[1]FINAL!$A$1:$BZ$1,0),0),0)</f>
        <v>72</v>
      </c>
      <c r="M265" s="7">
        <f t="shared" si="22"/>
        <v>0.8</v>
      </c>
      <c r="N265" s="6">
        <f>IFERROR(VLOOKUP($A265,#REF!,MATCH(#REF!,#REF!,0),0),0)</f>
        <v>0</v>
      </c>
      <c r="O265" s="7">
        <f t="shared" si="23"/>
        <v>0</v>
      </c>
      <c r="P265" s="10" t="str">
        <f>IFERROR(VLOOKUP($A265,[1]FINAL!$A$1:$BZ$1000,MATCH([1]FINAL!$BB$1,[1]FINAL!$A$1:$BZ$1,0),0),"")</f>
        <v/>
      </c>
      <c r="Q265" s="18">
        <f t="shared" si="24"/>
        <v>1</v>
      </c>
    </row>
    <row r="266" spans="1:17" x14ac:dyDescent="0.25">
      <c r="A266" s="14" t="str">
        <f>[1]FINAL!$A171</f>
        <v>Lucas Digne</v>
      </c>
      <c r="B266" s="20" t="str">
        <f>IFERROR(VLOOKUP($A266,[1]FINAL!$A$1:$Z$1000,MATCH([1]FINAL!$T$1,[1]FINAL!$A$1:$Z$1,0),0),"")</f>
        <v>DEF</v>
      </c>
      <c r="C266" s="3" t="str">
        <f>IFERROR(VLOOKUP($A266,[1]FINAL!$A$1:$Z$1000,MATCH([1]FINAL!$U$1,[1]FINAL!$A$1:$Z$1,0),0),"")</f>
        <v>LB</v>
      </c>
      <c r="D266" s="3" t="str">
        <f>IFERROR(VLOOKUP($A266,[1]FINAL!$A$1:$Z$1000,MATCH([1]FINAL!$V$1,[1]FINAL!$A$1:$Z$1,0),0),"")</f>
        <v>AVL</v>
      </c>
      <c r="E266" s="6">
        <f t="shared" si="20"/>
        <v>119415.20467836258</v>
      </c>
      <c r="F266" s="5">
        <f t="shared" si="21"/>
        <v>0.55263157894736847</v>
      </c>
      <c r="G266" s="5">
        <f>IFERROR(IF(H266&lt;&gt;"",H266,VLOOKUP($A266,[1]FINAL!$A$1:$BZ$1000,MATCH([1]FINAL!$BL$1,[1]FINAL!$A$1:$BZ$1,0),0)),0)</f>
        <v>0.55263157894736847</v>
      </c>
      <c r="I266" s="5">
        <f>IFERROR(IF(J266&lt;&gt;"",J266,(IF(VLOOKUP($A266,#REF!,MATCH(#REF!,#REF!,0),0)=0,G266,VLOOKUP($A266,#REF!,MATCH(#REF!,#REF!,0),0)))),G266)</f>
        <v>0.55263157894736847</v>
      </c>
      <c r="K266" s="6">
        <f>IFERROR(VLOOKUP($A266,#REF!,MATCH(#REF!,#REF!,0),0),0)</f>
        <v>0</v>
      </c>
      <c r="L266" s="6">
        <f>IFERROR(VLOOKUP($A266,[1]FINAL!$A$1:$BZ$1000,MATCH([1]FINAL!$BF$1,[1]FINAL!$A$1:$BZ$1,0),0),0)</f>
        <v>80</v>
      </c>
      <c r="M266" s="7">
        <f t="shared" si="22"/>
        <v>0.88888888888888884</v>
      </c>
      <c r="N266" s="6">
        <f>IFERROR(VLOOKUP($A266,#REF!,MATCH(#REF!,#REF!,0),0),0)</f>
        <v>0</v>
      </c>
      <c r="O266" s="7">
        <f t="shared" si="23"/>
        <v>0</v>
      </c>
      <c r="P266" s="10" t="str">
        <f>IFERROR(VLOOKUP($A266,[1]FINAL!$A$1:$BZ$1000,MATCH([1]FINAL!$BB$1,[1]FINAL!$A$1:$BZ$1,0),0),"")</f>
        <v/>
      </c>
      <c r="Q266" s="18">
        <f t="shared" si="24"/>
        <v>1</v>
      </c>
    </row>
    <row r="267" spans="1:17" x14ac:dyDescent="0.25">
      <c r="A267" s="14" t="str">
        <f>[1]FINAL!$A85</f>
        <v>Gabriel Martinelli Silva</v>
      </c>
      <c r="B267" s="20" t="str">
        <f>IFERROR(VLOOKUP($A267,[1]FINAL!$A$1:$Z$1000,MATCH([1]FINAL!$T$1,[1]FINAL!$A$1:$Z$1,0),0),"")</f>
        <v>MID</v>
      </c>
      <c r="C267" s="3" t="str">
        <f>IFERROR(VLOOKUP($A267,[1]FINAL!$A$1:$Z$1000,MATCH([1]FINAL!$U$1,[1]FINAL!$A$1:$Z$1,0),0),"")</f>
        <v>LW</v>
      </c>
      <c r="D267" s="3" t="str">
        <f>IFERROR(VLOOKUP($A267,[1]FINAL!$A$1:$Z$1000,MATCH([1]FINAL!$V$1,[1]FINAL!$A$1:$Z$1,0),0),"")</f>
        <v>ARS</v>
      </c>
      <c r="E267" s="6">
        <f t="shared" si="20"/>
        <v>68222.222222222234</v>
      </c>
      <c r="F267" s="5">
        <f t="shared" si="21"/>
        <v>0.30555555555555558</v>
      </c>
      <c r="G267" s="5">
        <f>IFERROR(IF(H267&lt;&gt;"",H267,VLOOKUP($A267,[1]FINAL!$A$1:$BZ$1000,MATCH([1]FINAL!$BL$1,[1]FINAL!$A$1:$BZ$1,0),0)),0)</f>
        <v>0.30555555555555558</v>
      </c>
      <c r="I267" s="5">
        <f>IFERROR(IF(J267&lt;&gt;"",J267,(IF(VLOOKUP($A267,#REF!,MATCH(#REF!,#REF!,0),0)=0,G267,VLOOKUP($A267,#REF!,MATCH(#REF!,#REF!,0),0)))),G267)</f>
        <v>0.30555555555555558</v>
      </c>
      <c r="K267" s="6">
        <f>IFERROR(VLOOKUP($A267,#REF!,MATCH(#REF!,#REF!,0),0),0)</f>
        <v>0</v>
      </c>
      <c r="L267" s="6">
        <f>IFERROR(VLOOKUP($A267,[1]FINAL!$A$1:$BZ$1000,MATCH([1]FINAL!$BF$1,[1]FINAL!$A$1:$BZ$1,0),0),0)</f>
        <v>64</v>
      </c>
      <c r="M267" s="7">
        <f t="shared" si="22"/>
        <v>0.71111111111111114</v>
      </c>
      <c r="N267" s="6">
        <f>IFERROR(VLOOKUP($A267,#REF!,MATCH(#REF!,#REF!,0),0),0)</f>
        <v>0</v>
      </c>
      <c r="O267" s="7">
        <f t="shared" si="23"/>
        <v>0</v>
      </c>
      <c r="P267" s="10" t="str">
        <f>IFERROR(VLOOKUP($A267,[1]FINAL!$A$1:$BZ$1000,MATCH([1]FINAL!$BB$1,[1]FINAL!$A$1:$BZ$1,0),0),"")</f>
        <v/>
      </c>
      <c r="Q267" s="18">
        <f t="shared" si="24"/>
        <v>1</v>
      </c>
    </row>
    <row r="268" spans="1:17" x14ac:dyDescent="0.25">
      <c r="A268" s="14" t="str">
        <f>[1]FINAL!$A380</f>
        <v>Lamare Bogarde</v>
      </c>
      <c r="B268" s="20" t="str">
        <f>IFERROR(VLOOKUP($A268,[1]FINAL!$A$1:$Z$1000,MATCH([1]FINAL!$T$1,[1]FINAL!$A$1:$Z$1,0),0),"")</f>
        <v>MID</v>
      </c>
      <c r="C268" s="3" t="str">
        <f>IFERROR(VLOOKUP($A268,[1]FINAL!$A$1:$Z$1000,MATCH([1]FINAL!$U$1,[1]FINAL!$A$1:$Z$1,0),0),"")</f>
        <v>DM</v>
      </c>
      <c r="D268" s="3" t="str">
        <f>IFERROR(VLOOKUP($A268,[1]FINAL!$A$1:$Z$1000,MATCH([1]FINAL!$V$1,[1]FINAL!$A$1:$Z$1,0),0),"")</f>
        <v>AVL</v>
      </c>
      <c r="E268" s="6">
        <f t="shared" si="20"/>
        <v>66672.514619883048</v>
      </c>
      <c r="F268" s="5">
        <f t="shared" si="21"/>
        <v>0.28947368421052633</v>
      </c>
      <c r="G268" s="5">
        <f>IFERROR(IF(H268&lt;&gt;"",H268,VLOOKUP($A268,[1]FINAL!$A$1:$BZ$1000,MATCH([1]FINAL!$BL$1,[1]FINAL!$A$1:$BZ$1,0),0)),0)</f>
        <v>0.28947368421052633</v>
      </c>
      <c r="I268" s="5">
        <f>IFERROR(IF(J268&lt;&gt;"",J268,(IF(VLOOKUP($A268,#REF!,MATCH(#REF!,#REF!,0),0)=0,G268,VLOOKUP($A268,#REF!,MATCH(#REF!,#REF!,0),0)))),G268)</f>
        <v>0.28947368421052633</v>
      </c>
      <c r="K268" s="6">
        <f>IFERROR(VLOOKUP($A268,#REF!,MATCH(#REF!,#REF!,0),0),0)</f>
        <v>0</v>
      </c>
      <c r="L268" s="6">
        <f>IFERROR(VLOOKUP($A268,[1]FINAL!$A$1:$BZ$1000,MATCH([1]FINAL!$BF$1,[1]FINAL!$A$1:$BZ$1,0),0),0)</f>
        <v>79</v>
      </c>
      <c r="M268" s="7">
        <f t="shared" si="22"/>
        <v>0.87777777777777777</v>
      </c>
      <c r="N268" s="6">
        <f>IFERROR(VLOOKUP($A268,#REF!,MATCH(#REF!,#REF!,0),0),0)</f>
        <v>0</v>
      </c>
      <c r="O268" s="7">
        <f t="shared" si="23"/>
        <v>0</v>
      </c>
      <c r="P268" s="10" t="str">
        <f>IFERROR(VLOOKUP($A268,[1]FINAL!$A$1:$BZ$1000,MATCH([1]FINAL!$BB$1,[1]FINAL!$A$1:$BZ$1,0),0),"")</f>
        <v/>
      </c>
      <c r="Q268" s="18">
        <f t="shared" si="24"/>
        <v>1</v>
      </c>
    </row>
    <row r="269" spans="1:17" x14ac:dyDescent="0.25">
      <c r="A269" s="14" t="str">
        <f>[1]FINAL!$A377</f>
        <v>Mark Gillespie</v>
      </c>
      <c r="B269" s="20" t="str">
        <f>IFERROR(VLOOKUP($A269,[1]FINAL!$A$1:$Z$1000,MATCH([1]FINAL!$T$1,[1]FINAL!$A$1:$Z$1,0),0),"")</f>
        <v>GK</v>
      </c>
      <c r="C269" s="3" t="str">
        <f>IFERROR(VLOOKUP($A269,[1]FINAL!$A$1:$Z$1000,MATCH([1]FINAL!$U$1,[1]FINAL!$A$1:$Z$1,0),0),"")</f>
        <v>GK</v>
      </c>
      <c r="D269" s="3" t="str">
        <f>IFERROR(VLOOKUP($A269,[1]FINAL!$A$1:$Z$1000,MATCH([1]FINAL!$V$1,[1]FINAL!$A$1:$Z$1,0),0),"")</f>
        <v>NEW</v>
      </c>
      <c r="E269" s="6">
        <f t="shared" si="20"/>
        <v>0</v>
      </c>
      <c r="F269" s="5">
        <f t="shared" si="21"/>
        <v>0</v>
      </c>
      <c r="G269" s="5">
        <f>IFERROR(IF(H269&lt;&gt;"",H269,VLOOKUP($A269,[1]FINAL!$A$1:$BZ$1000,MATCH([1]FINAL!$BL$1,[1]FINAL!$A$1:$BZ$1,0),0)),0)</f>
        <v>0</v>
      </c>
      <c r="I269" s="5">
        <f>IFERROR(IF(J269&lt;&gt;"",J269,(IF(VLOOKUP($A269,#REF!,MATCH(#REF!,#REF!,0),0)=0,G269,VLOOKUP($A269,#REF!,MATCH(#REF!,#REF!,0),0)))),G269)</f>
        <v>0</v>
      </c>
      <c r="K269" s="6">
        <f>IFERROR(VLOOKUP($A269,#REF!,MATCH(#REF!,#REF!,0),0),0)</f>
        <v>0</v>
      </c>
      <c r="L269" s="6">
        <f>IFERROR(VLOOKUP($A269,[1]FINAL!$A$1:$BZ$1000,MATCH([1]FINAL!$BF$1,[1]FINAL!$A$1:$BZ$1,0),0),0)</f>
        <v>0</v>
      </c>
      <c r="M269" s="7">
        <f t="shared" si="22"/>
        <v>0</v>
      </c>
      <c r="N269" s="6">
        <f>IFERROR(VLOOKUP($A269,#REF!,MATCH(#REF!,#REF!,0),0),0)</f>
        <v>0</v>
      </c>
      <c r="O269" s="7">
        <f t="shared" si="23"/>
        <v>0</v>
      </c>
      <c r="P269" s="10" t="str">
        <f>IFERROR(VLOOKUP($A269,[1]FINAL!$A$1:$BZ$1000,MATCH([1]FINAL!$BB$1,[1]FINAL!$A$1:$BZ$1,0),0),"")</f>
        <v/>
      </c>
      <c r="Q269" s="18">
        <f t="shared" si="24"/>
        <v>1</v>
      </c>
    </row>
    <row r="270" spans="1:17" x14ac:dyDescent="0.25">
      <c r="A270" s="14" t="str">
        <f>[1]FINAL!$A275</f>
        <v>Ezri Konsa Ngoyo</v>
      </c>
      <c r="B270" s="20" t="str">
        <f>IFERROR(VLOOKUP($A270,[1]FINAL!$A$1:$Z$1000,MATCH([1]FINAL!$T$1,[1]FINAL!$A$1:$Z$1,0),0),"")</f>
        <v>DEF</v>
      </c>
      <c r="C270" s="3" t="str">
        <f>IFERROR(VLOOKUP($A270,[1]FINAL!$A$1:$Z$1000,MATCH([1]FINAL!$U$1,[1]FINAL!$A$1:$Z$1,0),0),"")</f>
        <v>CB</v>
      </c>
      <c r="D270" s="3" t="str">
        <f>IFERROR(VLOOKUP($A270,[1]FINAL!$A$1:$Z$1000,MATCH([1]FINAL!$V$1,[1]FINAL!$A$1:$Z$1,0),0),"")</f>
        <v>AVL</v>
      </c>
      <c r="E270" s="6">
        <f t="shared" si="20"/>
        <v>198777.77777777775</v>
      </c>
      <c r="F270" s="5">
        <f t="shared" si="21"/>
        <v>0.94444444444444442</v>
      </c>
      <c r="G270" s="5">
        <f>IFERROR(IF(H270&lt;&gt;"",H270,VLOOKUP($A270,[1]FINAL!$A$1:$BZ$1000,MATCH([1]FINAL!$BL$1,[1]FINAL!$A$1:$BZ$1,0),0)),0)</f>
        <v>0.94444444444444442</v>
      </c>
      <c r="I270" s="5">
        <f>IFERROR(IF(J270&lt;&gt;"",J270,(IF(VLOOKUP($A270,#REF!,MATCH(#REF!,#REF!,0),0)=0,G270,VLOOKUP($A270,#REF!,MATCH(#REF!,#REF!,0),0)))),G270)</f>
        <v>0.94444444444444442</v>
      </c>
      <c r="K270" s="6">
        <f>IFERROR(VLOOKUP($A270,#REF!,MATCH(#REF!,#REF!,0),0),0)</f>
        <v>0</v>
      </c>
      <c r="L270" s="6">
        <f>IFERROR(VLOOKUP($A270,[1]FINAL!$A$1:$BZ$1000,MATCH([1]FINAL!$BF$1,[1]FINAL!$A$1:$BZ$1,0),0),0)</f>
        <v>89</v>
      </c>
      <c r="M270" s="7">
        <f t="shared" si="22"/>
        <v>0.98888888888888893</v>
      </c>
      <c r="N270" s="6">
        <f>IFERROR(VLOOKUP($A270,#REF!,MATCH(#REF!,#REF!,0),0),0)</f>
        <v>0</v>
      </c>
      <c r="O270" s="7">
        <f t="shared" si="23"/>
        <v>0</v>
      </c>
      <c r="P270" s="10" t="str">
        <f>IFERROR(VLOOKUP($A270,[1]FINAL!$A$1:$BZ$1000,MATCH([1]FINAL!$BB$1,[1]FINAL!$A$1:$BZ$1,0),0),"")</f>
        <v/>
      </c>
      <c r="Q270" s="18">
        <f t="shared" si="24"/>
        <v>1</v>
      </c>
    </row>
    <row r="271" spans="1:17" x14ac:dyDescent="0.25">
      <c r="A271" s="14" t="str">
        <f>[1]FINAL!$A60</f>
        <v>Melker Ellborg</v>
      </c>
      <c r="B271" s="20" t="str">
        <f>IFERROR(VLOOKUP($A271,[1]FINAL!$A$1:$Z$1000,MATCH([1]FINAL!$T$1,[1]FINAL!$A$1:$Z$1,0),0),"")</f>
        <v>GK</v>
      </c>
      <c r="C271" s="3" t="str">
        <f>IFERROR(VLOOKUP($A271,[1]FINAL!$A$1:$Z$1000,MATCH([1]FINAL!$U$1,[1]FINAL!$A$1:$Z$1,0),0),"")</f>
        <v>GK</v>
      </c>
      <c r="D271" s="3" t="str">
        <f>IFERROR(VLOOKUP($A271,[1]FINAL!$A$1:$Z$1000,MATCH([1]FINAL!$V$1,[1]FINAL!$A$1:$Z$1,0),0),"")</f>
        <v>SUN</v>
      </c>
      <c r="E271" s="6">
        <f t="shared" si="20"/>
        <v>52857.142857142855</v>
      </c>
      <c r="F271" s="5">
        <f t="shared" si="21"/>
        <v>0.21428571428571427</v>
      </c>
      <c r="G271" s="5">
        <f>IFERROR(IF(H271&lt;&gt;"",H271,VLOOKUP($A271,[1]FINAL!$A$1:$BZ$1000,MATCH([1]FINAL!$BL$1,[1]FINAL!$A$1:$BZ$1,0),0)),0)</f>
        <v>0.21428571428571427</v>
      </c>
      <c r="I271" s="5">
        <f>IFERROR(IF(J271&lt;&gt;"",J271,(IF(VLOOKUP($A271,#REF!,MATCH(#REF!,#REF!,0),0)=0,G271,VLOOKUP($A271,#REF!,MATCH(#REF!,#REF!,0),0)))),G271)</f>
        <v>0.21428571428571427</v>
      </c>
      <c r="K271" s="6">
        <f>IFERROR(VLOOKUP($A271,#REF!,MATCH(#REF!,#REF!,0),0),0)</f>
        <v>0</v>
      </c>
      <c r="L271" s="6">
        <f>IFERROR(VLOOKUP($A271,[1]FINAL!$A$1:$BZ$1000,MATCH([1]FINAL!$BF$1,[1]FINAL!$A$1:$BZ$1,0),0),0)</f>
        <v>90</v>
      </c>
      <c r="M271" s="7">
        <f t="shared" si="22"/>
        <v>1</v>
      </c>
      <c r="N271" s="6">
        <f>IFERROR(VLOOKUP($A271,#REF!,MATCH(#REF!,#REF!,0),0),0)</f>
        <v>0</v>
      </c>
      <c r="O271" s="7">
        <f t="shared" si="23"/>
        <v>0</v>
      </c>
      <c r="P271" s="10" t="str">
        <f>IFERROR(VLOOKUP($A271,[1]FINAL!$A$1:$BZ$1000,MATCH([1]FINAL!$BB$1,[1]FINAL!$A$1:$BZ$1,0),0),"")</f>
        <v/>
      </c>
      <c r="Q271" s="18">
        <f t="shared" si="24"/>
        <v>1</v>
      </c>
    </row>
    <row r="272" spans="1:17" x14ac:dyDescent="0.25">
      <c r="A272" s="14" t="str">
        <f>[1]FINAL!$A137</f>
        <v>Mateo Kovačić</v>
      </c>
      <c r="B272" s="20" t="str">
        <f>IFERROR(VLOOKUP($A272,[1]FINAL!$A$1:$Z$1000,MATCH([1]FINAL!$T$1,[1]FINAL!$A$1:$Z$1,0),0),"")</f>
        <v>MID</v>
      </c>
      <c r="C272" s="3" t="str">
        <f>IFERROR(VLOOKUP($A272,[1]FINAL!$A$1:$Z$1000,MATCH([1]FINAL!$U$1,[1]FINAL!$A$1:$Z$1,0),0),"")</f>
        <v>CM</v>
      </c>
      <c r="D272" s="3" t="str">
        <f>IFERROR(VLOOKUP($A272,[1]FINAL!$A$1:$Z$1000,MATCH([1]FINAL!$V$1,[1]FINAL!$A$1:$Z$1,0),0),"")</f>
        <v>MCI</v>
      </c>
      <c r="E272" s="6">
        <f t="shared" si="20"/>
        <v>22777.777777777774</v>
      </c>
      <c r="F272" s="5">
        <f t="shared" si="21"/>
        <v>8.3333333333333329E-2</v>
      </c>
      <c r="G272" s="5">
        <f>IFERROR(IF(H272&lt;&gt;"",H272,VLOOKUP($A272,[1]FINAL!$A$1:$BZ$1000,MATCH([1]FINAL!$BL$1,[1]FINAL!$A$1:$BZ$1,0),0)),0)</f>
        <v>8.3333333333333329E-2</v>
      </c>
      <c r="I272" s="5">
        <f>IFERROR(IF(J272&lt;&gt;"",J272,(IF(VLOOKUP($A272,#REF!,MATCH(#REF!,#REF!,0),0)=0,G272,VLOOKUP($A272,#REF!,MATCH(#REF!,#REF!,0),0)))),G272)</f>
        <v>8.3333333333333329E-2</v>
      </c>
      <c r="K272" s="6">
        <f>IFERROR(VLOOKUP($A272,#REF!,MATCH(#REF!,#REF!,0),0),0)</f>
        <v>0</v>
      </c>
      <c r="L272" s="6">
        <f>IFERROR(VLOOKUP($A272,[1]FINAL!$A$1:$BZ$1000,MATCH([1]FINAL!$BF$1,[1]FINAL!$A$1:$BZ$1,0),0),0)</f>
        <v>55</v>
      </c>
      <c r="M272" s="7">
        <f t="shared" si="22"/>
        <v>0.61111111111111116</v>
      </c>
      <c r="N272" s="6">
        <f>IFERROR(VLOOKUP($A272,#REF!,MATCH(#REF!,#REF!,0),0),0)</f>
        <v>0</v>
      </c>
      <c r="O272" s="7">
        <f t="shared" si="23"/>
        <v>0</v>
      </c>
      <c r="P272" s="10" t="str">
        <f>IFERROR(VLOOKUP($A272,[1]FINAL!$A$1:$BZ$1000,MATCH([1]FINAL!$BB$1,[1]FINAL!$A$1:$BZ$1,0),0),"")</f>
        <v/>
      </c>
      <c r="Q272" s="18">
        <f t="shared" si="24"/>
        <v>1</v>
      </c>
    </row>
    <row r="273" spans="1:17" x14ac:dyDescent="0.25">
      <c r="A273" s="14" t="str">
        <f>[1]FINAL!$A174</f>
        <v>Ferdi Kadıoğlu</v>
      </c>
      <c r="B273" s="20" t="str">
        <f>IFERROR(VLOOKUP($A273,[1]FINAL!$A$1:$Z$1000,MATCH([1]FINAL!$T$1,[1]FINAL!$A$1:$Z$1,0),0),"")</f>
        <v>DEF</v>
      </c>
      <c r="C273" s="3" t="str">
        <f>IFERROR(VLOOKUP($A273,[1]FINAL!$A$1:$Z$1000,MATCH([1]FINAL!$U$1,[1]FINAL!$A$1:$Z$1,0),0),"")</f>
        <v>LB</v>
      </c>
      <c r="D273" s="3" t="str">
        <f>IFERROR(VLOOKUP($A273,[1]FINAL!$A$1:$Z$1000,MATCH([1]FINAL!$V$1,[1]FINAL!$A$1:$Z$1,0),0),"")</f>
        <v>BHA</v>
      </c>
      <c r="E273" s="6">
        <f t="shared" si="20"/>
        <v>188836.25730994152</v>
      </c>
      <c r="F273" s="5">
        <f t="shared" si="21"/>
        <v>0.89473684210526316</v>
      </c>
      <c r="G273" s="5">
        <f>IFERROR(IF(H273&lt;&gt;"",H273,VLOOKUP($A273,[1]FINAL!$A$1:$BZ$1000,MATCH([1]FINAL!$BL$1,[1]FINAL!$A$1:$BZ$1,0),0)),0)</f>
        <v>0.89473684210526316</v>
      </c>
      <c r="I273" s="5">
        <f>IFERROR(IF(J273&lt;&gt;"",J273,(IF(VLOOKUP($A273,#REF!,MATCH(#REF!,#REF!,0),0)=0,G273,VLOOKUP($A273,#REF!,MATCH(#REF!,#REF!,0),0)))),G273)</f>
        <v>0.89473684210526316</v>
      </c>
      <c r="K273" s="6">
        <f>IFERROR(VLOOKUP($A273,#REF!,MATCH(#REF!,#REF!,0),0),0)</f>
        <v>0</v>
      </c>
      <c r="L273" s="6">
        <f>IFERROR(VLOOKUP($A273,[1]FINAL!$A$1:$BZ$1000,MATCH([1]FINAL!$BF$1,[1]FINAL!$A$1:$BZ$1,0),0),0)</f>
        <v>89</v>
      </c>
      <c r="M273" s="7">
        <f t="shared" si="22"/>
        <v>0.98888888888888893</v>
      </c>
      <c r="N273" s="6">
        <f>IFERROR(VLOOKUP($A273,#REF!,MATCH(#REF!,#REF!,0),0),0)</f>
        <v>0</v>
      </c>
      <c r="O273" s="7">
        <f t="shared" si="23"/>
        <v>0</v>
      </c>
      <c r="P273" s="10" t="str">
        <f>IFERROR(VLOOKUP($A273,[1]FINAL!$A$1:$BZ$1000,MATCH([1]FINAL!$BB$1,[1]FINAL!$A$1:$BZ$1,0),0),"")</f>
        <v/>
      </c>
      <c r="Q273" s="18">
        <f t="shared" si="24"/>
        <v>1</v>
      </c>
    </row>
    <row r="274" spans="1:17" x14ac:dyDescent="0.25">
      <c r="A274" s="14" t="str">
        <f>[1]FINAL!$A103</f>
        <v>Jack Grealish</v>
      </c>
      <c r="B274" s="20" t="str">
        <f>IFERROR(VLOOKUP($A274,[1]FINAL!$A$1:$Z$1000,MATCH([1]FINAL!$T$1,[1]FINAL!$A$1:$Z$1,0),0),"")</f>
        <v>MID</v>
      </c>
      <c r="C274" s="3" t="str">
        <f>IFERROR(VLOOKUP($A274,[1]FINAL!$A$1:$Z$1000,MATCH([1]FINAL!$U$1,[1]FINAL!$A$1:$Z$1,0),0),"")</f>
        <v>LW</v>
      </c>
      <c r="D274" s="3" t="str">
        <f>IFERROR(VLOOKUP($A274,[1]FINAL!$A$1:$Z$1000,MATCH([1]FINAL!$V$1,[1]FINAL!$A$1:$Z$1,0),0),"")</f>
        <v>MCI</v>
      </c>
      <c r="E274" s="6">
        <f t="shared" si="20"/>
        <v>189777.77777777778</v>
      </c>
      <c r="F274" s="5">
        <f t="shared" si="21"/>
        <v>0.9</v>
      </c>
      <c r="G274" s="5">
        <f>IFERROR(IF(H274&lt;&gt;"",H274,VLOOKUP($A274,[1]FINAL!$A$1:$BZ$1000,MATCH([1]FINAL!$BL$1,[1]FINAL!$A$1:$BZ$1,0),0)),0)</f>
        <v>0.9</v>
      </c>
      <c r="I274" s="5">
        <f>IFERROR(IF(J274&lt;&gt;"",J274,(IF(VLOOKUP($A274,#REF!,MATCH(#REF!,#REF!,0),0)=0,G274,VLOOKUP($A274,#REF!,MATCH(#REF!,#REF!,0),0)))),G274)</f>
        <v>0.9</v>
      </c>
      <c r="K274" s="6">
        <f>IFERROR(VLOOKUP($A274,#REF!,MATCH(#REF!,#REF!,0),0),0)</f>
        <v>0</v>
      </c>
      <c r="L274" s="6">
        <f>IFERROR(VLOOKUP($A274,[1]FINAL!$A$1:$BZ$1000,MATCH([1]FINAL!$BF$1,[1]FINAL!$A$1:$BZ$1,0),0),0)</f>
        <v>88</v>
      </c>
      <c r="M274" s="7">
        <f t="shared" si="22"/>
        <v>0.97777777777777775</v>
      </c>
      <c r="N274" s="6">
        <f>IFERROR(VLOOKUP($A274,#REF!,MATCH(#REF!,#REF!,0),0),0)</f>
        <v>0</v>
      </c>
      <c r="O274" s="7">
        <f t="shared" si="23"/>
        <v>0</v>
      </c>
      <c r="P274" s="10" t="str">
        <f>IFERROR(VLOOKUP($A274,[1]FINAL!$A$1:$BZ$1000,MATCH([1]FINAL!$BB$1,[1]FINAL!$A$1:$BZ$1,0),0),"")</f>
        <v/>
      </c>
      <c r="Q274" s="18">
        <f t="shared" si="24"/>
        <v>1</v>
      </c>
    </row>
    <row r="275" spans="1:17" x14ac:dyDescent="0.25">
      <c r="A275" s="14" t="str">
        <f>[1]FINAL!$A217</f>
        <v>Brian Brobbey</v>
      </c>
      <c r="B275" s="20" t="str">
        <f>IFERROR(VLOOKUP($A275,[1]FINAL!$A$1:$Z$1000,MATCH([1]FINAL!$T$1,[1]FINAL!$A$1:$Z$1,0),0),"")</f>
        <v>FWD</v>
      </c>
      <c r="C275" s="3" t="str">
        <f>IFERROR(VLOOKUP($A275,[1]FINAL!$A$1:$Z$1000,MATCH([1]FINAL!$U$1,[1]FINAL!$A$1:$Z$1,0),0),"")</f>
        <v>CF</v>
      </c>
      <c r="D275" s="3" t="str">
        <f>IFERROR(VLOOKUP($A275,[1]FINAL!$A$1:$Z$1000,MATCH([1]FINAL!$V$1,[1]FINAL!$A$1:$Z$1,0),0),"")</f>
        <v>SUN</v>
      </c>
      <c r="E275" s="6">
        <f t="shared" si="20"/>
        <v>141999.99999999997</v>
      </c>
      <c r="F275" s="5">
        <f t="shared" si="21"/>
        <v>0.66666666666666663</v>
      </c>
      <c r="G275" s="5">
        <f>IFERROR(IF(H275&lt;&gt;"",H275,VLOOKUP($A275,[1]FINAL!$A$1:$BZ$1000,MATCH([1]FINAL!$BL$1,[1]FINAL!$A$1:$BZ$1,0),0)),0)</f>
        <v>0.66666666666666663</v>
      </c>
      <c r="I275" s="5">
        <f>IFERROR(IF(J275&lt;&gt;"",J275,(IF(VLOOKUP($A275,#REF!,MATCH(#REF!,#REF!,0),0)=0,G275,VLOOKUP($A275,#REF!,MATCH(#REF!,#REF!,0),0)))),G275)</f>
        <v>0.66666666666666663</v>
      </c>
      <c r="K275" s="6">
        <f>IFERROR(VLOOKUP($A275,#REF!,MATCH(#REF!,#REF!,0),0),0)</f>
        <v>0</v>
      </c>
      <c r="L275" s="6">
        <f>IFERROR(VLOOKUP($A275,[1]FINAL!$A$1:$BZ$1000,MATCH([1]FINAL!$BF$1,[1]FINAL!$A$1:$BZ$1,0),0),0)</f>
        <v>78</v>
      </c>
      <c r="M275" s="7">
        <f t="shared" si="22"/>
        <v>0.8666666666666667</v>
      </c>
      <c r="N275" s="6">
        <f>IFERROR(VLOOKUP($A275,#REF!,MATCH(#REF!,#REF!,0),0),0)</f>
        <v>0</v>
      </c>
      <c r="O275" s="7">
        <f t="shared" si="23"/>
        <v>0</v>
      </c>
      <c r="P275" s="10" t="str">
        <f>IFERROR(VLOOKUP($A275,[1]FINAL!$A$1:$BZ$1000,MATCH([1]FINAL!$BB$1,[1]FINAL!$A$1:$BZ$1,0),0),"")</f>
        <v/>
      </c>
      <c r="Q275" s="18">
        <f t="shared" si="24"/>
        <v>1</v>
      </c>
    </row>
    <row r="276" spans="1:17" x14ac:dyDescent="0.25">
      <c r="A276" s="14" t="str">
        <f>[1]FINAL!$A24</f>
        <v>Gabriel dos Santos Magalhães</v>
      </c>
      <c r="B276" s="20" t="str">
        <f>IFERROR(VLOOKUP($A276,[1]FINAL!$A$1:$Z$1000,MATCH([1]FINAL!$T$1,[1]FINAL!$A$1:$Z$1,0),0),"")</f>
        <v>DEF</v>
      </c>
      <c r="C276" s="3" t="str">
        <f>IFERROR(VLOOKUP($A276,[1]FINAL!$A$1:$Z$1000,MATCH([1]FINAL!$U$1,[1]FINAL!$A$1:$Z$1,0),0),"")</f>
        <v>CB</v>
      </c>
      <c r="D276" s="3" t="str">
        <f>IFERROR(VLOOKUP($A276,[1]FINAL!$A$1:$Z$1000,MATCH([1]FINAL!$V$1,[1]FINAL!$A$1:$Z$1,0),0),"")</f>
        <v>ARS</v>
      </c>
      <c r="E276" s="6">
        <f t="shared" si="20"/>
        <v>197500</v>
      </c>
      <c r="F276" s="5">
        <f t="shared" si="21"/>
        <v>0.9375</v>
      </c>
      <c r="G276" s="5">
        <f>IFERROR(IF(H276&lt;&gt;"",H276,VLOOKUP($A276,[1]FINAL!$A$1:$BZ$1000,MATCH([1]FINAL!$BL$1,[1]FINAL!$A$1:$BZ$1,0),0)),0)</f>
        <v>0.9375</v>
      </c>
      <c r="I276" s="5">
        <f>IFERROR(IF(J276&lt;&gt;"",J276,(IF(VLOOKUP($A276,#REF!,MATCH(#REF!,#REF!,0),0)=0,G276,VLOOKUP($A276,#REF!,MATCH(#REF!,#REF!,0),0)))),G276)</f>
        <v>0.9375</v>
      </c>
      <c r="K276" s="6">
        <f>IFERROR(VLOOKUP($A276,#REF!,MATCH(#REF!,#REF!,0),0),0)</f>
        <v>0</v>
      </c>
      <c r="L276" s="6">
        <f>IFERROR(VLOOKUP($A276,[1]FINAL!$A$1:$BZ$1000,MATCH([1]FINAL!$BF$1,[1]FINAL!$A$1:$BZ$1,0),0),0)</f>
        <v>90</v>
      </c>
      <c r="M276" s="7">
        <f t="shared" si="22"/>
        <v>1</v>
      </c>
      <c r="N276" s="6">
        <f>IFERROR(VLOOKUP($A276,#REF!,MATCH(#REF!,#REF!,0),0),0)</f>
        <v>0</v>
      </c>
      <c r="O276" s="7">
        <f t="shared" si="23"/>
        <v>0</v>
      </c>
      <c r="P276" s="10" t="str">
        <f>IFERROR(VLOOKUP($A276,[1]FINAL!$A$1:$BZ$1000,MATCH([1]FINAL!$BB$1,[1]FINAL!$A$1:$BZ$1,0),0),"")</f>
        <v/>
      </c>
      <c r="Q276" s="18">
        <f t="shared" si="24"/>
        <v>1</v>
      </c>
    </row>
    <row r="277" spans="1:17" x14ac:dyDescent="0.25">
      <c r="A277" s="14" t="str">
        <f>[1]FINAL!$A251</f>
        <v>Ryan Gravenberch</v>
      </c>
      <c r="B277" s="20" t="str">
        <f>IFERROR(VLOOKUP($A277,[1]FINAL!$A$1:$Z$1000,MATCH([1]FINAL!$T$1,[1]FINAL!$A$1:$Z$1,0),0),"")</f>
        <v>MID</v>
      </c>
      <c r="C277" s="3" t="str">
        <f>IFERROR(VLOOKUP($A277,[1]FINAL!$A$1:$Z$1000,MATCH([1]FINAL!$U$1,[1]FINAL!$A$1:$Z$1,0),0),"")</f>
        <v>DM</v>
      </c>
      <c r="D277" s="3" t="str">
        <f>IFERROR(VLOOKUP($A277,[1]FINAL!$A$1:$Z$1000,MATCH([1]FINAL!$V$1,[1]FINAL!$A$1:$Z$1,0),0),"")</f>
        <v>LIV</v>
      </c>
      <c r="E277" s="6">
        <f t="shared" si="20"/>
        <v>198444.44444444444</v>
      </c>
      <c r="F277" s="5">
        <f t="shared" si="21"/>
        <v>0.94444444444444442</v>
      </c>
      <c r="G277" s="5">
        <f>IFERROR(IF(H277&lt;&gt;"",H277,VLOOKUP($A277,[1]FINAL!$A$1:$BZ$1000,MATCH([1]FINAL!$BL$1,[1]FINAL!$A$1:$BZ$1,0),0)),0)</f>
        <v>0.94444444444444442</v>
      </c>
      <c r="I277" s="5">
        <f>IFERROR(IF(J277&lt;&gt;"",J277,(IF(VLOOKUP($A277,#REF!,MATCH(#REF!,#REF!,0),0)=0,G277,VLOOKUP($A277,#REF!,MATCH(#REF!,#REF!,0),0)))),G277)</f>
        <v>0.94444444444444442</v>
      </c>
      <c r="K277" s="6">
        <f>IFERROR(VLOOKUP($A277,#REF!,MATCH(#REF!,#REF!,0),0),0)</f>
        <v>0</v>
      </c>
      <c r="L277" s="6">
        <f>IFERROR(VLOOKUP($A277,[1]FINAL!$A$1:$BZ$1000,MATCH([1]FINAL!$BF$1,[1]FINAL!$A$1:$BZ$1,0),0),0)</f>
        <v>86</v>
      </c>
      <c r="M277" s="7">
        <f t="shared" si="22"/>
        <v>0.9555555555555556</v>
      </c>
      <c r="N277" s="6">
        <f>IFERROR(VLOOKUP($A277,#REF!,MATCH(#REF!,#REF!,0),0),0)</f>
        <v>0</v>
      </c>
      <c r="O277" s="7">
        <f t="shared" si="23"/>
        <v>0</v>
      </c>
      <c r="P277" s="10" t="str">
        <f>IFERROR(VLOOKUP($A277,[1]FINAL!$A$1:$BZ$1000,MATCH([1]FINAL!$BB$1,[1]FINAL!$A$1:$BZ$1,0),0),"")</f>
        <v/>
      </c>
      <c r="Q277" s="18">
        <f t="shared" si="24"/>
        <v>1</v>
      </c>
    </row>
    <row r="278" spans="1:17" x14ac:dyDescent="0.25">
      <c r="A278" s="14" t="str">
        <f>[1]FINAL!$A279</f>
        <v>Jack Harrison</v>
      </c>
      <c r="B278" s="20" t="str">
        <f>IFERROR(VLOOKUP($A278,[1]FINAL!$A$1:$Z$1000,MATCH([1]FINAL!$T$1,[1]FINAL!$A$1:$Z$1,0),0),"")</f>
        <v>MID</v>
      </c>
      <c r="C278" s="3" t="str">
        <f>IFERROR(VLOOKUP($A278,[1]FINAL!$A$1:$Z$1000,MATCH([1]FINAL!$U$1,[1]FINAL!$A$1:$Z$1,0),0),"")</f>
        <v/>
      </c>
      <c r="D278" s="3" t="str">
        <f>IFERROR(VLOOKUP($A278,[1]FINAL!$A$1:$Z$1000,MATCH([1]FINAL!$V$1,[1]FINAL!$A$1:$Z$1,0),0),"")</f>
        <v>LEE</v>
      </c>
      <c r="E278" s="6">
        <f t="shared" si="20"/>
        <v>102222.22222222222</v>
      </c>
      <c r="F278" s="5">
        <f t="shared" si="21"/>
        <v>0.05</v>
      </c>
      <c r="G278" s="5">
        <f>IFERROR(IF(H278&lt;&gt;"",H278,VLOOKUP($A278,[1]FINAL!$A$1:$BZ$1000,MATCH([1]FINAL!$BL$1,[1]FINAL!$A$1:$BZ$1,0),0)),0)</f>
        <v>0.05</v>
      </c>
      <c r="I278" s="5">
        <f>IFERROR(IF(J278&lt;&gt;"",J278,(IF(VLOOKUP($A278,#REF!,MATCH(#REF!,#REF!,0),0)=0,G278,VLOOKUP($A278,#REF!,MATCH(#REF!,#REF!,0),0)))),G278)</f>
        <v>0.9</v>
      </c>
      <c r="J278" s="12">
        <v>0.9</v>
      </c>
      <c r="K278" s="6">
        <f>IFERROR(VLOOKUP($A278,#REF!,MATCH(#REF!,#REF!,0),0),0)</f>
        <v>0</v>
      </c>
      <c r="L278" s="6">
        <f>IFERROR(VLOOKUP($A278,[1]FINAL!$A$1:$BZ$1000,MATCH([1]FINAL!$BF$1,[1]FINAL!$A$1:$BZ$1,0),0),0)</f>
        <v>65</v>
      </c>
      <c r="M278" s="7">
        <f t="shared" si="22"/>
        <v>0.72222222222222221</v>
      </c>
      <c r="N278" s="6">
        <f>IFERROR(VLOOKUP($A278,#REF!,MATCH(#REF!,#REF!,0),0),0)</f>
        <v>0</v>
      </c>
      <c r="O278" s="7">
        <f t="shared" si="23"/>
        <v>0</v>
      </c>
      <c r="P278" s="10" t="str">
        <f>IFERROR(VLOOKUP($A278,[1]FINAL!$A$1:$BZ$1000,MATCH([1]FINAL!$BB$1,[1]FINAL!$A$1:$BZ$1,0),0),"")</f>
        <v/>
      </c>
      <c r="Q278" s="18">
        <f t="shared" si="24"/>
        <v>1</v>
      </c>
    </row>
    <row r="279" spans="1:17" x14ac:dyDescent="0.25">
      <c r="A279" s="14" t="str">
        <f>[1]FINAL!$A218</f>
        <v>James Garner</v>
      </c>
      <c r="B279" s="20" t="str">
        <f>IFERROR(VLOOKUP($A279,[1]FINAL!$A$1:$Z$1000,MATCH([1]FINAL!$T$1,[1]FINAL!$A$1:$Z$1,0),0),"")</f>
        <v>MID</v>
      </c>
      <c r="C279" s="3" t="str">
        <f>IFERROR(VLOOKUP($A279,[1]FINAL!$A$1:$Z$1000,MATCH([1]FINAL!$U$1,[1]FINAL!$A$1:$Z$1,0),0),"")</f>
        <v>DM</v>
      </c>
      <c r="D279" s="3" t="str">
        <f>IFERROR(VLOOKUP($A279,[1]FINAL!$A$1:$Z$1000,MATCH([1]FINAL!$V$1,[1]FINAL!$A$1:$Z$1,0),0),"")</f>
        <v>EVE</v>
      </c>
      <c r="E279" s="6">
        <f t="shared" si="20"/>
        <v>210000</v>
      </c>
      <c r="F279" s="5">
        <f t="shared" si="21"/>
        <v>1</v>
      </c>
      <c r="G279" s="5">
        <f>IFERROR(IF(H279&lt;&gt;"",H279,VLOOKUP($A279,[1]FINAL!$A$1:$BZ$1000,MATCH([1]FINAL!$BL$1,[1]FINAL!$A$1:$BZ$1,0),0)),0)</f>
        <v>1</v>
      </c>
      <c r="I279" s="5">
        <f>IFERROR(IF(J279&lt;&gt;"",J279,(IF(VLOOKUP($A279,#REF!,MATCH(#REF!,#REF!,0),0)=0,G279,VLOOKUP($A279,#REF!,MATCH(#REF!,#REF!,0),0)))),G279)</f>
        <v>1</v>
      </c>
      <c r="K279" s="6">
        <f>IFERROR(VLOOKUP($A279,#REF!,MATCH(#REF!,#REF!,0),0),0)</f>
        <v>0</v>
      </c>
      <c r="L279" s="6">
        <f>IFERROR(VLOOKUP($A279,[1]FINAL!$A$1:$BZ$1000,MATCH([1]FINAL!$BF$1,[1]FINAL!$A$1:$BZ$1,0),0),0)</f>
        <v>90</v>
      </c>
      <c r="M279" s="7">
        <f t="shared" si="22"/>
        <v>1</v>
      </c>
      <c r="N279" s="6">
        <f>IFERROR(VLOOKUP($A279,#REF!,MATCH(#REF!,#REF!,0),0),0)</f>
        <v>0</v>
      </c>
      <c r="O279" s="7">
        <f t="shared" si="23"/>
        <v>0</v>
      </c>
      <c r="P279" s="10" t="str">
        <f>IFERROR(VLOOKUP($A279,[1]FINAL!$A$1:$BZ$1000,MATCH([1]FINAL!$BB$1,[1]FINAL!$A$1:$BZ$1,0),0),"")</f>
        <v/>
      </c>
      <c r="Q279" s="18">
        <f t="shared" si="24"/>
        <v>1</v>
      </c>
    </row>
    <row r="280" spans="1:17" x14ac:dyDescent="0.25">
      <c r="A280" s="14" t="str">
        <f>[1]FINAL!$A167</f>
        <v>Ian Maatsen</v>
      </c>
      <c r="B280" s="20" t="str">
        <f>IFERROR(VLOOKUP($A280,[1]FINAL!$A$1:$Z$1000,MATCH([1]FINAL!$T$1,[1]FINAL!$A$1:$Z$1,0),0),"")</f>
        <v>DEF</v>
      </c>
      <c r="C280" s="3" t="str">
        <f>IFERROR(VLOOKUP($A280,[1]FINAL!$A$1:$Z$1000,MATCH([1]FINAL!$U$1,[1]FINAL!$A$1:$Z$1,0),0),"")</f>
        <v>LB</v>
      </c>
      <c r="D280" s="3" t="str">
        <f>IFERROR(VLOOKUP($A280,[1]FINAL!$A$1:$Z$1000,MATCH([1]FINAL!$V$1,[1]FINAL!$A$1:$Z$1,0),0),"")</f>
        <v>AVL</v>
      </c>
      <c r="E280" s="6">
        <f t="shared" si="20"/>
        <v>98584.79532163743</v>
      </c>
      <c r="F280" s="5">
        <f t="shared" si="21"/>
        <v>0.44736842105263158</v>
      </c>
      <c r="G280" s="5">
        <f>IFERROR(IF(H280&lt;&gt;"",H280,VLOOKUP($A280,[1]FINAL!$A$1:$BZ$1000,MATCH([1]FINAL!$BL$1,[1]FINAL!$A$1:$BZ$1,0),0)),0)</f>
        <v>0.44736842105263158</v>
      </c>
      <c r="I280" s="5">
        <f>IFERROR(IF(J280&lt;&gt;"",J280,(IF(VLOOKUP($A280,#REF!,MATCH(#REF!,#REF!,0),0)=0,G280,VLOOKUP($A280,#REF!,MATCH(#REF!,#REF!,0),0)))),G280)</f>
        <v>0.44736842105263158</v>
      </c>
      <c r="K280" s="6">
        <f>IFERROR(VLOOKUP($A280,#REF!,MATCH(#REF!,#REF!,0),0),0)</f>
        <v>0</v>
      </c>
      <c r="L280" s="6">
        <f>IFERROR(VLOOKUP($A280,[1]FINAL!$A$1:$BZ$1000,MATCH([1]FINAL!$BF$1,[1]FINAL!$A$1:$BZ$1,0),0),0)</f>
        <v>82</v>
      </c>
      <c r="M280" s="7">
        <f t="shared" si="22"/>
        <v>0.91111111111111109</v>
      </c>
      <c r="N280" s="6">
        <f>IFERROR(VLOOKUP($A280,#REF!,MATCH(#REF!,#REF!,0),0),0)</f>
        <v>0</v>
      </c>
      <c r="O280" s="7">
        <f t="shared" si="23"/>
        <v>0</v>
      </c>
      <c r="P280" s="10" t="str">
        <f>IFERROR(VLOOKUP($A280,[1]FINAL!$A$1:$BZ$1000,MATCH([1]FINAL!$BB$1,[1]FINAL!$A$1:$BZ$1,0),0),"")</f>
        <v/>
      </c>
      <c r="Q280" s="18">
        <f t="shared" si="24"/>
        <v>1</v>
      </c>
    </row>
    <row r="281" spans="1:17" x14ac:dyDescent="0.25">
      <c r="A281" s="14" t="str">
        <f>[1]FINAL!$A153</f>
        <v>Daniel Muñoz Mejía</v>
      </c>
      <c r="B281" s="20" t="str">
        <f>IFERROR(VLOOKUP($A281,[1]FINAL!$A$1:$Z$1000,MATCH([1]FINAL!$T$1,[1]FINAL!$A$1:$Z$1,0),0),"")</f>
        <v>DEF</v>
      </c>
      <c r="C281" s="3" t="str">
        <f>IFERROR(VLOOKUP($A281,[1]FINAL!$A$1:$Z$1000,MATCH([1]FINAL!$U$1,[1]FINAL!$A$1:$Z$1,0),0),"")</f>
        <v>RB</v>
      </c>
      <c r="D281" s="3" t="str">
        <f>IFERROR(VLOOKUP($A281,[1]FINAL!$A$1:$Z$1000,MATCH([1]FINAL!$V$1,[1]FINAL!$A$1:$Z$1,0),0),"")</f>
        <v>CRY</v>
      </c>
      <c r="E281" s="6">
        <f t="shared" si="20"/>
        <v>209222.22222222222</v>
      </c>
      <c r="F281" s="5">
        <f t="shared" si="21"/>
        <v>1</v>
      </c>
      <c r="G281" s="5">
        <f>IFERROR(IF(H281&lt;&gt;"",H281,VLOOKUP($A281,[1]FINAL!$A$1:$BZ$1000,MATCH([1]FINAL!$BL$1,[1]FINAL!$A$1:$BZ$1,0),0)),0)</f>
        <v>1</v>
      </c>
      <c r="I281" s="5">
        <f>IFERROR(IF(J281&lt;&gt;"",J281,(IF(VLOOKUP($A281,#REF!,MATCH(#REF!,#REF!,0),0)=0,G281,VLOOKUP($A281,#REF!,MATCH(#REF!,#REF!,0),0)))),G281)</f>
        <v>1</v>
      </c>
      <c r="K281" s="6">
        <f>IFERROR(VLOOKUP($A281,#REF!,MATCH(#REF!,#REF!,0),0),0)</f>
        <v>0</v>
      </c>
      <c r="L281" s="6">
        <f>IFERROR(VLOOKUP($A281,[1]FINAL!$A$1:$BZ$1000,MATCH([1]FINAL!$BF$1,[1]FINAL!$A$1:$BZ$1,0),0),0)</f>
        <v>83</v>
      </c>
      <c r="M281" s="7">
        <f t="shared" si="22"/>
        <v>0.92222222222222228</v>
      </c>
      <c r="N281" s="6">
        <f>IFERROR(VLOOKUP($A281,#REF!,MATCH(#REF!,#REF!,0),0),0)</f>
        <v>0</v>
      </c>
      <c r="O281" s="7">
        <f t="shared" si="23"/>
        <v>0</v>
      </c>
      <c r="P281" s="10" t="str">
        <f>IFERROR(VLOOKUP($A281,[1]FINAL!$A$1:$BZ$1000,MATCH([1]FINAL!$BB$1,[1]FINAL!$A$1:$BZ$1,0),0),"")</f>
        <v/>
      </c>
      <c r="Q281" s="18">
        <f t="shared" si="24"/>
        <v>1</v>
      </c>
    </row>
    <row r="282" spans="1:17" x14ac:dyDescent="0.25">
      <c r="A282" s="14" t="str">
        <f>[1]FINAL!$A277</f>
        <v>Antonín Kinský</v>
      </c>
      <c r="B282" s="20" t="str">
        <f>IFERROR(VLOOKUP($A282,[1]FINAL!$A$1:$Z$1000,MATCH([1]FINAL!$T$1,[1]FINAL!$A$1:$Z$1,0),0),"")</f>
        <v>GK</v>
      </c>
      <c r="C282" s="3" t="str">
        <f>IFERROR(VLOOKUP($A282,[1]FINAL!$A$1:$Z$1000,MATCH([1]FINAL!$U$1,[1]FINAL!$A$1:$Z$1,0),0),"")</f>
        <v>GK</v>
      </c>
      <c r="D282" s="3" t="str">
        <f>IFERROR(VLOOKUP($A282,[1]FINAL!$A$1:$Z$1000,MATCH([1]FINAL!$V$1,[1]FINAL!$A$1:$Z$1,0),0),"")</f>
        <v>TOT</v>
      </c>
      <c r="E282" s="6">
        <f t="shared" si="20"/>
        <v>47837.83783783784</v>
      </c>
      <c r="F282" s="5">
        <f t="shared" si="21"/>
        <v>0.1891891891891892</v>
      </c>
      <c r="G282" s="5">
        <f>IFERROR(IF(H282&lt;&gt;"",H282,VLOOKUP($A282,[1]FINAL!$A$1:$BZ$1000,MATCH([1]FINAL!$BL$1,[1]FINAL!$A$1:$BZ$1,0),0)),0)</f>
        <v>0.1891891891891892</v>
      </c>
      <c r="I282" s="5">
        <f>IFERROR(IF(J282&lt;&gt;"",J282,(IF(VLOOKUP($A282,#REF!,MATCH(#REF!,#REF!,0),0)=0,G282,VLOOKUP($A282,#REF!,MATCH(#REF!,#REF!,0),0)))),G282)</f>
        <v>0.1891891891891892</v>
      </c>
      <c r="K282" s="6">
        <f>IFERROR(VLOOKUP($A282,#REF!,MATCH(#REF!,#REF!,0),0),0)</f>
        <v>0</v>
      </c>
      <c r="L282" s="6">
        <f>IFERROR(VLOOKUP($A282,[1]FINAL!$A$1:$BZ$1000,MATCH([1]FINAL!$BF$1,[1]FINAL!$A$1:$BZ$1,0),0),0)</f>
        <v>90</v>
      </c>
      <c r="M282" s="7">
        <f t="shared" si="22"/>
        <v>1</v>
      </c>
      <c r="N282" s="6">
        <f>IFERROR(VLOOKUP($A282,#REF!,MATCH(#REF!,#REF!,0),0),0)</f>
        <v>0</v>
      </c>
      <c r="O282" s="7">
        <f t="shared" si="23"/>
        <v>0</v>
      </c>
      <c r="P282" s="10" t="str">
        <f>IFERROR(VLOOKUP($A282,[1]FINAL!$A$1:$BZ$1000,MATCH([1]FINAL!$BB$1,[1]FINAL!$A$1:$BZ$1,0),0),"")</f>
        <v/>
      </c>
      <c r="Q282" s="18">
        <f t="shared" si="24"/>
        <v>1</v>
      </c>
    </row>
    <row r="283" spans="1:17" x14ac:dyDescent="0.25">
      <c r="A283" s="14" t="str">
        <f>[1]FINAL!$A311</f>
        <v>Carlos Alcaraz Durán</v>
      </c>
      <c r="B283" s="20" t="str">
        <f>IFERROR(VLOOKUP($A283,[1]FINAL!$A$1:$Z$1000,MATCH([1]FINAL!$T$1,[1]FINAL!$A$1:$Z$1,0),0),"")</f>
        <v>MID</v>
      </c>
      <c r="C283" s="3" t="str">
        <f>IFERROR(VLOOKUP($A283,[1]FINAL!$A$1:$Z$1000,MATCH([1]FINAL!$U$1,[1]FINAL!$A$1:$Z$1,0),0),"")</f>
        <v>CM</v>
      </c>
      <c r="D283" s="3" t="str">
        <f>IFERROR(VLOOKUP($A283,[1]FINAL!$A$1:$Z$1000,MATCH([1]FINAL!$V$1,[1]FINAL!$A$1:$Z$1,0),0),"")</f>
        <v>EVE</v>
      </c>
      <c r="E283" s="6">
        <f t="shared" si="20"/>
        <v>51190.476190476191</v>
      </c>
      <c r="F283" s="5">
        <f t="shared" si="21"/>
        <v>0.21428571428571427</v>
      </c>
      <c r="G283" s="5">
        <f>IFERROR(IF(H283&lt;&gt;"",H283,VLOOKUP($A283,[1]FINAL!$A$1:$BZ$1000,MATCH([1]FINAL!$BL$1,[1]FINAL!$A$1:$BZ$1,0),0)),0)</f>
        <v>0.21428571428571427</v>
      </c>
      <c r="I283" s="5">
        <f>IFERROR(IF(J283&lt;&gt;"",J283,(IF(VLOOKUP($A283,#REF!,MATCH(#REF!,#REF!,0),0)=0,G283,VLOOKUP($A283,#REF!,MATCH(#REF!,#REF!,0),0)))),G283)</f>
        <v>0.21428571428571427</v>
      </c>
      <c r="K283" s="6">
        <f>IFERROR(VLOOKUP($A283,#REF!,MATCH(#REF!,#REF!,0),0),0)</f>
        <v>0</v>
      </c>
      <c r="L283" s="6">
        <f>IFERROR(VLOOKUP($A283,[1]FINAL!$A$1:$BZ$1000,MATCH([1]FINAL!$BF$1,[1]FINAL!$A$1:$BZ$1,0),0),0)</f>
        <v>75</v>
      </c>
      <c r="M283" s="7">
        <f t="shared" si="22"/>
        <v>0.83333333333333337</v>
      </c>
      <c r="N283" s="6">
        <f>IFERROR(VLOOKUP($A283,#REF!,MATCH(#REF!,#REF!,0),0),0)</f>
        <v>0</v>
      </c>
      <c r="O283" s="7">
        <f t="shared" si="23"/>
        <v>0</v>
      </c>
      <c r="P283" s="10" t="str">
        <f>IFERROR(VLOOKUP($A283,[1]FINAL!$A$1:$BZ$1000,MATCH([1]FINAL!$BB$1,[1]FINAL!$A$1:$BZ$1,0),0),"")</f>
        <v/>
      </c>
      <c r="Q283" s="18">
        <f t="shared" si="24"/>
        <v>1</v>
      </c>
    </row>
    <row r="284" spans="1:17" x14ac:dyDescent="0.25">
      <c r="A284" s="14" t="str">
        <f>[1]FINAL!$A173</f>
        <v>Mason Mount</v>
      </c>
      <c r="B284" s="20" t="str">
        <f>IFERROR(VLOOKUP($A284,[1]FINAL!$A$1:$Z$1000,MATCH([1]FINAL!$T$1,[1]FINAL!$A$1:$Z$1,0),0),"")</f>
        <v>MID</v>
      </c>
      <c r="C284" s="3" t="str">
        <f>IFERROR(VLOOKUP($A284,[1]FINAL!$A$1:$Z$1000,MATCH([1]FINAL!$U$1,[1]FINAL!$A$1:$Z$1,0),0),"")</f>
        <v>AM</v>
      </c>
      <c r="D284" s="3" t="str">
        <f>IFERROR(VLOOKUP($A284,[1]FINAL!$A$1:$Z$1000,MATCH([1]FINAL!$V$1,[1]FINAL!$A$1:$Z$1,0),0),"")</f>
        <v>MUN</v>
      </c>
      <c r="E284" s="6">
        <f t="shared" si="20"/>
        <v>90536.398467432955</v>
      </c>
      <c r="F284" s="5">
        <f t="shared" si="21"/>
        <v>0.41379310344827586</v>
      </c>
      <c r="G284" s="5">
        <f>IFERROR(IF(H284&lt;&gt;"",H284,VLOOKUP($A284,[1]FINAL!$A$1:$BZ$1000,MATCH([1]FINAL!$BL$1,[1]FINAL!$A$1:$BZ$1,0),0)),0)</f>
        <v>0.41379310344827586</v>
      </c>
      <c r="I284" s="5">
        <f>IFERROR(IF(J284&lt;&gt;"",J284,(IF(VLOOKUP($A284,#REF!,MATCH(#REF!,#REF!,0),0)=0,G284,VLOOKUP($A284,#REF!,MATCH(#REF!,#REF!,0),0)))),G284)</f>
        <v>0.41379310344827586</v>
      </c>
      <c r="K284" s="6">
        <f>IFERROR(VLOOKUP($A284,#REF!,MATCH(#REF!,#REF!,0),0),0)</f>
        <v>0</v>
      </c>
      <c r="L284" s="6">
        <f>IFERROR(VLOOKUP($A284,[1]FINAL!$A$1:$BZ$1000,MATCH([1]FINAL!$BF$1,[1]FINAL!$A$1:$BZ$1,0),0),0)</f>
        <v>70</v>
      </c>
      <c r="M284" s="7">
        <f t="shared" si="22"/>
        <v>0.77777777777777779</v>
      </c>
      <c r="N284" s="6">
        <f>IFERROR(VLOOKUP($A284,#REF!,MATCH(#REF!,#REF!,0),0),0)</f>
        <v>0</v>
      </c>
      <c r="O284" s="7">
        <f t="shared" si="23"/>
        <v>0</v>
      </c>
      <c r="P284" s="10" t="str">
        <f>IFERROR(VLOOKUP($A284,[1]FINAL!$A$1:$BZ$1000,MATCH([1]FINAL!$BB$1,[1]FINAL!$A$1:$BZ$1,0),0),"")</f>
        <v/>
      </c>
      <c r="Q284" s="18">
        <f t="shared" si="24"/>
        <v>1</v>
      </c>
    </row>
    <row r="285" spans="1:17" x14ac:dyDescent="0.25">
      <c r="A285" s="14" t="str">
        <f>[1]FINAL!$A415</f>
        <v>James Rowswell</v>
      </c>
      <c r="B285" s="20" t="str">
        <f>IFERROR(VLOOKUP($A285,[1]FINAL!$A$1:$Z$1000,MATCH([1]FINAL!$T$1,[1]FINAL!$A$1:$Z$1,0),0),"")</f>
        <v>DEF</v>
      </c>
      <c r="C285" s="3" t="str">
        <f>IFERROR(VLOOKUP($A285,[1]FINAL!$A$1:$Z$1000,MATCH([1]FINAL!$U$1,[1]FINAL!$A$1:$Z$1,0),0),"")</f>
        <v/>
      </c>
      <c r="D285" s="3" t="str">
        <f>IFERROR(VLOOKUP($A285,[1]FINAL!$A$1:$Z$1000,MATCH([1]FINAL!$V$1,[1]FINAL!$A$1:$Z$1,0),0),"")</f>
        <v>TOT</v>
      </c>
      <c r="E285" s="6">
        <f t="shared" si="20"/>
        <v>0</v>
      </c>
      <c r="F285" s="5">
        <f t="shared" si="21"/>
        <v>0</v>
      </c>
      <c r="G285" s="5">
        <f>IFERROR(IF(H285&lt;&gt;"",H285,VLOOKUP($A285,[1]FINAL!$A$1:$BZ$1000,MATCH([1]FINAL!$BL$1,[1]FINAL!$A$1:$BZ$1,0),0)),0)</f>
        <v>0</v>
      </c>
      <c r="I285" s="5">
        <f>IFERROR(IF(J285&lt;&gt;"",J285,(IF(VLOOKUP($A285,#REF!,MATCH(#REF!,#REF!,0),0)=0,G285,VLOOKUP($A285,#REF!,MATCH(#REF!,#REF!,0),0)))),G285)</f>
        <v>0</v>
      </c>
      <c r="K285" s="6">
        <f>IFERROR(VLOOKUP($A285,#REF!,MATCH(#REF!,#REF!,0),0),0)</f>
        <v>0</v>
      </c>
      <c r="L285" s="6">
        <f>IFERROR(VLOOKUP($A285,[1]FINAL!$A$1:$BZ$1000,MATCH([1]FINAL!$BF$1,[1]FINAL!$A$1:$BZ$1,0),0),0)</f>
        <v>0</v>
      </c>
      <c r="M285" s="7">
        <f t="shared" si="22"/>
        <v>0</v>
      </c>
      <c r="N285" s="6">
        <f>IFERROR(VLOOKUP($A285,#REF!,MATCH(#REF!,#REF!,0),0),0)</f>
        <v>0</v>
      </c>
      <c r="O285" s="7">
        <f t="shared" si="23"/>
        <v>0</v>
      </c>
      <c r="P285" s="10" t="str">
        <f>IFERROR(VLOOKUP($A285,[1]FINAL!$A$1:$BZ$1000,MATCH([1]FINAL!$BB$1,[1]FINAL!$A$1:$BZ$1,0),0),"")</f>
        <v/>
      </c>
      <c r="Q285" s="18">
        <f t="shared" si="24"/>
        <v>1</v>
      </c>
    </row>
    <row r="286" spans="1:17" x14ac:dyDescent="0.25">
      <c r="A286" s="14" t="str">
        <f>[1]FINAL!$A413</f>
        <v>Callum Olusesi</v>
      </c>
      <c r="B286" s="20" t="str">
        <f>IFERROR(VLOOKUP($A286,[1]FINAL!$A$1:$Z$1000,MATCH([1]FINAL!$T$1,[1]FINAL!$A$1:$Z$1,0),0),"")</f>
        <v>MID</v>
      </c>
      <c r="C286" s="3" t="str">
        <f>IFERROR(VLOOKUP($A286,[1]FINAL!$A$1:$Z$1000,MATCH([1]FINAL!$U$1,[1]FINAL!$A$1:$Z$1,0),0),"")</f>
        <v/>
      </c>
      <c r="D286" s="3" t="str">
        <f>IFERROR(VLOOKUP($A286,[1]FINAL!$A$1:$Z$1000,MATCH([1]FINAL!$V$1,[1]FINAL!$A$1:$Z$1,0),0),"")</f>
        <v>TOT</v>
      </c>
      <c r="E286" s="6">
        <f t="shared" si="20"/>
        <v>0</v>
      </c>
      <c r="F286" s="5">
        <f t="shared" si="21"/>
        <v>0</v>
      </c>
      <c r="G286" s="5">
        <f>IFERROR(IF(H286&lt;&gt;"",H286,VLOOKUP($A286,[1]FINAL!$A$1:$BZ$1000,MATCH([1]FINAL!$BL$1,[1]FINAL!$A$1:$BZ$1,0),0)),0)</f>
        <v>0</v>
      </c>
      <c r="I286" s="5">
        <f>IFERROR(IF(J286&lt;&gt;"",J286,(IF(VLOOKUP($A286,#REF!,MATCH(#REF!,#REF!,0),0)=0,G286,VLOOKUP($A286,#REF!,MATCH(#REF!,#REF!,0),0)))),G286)</f>
        <v>0</v>
      </c>
      <c r="K286" s="6">
        <f>IFERROR(VLOOKUP($A286,#REF!,MATCH(#REF!,#REF!,0),0),0)</f>
        <v>0</v>
      </c>
      <c r="L286" s="6">
        <f>IFERROR(VLOOKUP($A286,[1]FINAL!$A$1:$BZ$1000,MATCH([1]FINAL!$BF$1,[1]FINAL!$A$1:$BZ$1,0),0),0)</f>
        <v>0</v>
      </c>
      <c r="M286" s="7">
        <f t="shared" si="22"/>
        <v>0</v>
      </c>
      <c r="N286" s="6">
        <f>IFERROR(VLOOKUP($A286,#REF!,MATCH(#REF!,#REF!,0),0),0)</f>
        <v>0</v>
      </c>
      <c r="O286" s="7">
        <f t="shared" si="23"/>
        <v>0</v>
      </c>
      <c r="P286" s="10" t="str">
        <f>IFERROR(VLOOKUP($A286,[1]FINAL!$A$1:$BZ$1000,MATCH([1]FINAL!$BB$1,[1]FINAL!$A$1:$BZ$1,0),0),"")</f>
        <v/>
      </c>
      <c r="Q286" s="18">
        <f t="shared" si="24"/>
        <v>1</v>
      </c>
    </row>
    <row r="287" spans="1:17" x14ac:dyDescent="0.25">
      <c r="A287" s="14" t="str">
        <f>[1]FINAL!$A313</f>
        <v>Romain Esse</v>
      </c>
      <c r="B287" s="20" t="str">
        <f>IFERROR(VLOOKUP($A287,[1]FINAL!$A$1:$Z$1000,MATCH([1]FINAL!$T$1,[1]FINAL!$A$1:$Z$1,0),0),"")</f>
        <v>MID</v>
      </c>
      <c r="C287" s="3" t="str">
        <f>IFERROR(VLOOKUP($A287,[1]FINAL!$A$1:$Z$1000,MATCH([1]FINAL!$U$1,[1]FINAL!$A$1:$Z$1,0),0),"")</f>
        <v>RW</v>
      </c>
      <c r="D287" s="3" t="str">
        <f>IFERROR(VLOOKUP($A287,[1]FINAL!$A$1:$Z$1000,MATCH([1]FINAL!$V$1,[1]FINAL!$A$1:$Z$1,0),0),"")</f>
        <v>CRY</v>
      </c>
      <c r="E287" s="6">
        <f t="shared" si="20"/>
        <v>0</v>
      </c>
      <c r="F287" s="5">
        <f t="shared" si="21"/>
        <v>0</v>
      </c>
      <c r="G287" s="5">
        <f>IFERROR(IF(H287&lt;&gt;"",H287,VLOOKUP($A287,[1]FINAL!$A$1:$BZ$1000,MATCH([1]FINAL!$BL$1,[1]FINAL!$A$1:$BZ$1,0),0)),0)</f>
        <v>0</v>
      </c>
      <c r="I287" s="5">
        <f>IFERROR(IF(J287&lt;&gt;"",J287,(IF(VLOOKUP($A287,#REF!,MATCH(#REF!,#REF!,0),0)=0,G287,VLOOKUP($A287,#REF!,MATCH(#REF!,#REF!,0),0)))),G287)</f>
        <v>0</v>
      </c>
      <c r="K287" s="6">
        <f>IFERROR(VLOOKUP($A287,#REF!,MATCH(#REF!,#REF!,0),0),0)</f>
        <v>0</v>
      </c>
      <c r="L287" s="6">
        <f>IFERROR(VLOOKUP($A287,[1]FINAL!$A$1:$BZ$1000,MATCH([1]FINAL!$BF$1,[1]FINAL!$A$1:$BZ$1,0),0),0)</f>
        <v>0</v>
      </c>
      <c r="M287" s="7">
        <f t="shared" si="22"/>
        <v>0</v>
      </c>
      <c r="N287" s="6">
        <f>IFERROR(VLOOKUP($A287,#REF!,MATCH(#REF!,#REF!,0),0),0)</f>
        <v>0</v>
      </c>
      <c r="O287" s="7">
        <f t="shared" si="23"/>
        <v>0</v>
      </c>
      <c r="P287" s="10" t="str">
        <f>IFERROR(VLOOKUP($A287,[1]FINAL!$A$1:$BZ$1000,MATCH([1]FINAL!$BB$1,[1]FINAL!$A$1:$BZ$1,0),0),"")</f>
        <v/>
      </c>
      <c r="Q287" s="18">
        <f t="shared" si="24"/>
        <v>1</v>
      </c>
    </row>
    <row r="288" spans="1:17" x14ac:dyDescent="0.25">
      <c r="A288" s="14" t="str">
        <f>[1]FINAL!$A216</f>
        <v>Jayden Bogle</v>
      </c>
      <c r="B288" s="20" t="str">
        <f>IFERROR(VLOOKUP($A288,[1]FINAL!$A$1:$Z$1000,MATCH([1]FINAL!$T$1,[1]FINAL!$A$1:$Z$1,0),0),"")</f>
        <v>DEF</v>
      </c>
      <c r="C288" s="3" t="str">
        <f>IFERROR(VLOOKUP($A288,[1]FINAL!$A$1:$Z$1000,MATCH([1]FINAL!$U$1,[1]FINAL!$A$1:$Z$1,0),0),"")</f>
        <v>RB</v>
      </c>
      <c r="D288" s="3" t="str">
        <f>IFERROR(VLOOKUP($A288,[1]FINAL!$A$1:$Z$1000,MATCH([1]FINAL!$V$1,[1]FINAL!$A$1:$Z$1,0),0),"")</f>
        <v>LEE</v>
      </c>
      <c r="E288" s="6">
        <f t="shared" si="20"/>
        <v>197790.84967320261</v>
      </c>
      <c r="F288" s="5">
        <f t="shared" si="21"/>
        <v>0.94117647058823528</v>
      </c>
      <c r="G288" s="5">
        <f>IFERROR(IF(H288&lt;&gt;"",H288,VLOOKUP($A288,[1]FINAL!$A$1:$BZ$1000,MATCH([1]FINAL!$BL$1,[1]FINAL!$A$1:$BZ$1,0),0)),0)</f>
        <v>0.94117647058823528</v>
      </c>
      <c r="I288" s="5">
        <f>IFERROR(IF(J288&lt;&gt;"",J288,(IF(VLOOKUP($A288,#REF!,MATCH(#REF!,#REF!,0),0)=0,G288,VLOOKUP($A288,#REF!,MATCH(#REF!,#REF!,0),0)))),G288)</f>
        <v>0.94117647058823528</v>
      </c>
      <c r="K288" s="6">
        <f>IFERROR(VLOOKUP($A288,#REF!,MATCH(#REF!,#REF!,0),0),0)</f>
        <v>0</v>
      </c>
      <c r="L288" s="6">
        <f>IFERROR(VLOOKUP($A288,[1]FINAL!$A$1:$BZ$1000,MATCH([1]FINAL!$BF$1,[1]FINAL!$A$1:$BZ$1,0),0),0)</f>
        <v>86</v>
      </c>
      <c r="M288" s="7">
        <f t="shared" si="22"/>
        <v>0.9555555555555556</v>
      </c>
      <c r="N288" s="6">
        <f>IFERROR(VLOOKUP($A288,#REF!,MATCH(#REF!,#REF!,0),0),0)</f>
        <v>0</v>
      </c>
      <c r="O288" s="7">
        <f t="shared" si="23"/>
        <v>0</v>
      </c>
      <c r="P288" s="10" t="str">
        <f>IFERROR(VLOOKUP($A288,[1]FINAL!$A$1:$BZ$1000,MATCH([1]FINAL!$BB$1,[1]FINAL!$A$1:$BZ$1,0),0),"")</f>
        <v/>
      </c>
      <c r="Q288" s="18">
        <f t="shared" si="24"/>
        <v>1</v>
      </c>
    </row>
    <row r="289" spans="1:17" x14ac:dyDescent="0.25">
      <c r="A289" s="14" t="str">
        <f>[1]FINAL!$A464</f>
        <v>Kayne van Oevelen</v>
      </c>
      <c r="B289" s="20" t="str">
        <f>IFERROR(VLOOKUP($A289,[1]FINAL!$A$1:$Z$1000,MATCH([1]FINAL!$T$1,[1]FINAL!$A$1:$Z$1,0),0),"")</f>
        <v>GK</v>
      </c>
      <c r="C289" s="3" t="str">
        <f>IFERROR(VLOOKUP($A289,[1]FINAL!$A$1:$Z$1000,MATCH([1]FINAL!$U$1,[1]FINAL!$A$1:$Z$1,0),0),"")</f>
        <v>GK</v>
      </c>
      <c r="D289" s="3" t="str">
        <f>IFERROR(VLOOKUP($A289,[1]FINAL!$A$1:$Z$1000,MATCH([1]FINAL!$V$1,[1]FINAL!$A$1:$Z$1,0),0),"")</f>
        <v>IPS</v>
      </c>
      <c r="E289" s="6">
        <f t="shared" si="20"/>
        <v>0</v>
      </c>
      <c r="F289" s="5">
        <f t="shared" si="21"/>
        <v>0</v>
      </c>
      <c r="G289" s="5">
        <f>IFERROR(IF(H289&lt;&gt;"",H289,VLOOKUP($A289,[1]FINAL!$A$1:$BZ$1000,MATCH([1]FINAL!$BL$1,[1]FINAL!$A$1:$BZ$1,0),0)),0)</f>
        <v>0</v>
      </c>
      <c r="I289" s="5">
        <f>IFERROR(IF(J289&lt;&gt;"",J289,(IF(VLOOKUP($A289,#REF!,MATCH(#REF!,#REF!,0),0)=0,G289,VLOOKUP($A289,#REF!,MATCH(#REF!,#REF!,0),0)))),G289)</f>
        <v>0</v>
      </c>
      <c r="K289" s="6">
        <f>IFERROR(VLOOKUP($A289,#REF!,MATCH(#REF!,#REF!,0),0),0)</f>
        <v>0</v>
      </c>
      <c r="L289" s="6">
        <f>IFERROR(VLOOKUP($A289,[1]FINAL!$A$1:$BZ$1000,MATCH([1]FINAL!$BF$1,[1]FINAL!$A$1:$BZ$1,0),0),0)</f>
        <v>0</v>
      </c>
      <c r="M289" s="7">
        <f t="shared" si="22"/>
        <v>0</v>
      </c>
      <c r="N289" s="6">
        <f>IFERROR(VLOOKUP($A289,#REF!,MATCH(#REF!,#REF!,0),0),0)</f>
        <v>0</v>
      </c>
      <c r="O289" s="7">
        <f t="shared" si="23"/>
        <v>0</v>
      </c>
      <c r="P289" s="10" t="str">
        <f>IFERROR(VLOOKUP($A289,[1]FINAL!$A$1:$BZ$1000,MATCH([1]FINAL!$BB$1,[1]FINAL!$A$1:$BZ$1,0),0),"")</f>
        <v/>
      </c>
      <c r="Q289" s="18">
        <f t="shared" si="24"/>
        <v>1</v>
      </c>
    </row>
    <row r="290" spans="1:17" x14ac:dyDescent="0.25">
      <c r="A290" s="14" t="str">
        <f>[1]FINAL!$A69</f>
        <v>Norberto Bercique Gomes Betuncal</v>
      </c>
      <c r="B290" s="20" t="str">
        <f>IFERROR(VLOOKUP($A290,[1]FINAL!$A$1:$Z$1000,MATCH([1]FINAL!$T$1,[1]FINAL!$A$1:$Z$1,0),0),"")</f>
        <v>FWD</v>
      </c>
      <c r="C290" s="3" t="str">
        <f>IFERROR(VLOOKUP($A290,[1]FINAL!$A$1:$Z$1000,MATCH([1]FINAL!$U$1,[1]FINAL!$A$1:$Z$1,0),0),"")</f>
        <v>CF</v>
      </c>
      <c r="D290" s="3" t="str">
        <f>IFERROR(VLOOKUP($A290,[1]FINAL!$A$1:$Z$1000,MATCH([1]FINAL!$V$1,[1]FINAL!$A$1:$Z$1,0),0),"")</f>
        <v>EVE</v>
      </c>
      <c r="E290" s="6">
        <f t="shared" si="20"/>
        <v>99780.780780780784</v>
      </c>
      <c r="F290" s="5">
        <f t="shared" si="21"/>
        <v>0.45945945945945948</v>
      </c>
      <c r="G290" s="5">
        <f>IFERROR(IF(H290&lt;&gt;"",H290,VLOOKUP($A290,[1]FINAL!$A$1:$BZ$1000,MATCH([1]FINAL!$BL$1,[1]FINAL!$A$1:$BZ$1,0),0)),0)</f>
        <v>0.45945945945945948</v>
      </c>
      <c r="I290" s="5">
        <f>IFERROR(IF(J290&lt;&gt;"",J290,(IF(VLOOKUP($A290,#REF!,MATCH(#REF!,#REF!,0),0)=0,G290,VLOOKUP($A290,#REF!,MATCH(#REF!,#REF!,0),0)))),G290)</f>
        <v>0.45945945945945948</v>
      </c>
      <c r="K290" s="6">
        <f>IFERROR(VLOOKUP($A290,#REF!,MATCH(#REF!,#REF!,0),0),0)</f>
        <v>0</v>
      </c>
      <c r="L290" s="6">
        <f>IFERROR(VLOOKUP($A290,[1]FINAL!$A$1:$BZ$1000,MATCH([1]FINAL!$BF$1,[1]FINAL!$A$1:$BZ$1,0),0),0)</f>
        <v>71</v>
      </c>
      <c r="M290" s="7">
        <f t="shared" si="22"/>
        <v>0.78888888888888886</v>
      </c>
      <c r="N290" s="6">
        <f>IFERROR(VLOOKUP($A290,#REF!,MATCH(#REF!,#REF!,0),0),0)</f>
        <v>0</v>
      </c>
      <c r="O290" s="7">
        <f t="shared" si="23"/>
        <v>0</v>
      </c>
      <c r="P290" s="10" t="str">
        <f>IFERROR(VLOOKUP($A290,[1]FINAL!$A$1:$BZ$1000,MATCH([1]FINAL!$BB$1,[1]FINAL!$A$1:$BZ$1,0),0),"")</f>
        <v/>
      </c>
      <c r="Q290" s="18">
        <f t="shared" si="24"/>
        <v>1</v>
      </c>
    </row>
    <row r="291" spans="1:17" x14ac:dyDescent="0.25">
      <c r="A291" s="14" t="str">
        <f>[1]FINAL!$A157</f>
        <v>Alexander Isak</v>
      </c>
      <c r="B291" s="20" t="str">
        <f>IFERROR(VLOOKUP($A291,[1]FINAL!$A$1:$Z$1000,MATCH([1]FINAL!$T$1,[1]FINAL!$A$1:$Z$1,0),0),"")</f>
        <v>FWD</v>
      </c>
      <c r="C291" s="3" t="str">
        <f>IFERROR(VLOOKUP($A291,[1]FINAL!$A$1:$Z$1000,MATCH([1]FINAL!$U$1,[1]FINAL!$A$1:$Z$1,0),0),"")</f>
        <v>CF</v>
      </c>
      <c r="D291" s="3" t="str">
        <f>IFERROR(VLOOKUP($A291,[1]FINAL!$A$1:$Z$1000,MATCH([1]FINAL!$V$1,[1]FINAL!$A$1:$Z$1,0),0),"")</f>
        <v>LIV</v>
      </c>
      <c r="E291" s="6">
        <f t="shared" si="20"/>
        <v>108222.22222222222</v>
      </c>
      <c r="F291" s="5">
        <f t="shared" si="21"/>
        <v>0.5</v>
      </c>
      <c r="G291" s="5">
        <f>IFERROR(IF(H291&lt;&gt;"",H291,VLOOKUP($A291,[1]FINAL!$A$1:$BZ$1000,MATCH([1]FINAL!$BL$1,[1]FINAL!$A$1:$BZ$1,0),0)),0)</f>
        <v>0.5</v>
      </c>
      <c r="I291" s="5">
        <f>IFERROR(IF(J291&lt;&gt;"",J291,(IF(VLOOKUP($A291,#REF!,MATCH(#REF!,#REF!,0),0)=0,G291,VLOOKUP($A291,#REF!,MATCH(#REF!,#REF!,0),0)))),G291)</f>
        <v>0.5</v>
      </c>
      <c r="K291" s="6">
        <f>IFERROR(VLOOKUP($A291,#REF!,MATCH(#REF!,#REF!,0),0),0)</f>
        <v>0</v>
      </c>
      <c r="L291" s="6">
        <f>IFERROR(VLOOKUP($A291,[1]FINAL!$A$1:$BZ$1000,MATCH([1]FINAL!$BF$1,[1]FINAL!$A$1:$BZ$1,0),0),0)</f>
        <v>74</v>
      </c>
      <c r="M291" s="7">
        <f t="shared" si="22"/>
        <v>0.82222222222222219</v>
      </c>
      <c r="N291" s="6">
        <f>IFERROR(VLOOKUP($A291,#REF!,MATCH(#REF!,#REF!,0),0),0)</f>
        <v>0</v>
      </c>
      <c r="O291" s="7">
        <f t="shared" si="23"/>
        <v>0</v>
      </c>
      <c r="P291" s="10" t="str">
        <f>IFERROR(VLOOKUP($A291,[1]FINAL!$A$1:$BZ$1000,MATCH([1]FINAL!$BB$1,[1]FINAL!$A$1:$BZ$1,0),0),"")</f>
        <v/>
      </c>
      <c r="Q291" s="18">
        <f t="shared" si="24"/>
        <v>1</v>
      </c>
    </row>
    <row r="292" spans="1:17" x14ac:dyDescent="0.25">
      <c r="A292" s="14" t="str">
        <f>[1]FINAL!$A159</f>
        <v>Alex Iwobi</v>
      </c>
      <c r="B292" s="20" t="str">
        <f>IFERROR(VLOOKUP($A292,[1]FINAL!$A$1:$Z$1000,MATCH([1]FINAL!$T$1,[1]FINAL!$A$1:$Z$1,0),0),"")</f>
        <v>MID</v>
      </c>
      <c r="C292" s="3" t="str">
        <f>IFERROR(VLOOKUP($A292,[1]FINAL!$A$1:$Z$1000,MATCH([1]FINAL!$U$1,[1]FINAL!$A$1:$Z$1,0),0),"")</f>
        <v>LW</v>
      </c>
      <c r="D292" s="3" t="str">
        <f>IFERROR(VLOOKUP($A292,[1]FINAL!$A$1:$Z$1000,MATCH([1]FINAL!$V$1,[1]FINAL!$A$1:$Z$1,0),0),"")</f>
        <v>FUL</v>
      </c>
      <c r="E292" s="6">
        <f t="shared" si="20"/>
        <v>209222.22222222222</v>
      </c>
      <c r="F292" s="5">
        <f t="shared" si="21"/>
        <v>1</v>
      </c>
      <c r="G292" s="5">
        <f>IFERROR(IF(H292&lt;&gt;"",H292,VLOOKUP($A292,[1]FINAL!$A$1:$BZ$1000,MATCH([1]FINAL!$BL$1,[1]FINAL!$A$1:$BZ$1,0),0)),0)</f>
        <v>1</v>
      </c>
      <c r="I292" s="5">
        <f>IFERROR(IF(J292&lt;&gt;"",J292,(IF(VLOOKUP($A292,#REF!,MATCH(#REF!,#REF!,0),0)=0,G292,VLOOKUP($A292,#REF!,MATCH(#REF!,#REF!,0),0)))),G292)</f>
        <v>1</v>
      </c>
      <c r="K292" s="6">
        <f>IFERROR(VLOOKUP($A292,#REF!,MATCH(#REF!,#REF!,0),0),0)</f>
        <v>0</v>
      </c>
      <c r="L292" s="6">
        <f>IFERROR(VLOOKUP($A292,[1]FINAL!$A$1:$BZ$1000,MATCH([1]FINAL!$BF$1,[1]FINAL!$A$1:$BZ$1,0),0),0)</f>
        <v>83</v>
      </c>
      <c r="M292" s="7">
        <f t="shared" si="22"/>
        <v>0.92222222222222228</v>
      </c>
      <c r="N292" s="6">
        <f>IFERROR(VLOOKUP($A292,#REF!,MATCH(#REF!,#REF!,0),0),0)</f>
        <v>0</v>
      </c>
      <c r="O292" s="7">
        <f t="shared" si="23"/>
        <v>0</v>
      </c>
      <c r="P292" s="10" t="str">
        <f>IFERROR(VLOOKUP($A292,[1]FINAL!$A$1:$BZ$1000,MATCH([1]FINAL!$BB$1,[1]FINAL!$A$1:$BZ$1,0),0),"")</f>
        <v/>
      </c>
      <c r="Q292" s="18">
        <f t="shared" si="24"/>
        <v>1</v>
      </c>
    </row>
    <row r="293" spans="1:17" x14ac:dyDescent="0.25">
      <c r="A293" s="14" t="str">
        <f>[1]FINAL!$A254</f>
        <v>Timothy Castagne</v>
      </c>
      <c r="B293" s="20" t="str">
        <f>IFERROR(VLOOKUP($A293,[1]FINAL!$A$1:$Z$1000,MATCH([1]FINAL!$T$1,[1]FINAL!$A$1:$Z$1,0),0),"")</f>
        <v>DEF</v>
      </c>
      <c r="C293" s="3" t="str">
        <f>IFERROR(VLOOKUP($A293,[1]FINAL!$A$1:$Z$1000,MATCH([1]FINAL!$U$1,[1]FINAL!$A$1:$Z$1,0),0),"")</f>
        <v>RB</v>
      </c>
      <c r="D293" s="3" t="str">
        <f>IFERROR(VLOOKUP($A293,[1]FINAL!$A$1:$Z$1000,MATCH([1]FINAL!$V$1,[1]FINAL!$A$1:$Z$1,0),0),"")</f>
        <v>FUL</v>
      </c>
      <c r="E293" s="6">
        <f t="shared" si="20"/>
        <v>114818.7134502924</v>
      </c>
      <c r="F293" s="5">
        <f t="shared" si="21"/>
        <v>0.52631578947368418</v>
      </c>
      <c r="G293" s="5">
        <f>IFERROR(IF(H293&lt;&gt;"",H293,VLOOKUP($A293,[1]FINAL!$A$1:$BZ$1000,MATCH([1]FINAL!$BL$1,[1]FINAL!$A$1:$BZ$1,0),0)),0)</f>
        <v>0.52631578947368418</v>
      </c>
      <c r="I293" s="5">
        <f>IFERROR(IF(J293&lt;&gt;"",J293,(IF(VLOOKUP($A293,#REF!,MATCH(#REF!,#REF!,0),0)=0,G293,VLOOKUP($A293,#REF!,MATCH(#REF!,#REF!,0),0)))),G293)</f>
        <v>0.52631578947368418</v>
      </c>
      <c r="K293" s="6">
        <f>IFERROR(VLOOKUP($A293,#REF!,MATCH(#REF!,#REF!,0),0),0)</f>
        <v>0</v>
      </c>
      <c r="L293" s="6">
        <f>IFERROR(VLOOKUP($A293,[1]FINAL!$A$1:$BZ$1000,MATCH([1]FINAL!$BF$1,[1]FINAL!$A$1:$BZ$1,0),0),0)</f>
        <v>86</v>
      </c>
      <c r="M293" s="7">
        <f t="shared" si="22"/>
        <v>0.9555555555555556</v>
      </c>
      <c r="N293" s="6">
        <f>IFERROR(VLOOKUP($A293,#REF!,MATCH(#REF!,#REF!,0),0),0)</f>
        <v>0</v>
      </c>
      <c r="O293" s="7">
        <f t="shared" si="23"/>
        <v>0</v>
      </c>
      <c r="P293" s="10" t="str">
        <f>IFERROR(VLOOKUP($A293,[1]FINAL!$A$1:$BZ$1000,MATCH([1]FINAL!$BB$1,[1]FINAL!$A$1:$BZ$1,0),0),"")</f>
        <v/>
      </c>
      <c r="Q293" s="18">
        <f t="shared" si="24"/>
        <v>1</v>
      </c>
    </row>
    <row r="294" spans="1:17" x14ac:dyDescent="0.25">
      <c r="A294" s="14" t="str">
        <f>[1]FINAL!$A358</f>
        <v>Jason Steele</v>
      </c>
      <c r="B294" s="20" t="str">
        <f>IFERROR(VLOOKUP($A294,[1]FINAL!$A$1:$Z$1000,MATCH([1]FINAL!$T$1,[1]FINAL!$A$1:$Z$1,0),0),"")</f>
        <v>GK</v>
      </c>
      <c r="C294" s="3" t="str">
        <f>IFERROR(VLOOKUP($A294,[1]FINAL!$A$1:$Z$1000,MATCH([1]FINAL!$U$1,[1]FINAL!$A$1:$Z$1,0),0),"")</f>
        <v>GK</v>
      </c>
      <c r="D294" s="3" t="str">
        <f>IFERROR(VLOOKUP($A294,[1]FINAL!$A$1:$Z$1000,MATCH([1]FINAL!$V$1,[1]FINAL!$A$1:$Z$1,0),0),"")</f>
        <v>BHA</v>
      </c>
      <c r="E294" s="6">
        <f t="shared" si="20"/>
        <v>0</v>
      </c>
      <c r="F294" s="5">
        <f t="shared" si="21"/>
        <v>0</v>
      </c>
      <c r="G294" s="5">
        <f>IFERROR(IF(H294&lt;&gt;"",H294,VLOOKUP($A294,[1]FINAL!$A$1:$BZ$1000,MATCH([1]FINAL!$BL$1,[1]FINAL!$A$1:$BZ$1,0),0)),0)</f>
        <v>0</v>
      </c>
      <c r="I294" s="5">
        <f>IFERROR(IF(J294&lt;&gt;"",J294,(IF(VLOOKUP($A294,#REF!,MATCH(#REF!,#REF!,0),0)=0,G294,VLOOKUP($A294,#REF!,MATCH(#REF!,#REF!,0),0)))),G294)</f>
        <v>0</v>
      </c>
      <c r="K294" s="6">
        <f>IFERROR(VLOOKUP($A294,#REF!,MATCH(#REF!,#REF!,0),0),0)</f>
        <v>0</v>
      </c>
      <c r="L294" s="6">
        <f>IFERROR(VLOOKUP($A294,[1]FINAL!$A$1:$BZ$1000,MATCH([1]FINAL!$BF$1,[1]FINAL!$A$1:$BZ$1,0),0),0)</f>
        <v>0</v>
      </c>
      <c r="M294" s="7">
        <f t="shared" si="22"/>
        <v>0</v>
      </c>
      <c r="N294" s="6">
        <f>IFERROR(VLOOKUP($A294,#REF!,MATCH(#REF!,#REF!,0),0),0)</f>
        <v>0</v>
      </c>
      <c r="O294" s="7">
        <f t="shared" si="23"/>
        <v>0</v>
      </c>
      <c r="P294" s="10" t="str">
        <f>IFERROR(VLOOKUP($A294,[1]FINAL!$A$1:$BZ$1000,MATCH([1]FINAL!$BB$1,[1]FINAL!$A$1:$BZ$1,0),0),"")</f>
        <v/>
      </c>
      <c r="Q294" s="18">
        <f t="shared" si="24"/>
        <v>1</v>
      </c>
    </row>
    <row r="295" spans="1:17" x14ac:dyDescent="0.25">
      <c r="A295" s="14" t="str">
        <f>[1]FINAL!$A467</f>
        <v>Cédric Kipré</v>
      </c>
      <c r="B295" s="20" t="str">
        <f>IFERROR(VLOOKUP($A295,[1]FINAL!$A$1:$Z$1000,MATCH([1]FINAL!$T$1,[1]FINAL!$A$1:$Z$1,0),0),"")</f>
        <v>DEF</v>
      </c>
      <c r="C295" s="3" t="str">
        <f>IFERROR(VLOOKUP($A295,[1]FINAL!$A$1:$Z$1000,MATCH([1]FINAL!$U$1,[1]FINAL!$A$1:$Z$1,0),0),"")</f>
        <v>CB</v>
      </c>
      <c r="D295" s="3" t="str">
        <f>IFERROR(VLOOKUP($A295,[1]FINAL!$A$1:$Z$1000,MATCH([1]FINAL!$V$1,[1]FINAL!$A$1:$Z$1,0),0),"")</f>
        <v>IPS</v>
      </c>
      <c r="E295" s="6">
        <f t="shared" si="20"/>
        <v>141707.0707070707</v>
      </c>
      <c r="F295" s="5">
        <f t="shared" si="21"/>
        <v>0.65909090909090906</v>
      </c>
      <c r="G295" s="5">
        <f>IFERROR(IF(H295&lt;&gt;"",H295,VLOOKUP($A295,[1]FINAL!$A$1:$BZ$1000,MATCH([1]FINAL!$BL$1,[1]FINAL!$A$1:$BZ$1,0),0)),0)</f>
        <v>0.65909090909090906</v>
      </c>
      <c r="I295" s="5">
        <f>IFERROR(IF(J295&lt;&gt;"",J295,(IF(VLOOKUP($A295,#REF!,MATCH(#REF!,#REF!,0),0)=0,G295,VLOOKUP($A295,#REF!,MATCH(#REF!,#REF!,0),0)))),G295)</f>
        <v>0.65909090909090906</v>
      </c>
      <c r="K295" s="6">
        <f>IFERROR(VLOOKUP($A295,#REF!,MATCH(#REF!,#REF!,0),0),0)</f>
        <v>0</v>
      </c>
      <c r="L295" s="6">
        <f>IFERROR(VLOOKUP($A295,[1]FINAL!$A$1:$BZ$1000,MATCH([1]FINAL!$BF$1,[1]FINAL!$A$1:$BZ$1,0),0),0)</f>
        <v>89</v>
      </c>
      <c r="M295" s="7">
        <f t="shared" si="22"/>
        <v>0.98888888888888893</v>
      </c>
      <c r="N295" s="6">
        <f>IFERROR(VLOOKUP($A295,#REF!,MATCH(#REF!,#REF!,0),0),0)</f>
        <v>0</v>
      </c>
      <c r="O295" s="7">
        <f t="shared" si="23"/>
        <v>0</v>
      </c>
      <c r="P295" s="10" t="str">
        <f>IFERROR(VLOOKUP($A295,[1]FINAL!$A$1:$BZ$1000,MATCH([1]FINAL!$BB$1,[1]FINAL!$A$1:$BZ$1,0),0),"")</f>
        <v/>
      </c>
      <c r="Q295" s="18">
        <f t="shared" si="24"/>
        <v>1</v>
      </c>
    </row>
    <row r="296" spans="1:17" x14ac:dyDescent="0.25">
      <c r="A296" s="14" t="str">
        <f>[1]FINAL!$A348</f>
        <v>Ola Aina</v>
      </c>
      <c r="B296" s="20" t="str">
        <f>IFERROR(VLOOKUP($A296,[1]FINAL!$A$1:$Z$1000,MATCH([1]FINAL!$T$1,[1]FINAL!$A$1:$Z$1,0),0),"")</f>
        <v>DEF</v>
      </c>
      <c r="C296" s="3" t="str">
        <f>IFERROR(VLOOKUP($A296,[1]FINAL!$A$1:$Z$1000,MATCH([1]FINAL!$U$1,[1]FINAL!$A$1:$Z$1,0),0),"")</f>
        <v>RB</v>
      </c>
      <c r="D296" s="3" t="str">
        <f>IFERROR(VLOOKUP($A296,[1]FINAL!$A$1:$Z$1000,MATCH([1]FINAL!$V$1,[1]FINAL!$A$1:$Z$1,0),0),"")</f>
        <v>NFO</v>
      </c>
      <c r="E296" s="6">
        <f t="shared" si="20"/>
        <v>209777.77777777778</v>
      </c>
      <c r="F296" s="5">
        <f t="shared" si="21"/>
        <v>1</v>
      </c>
      <c r="G296" s="5">
        <f>IFERROR(IF(H296&lt;&gt;"",H296,VLOOKUP($A296,[1]FINAL!$A$1:$BZ$1000,MATCH([1]FINAL!$BL$1,[1]FINAL!$A$1:$BZ$1,0),0)),0)</f>
        <v>1</v>
      </c>
      <c r="I296" s="5">
        <f>IFERROR(IF(J296&lt;&gt;"",J296,(IF(VLOOKUP($A296,#REF!,MATCH(#REF!,#REF!,0),0)=0,G296,VLOOKUP($A296,#REF!,MATCH(#REF!,#REF!,0),0)))),G296)</f>
        <v>1</v>
      </c>
      <c r="K296" s="6">
        <f>IFERROR(VLOOKUP($A296,#REF!,MATCH(#REF!,#REF!,0),0),0)</f>
        <v>0</v>
      </c>
      <c r="L296" s="6">
        <f>IFERROR(VLOOKUP($A296,[1]FINAL!$A$1:$BZ$1000,MATCH([1]FINAL!$BF$1,[1]FINAL!$A$1:$BZ$1,0),0),0)</f>
        <v>88</v>
      </c>
      <c r="M296" s="7">
        <f t="shared" si="22"/>
        <v>0.97777777777777775</v>
      </c>
      <c r="N296" s="6">
        <f>IFERROR(VLOOKUP($A296,#REF!,MATCH(#REF!,#REF!,0),0),0)</f>
        <v>0</v>
      </c>
      <c r="O296" s="7">
        <f t="shared" si="23"/>
        <v>0</v>
      </c>
      <c r="P296" s="10" t="str">
        <f>IFERROR(VLOOKUP($A296,[1]FINAL!$A$1:$BZ$1000,MATCH([1]FINAL!$BB$1,[1]FINAL!$A$1:$BZ$1,0),0),"")</f>
        <v/>
      </c>
      <c r="Q296" s="18">
        <f t="shared" si="24"/>
        <v>1</v>
      </c>
    </row>
    <row r="297" spans="1:17" x14ac:dyDescent="0.25">
      <c r="A297" s="14" t="str">
        <f>[1]FINAL!$A489</f>
        <v>Thimothée Lo-Tutala</v>
      </c>
      <c r="B297" s="20" t="str">
        <f>IFERROR(VLOOKUP($A297,[1]FINAL!$A$1:$Z$1000,MATCH([1]FINAL!$T$1,[1]FINAL!$A$1:$Z$1,0),0),"")</f>
        <v>GK</v>
      </c>
      <c r="C297" s="3" t="str">
        <f>IFERROR(VLOOKUP($A297,[1]FINAL!$A$1:$Z$1000,MATCH([1]FINAL!$U$1,[1]FINAL!$A$1:$Z$1,0),0),"")</f>
        <v>GK</v>
      </c>
      <c r="D297" s="3" t="str">
        <f>IFERROR(VLOOKUP($A297,[1]FINAL!$A$1:$Z$1000,MATCH([1]FINAL!$V$1,[1]FINAL!$A$1:$Z$1,0),0),"")</f>
        <v>HUL</v>
      </c>
      <c r="E297" s="6">
        <f t="shared" si="20"/>
        <v>0</v>
      </c>
      <c r="F297" s="5">
        <f t="shared" si="21"/>
        <v>0</v>
      </c>
      <c r="G297" s="5">
        <f>IFERROR(IF(H297&lt;&gt;"",H297,VLOOKUP($A297,[1]FINAL!$A$1:$BZ$1000,MATCH([1]FINAL!$BL$1,[1]FINAL!$A$1:$BZ$1,0),0)),0)</f>
        <v>0</v>
      </c>
      <c r="I297" s="5">
        <f>IFERROR(IF(J297&lt;&gt;"",J297,(IF(VLOOKUP($A297,#REF!,MATCH(#REF!,#REF!,0),0)=0,G297,VLOOKUP($A297,#REF!,MATCH(#REF!,#REF!,0),0)))),G297)</f>
        <v>0</v>
      </c>
      <c r="K297" s="6">
        <f>IFERROR(VLOOKUP($A297,#REF!,MATCH(#REF!,#REF!,0),0),0)</f>
        <v>0</v>
      </c>
      <c r="L297" s="6">
        <f>IFERROR(VLOOKUP($A297,[1]FINAL!$A$1:$BZ$1000,MATCH([1]FINAL!$BF$1,[1]FINAL!$A$1:$BZ$1,0),0),0)</f>
        <v>0</v>
      </c>
      <c r="M297" s="7">
        <f t="shared" si="22"/>
        <v>0</v>
      </c>
      <c r="N297" s="6">
        <f>IFERROR(VLOOKUP($A297,#REF!,MATCH(#REF!,#REF!,0),0),0)</f>
        <v>0</v>
      </c>
      <c r="O297" s="7">
        <f t="shared" si="23"/>
        <v>0</v>
      </c>
      <c r="P297" s="10" t="str">
        <f>IFERROR(VLOOKUP($A297,[1]FINAL!$A$1:$BZ$1000,MATCH([1]FINAL!$BB$1,[1]FINAL!$A$1:$BZ$1,0),0),"")</f>
        <v/>
      </c>
      <c r="Q297" s="18">
        <f t="shared" si="24"/>
        <v>1</v>
      </c>
    </row>
    <row r="298" spans="1:17" x14ac:dyDescent="0.25">
      <c r="A298" s="14" t="str">
        <f>[1]FINAL!$A459</f>
        <v>Anis Mehmeti</v>
      </c>
      <c r="B298" s="20" t="str">
        <f>IFERROR(VLOOKUP($A298,[1]FINAL!$A$1:$Z$1000,MATCH([1]FINAL!$T$1,[1]FINAL!$A$1:$Z$1,0),0),"")</f>
        <v>MID</v>
      </c>
      <c r="C298" s="3" t="str">
        <f>IFERROR(VLOOKUP($A298,[1]FINAL!$A$1:$Z$1000,MATCH([1]FINAL!$U$1,[1]FINAL!$A$1:$Z$1,0),0),"")</f>
        <v>AM</v>
      </c>
      <c r="D298" s="3" t="str">
        <f>IFERROR(VLOOKUP($A298,[1]FINAL!$A$1:$Z$1000,MATCH([1]FINAL!$V$1,[1]FINAL!$A$1:$Z$1,0),0),"")</f>
        <v>IPS</v>
      </c>
      <c r="E298" s="6">
        <f t="shared" si="20"/>
        <v>124233.91812865497</v>
      </c>
      <c r="F298" s="5">
        <f t="shared" si="21"/>
        <v>0.57894736842105265</v>
      </c>
      <c r="G298" s="5">
        <f>IFERROR(IF(H298&lt;&gt;"",H298,VLOOKUP($A298,[1]FINAL!$A$1:$BZ$1000,MATCH([1]FINAL!$BL$1,[1]FINAL!$A$1:$BZ$1,0),0)),0)</f>
        <v>0.57894736842105265</v>
      </c>
      <c r="I298" s="5">
        <f>IFERROR(IF(J298&lt;&gt;"",J298,(IF(VLOOKUP($A298,#REF!,MATCH(#REF!,#REF!,0),0)=0,G298,VLOOKUP($A298,#REF!,MATCH(#REF!,#REF!,0),0)))),G298)</f>
        <v>0.57894736842105265</v>
      </c>
      <c r="K298" s="6">
        <f>IFERROR(VLOOKUP($A298,#REF!,MATCH(#REF!,#REF!,0),0),0)</f>
        <v>0</v>
      </c>
      <c r="L298" s="6">
        <f>IFERROR(VLOOKUP($A298,[1]FINAL!$A$1:$BZ$1000,MATCH([1]FINAL!$BF$1,[1]FINAL!$A$1:$BZ$1,0),0),0)</f>
        <v>76</v>
      </c>
      <c r="M298" s="7">
        <f t="shared" si="22"/>
        <v>0.84444444444444444</v>
      </c>
      <c r="N298" s="6">
        <f>IFERROR(VLOOKUP($A298,#REF!,MATCH(#REF!,#REF!,0),0),0)</f>
        <v>0</v>
      </c>
      <c r="O298" s="7">
        <f t="shared" si="23"/>
        <v>0</v>
      </c>
      <c r="P298" s="10" t="str">
        <f>IFERROR(VLOOKUP($A298,[1]FINAL!$A$1:$BZ$1000,MATCH([1]FINAL!$BB$1,[1]FINAL!$A$1:$BZ$1,0),0),"")</f>
        <v/>
      </c>
      <c r="Q298" s="18">
        <f t="shared" si="24"/>
        <v>1</v>
      </c>
    </row>
    <row r="299" spans="1:17" x14ac:dyDescent="0.25">
      <c r="A299" s="14" t="str">
        <f>[1]FINAL!$A493</f>
        <v>Lewie Coyle</v>
      </c>
      <c r="B299" s="20" t="str">
        <f>IFERROR(VLOOKUP($A299,[1]FINAL!$A$1:$Z$1000,MATCH([1]FINAL!$T$1,[1]FINAL!$A$1:$Z$1,0),0),"")</f>
        <v>DEF</v>
      </c>
      <c r="C299" s="3" t="str">
        <f>IFERROR(VLOOKUP($A299,[1]FINAL!$A$1:$Z$1000,MATCH([1]FINAL!$U$1,[1]FINAL!$A$1:$Z$1,0),0),"")</f>
        <v>RB</v>
      </c>
      <c r="D299" s="3" t="str">
        <f>IFERROR(VLOOKUP($A299,[1]FINAL!$A$1:$Z$1000,MATCH([1]FINAL!$V$1,[1]FINAL!$A$1:$Z$1,0),0),"")</f>
        <v>HUL</v>
      </c>
      <c r="E299" s="6">
        <f t="shared" si="20"/>
        <v>181537.46770025839</v>
      </c>
      <c r="F299" s="5">
        <f t="shared" si="21"/>
        <v>0.86046511627906974</v>
      </c>
      <c r="G299" s="5">
        <f>IFERROR(IF(H299&lt;&gt;"",H299,VLOOKUP($A299,[1]FINAL!$A$1:$BZ$1000,MATCH([1]FINAL!$BL$1,[1]FINAL!$A$1:$BZ$1,0),0)),0)</f>
        <v>0.86046511627906974</v>
      </c>
      <c r="I299" s="5">
        <f>IFERROR(IF(J299&lt;&gt;"",J299,(IF(VLOOKUP($A299,#REF!,MATCH(#REF!,#REF!,0),0)=0,G299,VLOOKUP($A299,#REF!,MATCH(#REF!,#REF!,0),0)))),G299)</f>
        <v>0.86046511627906974</v>
      </c>
      <c r="K299" s="6">
        <f>IFERROR(VLOOKUP($A299,#REF!,MATCH(#REF!,#REF!,0),0),0)</f>
        <v>0</v>
      </c>
      <c r="L299" s="6">
        <f>IFERROR(VLOOKUP($A299,[1]FINAL!$A$1:$BZ$1000,MATCH([1]FINAL!$BF$1,[1]FINAL!$A$1:$BZ$1,0),0),0)</f>
        <v>85</v>
      </c>
      <c r="M299" s="7">
        <f t="shared" si="22"/>
        <v>0.94444444444444442</v>
      </c>
      <c r="N299" s="6">
        <f>IFERROR(VLOOKUP($A299,#REF!,MATCH(#REF!,#REF!,0),0),0)</f>
        <v>0</v>
      </c>
      <c r="O299" s="7">
        <f t="shared" si="23"/>
        <v>0</v>
      </c>
      <c r="P299" s="10" t="str">
        <f>IFERROR(VLOOKUP($A299,[1]FINAL!$A$1:$BZ$1000,MATCH([1]FINAL!$BB$1,[1]FINAL!$A$1:$BZ$1,0),0),"")</f>
        <v/>
      </c>
      <c r="Q299" s="18">
        <f t="shared" si="24"/>
        <v>1</v>
      </c>
    </row>
    <row r="300" spans="1:17" x14ac:dyDescent="0.25">
      <c r="A300" s="14" t="str">
        <f>[1]FINAL!$A215</f>
        <v>Tanaka Ao</v>
      </c>
      <c r="B300" s="20" t="str">
        <f>IFERROR(VLOOKUP($A300,[1]FINAL!$A$1:$Z$1000,MATCH([1]FINAL!$T$1,[1]FINAL!$A$1:$Z$1,0),0),"")</f>
        <v>MID</v>
      </c>
      <c r="C300" s="3" t="str">
        <f>IFERROR(VLOOKUP($A300,[1]FINAL!$A$1:$Z$1000,MATCH([1]FINAL!$U$1,[1]FINAL!$A$1:$Z$1,0),0),"")</f>
        <v>CM</v>
      </c>
      <c r="D300" s="3" t="str">
        <f>IFERROR(VLOOKUP($A300,[1]FINAL!$A$1:$Z$1000,MATCH([1]FINAL!$V$1,[1]FINAL!$A$1:$Z$1,0),0),"")</f>
        <v>LEE</v>
      </c>
      <c r="E300" s="6">
        <f t="shared" si="20"/>
        <v>84009.009009009009</v>
      </c>
      <c r="F300" s="5">
        <f t="shared" si="21"/>
        <v>0.3783783783783784</v>
      </c>
      <c r="G300" s="5">
        <f>IFERROR(IF(H300&lt;&gt;"",H300,VLOOKUP($A300,[1]FINAL!$A$1:$BZ$1000,MATCH([1]FINAL!$BL$1,[1]FINAL!$A$1:$BZ$1,0),0)),0)</f>
        <v>0.3783783783783784</v>
      </c>
      <c r="I300" s="5">
        <f>IFERROR(IF(J300&lt;&gt;"",J300,(IF(VLOOKUP($A300,#REF!,MATCH(#REF!,#REF!,0),0)=0,G300,VLOOKUP($A300,#REF!,MATCH(#REF!,#REF!,0),0)))),G300)</f>
        <v>0.3783783783783784</v>
      </c>
      <c r="K300" s="6">
        <f>IFERROR(VLOOKUP($A300,#REF!,MATCH(#REF!,#REF!,0),0),0)</f>
        <v>0</v>
      </c>
      <c r="L300" s="6">
        <f>IFERROR(VLOOKUP($A300,[1]FINAL!$A$1:$BZ$1000,MATCH([1]FINAL!$BF$1,[1]FINAL!$A$1:$BZ$1,0),0),0)</f>
        <v>75</v>
      </c>
      <c r="M300" s="7">
        <f t="shared" si="22"/>
        <v>0.83333333333333337</v>
      </c>
      <c r="N300" s="6">
        <f>IFERROR(VLOOKUP($A300,#REF!,MATCH(#REF!,#REF!,0),0),0)</f>
        <v>0</v>
      </c>
      <c r="O300" s="7">
        <f t="shared" si="23"/>
        <v>0</v>
      </c>
      <c r="P300" s="10" t="str">
        <f>IFERROR(VLOOKUP($A300,[1]FINAL!$A$1:$BZ$1000,MATCH([1]FINAL!$BB$1,[1]FINAL!$A$1:$BZ$1,0),0),"")</f>
        <v/>
      </c>
      <c r="Q300" s="18">
        <f t="shared" si="24"/>
        <v>1</v>
      </c>
    </row>
    <row r="301" spans="1:17" x14ac:dyDescent="0.25">
      <c r="A301" s="14" t="str">
        <f>[1]FINAL!$A419</f>
        <v>Arthur Masuaku</v>
      </c>
      <c r="B301" s="20" t="str">
        <f>IFERROR(VLOOKUP($A301,[1]FINAL!$A$1:$Z$1000,MATCH([1]FINAL!$T$1,[1]FINAL!$A$1:$Z$1,0),0),"")</f>
        <v>DEF</v>
      </c>
      <c r="C301" s="3" t="str">
        <f>IFERROR(VLOOKUP($A301,[1]FINAL!$A$1:$Z$1000,MATCH([1]FINAL!$U$1,[1]FINAL!$A$1:$Z$1,0),0),"")</f>
        <v>LB</v>
      </c>
      <c r="D301" s="3" t="str">
        <f>IFERROR(VLOOKUP($A301,[1]FINAL!$A$1:$Z$1000,MATCH([1]FINAL!$V$1,[1]FINAL!$A$1:$Z$1,0),0),"")</f>
        <v>SUN</v>
      </c>
      <c r="E301" s="6">
        <f t="shared" si="20"/>
        <v>42808.080808080813</v>
      </c>
      <c r="F301" s="5">
        <f t="shared" si="21"/>
        <v>0.18181818181818182</v>
      </c>
      <c r="G301" s="5">
        <f>IFERROR(IF(H301&lt;&gt;"",H301,VLOOKUP($A301,[1]FINAL!$A$1:$BZ$1000,MATCH([1]FINAL!$BL$1,[1]FINAL!$A$1:$BZ$1,0),0)),0)</f>
        <v>0.18181818181818182</v>
      </c>
      <c r="I301" s="5">
        <f>IFERROR(IF(J301&lt;&gt;"",J301,(IF(VLOOKUP($A301,#REF!,MATCH(#REF!,#REF!,0),0)=0,G301,VLOOKUP($A301,#REF!,MATCH(#REF!,#REF!,0),0)))),G301)</f>
        <v>0.18181818181818182</v>
      </c>
      <c r="K301" s="6">
        <f>IFERROR(VLOOKUP($A301,#REF!,MATCH(#REF!,#REF!,0),0),0)</f>
        <v>0</v>
      </c>
      <c r="L301" s="6">
        <f>IFERROR(VLOOKUP($A301,[1]FINAL!$A$1:$BZ$1000,MATCH([1]FINAL!$BF$1,[1]FINAL!$A$1:$BZ$1,0),0),0)</f>
        <v>58</v>
      </c>
      <c r="M301" s="7">
        <f t="shared" si="22"/>
        <v>0.64444444444444449</v>
      </c>
      <c r="N301" s="6">
        <f>IFERROR(VLOOKUP($A301,#REF!,MATCH(#REF!,#REF!,0),0),0)</f>
        <v>0</v>
      </c>
      <c r="O301" s="7">
        <f t="shared" si="23"/>
        <v>0</v>
      </c>
      <c r="P301" s="10" t="str">
        <f>IFERROR(VLOOKUP($A301,[1]FINAL!$A$1:$BZ$1000,MATCH([1]FINAL!$BB$1,[1]FINAL!$A$1:$BZ$1,0),0),"")</f>
        <v/>
      </c>
      <c r="Q301" s="18">
        <f t="shared" si="24"/>
        <v>1</v>
      </c>
    </row>
    <row r="302" spans="1:17" x14ac:dyDescent="0.25">
      <c r="A302" s="14" t="str">
        <f>[1]FINAL!$A57</f>
        <v>Igor Thiago Nascimento Rodrigues</v>
      </c>
      <c r="B302" s="20" t="str">
        <f>IFERROR(VLOOKUP($A302,[1]FINAL!$A$1:$Z$1000,MATCH([1]FINAL!$T$1,[1]FINAL!$A$1:$Z$1,0),0),"")</f>
        <v>FWD</v>
      </c>
      <c r="C302" s="3" t="str">
        <f>IFERROR(VLOOKUP($A302,[1]FINAL!$A$1:$Z$1000,MATCH([1]FINAL!$U$1,[1]FINAL!$A$1:$Z$1,0),0),"")</f>
        <v>CF</v>
      </c>
      <c r="D302" s="3" t="str">
        <f>IFERROR(VLOOKUP($A302,[1]FINAL!$A$1:$Z$1000,MATCH([1]FINAL!$V$1,[1]FINAL!$A$1:$Z$1,0),0),"")</f>
        <v>BRE</v>
      </c>
      <c r="E302" s="6">
        <f t="shared" si="20"/>
        <v>204514.61988304096</v>
      </c>
      <c r="F302" s="5">
        <f t="shared" si="21"/>
        <v>0.97368421052631582</v>
      </c>
      <c r="G302" s="5">
        <f>IFERROR(IF(H302&lt;&gt;"",H302,VLOOKUP($A302,[1]FINAL!$A$1:$BZ$1000,MATCH([1]FINAL!$BL$1,[1]FINAL!$A$1:$BZ$1,0),0)),0)</f>
        <v>0.97368421052631582</v>
      </c>
      <c r="I302" s="5">
        <f>IFERROR(IF(J302&lt;&gt;"",J302,(IF(VLOOKUP($A302,#REF!,MATCH(#REF!,#REF!,0),0)=0,G302,VLOOKUP($A302,#REF!,MATCH(#REF!,#REF!,0),0)))),G302)</f>
        <v>0.97368421052631582</v>
      </c>
      <c r="K302" s="6">
        <f>IFERROR(VLOOKUP($A302,#REF!,MATCH(#REF!,#REF!,0),0),0)</f>
        <v>0</v>
      </c>
      <c r="L302" s="6">
        <f>IFERROR(VLOOKUP($A302,[1]FINAL!$A$1:$BZ$1000,MATCH([1]FINAL!$BF$1,[1]FINAL!$A$1:$BZ$1,0),0),0)</f>
        <v>88</v>
      </c>
      <c r="M302" s="7">
        <f t="shared" si="22"/>
        <v>0.97777777777777775</v>
      </c>
      <c r="N302" s="6">
        <f>IFERROR(VLOOKUP($A302,#REF!,MATCH(#REF!,#REF!,0),0),0)</f>
        <v>0</v>
      </c>
      <c r="O302" s="7">
        <f t="shared" si="23"/>
        <v>0</v>
      </c>
      <c r="P302" s="10" t="str">
        <f>IFERROR(VLOOKUP($A302,[1]FINAL!$A$1:$BZ$1000,MATCH([1]FINAL!$BB$1,[1]FINAL!$A$1:$BZ$1,0),0),"")</f>
        <v/>
      </c>
      <c r="Q302" s="18">
        <f t="shared" si="24"/>
        <v>1</v>
      </c>
    </row>
    <row r="303" spans="1:17" x14ac:dyDescent="0.25">
      <c r="A303" s="14" t="str">
        <f>[1]FINAL!$A47</f>
        <v>Benjamin White</v>
      </c>
      <c r="B303" s="20" t="str">
        <f>IFERROR(VLOOKUP($A303,[1]FINAL!$A$1:$Z$1000,MATCH([1]FINAL!$T$1,[1]FINAL!$A$1:$Z$1,0),0),"")</f>
        <v>DEF</v>
      </c>
      <c r="C303" s="3" t="str">
        <f>IFERROR(VLOOKUP($A303,[1]FINAL!$A$1:$Z$1000,MATCH([1]FINAL!$U$1,[1]FINAL!$A$1:$Z$1,0),0),"")</f>
        <v>RB</v>
      </c>
      <c r="D303" s="3" t="str">
        <f>IFERROR(VLOOKUP($A303,[1]FINAL!$A$1:$Z$1000,MATCH([1]FINAL!$V$1,[1]FINAL!$A$1:$Z$1,0),0),"")</f>
        <v>ARS</v>
      </c>
      <c r="E303" s="6">
        <f t="shared" si="20"/>
        <v>7.0068965517241395</v>
      </c>
      <c r="F303" s="5">
        <f t="shared" si="21"/>
        <v>3.1034482758620692E-5</v>
      </c>
      <c r="G303" s="5">
        <f>IFERROR(IF(H303&lt;&gt;"",H303,VLOOKUP($A303,[1]FINAL!$A$1:$BZ$1000,MATCH([1]FINAL!$BL$1,[1]FINAL!$A$1:$BZ$1,0),0)),0)</f>
        <v>0.31034482758620691</v>
      </c>
      <c r="I303" s="5">
        <f>IFERROR(IF(J303&lt;&gt;"",J303,(IF(VLOOKUP($A303,#REF!,MATCH(#REF!,#REF!,0),0)=0,G303,VLOOKUP($A303,#REF!,MATCH(#REF!,#REF!,0),0)))),G303)</f>
        <v>0.31034482758620691</v>
      </c>
      <c r="K303" s="6">
        <f>IFERROR(VLOOKUP($A303,#REF!,MATCH(#REF!,#REF!,0),0),0)</f>
        <v>0</v>
      </c>
      <c r="L303" s="6">
        <f>IFERROR(VLOOKUP($A303,[1]FINAL!$A$1:$BZ$1000,MATCH([1]FINAL!$BF$1,[1]FINAL!$A$1:$BZ$1,0),0),0)</f>
        <v>72</v>
      </c>
      <c r="M303" s="7">
        <f t="shared" si="22"/>
        <v>0.8</v>
      </c>
      <c r="N303" s="6">
        <f>IFERROR(VLOOKUP($A303,#REF!,MATCH(#REF!,#REF!,0),0),0)</f>
        <v>0</v>
      </c>
      <c r="O303" s="7">
        <f t="shared" si="23"/>
        <v>0</v>
      </c>
      <c r="P303" s="10">
        <f>IFERROR(VLOOKUP($A303,[1]FINAL!$A$1:$BZ$1000,MATCH([1]FINAL!$BB$1,[1]FINAL!$A$1:$BZ$1,0),0),"")</f>
        <v>0</v>
      </c>
      <c r="Q303" s="18">
        <f t="shared" si="24"/>
        <v>1E-4</v>
      </c>
    </row>
    <row r="304" spans="1:17" x14ac:dyDescent="0.25">
      <c r="A304" s="14" t="str">
        <f>[1]FINAL!$A123</f>
        <v>Bart Verbruggen</v>
      </c>
      <c r="B304" s="20" t="str">
        <f>IFERROR(VLOOKUP($A304,[1]FINAL!$A$1:$Z$1000,MATCH([1]FINAL!$T$1,[1]FINAL!$A$1:$Z$1,0),0),"")</f>
        <v>GK</v>
      </c>
      <c r="C304" s="3" t="str">
        <f>IFERROR(VLOOKUP($A304,[1]FINAL!$A$1:$Z$1000,MATCH([1]FINAL!$U$1,[1]FINAL!$A$1:$Z$1,0),0),"")</f>
        <v>GK</v>
      </c>
      <c r="D304" s="3" t="str">
        <f>IFERROR(VLOOKUP($A304,[1]FINAL!$A$1:$Z$1000,MATCH([1]FINAL!$V$1,[1]FINAL!$A$1:$Z$1,0),0),"")</f>
        <v>BHA</v>
      </c>
      <c r="E304" s="6">
        <f t="shared" si="20"/>
        <v>210000</v>
      </c>
      <c r="F304" s="5">
        <f t="shared" si="21"/>
        <v>1</v>
      </c>
      <c r="G304" s="5">
        <f>IFERROR(IF(H304&lt;&gt;"",H304,VLOOKUP($A304,[1]FINAL!$A$1:$BZ$1000,MATCH([1]FINAL!$BL$1,[1]FINAL!$A$1:$BZ$1,0),0)),0)</f>
        <v>1</v>
      </c>
      <c r="I304" s="5">
        <f>IFERROR(IF(J304&lt;&gt;"",J304,(IF(VLOOKUP($A304,#REF!,MATCH(#REF!,#REF!,0),0)=0,G304,VLOOKUP($A304,#REF!,MATCH(#REF!,#REF!,0),0)))),G304)</f>
        <v>1</v>
      </c>
      <c r="K304" s="6">
        <f>IFERROR(VLOOKUP($A304,#REF!,MATCH(#REF!,#REF!,0),0),0)</f>
        <v>0</v>
      </c>
      <c r="L304" s="6">
        <f>IFERROR(VLOOKUP($A304,[1]FINAL!$A$1:$BZ$1000,MATCH([1]FINAL!$BF$1,[1]FINAL!$A$1:$BZ$1,0),0),0)</f>
        <v>90</v>
      </c>
      <c r="M304" s="7">
        <f t="shared" si="22"/>
        <v>1</v>
      </c>
      <c r="N304" s="6">
        <f>IFERROR(VLOOKUP($A304,#REF!,MATCH(#REF!,#REF!,0),0),0)</f>
        <v>0</v>
      </c>
      <c r="O304" s="7">
        <f t="shared" si="23"/>
        <v>0</v>
      </c>
      <c r="P304" s="10" t="str">
        <f>IFERROR(VLOOKUP($A304,[1]FINAL!$A$1:$BZ$1000,MATCH([1]FINAL!$BB$1,[1]FINAL!$A$1:$BZ$1,0),0),"")</f>
        <v/>
      </c>
      <c r="Q304" s="18">
        <f t="shared" si="24"/>
        <v>1</v>
      </c>
    </row>
    <row r="305" spans="1:17" x14ac:dyDescent="0.25">
      <c r="A305" s="14" t="str">
        <f>[1]FINAL!$A310</f>
        <v>Alex Tóth</v>
      </c>
      <c r="B305" s="20" t="str">
        <f>IFERROR(VLOOKUP($A305,[1]FINAL!$A$1:$Z$1000,MATCH([1]FINAL!$T$1,[1]FINAL!$A$1:$Z$1,0),0),"")</f>
        <v>MID</v>
      </c>
      <c r="C305" s="3" t="str">
        <f>IFERROR(VLOOKUP($A305,[1]FINAL!$A$1:$Z$1000,MATCH([1]FINAL!$U$1,[1]FINAL!$A$1:$Z$1,0),0),"")</f>
        <v>CM</v>
      </c>
      <c r="D305" s="3" t="str">
        <f>IFERROR(VLOOKUP($A305,[1]FINAL!$A$1:$Z$1000,MATCH([1]FINAL!$V$1,[1]FINAL!$A$1:$Z$1,0),0),"")</f>
        <v>BOU</v>
      </c>
      <c r="E305" s="6">
        <f t="shared" si="20"/>
        <v>31333.333333333332</v>
      </c>
      <c r="F305" s="5">
        <f t="shared" si="21"/>
        <v>0.125</v>
      </c>
      <c r="G305" s="5">
        <f>IFERROR(IF(H305&lt;&gt;"",H305,VLOOKUP($A305,[1]FINAL!$A$1:$BZ$1000,MATCH([1]FINAL!$BL$1,[1]FINAL!$A$1:$BZ$1,0),0)),0)</f>
        <v>0.125</v>
      </c>
      <c r="I305" s="5">
        <f>IFERROR(IF(J305&lt;&gt;"",J305,(IF(VLOOKUP($A305,#REF!,MATCH(#REF!,#REF!,0),0)=0,G305,VLOOKUP($A305,#REF!,MATCH(#REF!,#REF!,0),0)))),G305)</f>
        <v>0.125</v>
      </c>
      <c r="K305" s="6">
        <f>IFERROR(VLOOKUP($A305,#REF!,MATCH(#REF!,#REF!,0),0),0)</f>
        <v>0</v>
      </c>
      <c r="L305" s="6">
        <f>IFERROR(VLOOKUP($A305,[1]FINAL!$A$1:$BZ$1000,MATCH([1]FINAL!$BF$1,[1]FINAL!$A$1:$BZ$1,0),0),0)</f>
        <v>57</v>
      </c>
      <c r="M305" s="7">
        <f t="shared" si="22"/>
        <v>0.6333333333333333</v>
      </c>
      <c r="N305" s="6">
        <f>IFERROR(VLOOKUP($A305,#REF!,MATCH(#REF!,#REF!,0),0),0)</f>
        <v>0</v>
      </c>
      <c r="O305" s="7">
        <f t="shared" si="23"/>
        <v>0</v>
      </c>
      <c r="P305" s="10" t="str">
        <f>IFERROR(VLOOKUP($A305,[1]FINAL!$A$1:$BZ$1000,MATCH([1]FINAL!$BB$1,[1]FINAL!$A$1:$BZ$1,0),0),"")</f>
        <v/>
      </c>
      <c r="Q305" s="18">
        <f t="shared" si="24"/>
        <v>1</v>
      </c>
    </row>
    <row r="306" spans="1:17" x14ac:dyDescent="0.25">
      <c r="A306" s="14" t="str">
        <f>[1]FINAL!$A264</f>
        <v>Trevoh Chalobah</v>
      </c>
      <c r="B306" s="20" t="str">
        <f>IFERROR(VLOOKUP($A306,[1]FINAL!$A$1:$Z$1000,MATCH([1]FINAL!$T$1,[1]FINAL!$A$1:$Z$1,0),0),"")</f>
        <v>DEF</v>
      </c>
      <c r="C306" s="3" t="str">
        <f>IFERROR(VLOOKUP($A306,[1]FINAL!$A$1:$Z$1000,MATCH([1]FINAL!$U$1,[1]FINAL!$A$1:$Z$1,0),0),"")</f>
        <v>CB</v>
      </c>
      <c r="D306" s="3" t="str">
        <f>IFERROR(VLOOKUP($A306,[1]FINAL!$A$1:$Z$1000,MATCH([1]FINAL!$V$1,[1]FINAL!$A$1:$Z$1,0),0),"")</f>
        <v>CHE</v>
      </c>
      <c r="E306" s="6">
        <f t="shared" si="20"/>
        <v>186920.63492063491</v>
      </c>
      <c r="F306" s="5">
        <f t="shared" si="21"/>
        <v>0.88571428571428568</v>
      </c>
      <c r="G306" s="5">
        <f>IFERROR(IF(H306&lt;&gt;"",H306,VLOOKUP($A306,[1]FINAL!$A$1:$BZ$1000,MATCH([1]FINAL!$BL$1,[1]FINAL!$A$1:$BZ$1,0),0)),0)</f>
        <v>0.88571428571428568</v>
      </c>
      <c r="I306" s="5">
        <f>IFERROR(IF(J306&lt;&gt;"",J306,(IF(VLOOKUP($A306,#REF!,MATCH(#REF!,#REF!,0),0)=0,G306,VLOOKUP($A306,#REF!,MATCH(#REF!,#REF!,0),0)))),G306)</f>
        <v>0.88571428571428568</v>
      </c>
      <c r="K306" s="6">
        <f>IFERROR(VLOOKUP($A306,#REF!,MATCH(#REF!,#REF!,0),0),0)</f>
        <v>0</v>
      </c>
      <c r="L306" s="6">
        <f>IFERROR(VLOOKUP($A306,[1]FINAL!$A$1:$BZ$1000,MATCH([1]FINAL!$BF$1,[1]FINAL!$A$1:$BZ$1,0),0),0)</f>
        <v>88</v>
      </c>
      <c r="M306" s="7">
        <f t="shared" si="22"/>
        <v>0.97777777777777775</v>
      </c>
      <c r="N306" s="6">
        <f>IFERROR(VLOOKUP($A306,#REF!,MATCH(#REF!,#REF!,0),0),0)</f>
        <v>0</v>
      </c>
      <c r="O306" s="7">
        <f t="shared" si="23"/>
        <v>0</v>
      </c>
      <c r="P306" s="10" t="str">
        <f>IFERROR(VLOOKUP($A306,[1]FINAL!$A$1:$BZ$1000,MATCH([1]FINAL!$BB$1,[1]FINAL!$A$1:$BZ$1,0),0),"")</f>
        <v/>
      </c>
      <c r="Q306" s="18">
        <f t="shared" si="24"/>
        <v>1</v>
      </c>
    </row>
    <row r="307" spans="1:17" x14ac:dyDescent="0.25">
      <c r="A307" s="14" t="str">
        <f>[1]FINAL!$A119</f>
        <v>Anton Stach</v>
      </c>
      <c r="B307" s="20" t="str">
        <f>IFERROR(VLOOKUP($A307,[1]FINAL!$A$1:$Z$1000,MATCH([1]FINAL!$T$1,[1]FINAL!$A$1:$Z$1,0),0),"")</f>
        <v>MID</v>
      </c>
      <c r="C307" s="3" t="str">
        <f>IFERROR(VLOOKUP($A307,[1]FINAL!$A$1:$Z$1000,MATCH([1]FINAL!$U$1,[1]FINAL!$A$1:$Z$1,0),0),"")</f>
        <v>DM</v>
      </c>
      <c r="D307" s="3" t="str">
        <f>IFERROR(VLOOKUP($A307,[1]FINAL!$A$1:$Z$1000,MATCH([1]FINAL!$V$1,[1]FINAL!$A$1:$Z$1,0),0),"")</f>
        <v>LEE</v>
      </c>
      <c r="E307" s="6">
        <f t="shared" si="20"/>
        <v>196000</v>
      </c>
      <c r="F307" s="5">
        <f t="shared" si="21"/>
        <v>0.93333333333333335</v>
      </c>
      <c r="G307" s="5">
        <f>IFERROR(IF(H307&lt;&gt;"",H307,VLOOKUP($A307,[1]FINAL!$A$1:$BZ$1000,MATCH([1]FINAL!$BL$1,[1]FINAL!$A$1:$BZ$1,0),0)),0)</f>
        <v>0.93333333333333335</v>
      </c>
      <c r="I307" s="5">
        <f>IFERROR(IF(J307&lt;&gt;"",J307,(IF(VLOOKUP($A307,#REF!,MATCH(#REF!,#REF!,0),0)=0,G307,VLOOKUP($A307,#REF!,MATCH(#REF!,#REF!,0),0)))),G307)</f>
        <v>0.93333333333333335</v>
      </c>
      <c r="K307" s="6">
        <f>IFERROR(VLOOKUP($A307,#REF!,MATCH(#REF!,#REF!,0),0),0)</f>
        <v>0</v>
      </c>
      <c r="L307" s="6">
        <f>IFERROR(VLOOKUP($A307,[1]FINAL!$A$1:$BZ$1000,MATCH([1]FINAL!$BF$1,[1]FINAL!$A$1:$BZ$1,0),0),0)</f>
        <v>84</v>
      </c>
      <c r="M307" s="7">
        <f t="shared" si="22"/>
        <v>0.93333333333333335</v>
      </c>
      <c r="N307" s="6">
        <f>IFERROR(VLOOKUP($A307,#REF!,MATCH(#REF!,#REF!,0),0),0)</f>
        <v>0</v>
      </c>
      <c r="O307" s="7">
        <f t="shared" si="23"/>
        <v>0</v>
      </c>
      <c r="P307" s="10" t="str">
        <f>IFERROR(VLOOKUP($A307,[1]FINAL!$A$1:$BZ$1000,MATCH([1]FINAL!$BB$1,[1]FINAL!$A$1:$BZ$1,0),0),"")</f>
        <v/>
      </c>
      <c r="Q307" s="18">
        <f t="shared" si="24"/>
        <v>1</v>
      </c>
    </row>
    <row r="308" spans="1:17" x14ac:dyDescent="0.25">
      <c r="A308" s="14" t="str">
        <f>[1]FINAL!$A113</f>
        <v>Chris Wood</v>
      </c>
      <c r="B308" s="20" t="str">
        <f>IFERROR(VLOOKUP($A308,[1]FINAL!$A$1:$Z$1000,MATCH([1]FINAL!$T$1,[1]FINAL!$A$1:$Z$1,0),0),"")</f>
        <v>FWD</v>
      </c>
      <c r="C308" s="3" t="str">
        <f>IFERROR(VLOOKUP($A308,[1]FINAL!$A$1:$Z$1000,MATCH([1]FINAL!$U$1,[1]FINAL!$A$1:$Z$1,0),0),"")</f>
        <v>CF</v>
      </c>
      <c r="D308" s="3" t="str">
        <f>IFERROR(VLOOKUP($A308,[1]FINAL!$A$1:$Z$1000,MATCH([1]FINAL!$V$1,[1]FINAL!$A$1:$Z$1,0),0),"")</f>
        <v>NFO</v>
      </c>
      <c r="E308" s="6">
        <f t="shared" si="20"/>
        <v>154888.88888888888</v>
      </c>
      <c r="F308" s="5">
        <f t="shared" si="21"/>
        <v>0.73333333333333328</v>
      </c>
      <c r="G308" s="5">
        <f>IFERROR(IF(H308&lt;&gt;"",H308,VLOOKUP($A308,[1]FINAL!$A$1:$BZ$1000,MATCH([1]FINAL!$BL$1,[1]FINAL!$A$1:$BZ$1,0),0)),0)</f>
        <v>0.73333333333333328</v>
      </c>
      <c r="I308" s="5">
        <f>IFERROR(IF(J308&lt;&gt;"",J308,(IF(VLOOKUP($A308,#REF!,MATCH(#REF!,#REF!,0),0)=0,G308,VLOOKUP($A308,#REF!,MATCH(#REF!,#REF!,0),0)))),G308)</f>
        <v>0.73333333333333328</v>
      </c>
      <c r="K308" s="6">
        <f>IFERROR(VLOOKUP($A308,#REF!,MATCH(#REF!,#REF!,0),0),0)</f>
        <v>0</v>
      </c>
      <c r="L308" s="6">
        <f>IFERROR(VLOOKUP($A308,[1]FINAL!$A$1:$BZ$1000,MATCH([1]FINAL!$BF$1,[1]FINAL!$A$1:$BZ$1,0),0),0)</f>
        <v>74</v>
      </c>
      <c r="M308" s="7">
        <f t="shared" si="22"/>
        <v>0.82222222222222219</v>
      </c>
      <c r="N308" s="6">
        <f>IFERROR(VLOOKUP($A308,#REF!,MATCH(#REF!,#REF!,0),0),0)</f>
        <v>0</v>
      </c>
      <c r="O308" s="7">
        <f t="shared" si="23"/>
        <v>0</v>
      </c>
      <c r="P308" s="10" t="str">
        <f>IFERROR(VLOOKUP($A308,[1]FINAL!$A$1:$BZ$1000,MATCH([1]FINAL!$BB$1,[1]FINAL!$A$1:$BZ$1,0),0),"")</f>
        <v/>
      </c>
      <c r="Q308" s="18">
        <f t="shared" si="24"/>
        <v>1</v>
      </c>
    </row>
    <row r="309" spans="1:17" x14ac:dyDescent="0.25">
      <c r="A309" s="14" t="str">
        <f>[1]FINAL!$A200</f>
        <v>Josh Acheampong</v>
      </c>
      <c r="B309" s="20" t="str">
        <f>IFERROR(VLOOKUP($A309,[1]FINAL!$A$1:$Z$1000,MATCH([1]FINAL!$T$1,[1]FINAL!$A$1:$Z$1,0),0),"")</f>
        <v>DEF</v>
      </c>
      <c r="C309" s="3" t="str">
        <f>IFERROR(VLOOKUP($A309,[1]FINAL!$A$1:$Z$1000,MATCH([1]FINAL!$U$1,[1]FINAL!$A$1:$Z$1,0),0),"")</f>
        <v>RB</v>
      </c>
      <c r="D309" s="3" t="str">
        <f>IFERROR(VLOOKUP($A309,[1]FINAL!$A$1:$Z$1000,MATCH([1]FINAL!$V$1,[1]FINAL!$A$1:$Z$1,0),0),"")</f>
        <v>CHE</v>
      </c>
      <c r="E309" s="6">
        <f t="shared" si="20"/>
        <v>53603.174603174601</v>
      </c>
      <c r="F309" s="5">
        <f t="shared" si="21"/>
        <v>0.22857142857142856</v>
      </c>
      <c r="G309" s="5">
        <f>IFERROR(IF(H309&lt;&gt;"",H309,VLOOKUP($A309,[1]FINAL!$A$1:$BZ$1000,MATCH([1]FINAL!$BL$1,[1]FINAL!$A$1:$BZ$1,0),0)),0)</f>
        <v>0.22857142857142856</v>
      </c>
      <c r="I309" s="5">
        <f>IFERROR(IF(J309&lt;&gt;"",J309,(IF(VLOOKUP($A309,#REF!,MATCH(#REF!,#REF!,0),0)=0,G309,VLOOKUP($A309,#REF!,MATCH(#REF!,#REF!,0),0)))),G309)</f>
        <v>0.22857142857142856</v>
      </c>
      <c r="K309" s="6">
        <f>IFERROR(VLOOKUP($A309,#REF!,MATCH(#REF!,#REF!,0),0),0)</f>
        <v>0</v>
      </c>
      <c r="L309" s="6">
        <f>IFERROR(VLOOKUP($A309,[1]FINAL!$A$1:$BZ$1000,MATCH([1]FINAL!$BF$1,[1]FINAL!$A$1:$BZ$1,0),0),0)</f>
        <v>71</v>
      </c>
      <c r="M309" s="7">
        <f t="shared" si="22"/>
        <v>0.78888888888888886</v>
      </c>
      <c r="N309" s="6">
        <f>IFERROR(VLOOKUP($A309,#REF!,MATCH(#REF!,#REF!,0),0),0)</f>
        <v>0</v>
      </c>
      <c r="O309" s="7">
        <f t="shared" si="23"/>
        <v>0</v>
      </c>
      <c r="P309" s="10" t="str">
        <f>IFERROR(VLOOKUP($A309,[1]FINAL!$A$1:$BZ$1000,MATCH([1]FINAL!$BB$1,[1]FINAL!$A$1:$BZ$1,0),0),"")</f>
        <v/>
      </c>
      <c r="Q309" s="18">
        <f t="shared" si="24"/>
        <v>1</v>
      </c>
    </row>
    <row r="310" spans="1:17" x14ac:dyDescent="0.25">
      <c r="A310" s="14" t="str">
        <f>[1]FINAL!$A270</f>
        <v>Josh King</v>
      </c>
      <c r="B310" s="20" t="str">
        <f>IFERROR(VLOOKUP($A310,[1]FINAL!$A$1:$Z$1000,MATCH([1]FINAL!$T$1,[1]FINAL!$A$1:$Z$1,0),0),"")</f>
        <v>MID</v>
      </c>
      <c r="C310" s="3" t="str">
        <f>IFERROR(VLOOKUP($A310,[1]FINAL!$A$1:$Z$1000,MATCH([1]FINAL!$U$1,[1]FINAL!$A$1:$Z$1,0),0),"")</f>
        <v>AM</v>
      </c>
      <c r="D310" s="3" t="str">
        <f>IFERROR(VLOOKUP($A310,[1]FINAL!$A$1:$Z$1000,MATCH([1]FINAL!$V$1,[1]FINAL!$A$1:$Z$1,0),0),"")</f>
        <v>FUL</v>
      </c>
      <c r="E310" s="6">
        <f t="shared" si="20"/>
        <v>92936.507936507929</v>
      </c>
      <c r="F310" s="5">
        <f t="shared" si="21"/>
        <v>0.42857142857142855</v>
      </c>
      <c r="G310" s="5">
        <f>IFERROR(IF(H310&lt;&gt;"",H310,VLOOKUP($A310,[1]FINAL!$A$1:$BZ$1000,MATCH([1]FINAL!$BL$1,[1]FINAL!$A$1:$BZ$1,0),0)),0)</f>
        <v>0.42857142857142855</v>
      </c>
      <c r="I310" s="5">
        <f>IFERROR(IF(J310&lt;&gt;"",J310,(IF(VLOOKUP($A310,#REF!,MATCH(#REF!,#REF!,0),0)=0,G310,VLOOKUP($A310,#REF!,MATCH(#REF!,#REF!,0),0)))),G310)</f>
        <v>0.42857142857142855</v>
      </c>
      <c r="K310" s="6">
        <f>IFERROR(VLOOKUP($A310,#REF!,MATCH(#REF!,#REF!,0),0),0)</f>
        <v>0</v>
      </c>
      <c r="L310" s="6">
        <f>IFERROR(VLOOKUP($A310,[1]FINAL!$A$1:$BZ$1000,MATCH([1]FINAL!$BF$1,[1]FINAL!$A$1:$BZ$1,0),0),0)</f>
        <v>65</v>
      </c>
      <c r="M310" s="7">
        <f t="shared" si="22"/>
        <v>0.72222222222222221</v>
      </c>
      <c r="N310" s="6">
        <f>IFERROR(VLOOKUP($A310,#REF!,MATCH(#REF!,#REF!,0),0),0)</f>
        <v>0</v>
      </c>
      <c r="O310" s="7">
        <f t="shared" si="23"/>
        <v>0</v>
      </c>
      <c r="P310" s="10" t="str">
        <f>IFERROR(VLOOKUP($A310,[1]FINAL!$A$1:$BZ$1000,MATCH([1]FINAL!$BB$1,[1]FINAL!$A$1:$BZ$1,0),0),"")</f>
        <v/>
      </c>
      <c r="Q310" s="18">
        <f t="shared" si="24"/>
        <v>1</v>
      </c>
    </row>
    <row r="311" spans="1:17" x14ac:dyDescent="0.25">
      <c r="A311" s="14" t="str">
        <f>[1]FINAL!$A373</f>
        <v>Rodrigo Bentancur</v>
      </c>
      <c r="B311" s="20" t="str">
        <f>IFERROR(VLOOKUP($A311,[1]FINAL!$A$1:$Z$1000,MATCH([1]FINAL!$T$1,[1]FINAL!$A$1:$Z$1,0),0),"")</f>
        <v>MID</v>
      </c>
      <c r="C311" s="3" t="str">
        <f>IFERROR(VLOOKUP($A311,[1]FINAL!$A$1:$Z$1000,MATCH([1]FINAL!$U$1,[1]FINAL!$A$1:$Z$1,0),0),"")</f>
        <v>DM</v>
      </c>
      <c r="D311" s="3" t="str">
        <f>IFERROR(VLOOKUP($A311,[1]FINAL!$A$1:$Z$1000,MATCH([1]FINAL!$V$1,[1]FINAL!$A$1:$Z$1,0),0),"")</f>
        <v>TOT</v>
      </c>
      <c r="E311" s="6">
        <f t="shared" si="20"/>
        <v>179148.14814814815</v>
      </c>
      <c r="F311" s="5">
        <f t="shared" si="21"/>
        <v>0.85185185185185186</v>
      </c>
      <c r="G311" s="5">
        <f>IFERROR(IF(H311&lt;&gt;"",H311,VLOOKUP($A311,[1]FINAL!$A$1:$BZ$1000,MATCH([1]FINAL!$BL$1,[1]FINAL!$A$1:$BZ$1,0),0)),0)</f>
        <v>0.85185185185185186</v>
      </c>
      <c r="I311" s="5">
        <f>IFERROR(IF(J311&lt;&gt;"",J311,(IF(VLOOKUP($A311,#REF!,MATCH(#REF!,#REF!,0),0)=0,G311,VLOOKUP($A311,#REF!,MATCH(#REF!,#REF!,0),0)))),G311)</f>
        <v>0.85185185185185186</v>
      </c>
      <c r="K311" s="6">
        <f>IFERROR(VLOOKUP($A311,#REF!,MATCH(#REF!,#REF!,0),0),0)</f>
        <v>0</v>
      </c>
      <c r="L311" s="6">
        <f>IFERROR(VLOOKUP($A311,[1]FINAL!$A$1:$BZ$1000,MATCH([1]FINAL!$BF$1,[1]FINAL!$A$1:$BZ$1,0),0),0)</f>
        <v>79</v>
      </c>
      <c r="M311" s="7">
        <f t="shared" si="22"/>
        <v>0.87777777777777777</v>
      </c>
      <c r="N311" s="6">
        <f>IFERROR(VLOOKUP($A311,#REF!,MATCH(#REF!,#REF!,0),0),0)</f>
        <v>0</v>
      </c>
      <c r="O311" s="7">
        <f t="shared" si="23"/>
        <v>0</v>
      </c>
      <c r="P311" s="10" t="str">
        <f>IFERROR(VLOOKUP($A311,[1]FINAL!$A$1:$BZ$1000,MATCH([1]FINAL!$BB$1,[1]FINAL!$A$1:$BZ$1,0),0),"")</f>
        <v/>
      </c>
      <c r="Q311" s="18">
        <f t="shared" si="24"/>
        <v>1</v>
      </c>
    </row>
    <row r="312" spans="1:17" x14ac:dyDescent="0.25">
      <c r="A312" s="14" t="str">
        <f>[1]FINAL!$A396</f>
        <v>Kalvin Phillips</v>
      </c>
      <c r="B312" s="20" t="str">
        <f>IFERROR(VLOOKUP($A312,[1]FINAL!$A$1:$Z$1000,MATCH([1]FINAL!$T$1,[1]FINAL!$A$1:$Z$1,0),0),"")</f>
        <v>MID</v>
      </c>
      <c r="C312" s="3" t="str">
        <f>IFERROR(VLOOKUP($A312,[1]FINAL!$A$1:$Z$1000,MATCH([1]FINAL!$U$1,[1]FINAL!$A$1:$Z$1,0),0),"")</f>
        <v>DM</v>
      </c>
      <c r="D312" s="3" t="str">
        <f>IFERROR(VLOOKUP($A312,[1]FINAL!$A$1:$Z$1000,MATCH([1]FINAL!$V$1,[1]FINAL!$A$1:$Z$1,0),0),"")</f>
        <v>MCI</v>
      </c>
      <c r="E312" s="6">
        <f t="shared" si="20"/>
        <v>0</v>
      </c>
      <c r="F312" s="5">
        <f t="shared" si="21"/>
        <v>0</v>
      </c>
      <c r="G312" s="5">
        <f>IFERROR(IF(H312&lt;&gt;"",H312,VLOOKUP($A312,[1]FINAL!$A$1:$BZ$1000,MATCH([1]FINAL!$BL$1,[1]FINAL!$A$1:$BZ$1,0),0)),0)</f>
        <v>0</v>
      </c>
      <c r="I312" s="5">
        <f>IFERROR(IF(J312&lt;&gt;"",J312,(IF(VLOOKUP($A312,#REF!,MATCH(#REF!,#REF!,0),0)=0,G312,VLOOKUP($A312,#REF!,MATCH(#REF!,#REF!,0),0)))),G312)</f>
        <v>0</v>
      </c>
      <c r="K312" s="6">
        <f>IFERROR(VLOOKUP($A312,#REF!,MATCH(#REF!,#REF!,0),0),0)</f>
        <v>0</v>
      </c>
      <c r="L312" s="6">
        <f>IFERROR(VLOOKUP($A312,[1]FINAL!$A$1:$BZ$1000,MATCH([1]FINAL!$BF$1,[1]FINAL!$A$1:$BZ$1,0),0),0)</f>
        <v>0</v>
      </c>
      <c r="M312" s="7">
        <f t="shared" si="22"/>
        <v>0</v>
      </c>
      <c r="N312" s="6">
        <f>IFERROR(VLOOKUP($A312,#REF!,MATCH(#REF!,#REF!,0),0),0)</f>
        <v>0</v>
      </c>
      <c r="O312" s="7">
        <f t="shared" si="23"/>
        <v>0</v>
      </c>
      <c r="P312" s="10" t="str">
        <f>IFERROR(VLOOKUP($A312,[1]FINAL!$A$1:$BZ$1000,MATCH([1]FINAL!$BB$1,[1]FINAL!$A$1:$BZ$1,0),0),"")</f>
        <v/>
      </c>
      <c r="Q312" s="18">
        <f t="shared" si="24"/>
        <v>1</v>
      </c>
    </row>
    <row r="313" spans="1:17" x14ac:dyDescent="0.25">
      <c r="A313" s="14" t="str">
        <f>[1]FINAL!$A27</f>
        <v>Jérémy Doku</v>
      </c>
      <c r="B313" s="20" t="str">
        <f>IFERROR(VLOOKUP($A313,[1]FINAL!$A$1:$Z$1000,MATCH([1]FINAL!$T$1,[1]FINAL!$A$1:$Z$1,0),0),"")</f>
        <v>MID</v>
      </c>
      <c r="C313" s="3" t="str">
        <f>IFERROR(VLOOKUP($A313,[1]FINAL!$A$1:$Z$1000,MATCH([1]FINAL!$U$1,[1]FINAL!$A$1:$Z$1,0),0),"")</f>
        <v>LW</v>
      </c>
      <c r="D313" s="3" t="str">
        <f>IFERROR(VLOOKUP($A313,[1]FINAL!$A$1:$Z$1000,MATCH([1]FINAL!$V$1,[1]FINAL!$A$1:$Z$1,0),0),"")</f>
        <v>MCI</v>
      </c>
      <c r="E313" s="6">
        <f t="shared" si="20"/>
        <v>131469.53405017921</v>
      </c>
      <c r="F313" s="5">
        <f t="shared" si="21"/>
        <v>0.61290322580645162</v>
      </c>
      <c r="G313" s="5">
        <f>IFERROR(IF(H313&lt;&gt;"",H313,VLOOKUP($A313,[1]FINAL!$A$1:$BZ$1000,MATCH([1]FINAL!$BL$1,[1]FINAL!$A$1:$BZ$1,0),0)),0)</f>
        <v>0.61290322580645162</v>
      </c>
      <c r="I313" s="5">
        <f>IFERROR(IF(J313&lt;&gt;"",J313,(IF(VLOOKUP($A313,#REF!,MATCH(#REF!,#REF!,0),0)=0,G313,VLOOKUP($A313,#REF!,MATCH(#REF!,#REF!,0),0)))),G313)</f>
        <v>0.61290322580645162</v>
      </c>
      <c r="K313" s="6">
        <f>IFERROR(VLOOKUP($A313,#REF!,MATCH(#REF!,#REF!,0),0),0)</f>
        <v>0</v>
      </c>
      <c r="L313" s="6">
        <f>IFERROR(VLOOKUP($A313,[1]FINAL!$A$1:$BZ$1000,MATCH([1]FINAL!$BF$1,[1]FINAL!$A$1:$BZ$1,0),0),0)</f>
        <v>80</v>
      </c>
      <c r="M313" s="7">
        <f t="shared" si="22"/>
        <v>0.88888888888888884</v>
      </c>
      <c r="N313" s="6">
        <f>IFERROR(VLOOKUP($A313,#REF!,MATCH(#REF!,#REF!,0),0),0)</f>
        <v>0</v>
      </c>
      <c r="O313" s="7">
        <f t="shared" si="23"/>
        <v>0</v>
      </c>
      <c r="P313" s="10" t="str">
        <f>IFERROR(VLOOKUP($A313,[1]FINAL!$A$1:$BZ$1000,MATCH([1]FINAL!$BB$1,[1]FINAL!$A$1:$BZ$1,0),0),"")</f>
        <v/>
      </c>
      <c r="Q313" s="18">
        <f t="shared" si="24"/>
        <v>1</v>
      </c>
    </row>
    <row r="314" spans="1:17" x14ac:dyDescent="0.25">
      <c r="A314" s="14" t="str">
        <f>[1]FINAL!$A164</f>
        <v>Lewis Miley</v>
      </c>
      <c r="B314" s="20" t="str">
        <f>IFERROR(VLOOKUP($A314,[1]FINAL!$A$1:$Z$1000,MATCH([1]FINAL!$T$1,[1]FINAL!$A$1:$Z$1,0),0),"")</f>
        <v>MID</v>
      </c>
      <c r="C314" s="3" t="str">
        <f>IFERROR(VLOOKUP($A314,[1]FINAL!$A$1:$Z$1000,MATCH([1]FINAL!$U$1,[1]FINAL!$A$1:$Z$1,0),0),"")</f>
        <v>CM</v>
      </c>
      <c r="D314" s="3" t="str">
        <f>IFERROR(VLOOKUP($A314,[1]FINAL!$A$1:$Z$1000,MATCH([1]FINAL!$V$1,[1]FINAL!$A$1:$Z$1,0),0),"")</f>
        <v>NEW</v>
      </c>
      <c r="E314" s="6">
        <f t="shared" si="20"/>
        <v>11.692063492063493</v>
      </c>
      <c r="F314" s="5">
        <f t="shared" si="21"/>
        <v>5.3571428571428575E-5</v>
      </c>
      <c r="G314" s="5">
        <f>IFERROR(IF(H314&lt;&gt;"",H314,VLOOKUP($A314,[1]FINAL!$A$1:$BZ$1000,MATCH([1]FINAL!$BL$1,[1]FINAL!$A$1:$BZ$1,0),0)),0)</f>
        <v>0.5357142857142857</v>
      </c>
      <c r="I314" s="5">
        <f>IFERROR(IF(J314&lt;&gt;"",J314,(IF(VLOOKUP($A314,#REF!,MATCH(#REF!,#REF!,0),0)=0,G314,VLOOKUP($A314,#REF!,MATCH(#REF!,#REF!,0),0)))),G314)</f>
        <v>0.5357142857142857</v>
      </c>
      <c r="K314" s="6">
        <f>IFERROR(VLOOKUP($A314,#REF!,MATCH(#REF!,#REF!,0),0),0)</f>
        <v>0</v>
      </c>
      <c r="L314" s="6">
        <f>IFERROR(VLOOKUP($A314,[1]FINAL!$A$1:$BZ$1000,MATCH([1]FINAL!$BF$1,[1]FINAL!$A$1:$BZ$1,0),0),0)</f>
        <v>88</v>
      </c>
      <c r="M314" s="7">
        <f t="shared" si="22"/>
        <v>0.97777777777777775</v>
      </c>
      <c r="N314" s="6">
        <f>IFERROR(VLOOKUP($A314,#REF!,MATCH(#REF!,#REF!,0),0),0)</f>
        <v>0</v>
      </c>
      <c r="O314" s="7">
        <f t="shared" si="23"/>
        <v>0</v>
      </c>
      <c r="P314" s="10">
        <f>IFERROR(VLOOKUP($A314,[1]FINAL!$A$1:$BZ$1000,MATCH([1]FINAL!$BB$1,[1]FINAL!$A$1:$BZ$1,0),0),"")</f>
        <v>0</v>
      </c>
      <c r="Q314" s="18">
        <f t="shared" si="24"/>
        <v>1E-4</v>
      </c>
    </row>
    <row r="315" spans="1:17" x14ac:dyDescent="0.25">
      <c r="A315" s="14" t="str">
        <f>[1]FINAL!$A338</f>
        <v>Vitalii Mykolenko</v>
      </c>
      <c r="B315" s="20" t="str">
        <f>IFERROR(VLOOKUP($A315,[1]FINAL!$A$1:$Z$1000,MATCH([1]FINAL!$T$1,[1]FINAL!$A$1:$Z$1,0),0),"")</f>
        <v>DEF</v>
      </c>
      <c r="C315" s="3" t="str">
        <f>IFERROR(VLOOKUP($A315,[1]FINAL!$A$1:$Z$1000,MATCH([1]FINAL!$U$1,[1]FINAL!$A$1:$Z$1,0),0),"")</f>
        <v>LB</v>
      </c>
      <c r="D315" s="3" t="str">
        <f>IFERROR(VLOOKUP($A315,[1]FINAL!$A$1:$Z$1000,MATCH([1]FINAL!$V$1,[1]FINAL!$A$1:$Z$1,0),0),"")</f>
        <v>EVE</v>
      </c>
      <c r="E315" s="6">
        <f t="shared" si="20"/>
        <v>204117.64705882352</v>
      </c>
      <c r="F315" s="5">
        <f t="shared" si="21"/>
        <v>0.97058823529411764</v>
      </c>
      <c r="G315" s="5">
        <f>IFERROR(IF(H315&lt;&gt;"",H315,VLOOKUP($A315,[1]FINAL!$A$1:$BZ$1000,MATCH([1]FINAL!$BL$1,[1]FINAL!$A$1:$BZ$1,0),0)),0)</f>
        <v>0.97058823529411764</v>
      </c>
      <c r="I315" s="5">
        <f>IFERROR(IF(J315&lt;&gt;"",J315,(IF(VLOOKUP($A315,#REF!,MATCH(#REF!,#REF!,0),0)=0,G315,VLOOKUP($A315,#REF!,MATCH(#REF!,#REF!,0),0)))),G315)</f>
        <v>0.97058823529411764</v>
      </c>
      <c r="K315" s="6">
        <f>IFERROR(VLOOKUP($A315,#REF!,MATCH(#REF!,#REF!,0),0),0)</f>
        <v>0</v>
      </c>
      <c r="L315" s="6">
        <f>IFERROR(VLOOKUP($A315,[1]FINAL!$A$1:$BZ$1000,MATCH([1]FINAL!$BF$1,[1]FINAL!$A$1:$BZ$1,0),0),0)</f>
        <v>90</v>
      </c>
      <c r="M315" s="7">
        <f t="shared" si="22"/>
        <v>1</v>
      </c>
      <c r="N315" s="6">
        <f>IFERROR(VLOOKUP($A315,#REF!,MATCH(#REF!,#REF!,0),0),0)</f>
        <v>0</v>
      </c>
      <c r="O315" s="7">
        <f t="shared" si="23"/>
        <v>0</v>
      </c>
      <c r="P315" s="10" t="str">
        <f>IFERROR(VLOOKUP($A315,[1]FINAL!$A$1:$BZ$1000,MATCH([1]FINAL!$BB$1,[1]FINAL!$A$1:$BZ$1,0),0),"")</f>
        <v/>
      </c>
      <c r="Q315" s="18">
        <f t="shared" si="24"/>
        <v>1</v>
      </c>
    </row>
    <row r="316" spans="1:17" x14ac:dyDescent="0.25">
      <c r="A316" s="14" t="str">
        <f>[1]FINAL!$A407</f>
        <v>Joe Gelhardt</v>
      </c>
      <c r="B316" s="20" t="str">
        <f>IFERROR(VLOOKUP($A316,[1]FINAL!$A$1:$Z$1000,MATCH([1]FINAL!$T$1,[1]FINAL!$A$1:$Z$1,0),0),"")</f>
        <v>MID</v>
      </c>
      <c r="C316" s="3" t="str">
        <f>IFERROR(VLOOKUP($A316,[1]FINAL!$A$1:$Z$1000,MATCH([1]FINAL!$U$1,[1]FINAL!$A$1:$Z$1,0),0),"")</f>
        <v>CF</v>
      </c>
      <c r="D316" s="3" t="str">
        <f>IFERROR(VLOOKUP($A316,[1]FINAL!$A$1:$Z$1000,MATCH([1]FINAL!$V$1,[1]FINAL!$A$1:$Z$1,0),0),"")</f>
        <v>LEE</v>
      </c>
      <c r="E316" s="6">
        <f t="shared" si="20"/>
        <v>188042.73504273506</v>
      </c>
      <c r="F316" s="5">
        <f t="shared" si="21"/>
        <v>0.89743589743589747</v>
      </c>
      <c r="G316" s="5">
        <f>IFERROR(IF(H316&lt;&gt;"",H316,VLOOKUP($A316,[1]FINAL!$A$1:$BZ$1000,MATCH([1]FINAL!$BL$1,[1]FINAL!$A$1:$BZ$1,0),0)),0)</f>
        <v>0.89743589743589747</v>
      </c>
      <c r="I316" s="5">
        <f>IFERROR(IF(J316&lt;&gt;"",J316,(IF(VLOOKUP($A316,#REF!,MATCH(#REF!,#REF!,0),0)=0,G316,VLOOKUP($A316,#REF!,MATCH(#REF!,#REF!,0),0)))),G316)</f>
        <v>0.89743589743589747</v>
      </c>
      <c r="K316" s="6">
        <f>IFERROR(VLOOKUP($A316,#REF!,MATCH(#REF!,#REF!,0),0),0)</f>
        <v>0</v>
      </c>
      <c r="L316" s="6">
        <f>IFERROR(VLOOKUP($A316,[1]FINAL!$A$1:$BZ$1000,MATCH([1]FINAL!$BF$1,[1]FINAL!$A$1:$BZ$1,0),0),0)</f>
        <v>77</v>
      </c>
      <c r="M316" s="7">
        <f t="shared" si="22"/>
        <v>0.85555555555555551</v>
      </c>
      <c r="N316" s="6">
        <f>IFERROR(VLOOKUP($A316,#REF!,MATCH(#REF!,#REF!,0),0),0)</f>
        <v>0</v>
      </c>
      <c r="O316" s="7">
        <f t="shared" si="23"/>
        <v>0</v>
      </c>
      <c r="P316" s="10" t="str">
        <f>IFERROR(VLOOKUP($A316,[1]FINAL!$A$1:$BZ$1000,MATCH([1]FINAL!$BB$1,[1]FINAL!$A$1:$BZ$1,0),0),"")</f>
        <v/>
      </c>
      <c r="Q316" s="18">
        <f t="shared" si="24"/>
        <v>1</v>
      </c>
    </row>
    <row r="317" spans="1:17" x14ac:dyDescent="0.25">
      <c r="A317" s="14" t="str">
        <f>[1]FINAL!$A331</f>
        <v>Jarrad Branthwaite</v>
      </c>
      <c r="B317" s="20" t="str">
        <f>IFERROR(VLOOKUP($A317,[1]FINAL!$A$1:$Z$1000,MATCH([1]FINAL!$T$1,[1]FINAL!$A$1:$Z$1,0),0),"")</f>
        <v>DEF</v>
      </c>
      <c r="C317" s="3" t="str">
        <f>IFERROR(VLOOKUP($A317,[1]FINAL!$A$1:$Z$1000,MATCH([1]FINAL!$U$1,[1]FINAL!$A$1:$Z$1,0),0),"")</f>
        <v>CB</v>
      </c>
      <c r="D317" s="3" t="str">
        <f>IFERROR(VLOOKUP($A317,[1]FINAL!$A$1:$Z$1000,MATCH([1]FINAL!$V$1,[1]FINAL!$A$1:$Z$1,0),0),"")</f>
        <v>EVE</v>
      </c>
      <c r="E317" s="6">
        <f t="shared" si="20"/>
        <v>149777.77777777778</v>
      </c>
      <c r="F317" s="5">
        <f t="shared" si="21"/>
        <v>0.7</v>
      </c>
      <c r="G317" s="5">
        <f>IFERROR(IF(H317&lt;&gt;"",H317,VLOOKUP($A317,[1]FINAL!$A$1:$BZ$1000,MATCH([1]FINAL!$BL$1,[1]FINAL!$A$1:$BZ$1,0),0)),0)</f>
        <v>0.7</v>
      </c>
      <c r="I317" s="5">
        <f>IFERROR(IF(J317&lt;&gt;"",J317,(IF(VLOOKUP($A317,#REF!,MATCH(#REF!,#REF!,0),0)=0,G317,VLOOKUP($A317,#REF!,MATCH(#REF!,#REF!,0),0)))),G317)</f>
        <v>0.7</v>
      </c>
      <c r="K317" s="6">
        <f>IFERROR(VLOOKUP($A317,#REF!,MATCH(#REF!,#REF!,0),0),0)</f>
        <v>0</v>
      </c>
      <c r="L317" s="6">
        <f>IFERROR(VLOOKUP($A317,[1]FINAL!$A$1:$BZ$1000,MATCH([1]FINAL!$BF$1,[1]FINAL!$A$1:$BZ$1,0),0),0)</f>
        <v>88</v>
      </c>
      <c r="M317" s="7">
        <f t="shared" si="22"/>
        <v>0.97777777777777775</v>
      </c>
      <c r="N317" s="6">
        <f>IFERROR(VLOOKUP($A317,#REF!,MATCH(#REF!,#REF!,0),0),0)</f>
        <v>0</v>
      </c>
      <c r="O317" s="7">
        <f t="shared" si="23"/>
        <v>0</v>
      </c>
      <c r="P317" s="10" t="str">
        <f>IFERROR(VLOOKUP($A317,[1]FINAL!$A$1:$BZ$1000,MATCH([1]FINAL!$BB$1,[1]FINAL!$A$1:$BZ$1,0),0),"")</f>
        <v/>
      </c>
      <c r="Q317" s="18">
        <f t="shared" si="24"/>
        <v>1</v>
      </c>
    </row>
    <row r="318" spans="1:17" x14ac:dyDescent="0.25">
      <c r="A318" s="14" t="str">
        <f>[1]FINAL!$A449</f>
        <v>Emersonn Correia da Silva</v>
      </c>
      <c r="B318" s="20" t="str">
        <f>IFERROR(VLOOKUP($A318,[1]FINAL!$A$1:$Z$1000,MATCH([1]FINAL!$T$1,[1]FINAL!$A$1:$Z$1,0),0),"")</f>
        <v>FWD</v>
      </c>
      <c r="C318" s="3" t="str">
        <f>IFERROR(VLOOKUP($A318,[1]FINAL!$A$1:$Z$1000,MATCH([1]FINAL!$U$1,[1]FINAL!$A$1:$Z$1,0),0),"")</f>
        <v>CF</v>
      </c>
      <c r="D318" s="3" t="str">
        <f>IFERROR(VLOOKUP($A318,[1]FINAL!$A$1:$Z$1000,MATCH([1]FINAL!$V$1,[1]FINAL!$A$1:$Z$1,0),0),"")</f>
        <v>IPS</v>
      </c>
      <c r="E318" s="6">
        <f t="shared" si="20"/>
        <v>0</v>
      </c>
      <c r="F318" s="5">
        <f t="shared" si="21"/>
        <v>0</v>
      </c>
      <c r="G318" s="5">
        <f>IFERROR(IF(H318&lt;&gt;"",H318,VLOOKUP($A318,[1]FINAL!$A$1:$BZ$1000,MATCH([1]FINAL!$BL$1,[1]FINAL!$A$1:$BZ$1,0),0)),0)</f>
        <v>0</v>
      </c>
      <c r="I318" s="5">
        <f>IFERROR(IF(J318&lt;&gt;"",J318,(IF(VLOOKUP($A318,#REF!,MATCH(#REF!,#REF!,0),0)=0,G318,VLOOKUP($A318,#REF!,MATCH(#REF!,#REF!,0),0)))),G318)</f>
        <v>0</v>
      </c>
      <c r="K318" s="6">
        <f>IFERROR(VLOOKUP($A318,#REF!,MATCH(#REF!,#REF!,0),0),0)</f>
        <v>0</v>
      </c>
      <c r="L318" s="6">
        <f>IFERROR(VLOOKUP($A318,[1]FINAL!$A$1:$BZ$1000,MATCH([1]FINAL!$BF$1,[1]FINAL!$A$1:$BZ$1,0),0),0)</f>
        <v>0</v>
      </c>
      <c r="M318" s="7">
        <f t="shared" si="22"/>
        <v>0</v>
      </c>
      <c r="N318" s="6">
        <f>IFERROR(VLOOKUP($A318,#REF!,MATCH(#REF!,#REF!,0),0),0)</f>
        <v>0</v>
      </c>
      <c r="O318" s="7">
        <f t="shared" si="23"/>
        <v>0</v>
      </c>
      <c r="P318" s="10" t="str">
        <f>IFERROR(VLOOKUP($A318,[1]FINAL!$A$1:$BZ$1000,MATCH([1]FINAL!$BB$1,[1]FINAL!$A$1:$BZ$1,0),0),"")</f>
        <v/>
      </c>
      <c r="Q318" s="18">
        <f t="shared" si="24"/>
        <v>1</v>
      </c>
    </row>
    <row r="319" spans="1:17" x14ac:dyDescent="0.25">
      <c r="A319" s="14" t="str">
        <f>[1]FINAL!$A462</f>
        <v>Sindre Walle Egeli</v>
      </c>
      <c r="B319" s="20" t="str">
        <f>IFERROR(VLOOKUP($A319,[1]FINAL!$A$1:$Z$1000,MATCH([1]FINAL!$T$1,[1]FINAL!$A$1:$Z$1,0),0),"")</f>
        <v>FWD</v>
      </c>
      <c r="C319" s="3" t="str">
        <f>IFERROR(VLOOKUP($A319,[1]FINAL!$A$1:$Z$1000,MATCH([1]FINAL!$U$1,[1]FINAL!$A$1:$Z$1,0),0),"")</f>
        <v>RW</v>
      </c>
      <c r="D319" s="3" t="str">
        <f>IFERROR(VLOOKUP($A319,[1]FINAL!$A$1:$Z$1000,MATCH([1]FINAL!$V$1,[1]FINAL!$A$1:$Z$1,0),0),"")</f>
        <v>IPS</v>
      </c>
      <c r="E319" s="6">
        <f t="shared" si="20"/>
        <v>0</v>
      </c>
      <c r="F319" s="5">
        <f t="shared" si="21"/>
        <v>0</v>
      </c>
      <c r="G319" s="5">
        <f>IFERROR(IF(H319&lt;&gt;"",H319,VLOOKUP($A319,[1]FINAL!$A$1:$BZ$1000,MATCH([1]FINAL!$BL$1,[1]FINAL!$A$1:$BZ$1,0),0)),0)</f>
        <v>0</v>
      </c>
      <c r="I319" s="5">
        <f>IFERROR(IF(J319&lt;&gt;"",J319,(IF(VLOOKUP($A319,#REF!,MATCH(#REF!,#REF!,0),0)=0,G319,VLOOKUP($A319,#REF!,MATCH(#REF!,#REF!,0),0)))),G319)</f>
        <v>0</v>
      </c>
      <c r="K319" s="6">
        <f>IFERROR(VLOOKUP($A319,#REF!,MATCH(#REF!,#REF!,0),0),0)</f>
        <v>0</v>
      </c>
      <c r="L319" s="6">
        <f>IFERROR(VLOOKUP($A319,[1]FINAL!$A$1:$BZ$1000,MATCH([1]FINAL!$BF$1,[1]FINAL!$A$1:$BZ$1,0),0),0)</f>
        <v>0</v>
      </c>
      <c r="M319" s="7">
        <f t="shared" si="22"/>
        <v>0</v>
      </c>
      <c r="N319" s="6">
        <f>IFERROR(VLOOKUP($A319,#REF!,MATCH(#REF!,#REF!,0),0),0)</f>
        <v>0</v>
      </c>
      <c r="O319" s="7">
        <f t="shared" si="23"/>
        <v>0</v>
      </c>
      <c r="P319" s="10" t="str">
        <f>IFERROR(VLOOKUP($A319,[1]FINAL!$A$1:$BZ$1000,MATCH([1]FINAL!$BB$1,[1]FINAL!$A$1:$BZ$1,0),0),"")</f>
        <v/>
      </c>
      <c r="Q319" s="18">
        <f t="shared" si="24"/>
        <v>1</v>
      </c>
    </row>
    <row r="320" spans="1:17" x14ac:dyDescent="0.25">
      <c r="A320" s="14" t="str">
        <f>[1]FINAL!$A265</f>
        <v>Matty Cash</v>
      </c>
      <c r="B320" s="20" t="str">
        <f>IFERROR(VLOOKUP($A320,[1]FINAL!$A$1:$Z$1000,MATCH([1]FINAL!$T$1,[1]FINAL!$A$1:$Z$1,0),0),"")</f>
        <v>DEF</v>
      </c>
      <c r="C320" s="3" t="str">
        <f>IFERROR(VLOOKUP($A320,[1]FINAL!$A$1:$Z$1000,MATCH([1]FINAL!$U$1,[1]FINAL!$A$1:$Z$1,0),0),"")</f>
        <v>RB</v>
      </c>
      <c r="D320" s="3" t="str">
        <f>IFERROR(VLOOKUP($A320,[1]FINAL!$A$1:$Z$1000,MATCH([1]FINAL!$V$1,[1]FINAL!$A$1:$Z$1,0),0),"")</f>
        <v>AVL</v>
      </c>
      <c r="E320" s="6">
        <f t="shared" si="20"/>
        <v>203952.38095238095</v>
      </c>
      <c r="F320" s="5">
        <f t="shared" si="21"/>
        <v>0.97142857142857142</v>
      </c>
      <c r="G320" s="5">
        <f>IFERROR(IF(H320&lt;&gt;"",H320,VLOOKUP($A320,[1]FINAL!$A$1:$BZ$1000,MATCH([1]FINAL!$BL$1,[1]FINAL!$A$1:$BZ$1,0),0)),0)</f>
        <v>0.97142857142857142</v>
      </c>
      <c r="I320" s="5">
        <f>IFERROR(IF(J320&lt;&gt;"",J320,(IF(VLOOKUP($A320,#REF!,MATCH(#REF!,#REF!,0),0)=0,G320,VLOOKUP($A320,#REF!,MATCH(#REF!,#REF!,0),0)))),G320)</f>
        <v>0.97142857142857142</v>
      </c>
      <c r="K320" s="6">
        <f>IFERROR(VLOOKUP($A320,#REF!,MATCH(#REF!,#REF!,0),0),0)</f>
        <v>0</v>
      </c>
      <c r="L320" s="6">
        <f>IFERROR(VLOOKUP($A320,[1]FINAL!$A$1:$BZ$1000,MATCH([1]FINAL!$BF$1,[1]FINAL!$A$1:$BZ$1,0),0),0)</f>
        <v>87</v>
      </c>
      <c r="M320" s="7">
        <f t="shared" si="22"/>
        <v>0.96666666666666667</v>
      </c>
      <c r="N320" s="6">
        <f>IFERROR(VLOOKUP($A320,#REF!,MATCH(#REF!,#REF!,0),0),0)</f>
        <v>0</v>
      </c>
      <c r="O320" s="7">
        <f t="shared" si="23"/>
        <v>0</v>
      </c>
      <c r="P320" s="10" t="str">
        <f>IFERROR(VLOOKUP($A320,[1]FINAL!$A$1:$BZ$1000,MATCH([1]FINAL!$BB$1,[1]FINAL!$A$1:$BZ$1,0),0),"")</f>
        <v/>
      </c>
      <c r="Q320" s="18">
        <f t="shared" si="24"/>
        <v>1</v>
      </c>
    </row>
    <row r="321" spans="1:17" x14ac:dyDescent="0.25">
      <c r="A321" s="14" t="str">
        <f>[1]FINAL!$A308</f>
        <v>Jefferson Lerma Solís</v>
      </c>
      <c r="B321" s="20" t="str">
        <f>IFERROR(VLOOKUP($A321,[1]FINAL!$A$1:$Z$1000,MATCH([1]FINAL!$T$1,[1]FINAL!$A$1:$Z$1,0),0),"")</f>
        <v>MID</v>
      </c>
      <c r="C321" s="3" t="str">
        <f>IFERROR(VLOOKUP($A321,[1]FINAL!$A$1:$Z$1000,MATCH([1]FINAL!$U$1,[1]FINAL!$A$1:$Z$1,0),0),"")</f>
        <v>DM</v>
      </c>
      <c r="D321" s="3" t="str">
        <f>IFERROR(VLOOKUP($A321,[1]FINAL!$A$1:$Z$1000,MATCH([1]FINAL!$V$1,[1]FINAL!$A$1:$Z$1,0),0),"")</f>
        <v>CRY</v>
      </c>
      <c r="E321" s="6">
        <f t="shared" si="20"/>
        <v>112079.36507936506</v>
      </c>
      <c r="F321" s="5">
        <f t="shared" si="21"/>
        <v>0.51428571428571423</v>
      </c>
      <c r="G321" s="5">
        <f>IFERROR(IF(H321&lt;&gt;"",H321,VLOOKUP($A321,[1]FINAL!$A$1:$BZ$1000,MATCH([1]FINAL!$BL$1,[1]FINAL!$A$1:$BZ$1,0),0)),0)</f>
        <v>0.51428571428571423</v>
      </c>
      <c r="I321" s="5">
        <f>IFERROR(IF(J321&lt;&gt;"",J321,(IF(VLOOKUP($A321,#REF!,MATCH(#REF!,#REF!,0),0)=0,G321,VLOOKUP($A321,#REF!,MATCH(#REF!,#REF!,0),0)))),G321)</f>
        <v>0.51428571428571423</v>
      </c>
      <c r="K321" s="6">
        <f>IFERROR(VLOOKUP($A321,#REF!,MATCH(#REF!,#REF!,0),0),0)</f>
        <v>0</v>
      </c>
      <c r="L321" s="6">
        <f>IFERROR(VLOOKUP($A321,[1]FINAL!$A$1:$BZ$1000,MATCH([1]FINAL!$BF$1,[1]FINAL!$A$1:$BZ$1,0),0),0)</f>
        <v>83</v>
      </c>
      <c r="M321" s="7">
        <f t="shared" si="22"/>
        <v>0.92222222222222228</v>
      </c>
      <c r="N321" s="6">
        <f>IFERROR(VLOOKUP($A321,#REF!,MATCH(#REF!,#REF!,0),0),0)</f>
        <v>0</v>
      </c>
      <c r="O321" s="7">
        <f t="shared" si="23"/>
        <v>0</v>
      </c>
      <c r="P321" s="10" t="str">
        <f>IFERROR(VLOOKUP($A321,[1]FINAL!$A$1:$BZ$1000,MATCH([1]FINAL!$BB$1,[1]FINAL!$A$1:$BZ$1,0),0),"")</f>
        <v/>
      </c>
      <c r="Q321" s="18">
        <f t="shared" si="24"/>
        <v>1</v>
      </c>
    </row>
    <row r="322" spans="1:17" x14ac:dyDescent="0.25">
      <c r="A322" s="14" t="str">
        <f>[1]FINAL!$A547</f>
        <v>Zadok Yohanna</v>
      </c>
      <c r="B322" s="20" t="str">
        <f>IFERROR(VLOOKUP($A322,[1]FINAL!$A$1:$Z$1000,MATCH([1]FINAL!$T$1,[1]FINAL!$A$1:$Z$1,0),0),"")</f>
        <v>MID</v>
      </c>
      <c r="C322" s="3" t="str">
        <f>IFERROR(VLOOKUP($A322,[1]FINAL!$A$1:$Z$1000,MATCH([1]FINAL!$U$1,[1]FINAL!$A$1:$Z$1,0),0),"")</f>
        <v>RW</v>
      </c>
      <c r="D322" s="3" t="str">
        <f>IFERROR(VLOOKUP($A322,[1]FINAL!$A$1:$Z$1000,MATCH([1]FINAL!$V$1,[1]FINAL!$A$1:$Z$1,0),0),"")</f>
        <v>BHA</v>
      </c>
      <c r="E322" s="6">
        <f t="shared" ref="E322:E385" si="25">IF($Q$1="ON",((G322*100000)+(I322*100000)+(M322*10000)+(O322*10000)+(K322*10))*Q322,((G322*100000)+(I322*100000)+(M322*10000)+(O322*10000)+(K322*10)))</f>
        <v>0</v>
      </c>
      <c r="F322" s="5">
        <f t="shared" ref="F322:F385" si="26">IFERROR(IF($Q$1="ON",((G322*$W$1)+(I322*$U$1))*Q322,((G322*$W$1)+(I322*$U$1))),0)</f>
        <v>0</v>
      </c>
      <c r="G322" s="5">
        <f>IFERROR(IF(H322&lt;&gt;"",H322,VLOOKUP($A322,[1]FINAL!$A$1:$BZ$1000,MATCH([1]FINAL!$BL$1,[1]FINAL!$A$1:$BZ$1,0),0)),0)</f>
        <v>0</v>
      </c>
      <c r="I322" s="5">
        <f>IFERROR(IF(J322&lt;&gt;"",J322,(IF(VLOOKUP($A322,#REF!,MATCH(#REF!,#REF!,0),0)=0,G322,VLOOKUP($A322,#REF!,MATCH(#REF!,#REF!,0),0)))),G322)</f>
        <v>0</v>
      </c>
      <c r="K322" s="6">
        <f>IFERROR(VLOOKUP($A322,#REF!,MATCH(#REF!,#REF!,0),0),0)</f>
        <v>0</v>
      </c>
      <c r="L322" s="6">
        <f>IFERROR(VLOOKUP($A322,[1]FINAL!$A$1:$BZ$1000,MATCH([1]FINAL!$BF$1,[1]FINAL!$A$1:$BZ$1,0),0),0)</f>
        <v>0</v>
      </c>
      <c r="M322" s="7">
        <f t="shared" ref="M322:M385" si="27">L322/90</f>
        <v>0</v>
      </c>
      <c r="N322" s="6">
        <f>IFERROR(VLOOKUP($A322,#REF!,MATCH(#REF!,#REF!,0),0),0)</f>
        <v>0</v>
      </c>
      <c r="O322" s="7">
        <f t="shared" ref="O322:O385" si="28">N322/90</f>
        <v>0</v>
      </c>
      <c r="P322" s="10" t="str">
        <f>IFERROR(VLOOKUP($A322,[1]FINAL!$A$1:$BZ$1000,MATCH([1]FINAL!$BB$1,[1]FINAL!$A$1:$BZ$1,0),0),"")</f>
        <v/>
      </c>
      <c r="Q322" s="18">
        <f t="shared" ref="Q322:Q385" si="29">IF(P322="",1,IF(P322=0,0.0001,P322/100))</f>
        <v>1</v>
      </c>
    </row>
    <row r="323" spans="1:17" x14ac:dyDescent="0.25">
      <c r="A323" s="14" t="str">
        <f>[1]FINAL!$A284</f>
        <v>Issa Diop</v>
      </c>
      <c r="B323" s="20" t="str">
        <f>IFERROR(VLOOKUP($A323,[1]FINAL!$A$1:$Z$1000,MATCH([1]FINAL!$T$1,[1]FINAL!$A$1:$Z$1,0),0),"")</f>
        <v>DEF</v>
      </c>
      <c r="C323" s="3" t="str">
        <f>IFERROR(VLOOKUP($A323,[1]FINAL!$A$1:$Z$1000,MATCH([1]FINAL!$U$1,[1]FINAL!$A$1:$Z$1,0),0),"")</f>
        <v>CB</v>
      </c>
      <c r="D323" s="3" t="str">
        <f>IFERROR(VLOOKUP($A323,[1]FINAL!$A$1:$Z$1000,MATCH([1]FINAL!$V$1,[1]FINAL!$A$1:$Z$1,0),0),"")</f>
        <v>IPS</v>
      </c>
      <c r="E323" s="6">
        <f t="shared" si="25"/>
        <v>73888.888888888891</v>
      </c>
      <c r="F323" s="5">
        <f t="shared" si="26"/>
        <v>0.32</v>
      </c>
      <c r="G323" s="5">
        <f>IFERROR(IF(H323&lt;&gt;"",H323,VLOOKUP($A323,[1]FINAL!$A$1:$BZ$1000,MATCH([1]FINAL!$BL$1,[1]FINAL!$A$1:$BZ$1,0),0)),0)</f>
        <v>0.32</v>
      </c>
      <c r="I323" s="5">
        <f>IFERROR(IF(J323&lt;&gt;"",J323,(IF(VLOOKUP($A323,#REF!,MATCH(#REF!,#REF!,0),0)=0,G323,VLOOKUP($A323,#REF!,MATCH(#REF!,#REF!,0),0)))),G323)</f>
        <v>0.32</v>
      </c>
      <c r="K323" s="6">
        <f>IFERROR(VLOOKUP($A323,#REF!,MATCH(#REF!,#REF!,0),0),0)</f>
        <v>0</v>
      </c>
      <c r="L323" s="6">
        <f>IFERROR(VLOOKUP($A323,[1]FINAL!$A$1:$BZ$1000,MATCH([1]FINAL!$BF$1,[1]FINAL!$A$1:$BZ$1,0),0),0)</f>
        <v>89</v>
      </c>
      <c r="M323" s="7">
        <f t="shared" si="27"/>
        <v>0.98888888888888893</v>
      </c>
      <c r="N323" s="6">
        <f>IFERROR(VLOOKUP($A323,#REF!,MATCH(#REF!,#REF!,0),0),0)</f>
        <v>0</v>
      </c>
      <c r="O323" s="7">
        <f t="shared" si="28"/>
        <v>0</v>
      </c>
      <c r="P323" s="10" t="str">
        <f>IFERROR(VLOOKUP($A323,[1]FINAL!$A$1:$BZ$1000,MATCH([1]FINAL!$BB$1,[1]FINAL!$A$1:$BZ$1,0),0),"")</f>
        <v/>
      </c>
      <c r="Q323" s="18">
        <f t="shared" si="29"/>
        <v>1</v>
      </c>
    </row>
    <row r="324" spans="1:17" x14ac:dyDescent="0.25">
      <c r="A324" s="14" t="str">
        <f>[1]FINAL!$A309</f>
        <v>Conor Bradley</v>
      </c>
      <c r="B324" s="20" t="str">
        <f>IFERROR(VLOOKUP($A324,[1]FINAL!$A$1:$Z$1000,MATCH([1]FINAL!$T$1,[1]FINAL!$A$1:$Z$1,0),0),"")</f>
        <v>DEF</v>
      </c>
      <c r="C324" s="3" t="str">
        <f>IFERROR(VLOOKUP($A324,[1]FINAL!$A$1:$Z$1000,MATCH([1]FINAL!$U$1,[1]FINAL!$A$1:$Z$1,0),0),"")</f>
        <v>RB</v>
      </c>
      <c r="D324" s="3" t="str">
        <f>IFERROR(VLOOKUP($A324,[1]FINAL!$A$1:$Z$1000,MATCH([1]FINAL!$V$1,[1]FINAL!$A$1:$Z$1,0),0),"")</f>
        <v>LIV</v>
      </c>
      <c r="E324" s="6">
        <f t="shared" si="25"/>
        <v>15.777777777777779</v>
      </c>
      <c r="F324" s="5">
        <f t="shared" si="26"/>
        <v>7.5000000000000007E-5</v>
      </c>
      <c r="G324" s="5">
        <f>IFERROR(IF(H324&lt;&gt;"",H324,VLOOKUP($A324,[1]FINAL!$A$1:$BZ$1000,MATCH([1]FINAL!$BL$1,[1]FINAL!$A$1:$BZ$1,0),0)),0)</f>
        <v>0.75</v>
      </c>
      <c r="I324" s="5">
        <f>IFERROR(IF(J324&lt;&gt;"",J324,(IF(VLOOKUP($A324,#REF!,MATCH(#REF!,#REF!,0),0)=0,G324,VLOOKUP($A324,#REF!,MATCH(#REF!,#REF!,0),0)))),G324)</f>
        <v>0.75</v>
      </c>
      <c r="K324" s="6">
        <f>IFERROR(VLOOKUP($A324,#REF!,MATCH(#REF!,#REF!,0),0),0)</f>
        <v>0</v>
      </c>
      <c r="L324" s="6">
        <f>IFERROR(VLOOKUP($A324,[1]FINAL!$A$1:$BZ$1000,MATCH([1]FINAL!$BF$1,[1]FINAL!$A$1:$BZ$1,0),0),0)</f>
        <v>70</v>
      </c>
      <c r="M324" s="7">
        <f t="shared" si="27"/>
        <v>0.77777777777777779</v>
      </c>
      <c r="N324" s="6">
        <f>IFERROR(VLOOKUP($A324,#REF!,MATCH(#REF!,#REF!,0),0),0)</f>
        <v>0</v>
      </c>
      <c r="O324" s="7">
        <f t="shared" si="28"/>
        <v>0</v>
      </c>
      <c r="P324" s="10">
        <f>IFERROR(VLOOKUP($A324,[1]FINAL!$A$1:$BZ$1000,MATCH([1]FINAL!$BB$1,[1]FINAL!$A$1:$BZ$1,0),0),"")</f>
        <v>0</v>
      </c>
      <c r="Q324" s="18">
        <f t="shared" si="29"/>
        <v>1E-4</v>
      </c>
    </row>
    <row r="325" spans="1:17" x14ac:dyDescent="0.25">
      <c r="A325" s="14" t="str">
        <f>[1]FINAL!$A461</f>
        <v>Jack Taylor</v>
      </c>
      <c r="B325" s="20" t="str">
        <f>IFERROR(VLOOKUP($A325,[1]FINAL!$A$1:$Z$1000,MATCH([1]FINAL!$T$1,[1]FINAL!$A$1:$Z$1,0),0),"")</f>
        <v>MID</v>
      </c>
      <c r="C325" s="3" t="str">
        <f>IFERROR(VLOOKUP($A325,[1]FINAL!$A$1:$Z$1000,MATCH([1]FINAL!$U$1,[1]FINAL!$A$1:$Z$1,0),0),"")</f>
        <v>CM</v>
      </c>
      <c r="D325" s="3" t="str">
        <f>IFERROR(VLOOKUP($A325,[1]FINAL!$A$1:$Z$1000,MATCH([1]FINAL!$V$1,[1]FINAL!$A$1:$Z$1,0),0),"")</f>
        <v>IPS</v>
      </c>
      <c r="E325" s="6">
        <f t="shared" si="25"/>
        <v>115222.22222222222</v>
      </c>
      <c r="F325" s="5">
        <f t="shared" si="26"/>
        <v>0.53333333333333333</v>
      </c>
      <c r="G325" s="5">
        <f>IFERROR(IF(H325&lt;&gt;"",H325,VLOOKUP($A325,[1]FINAL!$A$1:$BZ$1000,MATCH([1]FINAL!$BL$1,[1]FINAL!$A$1:$BZ$1,0),0)),0)</f>
        <v>0.53333333333333333</v>
      </c>
      <c r="I325" s="5">
        <f>IFERROR(IF(J325&lt;&gt;"",J325,(IF(VLOOKUP($A325,#REF!,MATCH(#REF!,#REF!,0),0)=0,G325,VLOOKUP($A325,#REF!,MATCH(#REF!,#REF!,0),0)))),G325)</f>
        <v>0.53333333333333333</v>
      </c>
      <c r="K325" s="6">
        <f>IFERROR(VLOOKUP($A325,#REF!,MATCH(#REF!,#REF!,0),0),0)</f>
        <v>0</v>
      </c>
      <c r="L325" s="6">
        <f>IFERROR(VLOOKUP($A325,[1]FINAL!$A$1:$BZ$1000,MATCH([1]FINAL!$BF$1,[1]FINAL!$A$1:$BZ$1,0),0),0)</f>
        <v>77</v>
      </c>
      <c r="M325" s="7">
        <f t="shared" si="27"/>
        <v>0.85555555555555551</v>
      </c>
      <c r="N325" s="6">
        <f>IFERROR(VLOOKUP($A325,#REF!,MATCH(#REF!,#REF!,0),0),0)</f>
        <v>0</v>
      </c>
      <c r="O325" s="7">
        <f t="shared" si="28"/>
        <v>0</v>
      </c>
      <c r="P325" s="10" t="str">
        <f>IFERROR(VLOOKUP($A325,[1]FINAL!$A$1:$BZ$1000,MATCH([1]FINAL!$BB$1,[1]FINAL!$A$1:$BZ$1,0),0),"")</f>
        <v/>
      </c>
      <c r="Q325" s="18">
        <f t="shared" si="29"/>
        <v>1</v>
      </c>
    </row>
    <row r="326" spans="1:17" x14ac:dyDescent="0.25">
      <c r="A326" s="14" t="str">
        <f>[1]FINAL!$A41</f>
        <v>Antoine Semenyo</v>
      </c>
      <c r="B326" s="20" t="str">
        <f>IFERROR(VLOOKUP($A326,[1]FINAL!$A$1:$Z$1000,MATCH([1]FINAL!$T$1,[1]FINAL!$A$1:$Z$1,0),0),"")</f>
        <v>MID</v>
      </c>
      <c r="C326" s="3" t="str">
        <f>IFERROR(VLOOKUP($A326,[1]FINAL!$A$1:$Z$1000,MATCH([1]FINAL!$U$1,[1]FINAL!$A$1:$Z$1,0),0),"")</f>
        <v>RW</v>
      </c>
      <c r="D326" s="3" t="str">
        <f>IFERROR(VLOOKUP($A326,[1]FINAL!$A$1:$Z$1000,MATCH([1]FINAL!$V$1,[1]FINAL!$A$1:$Z$1,0),0),"")</f>
        <v>MCI</v>
      </c>
      <c r="E326" s="6">
        <f t="shared" si="25"/>
        <v>210000</v>
      </c>
      <c r="F326" s="5">
        <f t="shared" si="26"/>
        <v>1</v>
      </c>
      <c r="G326" s="5">
        <f>IFERROR(IF(H326&lt;&gt;"",H326,VLOOKUP($A326,[1]FINAL!$A$1:$BZ$1000,MATCH([1]FINAL!$BL$1,[1]FINAL!$A$1:$BZ$1,0),0)),0)</f>
        <v>1</v>
      </c>
      <c r="I326" s="5">
        <f>IFERROR(IF(J326&lt;&gt;"",J326,(IF(VLOOKUP($A326,#REF!,MATCH(#REF!,#REF!,0),0)=0,G326,VLOOKUP($A326,#REF!,MATCH(#REF!,#REF!,0),0)))),G326)</f>
        <v>1</v>
      </c>
      <c r="K326" s="6">
        <f>IFERROR(VLOOKUP($A326,#REF!,MATCH(#REF!,#REF!,0),0),0)</f>
        <v>0</v>
      </c>
      <c r="L326" s="6">
        <f>IFERROR(VLOOKUP($A326,[1]FINAL!$A$1:$BZ$1000,MATCH([1]FINAL!$BF$1,[1]FINAL!$A$1:$BZ$1,0),0),0)</f>
        <v>90</v>
      </c>
      <c r="M326" s="7">
        <f t="shared" si="27"/>
        <v>1</v>
      </c>
      <c r="N326" s="6">
        <f>IFERROR(VLOOKUP($A326,#REF!,MATCH(#REF!,#REF!,0),0),0)</f>
        <v>0</v>
      </c>
      <c r="O326" s="7">
        <f t="shared" si="28"/>
        <v>0</v>
      </c>
      <c r="P326" s="10" t="str">
        <f>IFERROR(VLOOKUP($A326,[1]FINAL!$A$1:$BZ$1000,MATCH([1]FINAL!$BB$1,[1]FINAL!$A$1:$BZ$1,0),0),"")</f>
        <v/>
      </c>
      <c r="Q326" s="18">
        <f t="shared" si="29"/>
        <v>1</v>
      </c>
    </row>
    <row r="327" spans="1:17" x14ac:dyDescent="0.25">
      <c r="A327" s="14" t="str">
        <f>[1]FINAL!$A553</f>
        <v>George Hemmings</v>
      </c>
      <c r="B327" s="20" t="str">
        <f>IFERROR(VLOOKUP($A327,[1]FINAL!$A$1:$Z$1000,MATCH([1]FINAL!$T$1,[1]FINAL!$A$1:$Z$1,0),0),"")</f>
        <v>MID</v>
      </c>
      <c r="C327" s="3" t="str">
        <f>IFERROR(VLOOKUP($A327,[1]FINAL!$A$1:$Z$1000,MATCH([1]FINAL!$U$1,[1]FINAL!$A$1:$Z$1,0),0),"")</f>
        <v/>
      </c>
      <c r="D327" s="3" t="str">
        <f>IFERROR(VLOOKUP($A327,[1]FINAL!$A$1:$Z$1000,MATCH([1]FINAL!$V$1,[1]FINAL!$A$1:$Z$1,0),0),"")</f>
        <v>AVL</v>
      </c>
      <c r="E327" s="6">
        <f t="shared" si="25"/>
        <v>0</v>
      </c>
      <c r="F327" s="5">
        <f t="shared" si="26"/>
        <v>0</v>
      </c>
      <c r="G327" s="5">
        <f>IFERROR(IF(H327&lt;&gt;"",H327,VLOOKUP($A327,[1]FINAL!$A$1:$BZ$1000,MATCH([1]FINAL!$BL$1,[1]FINAL!$A$1:$BZ$1,0),0)),0)</f>
        <v>0</v>
      </c>
      <c r="I327" s="5">
        <f>IFERROR(IF(J327&lt;&gt;"",J327,(IF(VLOOKUP($A327,#REF!,MATCH(#REF!,#REF!,0),0)=0,G327,VLOOKUP($A327,#REF!,MATCH(#REF!,#REF!,0),0)))),G327)</f>
        <v>0</v>
      </c>
      <c r="K327" s="6">
        <f>IFERROR(VLOOKUP($A327,#REF!,MATCH(#REF!,#REF!,0),0),0)</f>
        <v>0</v>
      </c>
      <c r="L327" s="6">
        <f>IFERROR(VLOOKUP($A327,[1]FINAL!$A$1:$BZ$1000,MATCH([1]FINAL!$BF$1,[1]FINAL!$A$1:$BZ$1,0),0),0)</f>
        <v>0</v>
      </c>
      <c r="M327" s="7">
        <f t="shared" si="27"/>
        <v>0</v>
      </c>
      <c r="N327" s="6">
        <f>IFERROR(VLOOKUP($A327,#REF!,MATCH(#REF!,#REF!,0),0),0)</f>
        <v>0</v>
      </c>
      <c r="O327" s="7">
        <f t="shared" si="28"/>
        <v>0</v>
      </c>
      <c r="P327" s="10" t="str">
        <f>IFERROR(VLOOKUP($A327,[1]FINAL!$A$1:$BZ$1000,MATCH([1]FINAL!$BB$1,[1]FINAL!$A$1:$BZ$1,0),0),"")</f>
        <v/>
      </c>
      <c r="Q327" s="18">
        <f t="shared" si="29"/>
        <v>1</v>
      </c>
    </row>
    <row r="328" spans="1:17" x14ac:dyDescent="0.25">
      <c r="A328" s="14" t="str">
        <f>[1]FINAL!$A458</f>
        <v>Chuba Akpom</v>
      </c>
      <c r="B328" s="20" t="str">
        <f>IFERROR(VLOOKUP($A328,[1]FINAL!$A$1:$Z$1000,MATCH([1]FINAL!$T$1,[1]FINAL!$A$1:$Z$1,0),0),"")</f>
        <v>FWD</v>
      </c>
      <c r="C328" s="3" t="str">
        <f>IFERROR(VLOOKUP($A328,[1]FINAL!$A$1:$Z$1000,MATCH([1]FINAL!$U$1,[1]FINAL!$A$1:$Z$1,0),0),"")</f>
        <v>CF</v>
      </c>
      <c r="D328" s="3" t="str">
        <f>IFERROR(VLOOKUP($A328,[1]FINAL!$A$1:$Z$1000,MATCH([1]FINAL!$V$1,[1]FINAL!$A$1:$Z$1,0),0),"")</f>
        <v>IPS</v>
      </c>
      <c r="E328" s="6">
        <f t="shared" si="25"/>
        <v>42479.674796747975</v>
      </c>
      <c r="F328" s="5">
        <f t="shared" si="26"/>
        <v>0.17073170731707318</v>
      </c>
      <c r="G328" s="5">
        <f>IFERROR(IF(H328&lt;&gt;"",H328,VLOOKUP($A328,[1]FINAL!$A$1:$BZ$1000,MATCH([1]FINAL!$BL$1,[1]FINAL!$A$1:$BZ$1,0),0)),0)</f>
        <v>0.17073170731707318</v>
      </c>
      <c r="I328" s="5">
        <f>IFERROR(IF(J328&lt;&gt;"",J328,(IF(VLOOKUP($A328,#REF!,MATCH(#REF!,#REF!,0),0)=0,G328,VLOOKUP($A328,#REF!,MATCH(#REF!,#REF!,0),0)))),G328)</f>
        <v>0.17073170731707318</v>
      </c>
      <c r="K328" s="6">
        <f>IFERROR(VLOOKUP($A328,#REF!,MATCH(#REF!,#REF!,0),0),0)</f>
        <v>0</v>
      </c>
      <c r="L328" s="6">
        <f>IFERROR(VLOOKUP($A328,[1]FINAL!$A$1:$BZ$1000,MATCH([1]FINAL!$BF$1,[1]FINAL!$A$1:$BZ$1,0),0),0)</f>
        <v>75</v>
      </c>
      <c r="M328" s="7">
        <f t="shared" si="27"/>
        <v>0.83333333333333337</v>
      </c>
      <c r="N328" s="6">
        <f>IFERROR(VLOOKUP($A328,#REF!,MATCH(#REF!,#REF!,0),0),0)</f>
        <v>0</v>
      </c>
      <c r="O328" s="7">
        <f t="shared" si="28"/>
        <v>0</v>
      </c>
      <c r="P328" s="10" t="str">
        <f>IFERROR(VLOOKUP($A328,[1]FINAL!$A$1:$BZ$1000,MATCH([1]FINAL!$BB$1,[1]FINAL!$A$1:$BZ$1,0),0),"")</f>
        <v/>
      </c>
      <c r="Q328" s="18">
        <f t="shared" si="29"/>
        <v>1</v>
      </c>
    </row>
    <row r="329" spans="1:17" x14ac:dyDescent="0.25">
      <c r="A329" s="14" t="str">
        <f>[1]FINAL!$A463</f>
        <v>Kasey McAteer</v>
      </c>
      <c r="B329" s="20" t="str">
        <f>IFERROR(VLOOKUP($A329,[1]FINAL!$A$1:$Z$1000,MATCH([1]FINAL!$T$1,[1]FINAL!$A$1:$Z$1,0),0),"")</f>
        <v>MID</v>
      </c>
      <c r="C329" s="3" t="str">
        <f>IFERROR(VLOOKUP($A329,[1]FINAL!$A$1:$Z$1000,MATCH([1]FINAL!$U$1,[1]FINAL!$A$1:$Z$1,0),0),"")</f>
        <v>RM</v>
      </c>
      <c r="D329" s="3" t="str">
        <f>IFERROR(VLOOKUP($A329,[1]FINAL!$A$1:$Z$1000,MATCH([1]FINAL!$V$1,[1]FINAL!$A$1:$Z$1,0),0),"")</f>
        <v>IPS</v>
      </c>
      <c r="E329" s="6">
        <f t="shared" si="25"/>
        <v>72894.056847545231</v>
      </c>
      <c r="F329" s="5">
        <f t="shared" si="26"/>
        <v>0.32558139534883723</v>
      </c>
      <c r="G329" s="5">
        <f>IFERROR(IF(H329&lt;&gt;"",H329,VLOOKUP($A329,[1]FINAL!$A$1:$BZ$1000,MATCH([1]FINAL!$BL$1,[1]FINAL!$A$1:$BZ$1,0),0)),0)</f>
        <v>0.32558139534883723</v>
      </c>
      <c r="I329" s="5">
        <f>IFERROR(IF(J329&lt;&gt;"",J329,(IF(VLOOKUP($A329,#REF!,MATCH(#REF!,#REF!,0),0)=0,G329,VLOOKUP($A329,#REF!,MATCH(#REF!,#REF!,0),0)))),G329)</f>
        <v>0.32558139534883723</v>
      </c>
      <c r="K329" s="6">
        <f>IFERROR(VLOOKUP($A329,#REF!,MATCH(#REF!,#REF!,0),0),0)</f>
        <v>0</v>
      </c>
      <c r="L329" s="6">
        <f>IFERROR(VLOOKUP($A329,[1]FINAL!$A$1:$BZ$1000,MATCH([1]FINAL!$BF$1,[1]FINAL!$A$1:$BZ$1,0),0),0)</f>
        <v>70</v>
      </c>
      <c r="M329" s="7">
        <f t="shared" si="27"/>
        <v>0.77777777777777779</v>
      </c>
      <c r="N329" s="6">
        <f>IFERROR(VLOOKUP($A329,#REF!,MATCH(#REF!,#REF!,0),0),0)</f>
        <v>0</v>
      </c>
      <c r="O329" s="7">
        <f t="shared" si="28"/>
        <v>0</v>
      </c>
      <c r="P329" s="10" t="str">
        <f>IFERROR(VLOOKUP($A329,[1]FINAL!$A$1:$BZ$1000,MATCH([1]FINAL!$BB$1,[1]FINAL!$A$1:$BZ$1,0),0),"")</f>
        <v/>
      </c>
      <c r="Q329" s="18">
        <f t="shared" si="29"/>
        <v>1</v>
      </c>
    </row>
    <row r="330" spans="1:17" x14ac:dyDescent="0.25">
      <c r="A330" s="14" t="str">
        <f>[1]FINAL!$A374</f>
        <v>Julián Araujo Zúñiga</v>
      </c>
      <c r="B330" s="20" t="str">
        <f>IFERROR(VLOOKUP($A330,[1]FINAL!$A$1:$Z$1000,MATCH([1]FINAL!$T$1,[1]FINAL!$A$1:$Z$1,0),0),"")</f>
        <v>DEF</v>
      </c>
      <c r="C330" s="3" t="str">
        <f>IFERROR(VLOOKUP($A330,[1]FINAL!$A$1:$Z$1000,MATCH([1]FINAL!$U$1,[1]FINAL!$A$1:$Z$1,0),0),"")</f>
        <v>RB</v>
      </c>
      <c r="D330" s="3" t="str">
        <f>IFERROR(VLOOKUP($A330,[1]FINAL!$A$1:$Z$1000,MATCH([1]FINAL!$V$1,[1]FINAL!$A$1:$Z$1,0),0),"")</f>
        <v>BOU</v>
      </c>
      <c r="E330" s="6">
        <f t="shared" si="25"/>
        <v>0</v>
      </c>
      <c r="F330" s="5">
        <f t="shared" si="26"/>
        <v>0</v>
      </c>
      <c r="G330" s="5">
        <f>IFERROR(IF(H330&lt;&gt;"",H330,VLOOKUP($A330,[1]FINAL!$A$1:$BZ$1000,MATCH([1]FINAL!$BL$1,[1]FINAL!$A$1:$BZ$1,0),0)),0)</f>
        <v>0</v>
      </c>
      <c r="I330" s="5">
        <f>IFERROR(IF(J330&lt;&gt;"",J330,(IF(VLOOKUP($A330,#REF!,MATCH(#REF!,#REF!,0),0)=0,G330,VLOOKUP($A330,#REF!,MATCH(#REF!,#REF!,0),0)))),G330)</f>
        <v>0</v>
      </c>
      <c r="K330" s="6">
        <f>IFERROR(VLOOKUP($A330,#REF!,MATCH(#REF!,#REF!,0),0),0)</f>
        <v>0</v>
      </c>
      <c r="L330" s="6">
        <f>IFERROR(VLOOKUP($A330,[1]FINAL!$A$1:$BZ$1000,MATCH([1]FINAL!$BF$1,[1]FINAL!$A$1:$BZ$1,0),0),0)</f>
        <v>0</v>
      </c>
      <c r="M330" s="7">
        <f t="shared" si="27"/>
        <v>0</v>
      </c>
      <c r="N330" s="6">
        <f>IFERROR(VLOOKUP($A330,#REF!,MATCH(#REF!,#REF!,0),0),0)</f>
        <v>0</v>
      </c>
      <c r="O330" s="7">
        <f t="shared" si="28"/>
        <v>0</v>
      </c>
      <c r="P330" s="10" t="str">
        <f>IFERROR(VLOOKUP($A330,[1]FINAL!$A$1:$BZ$1000,MATCH([1]FINAL!$BB$1,[1]FINAL!$A$1:$BZ$1,0),0),"")</f>
        <v/>
      </c>
      <c r="Q330" s="18">
        <f t="shared" si="29"/>
        <v>1</v>
      </c>
    </row>
    <row r="331" spans="1:17" x14ac:dyDescent="0.25">
      <c r="A331" s="14" t="str">
        <f>[1]FINAL!$A101</f>
        <v>Federico Chiesa</v>
      </c>
      <c r="B331" s="20" t="str">
        <f>IFERROR(VLOOKUP($A331,[1]FINAL!$A$1:$Z$1000,MATCH([1]FINAL!$T$1,[1]FINAL!$A$1:$Z$1,0),0),"")</f>
        <v>MID</v>
      </c>
      <c r="C331" s="3" t="str">
        <f>IFERROR(VLOOKUP($A331,[1]FINAL!$A$1:$Z$1000,MATCH([1]FINAL!$U$1,[1]FINAL!$A$1:$Z$1,0),0),"")</f>
        <v>RW</v>
      </c>
      <c r="D331" s="3" t="str">
        <f>IFERROR(VLOOKUP($A331,[1]FINAL!$A$1:$Z$1000,MATCH([1]FINAL!$V$1,[1]FINAL!$A$1:$Z$1,0),0),"")</f>
        <v>LIV</v>
      </c>
      <c r="E331" s="6">
        <f t="shared" si="25"/>
        <v>12222.222222222223</v>
      </c>
      <c r="F331" s="5">
        <f t="shared" si="26"/>
        <v>2.7777777777777776E-2</v>
      </c>
      <c r="G331" s="5">
        <f>IFERROR(IF(H331&lt;&gt;"",H331,VLOOKUP($A331,[1]FINAL!$A$1:$BZ$1000,MATCH([1]FINAL!$BL$1,[1]FINAL!$A$1:$BZ$1,0),0)),0)</f>
        <v>2.7777777777777776E-2</v>
      </c>
      <c r="I331" s="5">
        <f>IFERROR(IF(J331&lt;&gt;"",J331,(IF(VLOOKUP($A331,#REF!,MATCH(#REF!,#REF!,0),0)=0,G331,VLOOKUP($A331,#REF!,MATCH(#REF!,#REF!,0),0)))),G331)</f>
        <v>2.7777777777777776E-2</v>
      </c>
      <c r="K331" s="6">
        <f>IFERROR(VLOOKUP($A331,#REF!,MATCH(#REF!,#REF!,0),0),0)</f>
        <v>0</v>
      </c>
      <c r="L331" s="6">
        <f>IFERROR(VLOOKUP($A331,[1]FINAL!$A$1:$BZ$1000,MATCH([1]FINAL!$BF$1,[1]FINAL!$A$1:$BZ$1,0),0),0)</f>
        <v>60</v>
      </c>
      <c r="M331" s="7">
        <f t="shared" si="27"/>
        <v>0.66666666666666663</v>
      </c>
      <c r="N331" s="6">
        <f>IFERROR(VLOOKUP($A331,#REF!,MATCH(#REF!,#REF!,0),0),0)</f>
        <v>0</v>
      </c>
      <c r="O331" s="7">
        <f t="shared" si="28"/>
        <v>0</v>
      </c>
      <c r="P331" s="10" t="str">
        <f>IFERROR(VLOOKUP($A331,[1]FINAL!$A$1:$BZ$1000,MATCH([1]FINAL!$BB$1,[1]FINAL!$A$1:$BZ$1,0),0),"")</f>
        <v/>
      </c>
      <c r="Q331" s="18">
        <f t="shared" si="29"/>
        <v>1</v>
      </c>
    </row>
    <row r="332" spans="1:17" x14ac:dyDescent="0.25">
      <c r="A332" s="14" t="str">
        <f>[1]FINAL!$A312</f>
        <v>Omar Alderete</v>
      </c>
      <c r="B332" s="20" t="str">
        <f>IFERROR(VLOOKUP($A332,[1]FINAL!$A$1:$Z$1000,MATCH([1]FINAL!$T$1,[1]FINAL!$A$1:$Z$1,0),0),"")</f>
        <v>DEF</v>
      </c>
      <c r="C332" s="3" t="str">
        <f>IFERROR(VLOOKUP($A332,[1]FINAL!$A$1:$Z$1000,MATCH([1]FINAL!$U$1,[1]FINAL!$A$1:$Z$1,0),0),"")</f>
        <v>CB</v>
      </c>
      <c r="D332" s="3" t="str">
        <f>IFERROR(VLOOKUP($A332,[1]FINAL!$A$1:$Z$1000,MATCH([1]FINAL!$V$1,[1]FINAL!$A$1:$Z$1,0),0),"")</f>
        <v>SUN</v>
      </c>
      <c r="E332" s="6">
        <f t="shared" si="25"/>
        <v>192412.6984126984</v>
      </c>
      <c r="F332" s="5">
        <f t="shared" si="26"/>
        <v>0.91428571428571426</v>
      </c>
      <c r="G332" s="5">
        <f>IFERROR(IF(H332&lt;&gt;"",H332,VLOOKUP($A332,[1]FINAL!$A$1:$BZ$1000,MATCH([1]FINAL!$BL$1,[1]FINAL!$A$1:$BZ$1,0),0)),0)</f>
        <v>0.91428571428571426</v>
      </c>
      <c r="I332" s="5">
        <f>IFERROR(IF(J332&lt;&gt;"",J332,(IF(VLOOKUP($A332,#REF!,MATCH(#REF!,#REF!,0),0)=0,G332,VLOOKUP($A332,#REF!,MATCH(#REF!,#REF!,0),0)))),G332)</f>
        <v>0.91428571428571426</v>
      </c>
      <c r="K332" s="6">
        <f>IFERROR(VLOOKUP($A332,#REF!,MATCH(#REF!,#REF!,0),0),0)</f>
        <v>0</v>
      </c>
      <c r="L332" s="6">
        <f>IFERROR(VLOOKUP($A332,[1]FINAL!$A$1:$BZ$1000,MATCH([1]FINAL!$BF$1,[1]FINAL!$A$1:$BZ$1,0),0),0)</f>
        <v>86</v>
      </c>
      <c r="M332" s="7">
        <f t="shared" si="27"/>
        <v>0.9555555555555556</v>
      </c>
      <c r="N332" s="6">
        <f>IFERROR(VLOOKUP($A332,#REF!,MATCH(#REF!,#REF!,0),0),0)</f>
        <v>0</v>
      </c>
      <c r="O332" s="7">
        <f t="shared" si="28"/>
        <v>0</v>
      </c>
      <c r="P332" s="10" t="str">
        <f>IFERROR(VLOOKUP($A332,[1]FINAL!$A$1:$BZ$1000,MATCH([1]FINAL!$BB$1,[1]FINAL!$A$1:$BZ$1,0),0),"")</f>
        <v/>
      </c>
      <c r="Q332" s="18">
        <f t="shared" si="29"/>
        <v>1</v>
      </c>
    </row>
    <row r="333" spans="1:17" x14ac:dyDescent="0.25">
      <c r="A333" s="14" t="str">
        <f>[1]FINAL!$A240</f>
        <v>Cristian Romero</v>
      </c>
      <c r="B333" s="20" t="str">
        <f>IFERROR(VLOOKUP($A333,[1]FINAL!$A$1:$Z$1000,MATCH([1]FINAL!$T$1,[1]FINAL!$A$1:$Z$1,0),0),"")</f>
        <v>DEF</v>
      </c>
      <c r="C333" s="3" t="str">
        <f>IFERROR(VLOOKUP($A333,[1]FINAL!$A$1:$Z$1000,MATCH([1]FINAL!$U$1,[1]FINAL!$A$1:$Z$1,0),0),"")</f>
        <v>CB</v>
      </c>
      <c r="D333" s="3" t="str">
        <f>IFERROR(VLOOKUP($A333,[1]FINAL!$A$1:$Z$1000,MATCH([1]FINAL!$V$1,[1]FINAL!$A$1:$Z$1,0),0),"")</f>
        <v>TOT</v>
      </c>
      <c r="E333" s="6">
        <f t="shared" si="25"/>
        <v>200637.68115942032</v>
      </c>
      <c r="F333" s="5">
        <f t="shared" si="26"/>
        <v>0.95652173913043481</v>
      </c>
      <c r="G333" s="5">
        <f>IFERROR(IF(H333&lt;&gt;"",H333,VLOOKUP($A333,[1]FINAL!$A$1:$BZ$1000,MATCH([1]FINAL!$BL$1,[1]FINAL!$A$1:$BZ$1,0),0)),0)</f>
        <v>0.95652173913043481</v>
      </c>
      <c r="I333" s="5">
        <f>IFERROR(IF(J333&lt;&gt;"",J333,(IF(VLOOKUP($A333,#REF!,MATCH(#REF!,#REF!,0),0)=0,G333,VLOOKUP($A333,#REF!,MATCH(#REF!,#REF!,0),0)))),G333)</f>
        <v>0.95652173913043481</v>
      </c>
      <c r="K333" s="6">
        <f>IFERROR(VLOOKUP($A333,#REF!,MATCH(#REF!,#REF!,0),0),0)</f>
        <v>0</v>
      </c>
      <c r="L333" s="6">
        <f>IFERROR(VLOOKUP($A333,[1]FINAL!$A$1:$BZ$1000,MATCH([1]FINAL!$BF$1,[1]FINAL!$A$1:$BZ$1,0),0),0)</f>
        <v>84</v>
      </c>
      <c r="M333" s="7">
        <f t="shared" si="27"/>
        <v>0.93333333333333335</v>
      </c>
      <c r="N333" s="6">
        <f>IFERROR(VLOOKUP($A333,#REF!,MATCH(#REF!,#REF!,0),0),0)</f>
        <v>0</v>
      </c>
      <c r="O333" s="7">
        <f t="shared" si="28"/>
        <v>0</v>
      </c>
      <c r="P333" s="10" t="str">
        <f>IFERROR(VLOOKUP($A333,[1]FINAL!$A$1:$BZ$1000,MATCH([1]FINAL!$BB$1,[1]FINAL!$A$1:$BZ$1,0),0),"")</f>
        <v/>
      </c>
      <c r="Q333" s="18">
        <f t="shared" si="29"/>
        <v>1</v>
      </c>
    </row>
    <row r="334" spans="1:17" x14ac:dyDescent="0.25">
      <c r="A334" s="14" t="str">
        <f>[1]FINAL!$A253</f>
        <v>Micky van de Ven</v>
      </c>
      <c r="B334" s="20" t="str">
        <f>IFERROR(VLOOKUP($A334,[1]FINAL!$A$1:$Z$1000,MATCH([1]FINAL!$T$1,[1]FINAL!$A$1:$Z$1,0),0),"")</f>
        <v>DEF</v>
      </c>
      <c r="C334" s="3" t="str">
        <f>IFERROR(VLOOKUP($A334,[1]FINAL!$A$1:$Z$1000,MATCH([1]FINAL!$U$1,[1]FINAL!$A$1:$Z$1,0),0),"")</f>
        <v>CB</v>
      </c>
      <c r="D334" s="3" t="str">
        <f>IFERROR(VLOOKUP($A334,[1]FINAL!$A$1:$Z$1000,MATCH([1]FINAL!$V$1,[1]FINAL!$A$1:$Z$1,0),0),"")</f>
        <v>TOT</v>
      </c>
      <c r="E334" s="6">
        <f t="shared" si="25"/>
        <v>204111.11111111109</v>
      </c>
      <c r="F334" s="5">
        <f t="shared" si="26"/>
        <v>0.97222222222222221</v>
      </c>
      <c r="G334" s="5">
        <f>IFERROR(IF(H334&lt;&gt;"",H334,VLOOKUP($A334,[1]FINAL!$A$1:$BZ$1000,MATCH([1]FINAL!$BL$1,[1]FINAL!$A$1:$BZ$1,0),0)),0)</f>
        <v>0.97222222222222221</v>
      </c>
      <c r="I334" s="5">
        <f>IFERROR(IF(J334&lt;&gt;"",J334,(IF(VLOOKUP($A334,#REF!,MATCH(#REF!,#REF!,0),0)=0,G334,VLOOKUP($A334,#REF!,MATCH(#REF!,#REF!,0),0)))),G334)</f>
        <v>0.97222222222222221</v>
      </c>
      <c r="K334" s="6">
        <f>IFERROR(VLOOKUP($A334,#REF!,MATCH(#REF!,#REF!,0),0),0)</f>
        <v>0</v>
      </c>
      <c r="L334" s="6">
        <f>IFERROR(VLOOKUP($A334,[1]FINAL!$A$1:$BZ$1000,MATCH([1]FINAL!$BF$1,[1]FINAL!$A$1:$BZ$1,0),0),0)</f>
        <v>87</v>
      </c>
      <c r="M334" s="7">
        <f t="shared" si="27"/>
        <v>0.96666666666666667</v>
      </c>
      <c r="N334" s="6">
        <f>IFERROR(VLOOKUP($A334,#REF!,MATCH(#REF!,#REF!,0),0),0)</f>
        <v>0</v>
      </c>
      <c r="O334" s="7">
        <f t="shared" si="28"/>
        <v>0</v>
      </c>
      <c r="P334" s="10" t="str">
        <f>IFERROR(VLOOKUP($A334,[1]FINAL!$A$1:$BZ$1000,MATCH([1]FINAL!$BB$1,[1]FINAL!$A$1:$BZ$1,0),0),"")</f>
        <v/>
      </c>
      <c r="Q334" s="18">
        <f t="shared" si="29"/>
        <v>1</v>
      </c>
    </row>
    <row r="335" spans="1:17" x14ac:dyDescent="0.25">
      <c r="A335" s="14" t="str">
        <f>[1]FINAL!$A450</f>
        <v>Jaden Philogene</v>
      </c>
      <c r="B335" s="20" t="str">
        <f>IFERROR(VLOOKUP($A335,[1]FINAL!$A$1:$Z$1000,MATCH([1]FINAL!$T$1,[1]FINAL!$A$1:$Z$1,0),0),"")</f>
        <v>MID</v>
      </c>
      <c r="C335" s="3" t="str">
        <f>IFERROR(VLOOKUP($A335,[1]FINAL!$A$1:$Z$1000,MATCH([1]FINAL!$U$1,[1]FINAL!$A$1:$Z$1,0),0),"")</f>
        <v>LW</v>
      </c>
      <c r="D335" s="3" t="str">
        <f>IFERROR(VLOOKUP($A335,[1]FINAL!$A$1:$Z$1000,MATCH([1]FINAL!$V$1,[1]FINAL!$A$1:$Z$1,0),0),"")</f>
        <v>IPS</v>
      </c>
      <c r="E335" s="6">
        <f t="shared" si="25"/>
        <v>0</v>
      </c>
      <c r="F335" s="5">
        <f t="shared" si="26"/>
        <v>0</v>
      </c>
      <c r="G335" s="5">
        <f>IFERROR(IF(H335&lt;&gt;"",H335,VLOOKUP($A335,[1]FINAL!$A$1:$BZ$1000,MATCH([1]FINAL!$BL$1,[1]FINAL!$A$1:$BZ$1,0),0)),0)</f>
        <v>0</v>
      </c>
      <c r="I335" s="5">
        <f>IFERROR(IF(J335&lt;&gt;"",J335,(IF(VLOOKUP($A335,#REF!,MATCH(#REF!,#REF!,0),0)=0,G335,VLOOKUP($A335,#REF!,MATCH(#REF!,#REF!,0),0)))),G335)</f>
        <v>0</v>
      </c>
      <c r="K335" s="6">
        <f>IFERROR(VLOOKUP($A335,#REF!,MATCH(#REF!,#REF!,0),0),0)</f>
        <v>0</v>
      </c>
      <c r="L335" s="6">
        <f>IFERROR(VLOOKUP($A335,[1]FINAL!$A$1:$BZ$1000,MATCH([1]FINAL!$BF$1,[1]FINAL!$A$1:$BZ$1,0),0),0)</f>
        <v>0</v>
      </c>
      <c r="M335" s="7">
        <f t="shared" si="27"/>
        <v>0</v>
      </c>
      <c r="N335" s="6">
        <f>IFERROR(VLOOKUP($A335,#REF!,MATCH(#REF!,#REF!,0),0),0)</f>
        <v>0</v>
      </c>
      <c r="O335" s="7">
        <f t="shared" si="28"/>
        <v>0</v>
      </c>
      <c r="P335" s="10" t="str">
        <f>IFERROR(VLOOKUP($A335,[1]FINAL!$A$1:$BZ$1000,MATCH([1]FINAL!$BB$1,[1]FINAL!$A$1:$BZ$1,0),0),"")</f>
        <v/>
      </c>
      <c r="Q335" s="18">
        <f t="shared" si="29"/>
        <v>1</v>
      </c>
    </row>
    <row r="336" spans="1:17" x14ac:dyDescent="0.25">
      <c r="A336" s="14" t="str">
        <f>[1]FINAL!$A291</f>
        <v>Saša Lukić</v>
      </c>
      <c r="B336" s="20" t="str">
        <f>IFERROR(VLOOKUP($A336,[1]FINAL!$A$1:$Z$1000,MATCH([1]FINAL!$T$1,[1]FINAL!$A$1:$Z$1,0),0),"")</f>
        <v>MID</v>
      </c>
      <c r="C336" s="3" t="str">
        <f>IFERROR(VLOOKUP($A336,[1]FINAL!$A$1:$Z$1000,MATCH([1]FINAL!$U$1,[1]FINAL!$A$1:$Z$1,0),0),"")</f>
        <v>CM</v>
      </c>
      <c r="D336" s="3" t="str">
        <f>IFERROR(VLOOKUP($A336,[1]FINAL!$A$1:$Z$1000,MATCH([1]FINAL!$V$1,[1]FINAL!$A$1:$Z$1,0),0),"")</f>
        <v>FUL</v>
      </c>
      <c r="E336" s="6">
        <f t="shared" si="25"/>
        <v>146819.92337164751</v>
      </c>
      <c r="F336" s="5">
        <f t="shared" si="26"/>
        <v>0.68965517241379315</v>
      </c>
      <c r="G336" s="5">
        <f>IFERROR(IF(H336&lt;&gt;"",H336,VLOOKUP($A336,[1]FINAL!$A$1:$BZ$1000,MATCH([1]FINAL!$BL$1,[1]FINAL!$A$1:$BZ$1,0),0)),0)</f>
        <v>0.68965517241379315</v>
      </c>
      <c r="I336" s="5">
        <f>IFERROR(IF(J336&lt;&gt;"",J336,(IF(VLOOKUP($A336,#REF!,MATCH(#REF!,#REF!,0),0)=0,G336,VLOOKUP($A336,#REF!,MATCH(#REF!,#REF!,0),0)))),G336)</f>
        <v>0.68965517241379315</v>
      </c>
      <c r="K336" s="6">
        <f>IFERROR(VLOOKUP($A336,#REF!,MATCH(#REF!,#REF!,0),0),0)</f>
        <v>0</v>
      </c>
      <c r="L336" s="6">
        <f>IFERROR(VLOOKUP($A336,[1]FINAL!$A$1:$BZ$1000,MATCH([1]FINAL!$BF$1,[1]FINAL!$A$1:$BZ$1,0),0),0)</f>
        <v>80</v>
      </c>
      <c r="M336" s="7">
        <f t="shared" si="27"/>
        <v>0.88888888888888884</v>
      </c>
      <c r="N336" s="6">
        <f>IFERROR(VLOOKUP($A336,#REF!,MATCH(#REF!,#REF!,0),0),0)</f>
        <v>0</v>
      </c>
      <c r="O336" s="7">
        <f t="shared" si="28"/>
        <v>0</v>
      </c>
      <c r="P336" s="10" t="str">
        <f>IFERROR(VLOOKUP($A336,[1]FINAL!$A$1:$BZ$1000,MATCH([1]FINAL!$BB$1,[1]FINAL!$A$1:$BZ$1,0),0),"")</f>
        <v/>
      </c>
      <c r="Q336" s="18">
        <f t="shared" si="29"/>
        <v>1</v>
      </c>
    </row>
    <row r="337" spans="1:17" x14ac:dyDescent="0.25">
      <c r="A337" s="14" t="str">
        <f>[1]FINAL!$A223</f>
        <v>Daniel James</v>
      </c>
      <c r="B337" s="20" t="str">
        <f>IFERROR(VLOOKUP($A337,[1]FINAL!$A$1:$Z$1000,MATCH([1]FINAL!$T$1,[1]FINAL!$A$1:$Z$1,0),0),"")</f>
        <v>MID</v>
      </c>
      <c r="C337" s="3" t="str">
        <f>IFERROR(VLOOKUP($A337,[1]FINAL!$A$1:$Z$1000,MATCH([1]FINAL!$U$1,[1]FINAL!$A$1:$Z$1,0),0),"")</f>
        <v>RW</v>
      </c>
      <c r="D337" s="3" t="str">
        <f>IFERROR(VLOOKUP($A337,[1]FINAL!$A$1:$Z$1000,MATCH([1]FINAL!$V$1,[1]FINAL!$A$1:$Z$1,0),0),"")</f>
        <v>LEE</v>
      </c>
      <c r="E337" s="6">
        <f t="shared" si="25"/>
        <v>58951.690821256037</v>
      </c>
      <c r="F337" s="5">
        <f t="shared" si="26"/>
        <v>0.2608695652173913</v>
      </c>
      <c r="G337" s="5">
        <f>IFERROR(IF(H337&lt;&gt;"",H337,VLOOKUP($A337,[1]FINAL!$A$1:$BZ$1000,MATCH([1]FINAL!$BL$1,[1]FINAL!$A$1:$BZ$1,0),0)),0)</f>
        <v>0.2608695652173913</v>
      </c>
      <c r="I337" s="5">
        <f>IFERROR(IF(J337&lt;&gt;"",J337,(IF(VLOOKUP($A337,#REF!,MATCH(#REF!,#REF!,0),0)=0,G337,VLOOKUP($A337,#REF!,MATCH(#REF!,#REF!,0),0)))),G337)</f>
        <v>0.2608695652173913</v>
      </c>
      <c r="K337" s="6">
        <f>IFERROR(VLOOKUP($A337,#REF!,MATCH(#REF!,#REF!,0),0),0)</f>
        <v>0</v>
      </c>
      <c r="L337" s="6">
        <f>IFERROR(VLOOKUP($A337,[1]FINAL!$A$1:$BZ$1000,MATCH([1]FINAL!$BF$1,[1]FINAL!$A$1:$BZ$1,0),0),0)</f>
        <v>61</v>
      </c>
      <c r="M337" s="7">
        <f t="shared" si="27"/>
        <v>0.67777777777777781</v>
      </c>
      <c r="N337" s="6">
        <f>IFERROR(VLOOKUP($A337,#REF!,MATCH(#REF!,#REF!,0),0),0)</f>
        <v>0</v>
      </c>
      <c r="O337" s="7">
        <f t="shared" si="28"/>
        <v>0</v>
      </c>
      <c r="P337" s="10" t="str">
        <f>IFERROR(VLOOKUP($A337,[1]FINAL!$A$1:$BZ$1000,MATCH([1]FINAL!$BB$1,[1]FINAL!$A$1:$BZ$1,0),0),"")</f>
        <v/>
      </c>
      <c r="Q337" s="18">
        <f t="shared" si="29"/>
        <v>1</v>
      </c>
    </row>
    <row r="338" spans="1:17" x14ac:dyDescent="0.25">
      <c r="A338" s="14" t="str">
        <f>[1]FINAL!$A398</f>
        <v>Marcus Rashford</v>
      </c>
      <c r="B338" s="20" t="str">
        <f>IFERROR(VLOOKUP($A338,[1]FINAL!$A$1:$Z$1000,MATCH([1]FINAL!$T$1,[1]FINAL!$A$1:$Z$1,0),0),"")</f>
        <v>MID</v>
      </c>
      <c r="C338" s="3" t="str">
        <f>IFERROR(VLOOKUP($A338,[1]FINAL!$A$1:$Z$1000,MATCH([1]FINAL!$U$1,[1]FINAL!$A$1:$Z$1,0),0),"")</f>
        <v>LW</v>
      </c>
      <c r="D338" s="3" t="str">
        <f>IFERROR(VLOOKUP($A338,[1]FINAL!$A$1:$Z$1000,MATCH([1]FINAL!$V$1,[1]FINAL!$A$1:$Z$1,0),0),"")</f>
        <v>MUN</v>
      </c>
      <c r="E338" s="6">
        <f t="shared" si="25"/>
        <v>0</v>
      </c>
      <c r="F338" s="5">
        <f t="shared" si="26"/>
        <v>0</v>
      </c>
      <c r="G338" s="5">
        <f>IFERROR(IF(H338&lt;&gt;"",H338,VLOOKUP($A338,[1]FINAL!$A$1:$BZ$1000,MATCH([1]FINAL!$BL$1,[1]FINAL!$A$1:$BZ$1,0),0)),0)</f>
        <v>0</v>
      </c>
      <c r="I338" s="5">
        <f>IFERROR(IF(J338&lt;&gt;"",J338,(IF(VLOOKUP($A338,#REF!,MATCH(#REF!,#REF!,0),0)=0,G338,VLOOKUP($A338,#REF!,MATCH(#REF!,#REF!,0),0)))),G338)</f>
        <v>0</v>
      </c>
      <c r="K338" s="6">
        <f>IFERROR(VLOOKUP($A338,#REF!,MATCH(#REF!,#REF!,0),0),0)</f>
        <v>0</v>
      </c>
      <c r="L338" s="6">
        <f>IFERROR(VLOOKUP($A338,[1]FINAL!$A$1:$BZ$1000,MATCH([1]FINAL!$BF$1,[1]FINAL!$A$1:$BZ$1,0),0),0)</f>
        <v>0</v>
      </c>
      <c r="M338" s="7">
        <f t="shared" si="27"/>
        <v>0</v>
      </c>
      <c r="N338" s="6">
        <f>IFERROR(VLOOKUP($A338,#REF!,MATCH(#REF!,#REF!,0),0),0)</f>
        <v>0</v>
      </c>
      <c r="O338" s="7">
        <f t="shared" si="28"/>
        <v>0</v>
      </c>
      <c r="P338" s="10" t="str">
        <f>IFERROR(VLOOKUP($A338,[1]FINAL!$A$1:$BZ$1000,MATCH([1]FINAL!$BB$1,[1]FINAL!$A$1:$BZ$1,0),0),"")</f>
        <v/>
      </c>
      <c r="Q338" s="18">
        <f t="shared" si="29"/>
        <v>1</v>
      </c>
    </row>
    <row r="339" spans="1:17" x14ac:dyDescent="0.25">
      <c r="A339" s="14" t="str">
        <f>[1]FINAL!$A148</f>
        <v>Đorđe Petrović</v>
      </c>
      <c r="B339" s="20" t="str">
        <f>IFERROR(VLOOKUP($A339,[1]FINAL!$A$1:$Z$1000,MATCH([1]FINAL!$T$1,[1]FINAL!$A$1:$Z$1,0),0),"")</f>
        <v>GK</v>
      </c>
      <c r="C339" s="3" t="str">
        <f>IFERROR(VLOOKUP($A339,[1]FINAL!$A$1:$Z$1000,MATCH([1]FINAL!$U$1,[1]FINAL!$A$1:$Z$1,0),0),"")</f>
        <v>GK</v>
      </c>
      <c r="D339" s="3" t="str">
        <f>IFERROR(VLOOKUP($A339,[1]FINAL!$A$1:$Z$1000,MATCH([1]FINAL!$V$1,[1]FINAL!$A$1:$Z$1,0),0),"")</f>
        <v>BOU</v>
      </c>
      <c r="E339" s="6">
        <f t="shared" si="25"/>
        <v>210000</v>
      </c>
      <c r="F339" s="5">
        <f t="shared" si="26"/>
        <v>1</v>
      </c>
      <c r="G339" s="5">
        <f>IFERROR(IF(H339&lt;&gt;"",H339,VLOOKUP($A339,[1]FINAL!$A$1:$BZ$1000,MATCH([1]FINAL!$BL$1,[1]FINAL!$A$1:$BZ$1,0),0)),0)</f>
        <v>1</v>
      </c>
      <c r="I339" s="5">
        <f>IFERROR(IF(J339&lt;&gt;"",J339,(IF(VLOOKUP($A339,#REF!,MATCH(#REF!,#REF!,0),0)=0,G339,VLOOKUP($A339,#REF!,MATCH(#REF!,#REF!,0),0)))),G339)</f>
        <v>1</v>
      </c>
      <c r="K339" s="6">
        <f>IFERROR(VLOOKUP($A339,#REF!,MATCH(#REF!,#REF!,0),0),0)</f>
        <v>0</v>
      </c>
      <c r="L339" s="6">
        <f>IFERROR(VLOOKUP($A339,[1]FINAL!$A$1:$BZ$1000,MATCH([1]FINAL!$BF$1,[1]FINAL!$A$1:$BZ$1,0),0),0)</f>
        <v>90</v>
      </c>
      <c r="M339" s="7">
        <f t="shared" si="27"/>
        <v>1</v>
      </c>
      <c r="N339" s="6">
        <f>IFERROR(VLOOKUP($A339,#REF!,MATCH(#REF!,#REF!,0),0),0)</f>
        <v>0</v>
      </c>
      <c r="O339" s="7">
        <f t="shared" si="28"/>
        <v>0</v>
      </c>
      <c r="P339" s="10" t="str">
        <f>IFERROR(VLOOKUP($A339,[1]FINAL!$A$1:$BZ$1000,MATCH([1]FINAL!$BB$1,[1]FINAL!$A$1:$BZ$1,0),0),"")</f>
        <v/>
      </c>
      <c r="Q339" s="18">
        <f t="shared" si="29"/>
        <v>1</v>
      </c>
    </row>
    <row r="340" spans="1:17" x14ac:dyDescent="0.25">
      <c r="A340" s="14" t="str">
        <f>[1]FINAL!$A324</f>
        <v>Tosin Adarabioyo</v>
      </c>
      <c r="B340" s="20" t="str">
        <f>IFERROR(VLOOKUP($A340,[1]FINAL!$A$1:$Z$1000,MATCH([1]FINAL!$T$1,[1]FINAL!$A$1:$Z$1,0),0),"")</f>
        <v>DEF</v>
      </c>
      <c r="C340" s="3" t="str">
        <f>IFERROR(VLOOKUP($A340,[1]FINAL!$A$1:$Z$1000,MATCH([1]FINAL!$U$1,[1]FINAL!$A$1:$Z$1,0),0),"")</f>
        <v>CB</v>
      </c>
      <c r="D340" s="3" t="str">
        <f>IFERROR(VLOOKUP($A340,[1]FINAL!$A$1:$Z$1000,MATCH([1]FINAL!$V$1,[1]FINAL!$A$1:$Z$1,0),0),"")</f>
        <v>CHE</v>
      </c>
      <c r="E340" s="6">
        <f t="shared" si="25"/>
        <v>66031.746031746021</v>
      </c>
      <c r="F340" s="5">
        <f t="shared" si="26"/>
        <v>0.2857142857142857</v>
      </c>
      <c r="G340" s="5">
        <f>IFERROR(IF(H340&lt;&gt;"",H340,VLOOKUP($A340,[1]FINAL!$A$1:$BZ$1000,MATCH([1]FINAL!$BL$1,[1]FINAL!$A$1:$BZ$1,0),0)),0)</f>
        <v>0.2857142857142857</v>
      </c>
      <c r="I340" s="5">
        <f>IFERROR(IF(J340&lt;&gt;"",J340,(IF(VLOOKUP($A340,#REF!,MATCH(#REF!,#REF!,0),0)=0,G340,VLOOKUP($A340,#REF!,MATCH(#REF!,#REF!,0),0)))),G340)</f>
        <v>0.2857142857142857</v>
      </c>
      <c r="K340" s="6">
        <f>IFERROR(VLOOKUP($A340,#REF!,MATCH(#REF!,#REF!,0),0),0)</f>
        <v>0</v>
      </c>
      <c r="L340" s="6">
        <f>IFERROR(VLOOKUP($A340,[1]FINAL!$A$1:$BZ$1000,MATCH([1]FINAL!$BF$1,[1]FINAL!$A$1:$BZ$1,0),0),0)</f>
        <v>80</v>
      </c>
      <c r="M340" s="7">
        <f t="shared" si="27"/>
        <v>0.88888888888888884</v>
      </c>
      <c r="N340" s="6">
        <f>IFERROR(VLOOKUP($A340,#REF!,MATCH(#REF!,#REF!,0),0),0)</f>
        <v>0</v>
      </c>
      <c r="O340" s="7">
        <f t="shared" si="28"/>
        <v>0</v>
      </c>
      <c r="P340" s="10" t="str">
        <f>IFERROR(VLOOKUP($A340,[1]FINAL!$A$1:$BZ$1000,MATCH([1]FINAL!$BB$1,[1]FINAL!$A$1:$BZ$1,0),0),"")</f>
        <v/>
      </c>
      <c r="Q340" s="18">
        <f t="shared" si="29"/>
        <v>1</v>
      </c>
    </row>
    <row r="341" spans="1:17" x14ac:dyDescent="0.25">
      <c r="A341" s="14" t="str">
        <f>[1]FINAL!$A219</f>
        <v>Martín Zubimendi Ibáñez</v>
      </c>
      <c r="B341" s="20" t="str">
        <f>IFERROR(VLOOKUP($A341,[1]FINAL!$A$1:$Z$1000,MATCH([1]FINAL!$T$1,[1]FINAL!$A$1:$Z$1,0),0),"")</f>
        <v>MID</v>
      </c>
      <c r="C341" s="3" t="str">
        <f>IFERROR(VLOOKUP($A341,[1]FINAL!$A$1:$Z$1000,MATCH([1]FINAL!$U$1,[1]FINAL!$A$1:$Z$1,0),0),"")</f>
        <v>DM</v>
      </c>
      <c r="D341" s="3" t="str">
        <f>IFERROR(VLOOKUP($A341,[1]FINAL!$A$1:$Z$1000,MATCH([1]FINAL!$V$1,[1]FINAL!$A$1:$Z$1,0),0),"")</f>
        <v>ARS</v>
      </c>
      <c r="E341" s="6">
        <f t="shared" si="25"/>
        <v>188280.70175438598</v>
      </c>
      <c r="F341" s="5">
        <f t="shared" si="26"/>
        <v>0.89473684210526316</v>
      </c>
      <c r="G341" s="5">
        <f>IFERROR(IF(H341&lt;&gt;"",H341,VLOOKUP($A341,[1]FINAL!$A$1:$BZ$1000,MATCH([1]FINAL!$BL$1,[1]FINAL!$A$1:$BZ$1,0),0)),0)</f>
        <v>0.89473684210526316</v>
      </c>
      <c r="I341" s="5">
        <f>IFERROR(IF(J341&lt;&gt;"",J341,(IF(VLOOKUP($A341,#REF!,MATCH(#REF!,#REF!,0),0)=0,G341,VLOOKUP($A341,#REF!,MATCH(#REF!,#REF!,0),0)))),G341)</f>
        <v>0.89473684210526316</v>
      </c>
      <c r="K341" s="6">
        <f>IFERROR(VLOOKUP($A341,#REF!,MATCH(#REF!,#REF!,0),0),0)</f>
        <v>0</v>
      </c>
      <c r="L341" s="6">
        <f>IFERROR(VLOOKUP($A341,[1]FINAL!$A$1:$BZ$1000,MATCH([1]FINAL!$BF$1,[1]FINAL!$A$1:$BZ$1,0),0),0)</f>
        <v>84</v>
      </c>
      <c r="M341" s="7">
        <f t="shared" si="27"/>
        <v>0.93333333333333335</v>
      </c>
      <c r="N341" s="6">
        <f>IFERROR(VLOOKUP($A341,#REF!,MATCH(#REF!,#REF!,0),0),0)</f>
        <v>0</v>
      </c>
      <c r="O341" s="7">
        <f t="shared" si="28"/>
        <v>0</v>
      </c>
      <c r="P341" s="10" t="str">
        <f>IFERROR(VLOOKUP($A341,[1]FINAL!$A$1:$BZ$1000,MATCH([1]FINAL!$BB$1,[1]FINAL!$A$1:$BZ$1,0),0),"")</f>
        <v/>
      </c>
      <c r="Q341" s="18">
        <f t="shared" si="29"/>
        <v>1</v>
      </c>
    </row>
    <row r="342" spans="1:17" x14ac:dyDescent="0.25">
      <c r="A342" s="14" t="str">
        <f>[1]FINAL!$A516</f>
        <v>Ben Wilson</v>
      </c>
      <c r="B342" s="20" t="str">
        <f>IFERROR(VLOOKUP($A342,[1]FINAL!$A$1:$Z$1000,MATCH([1]FINAL!$T$1,[1]FINAL!$A$1:$Z$1,0),0),"")</f>
        <v>GK</v>
      </c>
      <c r="C342" s="3" t="str">
        <f>IFERROR(VLOOKUP($A342,[1]FINAL!$A$1:$Z$1000,MATCH([1]FINAL!$U$1,[1]FINAL!$A$1:$Z$1,0),0),"")</f>
        <v>GK</v>
      </c>
      <c r="D342" s="3" t="str">
        <f>IFERROR(VLOOKUP($A342,[1]FINAL!$A$1:$Z$1000,MATCH([1]FINAL!$V$1,[1]FINAL!$A$1:$Z$1,0),0),"")</f>
        <v>COV</v>
      </c>
      <c r="E342" s="6">
        <f t="shared" si="25"/>
        <v>0</v>
      </c>
      <c r="F342" s="5">
        <f t="shared" si="26"/>
        <v>0</v>
      </c>
      <c r="G342" s="5">
        <f>IFERROR(IF(H342&lt;&gt;"",H342,VLOOKUP($A342,[1]FINAL!$A$1:$BZ$1000,MATCH([1]FINAL!$BL$1,[1]FINAL!$A$1:$BZ$1,0),0)),0)</f>
        <v>0</v>
      </c>
      <c r="I342" s="5">
        <f>IFERROR(IF(J342&lt;&gt;"",J342,(IF(VLOOKUP($A342,#REF!,MATCH(#REF!,#REF!,0),0)=0,G342,VLOOKUP($A342,#REF!,MATCH(#REF!,#REF!,0),0)))),G342)</f>
        <v>0</v>
      </c>
      <c r="K342" s="6">
        <f>IFERROR(VLOOKUP($A342,#REF!,MATCH(#REF!,#REF!,0),0),0)</f>
        <v>0</v>
      </c>
      <c r="L342" s="6">
        <f>IFERROR(VLOOKUP($A342,[1]FINAL!$A$1:$BZ$1000,MATCH([1]FINAL!$BF$1,[1]FINAL!$A$1:$BZ$1,0),0),0)</f>
        <v>0</v>
      </c>
      <c r="M342" s="7">
        <f t="shared" si="27"/>
        <v>0</v>
      </c>
      <c r="N342" s="6">
        <f>IFERROR(VLOOKUP($A342,#REF!,MATCH(#REF!,#REF!,0),0),0)</f>
        <v>0</v>
      </c>
      <c r="O342" s="7">
        <f t="shared" si="28"/>
        <v>0</v>
      </c>
      <c r="P342" s="10" t="str">
        <f>IFERROR(VLOOKUP($A342,[1]FINAL!$A$1:$BZ$1000,MATCH([1]FINAL!$BB$1,[1]FINAL!$A$1:$BZ$1,0),0),"")</f>
        <v/>
      </c>
      <c r="Q342" s="18">
        <f t="shared" si="29"/>
        <v>1</v>
      </c>
    </row>
    <row r="343" spans="1:17" x14ac:dyDescent="0.25">
      <c r="A343" s="14" t="str">
        <f>[1]FINAL!$A82</f>
        <v>Harry Wilson</v>
      </c>
      <c r="B343" s="20" t="str">
        <f>IFERROR(VLOOKUP($A343,[1]FINAL!$A$1:$Z$1000,MATCH([1]FINAL!$T$1,[1]FINAL!$A$1:$Z$1,0),0),"")</f>
        <v>MID</v>
      </c>
      <c r="C343" s="3" t="str">
        <f>IFERROR(VLOOKUP($A343,[1]FINAL!$A$1:$Z$1000,MATCH([1]FINAL!$U$1,[1]FINAL!$A$1:$Z$1,0),0),"")</f>
        <v>RW</v>
      </c>
      <c r="D343" s="3" t="str">
        <f>IFERROR(VLOOKUP($A343,[1]FINAL!$A$1:$Z$1000,MATCH([1]FINAL!$V$1,[1]FINAL!$A$1:$Z$1,0),0),"")</f>
        <v>LEE</v>
      </c>
      <c r="E343" s="6">
        <f t="shared" si="25"/>
        <v>186777.77777777778</v>
      </c>
      <c r="F343" s="5">
        <f t="shared" si="26"/>
        <v>0.88888888888888884</v>
      </c>
      <c r="G343" s="5">
        <f>IFERROR(IF(H343&lt;&gt;"",H343,VLOOKUP($A343,[1]FINAL!$A$1:$BZ$1000,MATCH([1]FINAL!$BL$1,[1]FINAL!$A$1:$BZ$1,0),0)),0)</f>
        <v>0.88888888888888884</v>
      </c>
      <c r="I343" s="5">
        <f>IFERROR(IF(J343&lt;&gt;"",J343,(IF(VLOOKUP($A343,#REF!,MATCH(#REF!,#REF!,0),0)=0,G343,VLOOKUP($A343,#REF!,MATCH(#REF!,#REF!,0),0)))),G343)</f>
        <v>0.88888888888888884</v>
      </c>
      <c r="K343" s="6">
        <f>IFERROR(VLOOKUP($A343,#REF!,MATCH(#REF!,#REF!,0),0),0)</f>
        <v>0</v>
      </c>
      <c r="L343" s="6">
        <f>IFERROR(VLOOKUP($A343,[1]FINAL!$A$1:$BZ$1000,MATCH([1]FINAL!$BF$1,[1]FINAL!$A$1:$BZ$1,0),0),0)</f>
        <v>81</v>
      </c>
      <c r="M343" s="7">
        <f t="shared" si="27"/>
        <v>0.9</v>
      </c>
      <c r="N343" s="6">
        <f>IFERROR(VLOOKUP($A343,#REF!,MATCH(#REF!,#REF!,0),0),0)</f>
        <v>0</v>
      </c>
      <c r="O343" s="7">
        <f t="shared" si="28"/>
        <v>0</v>
      </c>
      <c r="P343" s="10" t="str">
        <f>IFERROR(VLOOKUP($A343,[1]FINAL!$A$1:$BZ$1000,MATCH([1]FINAL!$BB$1,[1]FINAL!$A$1:$BZ$1,0),0),"")</f>
        <v/>
      </c>
      <c r="Q343" s="18">
        <f t="shared" si="29"/>
        <v>1</v>
      </c>
    </row>
    <row r="344" spans="1:17" x14ac:dyDescent="0.25">
      <c r="A344" s="14" t="str">
        <f>[1]FINAL!$A513</f>
        <v>Brandon Thomas-Asante</v>
      </c>
      <c r="B344" s="20" t="str">
        <f>IFERROR(VLOOKUP($A344,[1]FINAL!$A$1:$Z$1000,MATCH([1]FINAL!$T$1,[1]FINAL!$A$1:$Z$1,0),0),"")</f>
        <v>FWD</v>
      </c>
      <c r="C344" s="3" t="str">
        <f>IFERROR(VLOOKUP($A344,[1]FINAL!$A$1:$Z$1000,MATCH([1]FINAL!$U$1,[1]FINAL!$A$1:$Z$1,0),0),"")</f>
        <v>CF</v>
      </c>
      <c r="D344" s="3" t="str">
        <f>IFERROR(VLOOKUP($A344,[1]FINAL!$A$1:$Z$1000,MATCH([1]FINAL!$V$1,[1]FINAL!$A$1:$Z$1,0),0),"")</f>
        <v>COV</v>
      </c>
      <c r="E344" s="6">
        <f t="shared" si="25"/>
        <v>140027.77777777778</v>
      </c>
      <c r="F344" s="5">
        <f t="shared" si="26"/>
        <v>0.65625</v>
      </c>
      <c r="G344" s="5">
        <f>IFERROR(IF(H344&lt;&gt;"",H344,VLOOKUP($A344,[1]FINAL!$A$1:$BZ$1000,MATCH([1]FINAL!$BL$1,[1]FINAL!$A$1:$BZ$1,0),0)),0)</f>
        <v>0.65625</v>
      </c>
      <c r="I344" s="5">
        <f>IFERROR(IF(J344&lt;&gt;"",J344,(IF(VLOOKUP($A344,#REF!,MATCH(#REF!,#REF!,0),0)=0,G344,VLOOKUP($A344,#REF!,MATCH(#REF!,#REF!,0),0)))),G344)</f>
        <v>0.65625</v>
      </c>
      <c r="K344" s="6">
        <f>IFERROR(VLOOKUP($A344,#REF!,MATCH(#REF!,#REF!,0),0),0)</f>
        <v>0</v>
      </c>
      <c r="L344" s="6">
        <f>IFERROR(VLOOKUP($A344,[1]FINAL!$A$1:$BZ$1000,MATCH([1]FINAL!$BF$1,[1]FINAL!$A$1:$BZ$1,0),0),0)</f>
        <v>79</v>
      </c>
      <c r="M344" s="7">
        <f t="shared" si="27"/>
        <v>0.87777777777777777</v>
      </c>
      <c r="N344" s="6">
        <f>IFERROR(VLOOKUP($A344,#REF!,MATCH(#REF!,#REF!,0),0),0)</f>
        <v>0</v>
      </c>
      <c r="O344" s="7">
        <f t="shared" si="28"/>
        <v>0</v>
      </c>
      <c r="P344" s="10" t="str">
        <f>IFERROR(VLOOKUP($A344,[1]FINAL!$A$1:$BZ$1000,MATCH([1]FINAL!$BB$1,[1]FINAL!$A$1:$BZ$1,0),0),"")</f>
        <v/>
      </c>
      <c r="Q344" s="18">
        <f t="shared" si="29"/>
        <v>1</v>
      </c>
    </row>
    <row r="345" spans="1:17" x14ac:dyDescent="0.25">
      <c r="A345" s="14" t="str">
        <f>[1]FINAL!$A361</f>
        <v>Rico Henry</v>
      </c>
      <c r="B345" s="20" t="str">
        <f>IFERROR(VLOOKUP($A345,[1]FINAL!$A$1:$Z$1000,MATCH([1]FINAL!$T$1,[1]FINAL!$A$1:$Z$1,0),0),"")</f>
        <v>DEF</v>
      </c>
      <c r="C345" s="3" t="str">
        <f>IFERROR(VLOOKUP($A345,[1]FINAL!$A$1:$Z$1000,MATCH([1]FINAL!$U$1,[1]FINAL!$A$1:$Z$1,0),0),"")</f>
        <v>LB</v>
      </c>
      <c r="D345" s="3" t="str">
        <f>IFERROR(VLOOKUP($A345,[1]FINAL!$A$1:$Z$1000,MATCH([1]FINAL!$V$1,[1]FINAL!$A$1:$Z$1,0),0),"")</f>
        <v>BRE</v>
      </c>
      <c r="E345" s="6">
        <f t="shared" si="25"/>
        <v>105440.61302681993</v>
      </c>
      <c r="F345" s="5">
        <f t="shared" si="26"/>
        <v>0.48275862068965519</v>
      </c>
      <c r="G345" s="5">
        <f>IFERROR(IF(H345&lt;&gt;"",H345,VLOOKUP($A345,[1]FINAL!$A$1:$BZ$1000,MATCH([1]FINAL!$BL$1,[1]FINAL!$A$1:$BZ$1,0),0)),0)</f>
        <v>0.48275862068965519</v>
      </c>
      <c r="I345" s="5">
        <f>IFERROR(IF(J345&lt;&gt;"",J345,(IF(VLOOKUP($A345,#REF!,MATCH(#REF!,#REF!,0),0)=0,G345,VLOOKUP($A345,#REF!,MATCH(#REF!,#REF!,0),0)))),G345)</f>
        <v>0.48275862068965519</v>
      </c>
      <c r="K345" s="6">
        <f>IFERROR(VLOOKUP($A345,#REF!,MATCH(#REF!,#REF!,0),0),0)</f>
        <v>0</v>
      </c>
      <c r="L345" s="6">
        <f>IFERROR(VLOOKUP($A345,[1]FINAL!$A$1:$BZ$1000,MATCH([1]FINAL!$BF$1,[1]FINAL!$A$1:$BZ$1,0),0),0)</f>
        <v>80</v>
      </c>
      <c r="M345" s="7">
        <f t="shared" si="27"/>
        <v>0.88888888888888884</v>
      </c>
      <c r="N345" s="6">
        <f>IFERROR(VLOOKUP($A345,#REF!,MATCH(#REF!,#REF!,0),0),0)</f>
        <v>0</v>
      </c>
      <c r="O345" s="7">
        <f t="shared" si="28"/>
        <v>0</v>
      </c>
      <c r="P345" s="10" t="str">
        <f>IFERROR(VLOOKUP($A345,[1]FINAL!$A$1:$BZ$1000,MATCH([1]FINAL!$BB$1,[1]FINAL!$A$1:$BZ$1,0),0),"")</f>
        <v/>
      </c>
      <c r="Q345" s="18">
        <f t="shared" si="29"/>
        <v>1</v>
      </c>
    </row>
    <row r="346" spans="1:17" x14ac:dyDescent="0.25">
      <c r="A346" s="14" t="str">
        <f>[1]FINAL!$A128</f>
        <v>Wilson Odobert</v>
      </c>
      <c r="B346" s="20" t="str">
        <f>IFERROR(VLOOKUP($A346,[1]FINAL!$A$1:$Z$1000,MATCH([1]FINAL!$T$1,[1]FINAL!$A$1:$Z$1,0),0),"")</f>
        <v>MID</v>
      </c>
      <c r="C346" s="3" t="str">
        <f>IFERROR(VLOOKUP($A346,[1]FINAL!$A$1:$Z$1000,MATCH([1]FINAL!$U$1,[1]FINAL!$A$1:$Z$1,0),0),"")</f>
        <v>LW</v>
      </c>
      <c r="D346" s="3" t="str">
        <f>IFERROR(VLOOKUP($A346,[1]FINAL!$A$1:$Z$1000,MATCH([1]FINAL!$V$1,[1]FINAL!$A$1:$Z$1,0),0),"")</f>
        <v>TOT</v>
      </c>
      <c r="E346" s="6">
        <f t="shared" si="25"/>
        <v>8.447863247863248</v>
      </c>
      <c r="F346" s="5">
        <f t="shared" si="26"/>
        <v>3.8461538461538463E-5</v>
      </c>
      <c r="G346" s="5">
        <f>IFERROR(IF(H346&lt;&gt;"",H346,VLOOKUP($A346,[1]FINAL!$A$1:$BZ$1000,MATCH([1]FINAL!$BL$1,[1]FINAL!$A$1:$BZ$1,0),0)),0)</f>
        <v>0.38461538461538464</v>
      </c>
      <c r="I346" s="5">
        <f>IFERROR(IF(J346&lt;&gt;"",J346,(IF(VLOOKUP($A346,#REF!,MATCH(#REF!,#REF!,0),0)=0,G346,VLOOKUP($A346,#REF!,MATCH(#REF!,#REF!,0),0)))),G346)</f>
        <v>0.38461538461538464</v>
      </c>
      <c r="K346" s="6">
        <f>IFERROR(VLOOKUP($A346,#REF!,MATCH(#REF!,#REF!,0),0),0)</f>
        <v>0</v>
      </c>
      <c r="L346" s="6">
        <f>IFERROR(VLOOKUP($A346,[1]FINAL!$A$1:$BZ$1000,MATCH([1]FINAL!$BF$1,[1]FINAL!$A$1:$BZ$1,0),0),0)</f>
        <v>68</v>
      </c>
      <c r="M346" s="7">
        <f t="shared" si="27"/>
        <v>0.75555555555555554</v>
      </c>
      <c r="N346" s="6">
        <f>IFERROR(VLOOKUP($A346,#REF!,MATCH(#REF!,#REF!,0),0),0)</f>
        <v>0</v>
      </c>
      <c r="O346" s="7">
        <f t="shared" si="28"/>
        <v>0</v>
      </c>
      <c r="P346" s="10">
        <f>IFERROR(VLOOKUP($A346,[1]FINAL!$A$1:$BZ$1000,MATCH([1]FINAL!$BB$1,[1]FINAL!$A$1:$BZ$1,0),0),"")</f>
        <v>0</v>
      </c>
      <c r="Q346" s="18">
        <f t="shared" si="29"/>
        <v>1E-4</v>
      </c>
    </row>
    <row r="347" spans="1:17" x14ac:dyDescent="0.25">
      <c r="A347" s="14" t="str">
        <f>[1]FINAL!$A229</f>
        <v>Neco Williams</v>
      </c>
      <c r="B347" s="20" t="str">
        <f>IFERROR(VLOOKUP($A347,[1]FINAL!$A$1:$Z$1000,MATCH([1]FINAL!$T$1,[1]FINAL!$A$1:$Z$1,0),0),"")</f>
        <v>DEF</v>
      </c>
      <c r="C347" s="3" t="str">
        <f>IFERROR(VLOOKUP($A347,[1]FINAL!$A$1:$Z$1000,MATCH([1]FINAL!$U$1,[1]FINAL!$A$1:$Z$1,0),0),"")</f>
        <v>LB</v>
      </c>
      <c r="D347" s="3" t="str">
        <f>IFERROR(VLOOKUP($A347,[1]FINAL!$A$1:$Z$1000,MATCH([1]FINAL!$V$1,[1]FINAL!$A$1:$Z$1,0),0),"")</f>
        <v>NFO</v>
      </c>
      <c r="E347" s="6">
        <f t="shared" si="25"/>
        <v>204372.3723723724</v>
      </c>
      <c r="F347" s="5">
        <f t="shared" si="26"/>
        <v>0.97297297297297303</v>
      </c>
      <c r="G347" s="5">
        <f>IFERROR(IF(H347&lt;&gt;"",H347,VLOOKUP($A347,[1]FINAL!$A$1:$BZ$1000,MATCH([1]FINAL!$BL$1,[1]FINAL!$A$1:$BZ$1,0),0)),0)</f>
        <v>0.97297297297297303</v>
      </c>
      <c r="I347" s="5">
        <f>IFERROR(IF(J347&lt;&gt;"",J347,(IF(VLOOKUP($A347,#REF!,MATCH(#REF!,#REF!,0),0)=0,G347,VLOOKUP($A347,#REF!,MATCH(#REF!,#REF!,0),0)))),G347)</f>
        <v>0.97297297297297303</v>
      </c>
      <c r="K347" s="6">
        <f>IFERROR(VLOOKUP($A347,#REF!,MATCH(#REF!,#REF!,0),0),0)</f>
        <v>0</v>
      </c>
      <c r="L347" s="6">
        <f>IFERROR(VLOOKUP($A347,[1]FINAL!$A$1:$BZ$1000,MATCH([1]FINAL!$BF$1,[1]FINAL!$A$1:$BZ$1,0),0),0)</f>
        <v>88</v>
      </c>
      <c r="M347" s="7">
        <f t="shared" si="27"/>
        <v>0.97777777777777775</v>
      </c>
      <c r="N347" s="6">
        <f>IFERROR(VLOOKUP($A347,#REF!,MATCH(#REF!,#REF!,0),0),0)</f>
        <v>0</v>
      </c>
      <c r="O347" s="7">
        <f t="shared" si="28"/>
        <v>0</v>
      </c>
      <c r="P347" s="10" t="str">
        <f>IFERROR(VLOOKUP($A347,[1]FINAL!$A$1:$BZ$1000,MATCH([1]FINAL!$BB$1,[1]FINAL!$A$1:$BZ$1,0),0),"")</f>
        <v/>
      </c>
      <c r="Q347" s="18">
        <f t="shared" si="29"/>
        <v>1</v>
      </c>
    </row>
    <row r="348" spans="1:17" x14ac:dyDescent="0.25">
      <c r="A348" s="14" t="str">
        <f>[1]FINAL!$A378</f>
        <v>Matt Targett</v>
      </c>
      <c r="B348" s="20" t="str">
        <f>IFERROR(VLOOKUP($A348,[1]FINAL!$A$1:$Z$1000,MATCH([1]FINAL!$T$1,[1]FINAL!$A$1:$Z$1,0),0),"")</f>
        <v>DEF</v>
      </c>
      <c r="C348" s="3" t="str">
        <f>IFERROR(VLOOKUP($A348,[1]FINAL!$A$1:$Z$1000,MATCH([1]FINAL!$U$1,[1]FINAL!$A$1:$Z$1,0),0),"")</f>
        <v>LB</v>
      </c>
      <c r="D348" s="3" t="str">
        <f>IFERROR(VLOOKUP($A348,[1]FINAL!$A$1:$Z$1000,MATCH([1]FINAL!$V$1,[1]FINAL!$A$1:$Z$1,0),0),"")</f>
        <v>HUL</v>
      </c>
      <c r="E348" s="6">
        <f t="shared" si="25"/>
        <v>0</v>
      </c>
      <c r="F348" s="5">
        <f t="shared" si="26"/>
        <v>0</v>
      </c>
      <c r="G348" s="5">
        <f>IFERROR(IF(H348&lt;&gt;"",H348,VLOOKUP($A348,[1]FINAL!$A$1:$BZ$1000,MATCH([1]FINAL!$BL$1,[1]FINAL!$A$1:$BZ$1,0),0)),0)</f>
        <v>0</v>
      </c>
      <c r="I348" s="5">
        <f>IFERROR(IF(J348&lt;&gt;"",J348,(IF(VLOOKUP($A348,#REF!,MATCH(#REF!,#REF!,0),0)=0,G348,VLOOKUP($A348,#REF!,MATCH(#REF!,#REF!,0),0)))),G348)</f>
        <v>0</v>
      </c>
      <c r="K348" s="6">
        <f>IFERROR(VLOOKUP($A348,#REF!,MATCH(#REF!,#REF!,0),0),0)</f>
        <v>0</v>
      </c>
      <c r="L348" s="6">
        <f>IFERROR(VLOOKUP($A348,[1]FINAL!$A$1:$BZ$1000,MATCH([1]FINAL!$BF$1,[1]FINAL!$A$1:$BZ$1,0),0),0)</f>
        <v>0</v>
      </c>
      <c r="M348" s="7">
        <f t="shared" si="27"/>
        <v>0</v>
      </c>
      <c r="N348" s="6">
        <f>IFERROR(VLOOKUP($A348,#REF!,MATCH(#REF!,#REF!,0),0),0)</f>
        <v>0</v>
      </c>
      <c r="O348" s="7">
        <f t="shared" si="28"/>
        <v>0</v>
      </c>
      <c r="P348" s="10" t="str">
        <f>IFERROR(VLOOKUP($A348,[1]FINAL!$A$1:$BZ$1000,MATCH([1]FINAL!$BB$1,[1]FINAL!$A$1:$BZ$1,0),0),"")</f>
        <v/>
      </c>
      <c r="Q348" s="18">
        <f t="shared" si="29"/>
        <v>1</v>
      </c>
    </row>
    <row r="349" spans="1:17" x14ac:dyDescent="0.25">
      <c r="A349" s="14" t="str">
        <f>[1]FINAL!$A522</f>
        <v>Bobby Thomas</v>
      </c>
      <c r="B349" s="20" t="str">
        <f>IFERROR(VLOOKUP($A349,[1]FINAL!$A$1:$Z$1000,MATCH([1]FINAL!$T$1,[1]FINAL!$A$1:$Z$1,0),0),"")</f>
        <v>DEF</v>
      </c>
      <c r="C349" s="3" t="str">
        <f>IFERROR(VLOOKUP($A349,[1]FINAL!$A$1:$Z$1000,MATCH([1]FINAL!$U$1,[1]FINAL!$A$1:$Z$1,0),0),"")</f>
        <v>CB</v>
      </c>
      <c r="D349" s="3" t="str">
        <f>IFERROR(VLOOKUP($A349,[1]FINAL!$A$1:$Z$1000,MATCH([1]FINAL!$V$1,[1]FINAL!$A$1:$Z$1,0),0),"")</f>
        <v>COV</v>
      </c>
      <c r="E349" s="6">
        <f t="shared" si="25"/>
        <v>193222.22222222219</v>
      </c>
      <c r="F349" s="5">
        <f t="shared" si="26"/>
        <v>0.91666666666666663</v>
      </c>
      <c r="G349" s="5">
        <f>IFERROR(IF(H349&lt;&gt;"",H349,VLOOKUP($A349,[1]FINAL!$A$1:$BZ$1000,MATCH([1]FINAL!$BL$1,[1]FINAL!$A$1:$BZ$1,0),0)),0)</f>
        <v>0.91666666666666663</v>
      </c>
      <c r="I349" s="5">
        <f>IFERROR(IF(J349&lt;&gt;"",J349,(IF(VLOOKUP($A349,#REF!,MATCH(#REF!,#REF!,0),0)=0,G349,VLOOKUP($A349,#REF!,MATCH(#REF!,#REF!,0),0)))),G349)</f>
        <v>0.91666666666666663</v>
      </c>
      <c r="K349" s="6">
        <f>IFERROR(VLOOKUP($A349,#REF!,MATCH(#REF!,#REF!,0),0),0)</f>
        <v>0</v>
      </c>
      <c r="L349" s="6">
        <f>IFERROR(VLOOKUP($A349,[1]FINAL!$A$1:$BZ$1000,MATCH([1]FINAL!$BF$1,[1]FINAL!$A$1:$BZ$1,0),0),0)</f>
        <v>89</v>
      </c>
      <c r="M349" s="7">
        <f t="shared" si="27"/>
        <v>0.98888888888888893</v>
      </c>
      <c r="N349" s="6">
        <f>IFERROR(VLOOKUP($A349,#REF!,MATCH(#REF!,#REF!,0),0),0)</f>
        <v>0</v>
      </c>
      <c r="O349" s="7">
        <f t="shared" si="28"/>
        <v>0</v>
      </c>
      <c r="P349" s="10" t="str">
        <f>IFERROR(VLOOKUP($A349,[1]FINAL!$A$1:$BZ$1000,MATCH([1]FINAL!$BB$1,[1]FINAL!$A$1:$BZ$1,0),0),"")</f>
        <v/>
      </c>
      <c r="Q349" s="18">
        <f t="shared" si="29"/>
        <v>1</v>
      </c>
    </row>
    <row r="350" spans="1:17" x14ac:dyDescent="0.25">
      <c r="A350" s="14" t="str">
        <f>[1]FINAL!$A448</f>
        <v>Abdul Fatawu</v>
      </c>
      <c r="B350" s="20" t="str">
        <f>IFERROR(VLOOKUP($A350,[1]FINAL!$A$1:$Z$1000,MATCH([1]FINAL!$T$1,[1]FINAL!$A$1:$Z$1,0),0),"")</f>
        <v>MID</v>
      </c>
      <c r="C350" s="3" t="str">
        <f>IFERROR(VLOOKUP($A350,[1]FINAL!$A$1:$Z$1000,MATCH([1]FINAL!$U$1,[1]FINAL!$A$1:$Z$1,0),0),"")</f>
        <v>RW</v>
      </c>
      <c r="D350" s="3" t="str">
        <f>IFERROR(VLOOKUP($A350,[1]FINAL!$A$1:$Z$1000,MATCH([1]FINAL!$V$1,[1]FINAL!$A$1:$Z$1,0),0),"")</f>
        <v>IPS</v>
      </c>
      <c r="E350" s="6">
        <f t="shared" si="25"/>
        <v>0</v>
      </c>
      <c r="F350" s="5">
        <f t="shared" si="26"/>
        <v>0</v>
      </c>
      <c r="G350" s="5">
        <f>IFERROR(IF(H350&lt;&gt;"",H350,VLOOKUP($A350,[1]FINAL!$A$1:$BZ$1000,MATCH([1]FINAL!$BL$1,[1]FINAL!$A$1:$BZ$1,0),0)),0)</f>
        <v>0</v>
      </c>
      <c r="I350" s="5">
        <f>IFERROR(IF(J350&lt;&gt;"",J350,(IF(VLOOKUP($A350,#REF!,MATCH(#REF!,#REF!,0),0)=0,G350,VLOOKUP($A350,#REF!,MATCH(#REF!,#REF!,0),0)))),G350)</f>
        <v>0</v>
      </c>
      <c r="K350" s="6">
        <f>IFERROR(VLOOKUP($A350,#REF!,MATCH(#REF!,#REF!,0),0),0)</f>
        <v>0</v>
      </c>
      <c r="L350" s="6">
        <f>IFERROR(VLOOKUP($A350,[1]FINAL!$A$1:$BZ$1000,MATCH([1]FINAL!$BF$1,[1]FINAL!$A$1:$BZ$1,0),0),0)</f>
        <v>0</v>
      </c>
      <c r="M350" s="7">
        <f t="shared" si="27"/>
        <v>0</v>
      </c>
      <c r="N350" s="6">
        <f>IFERROR(VLOOKUP($A350,#REF!,MATCH(#REF!,#REF!,0),0),0)</f>
        <v>0</v>
      </c>
      <c r="O350" s="7">
        <f t="shared" si="28"/>
        <v>0</v>
      </c>
      <c r="P350" s="10" t="str">
        <f>IFERROR(VLOOKUP($A350,[1]FINAL!$A$1:$BZ$1000,MATCH([1]FINAL!$BB$1,[1]FINAL!$A$1:$BZ$1,0),0),"")</f>
        <v/>
      </c>
      <c r="Q350" s="18">
        <f t="shared" si="29"/>
        <v>1</v>
      </c>
    </row>
    <row r="351" spans="1:17" x14ac:dyDescent="0.25">
      <c r="A351" s="14" t="str">
        <f>[1]FINAL!$A406</f>
        <v>Mikey Moore</v>
      </c>
      <c r="B351" s="20" t="str">
        <f>IFERROR(VLOOKUP($A351,[1]FINAL!$A$1:$Z$1000,MATCH([1]FINAL!$T$1,[1]FINAL!$A$1:$Z$1,0),0),"")</f>
        <v>MID</v>
      </c>
      <c r="C351" s="3" t="str">
        <f>IFERROR(VLOOKUP($A351,[1]FINAL!$A$1:$Z$1000,MATCH([1]FINAL!$U$1,[1]FINAL!$A$1:$Z$1,0),0),"")</f>
        <v>LW</v>
      </c>
      <c r="D351" s="3" t="str">
        <f>IFERROR(VLOOKUP($A351,[1]FINAL!$A$1:$Z$1000,MATCH([1]FINAL!$V$1,[1]FINAL!$A$1:$Z$1,0),0),"")</f>
        <v>TOT</v>
      </c>
      <c r="E351" s="6">
        <f t="shared" si="25"/>
        <v>0</v>
      </c>
      <c r="F351" s="5">
        <f t="shared" si="26"/>
        <v>0</v>
      </c>
      <c r="G351" s="5">
        <f>IFERROR(IF(H351&lt;&gt;"",H351,VLOOKUP($A351,[1]FINAL!$A$1:$BZ$1000,MATCH([1]FINAL!$BL$1,[1]FINAL!$A$1:$BZ$1,0),0)),0)</f>
        <v>0</v>
      </c>
      <c r="I351" s="5">
        <f>IFERROR(IF(J351&lt;&gt;"",J351,(IF(VLOOKUP($A351,#REF!,MATCH(#REF!,#REF!,0),0)=0,G351,VLOOKUP($A351,#REF!,MATCH(#REF!,#REF!,0),0)))),G351)</f>
        <v>0</v>
      </c>
      <c r="K351" s="6">
        <f>IFERROR(VLOOKUP($A351,#REF!,MATCH(#REF!,#REF!,0),0),0)</f>
        <v>0</v>
      </c>
      <c r="L351" s="6">
        <f>IFERROR(VLOOKUP($A351,[1]FINAL!$A$1:$BZ$1000,MATCH([1]FINAL!$BF$1,[1]FINAL!$A$1:$BZ$1,0),0),0)</f>
        <v>0</v>
      </c>
      <c r="M351" s="7">
        <f t="shared" si="27"/>
        <v>0</v>
      </c>
      <c r="N351" s="6">
        <f>IFERROR(VLOOKUP($A351,#REF!,MATCH(#REF!,#REF!,0),0),0)</f>
        <v>0</v>
      </c>
      <c r="O351" s="7">
        <f t="shared" si="28"/>
        <v>0</v>
      </c>
      <c r="P351" s="10" t="str">
        <f>IFERROR(VLOOKUP($A351,[1]FINAL!$A$1:$BZ$1000,MATCH([1]FINAL!$BB$1,[1]FINAL!$A$1:$BZ$1,0),0),"")</f>
        <v/>
      </c>
      <c r="Q351" s="18">
        <f t="shared" si="29"/>
        <v>1</v>
      </c>
    </row>
    <row r="352" spans="1:17" x14ac:dyDescent="0.25">
      <c r="A352" s="14" t="str">
        <f>[1]FINAL!$A192</f>
        <v>Adrien Truffert</v>
      </c>
      <c r="B352" s="20" t="str">
        <f>IFERROR(VLOOKUP($A352,[1]FINAL!$A$1:$Z$1000,MATCH([1]FINAL!$T$1,[1]FINAL!$A$1:$Z$1,0),0),"")</f>
        <v>DEF</v>
      </c>
      <c r="C352" s="3" t="str">
        <f>IFERROR(VLOOKUP($A352,[1]FINAL!$A$1:$Z$1000,MATCH([1]FINAL!$U$1,[1]FINAL!$A$1:$Z$1,0),0),"")</f>
        <v>LB</v>
      </c>
      <c r="D352" s="3" t="str">
        <f>IFERROR(VLOOKUP($A352,[1]FINAL!$A$1:$Z$1000,MATCH([1]FINAL!$V$1,[1]FINAL!$A$1:$Z$1,0),0),"")</f>
        <v>BOU</v>
      </c>
      <c r="E352" s="6">
        <f t="shared" si="25"/>
        <v>209888.88888888888</v>
      </c>
      <c r="F352" s="5">
        <f t="shared" si="26"/>
        <v>1</v>
      </c>
      <c r="G352" s="5">
        <f>IFERROR(IF(H352&lt;&gt;"",H352,VLOOKUP($A352,[1]FINAL!$A$1:$BZ$1000,MATCH([1]FINAL!$BL$1,[1]FINAL!$A$1:$BZ$1,0),0)),0)</f>
        <v>1</v>
      </c>
      <c r="I352" s="5">
        <f>IFERROR(IF(J352&lt;&gt;"",J352,(IF(VLOOKUP($A352,#REF!,MATCH(#REF!,#REF!,0),0)=0,G352,VLOOKUP($A352,#REF!,MATCH(#REF!,#REF!,0),0)))),G352)</f>
        <v>1</v>
      </c>
      <c r="K352" s="6">
        <f>IFERROR(VLOOKUP($A352,#REF!,MATCH(#REF!,#REF!,0),0),0)</f>
        <v>0</v>
      </c>
      <c r="L352" s="6">
        <f>IFERROR(VLOOKUP($A352,[1]FINAL!$A$1:$BZ$1000,MATCH([1]FINAL!$BF$1,[1]FINAL!$A$1:$BZ$1,0),0),0)</f>
        <v>89</v>
      </c>
      <c r="M352" s="7">
        <f t="shared" si="27"/>
        <v>0.98888888888888893</v>
      </c>
      <c r="N352" s="6">
        <f>IFERROR(VLOOKUP($A352,#REF!,MATCH(#REF!,#REF!,0),0),0)</f>
        <v>0</v>
      </c>
      <c r="O352" s="7">
        <f t="shared" si="28"/>
        <v>0</v>
      </c>
      <c r="P352" s="10" t="str">
        <f>IFERROR(VLOOKUP($A352,[1]FINAL!$A$1:$BZ$1000,MATCH([1]FINAL!$BB$1,[1]FINAL!$A$1:$BZ$1,0),0),"")</f>
        <v/>
      </c>
      <c r="Q352" s="18">
        <f t="shared" si="29"/>
        <v>1</v>
      </c>
    </row>
    <row r="353" spans="1:17" x14ac:dyDescent="0.25">
      <c r="A353" s="14" t="str">
        <f>[1]FINAL!$A371</f>
        <v>Jack Fletcher</v>
      </c>
      <c r="B353" s="20" t="str">
        <f>IFERROR(VLOOKUP($A353,[1]FINAL!$A$1:$Z$1000,MATCH([1]FINAL!$T$1,[1]FINAL!$A$1:$Z$1,0),0),"")</f>
        <v>MID</v>
      </c>
      <c r="C353" s="3" t="str">
        <f>IFERROR(VLOOKUP($A353,[1]FINAL!$A$1:$Z$1000,MATCH([1]FINAL!$U$1,[1]FINAL!$A$1:$Z$1,0),0),"")</f>
        <v>AM</v>
      </c>
      <c r="D353" s="3" t="str">
        <f>IFERROR(VLOOKUP($A353,[1]FINAL!$A$1:$Z$1000,MATCH([1]FINAL!$V$1,[1]FINAL!$A$1:$Z$1,0),0),"")</f>
        <v>MUN</v>
      </c>
      <c r="E353" s="6">
        <f t="shared" si="25"/>
        <v>0</v>
      </c>
      <c r="F353" s="5">
        <f t="shared" si="26"/>
        <v>0</v>
      </c>
      <c r="G353" s="5">
        <f>IFERROR(IF(H353&lt;&gt;"",H353,VLOOKUP($A353,[1]FINAL!$A$1:$BZ$1000,MATCH([1]FINAL!$BL$1,[1]FINAL!$A$1:$BZ$1,0),0)),0)</f>
        <v>0</v>
      </c>
      <c r="I353" s="5">
        <f>IFERROR(IF(J353&lt;&gt;"",J353,(IF(VLOOKUP($A353,#REF!,MATCH(#REF!,#REF!,0),0)=0,G353,VLOOKUP($A353,#REF!,MATCH(#REF!,#REF!,0),0)))),G353)</f>
        <v>0</v>
      </c>
      <c r="K353" s="6">
        <f>IFERROR(VLOOKUP($A353,#REF!,MATCH(#REF!,#REF!,0),0),0)</f>
        <v>0</v>
      </c>
      <c r="L353" s="6">
        <f>IFERROR(VLOOKUP($A353,[1]FINAL!$A$1:$BZ$1000,MATCH([1]FINAL!$BF$1,[1]FINAL!$A$1:$BZ$1,0),0),0)</f>
        <v>0</v>
      </c>
      <c r="M353" s="7">
        <f t="shared" si="27"/>
        <v>0</v>
      </c>
      <c r="N353" s="6">
        <f>IFERROR(VLOOKUP($A353,#REF!,MATCH(#REF!,#REF!,0),0),0)</f>
        <v>0</v>
      </c>
      <c r="O353" s="7">
        <f t="shared" si="28"/>
        <v>0</v>
      </c>
      <c r="P353" s="10" t="str">
        <f>IFERROR(VLOOKUP($A353,[1]FINAL!$A$1:$BZ$1000,MATCH([1]FINAL!$BB$1,[1]FINAL!$A$1:$BZ$1,0),0),"")</f>
        <v/>
      </c>
      <c r="Q353" s="18">
        <f t="shared" si="29"/>
        <v>1</v>
      </c>
    </row>
    <row r="354" spans="1:17" x14ac:dyDescent="0.25">
      <c r="A354" s="14" t="str">
        <f>[1]FINAL!$A442</f>
        <v>Armin Pecsi</v>
      </c>
      <c r="B354" s="20" t="str">
        <f>IFERROR(VLOOKUP($A354,[1]FINAL!$A$1:$Z$1000,MATCH([1]FINAL!$T$1,[1]FINAL!$A$1:$Z$1,0),0),"")</f>
        <v>GK</v>
      </c>
      <c r="C354" s="3" t="str">
        <f>IFERROR(VLOOKUP($A354,[1]FINAL!$A$1:$Z$1000,MATCH([1]FINAL!$U$1,[1]FINAL!$A$1:$Z$1,0),0),"")</f>
        <v/>
      </c>
      <c r="D354" s="3" t="str">
        <f>IFERROR(VLOOKUP($A354,[1]FINAL!$A$1:$Z$1000,MATCH([1]FINAL!$V$1,[1]FINAL!$A$1:$Z$1,0),0),"")</f>
        <v>LIV</v>
      </c>
      <c r="E354" s="6">
        <f t="shared" si="25"/>
        <v>0</v>
      </c>
      <c r="F354" s="5">
        <f t="shared" si="26"/>
        <v>0</v>
      </c>
      <c r="G354" s="5">
        <f>IFERROR(IF(H354&lt;&gt;"",H354,VLOOKUP($A354,[1]FINAL!$A$1:$BZ$1000,MATCH([1]FINAL!$BL$1,[1]FINAL!$A$1:$BZ$1,0),0)),0)</f>
        <v>0</v>
      </c>
      <c r="I354" s="5">
        <f>IFERROR(IF(J354&lt;&gt;"",J354,(IF(VLOOKUP($A354,#REF!,MATCH(#REF!,#REF!,0),0)=0,G354,VLOOKUP($A354,#REF!,MATCH(#REF!,#REF!,0),0)))),G354)</f>
        <v>0</v>
      </c>
      <c r="K354" s="6">
        <f>IFERROR(VLOOKUP($A354,#REF!,MATCH(#REF!,#REF!,0),0),0)</f>
        <v>0</v>
      </c>
      <c r="L354" s="6">
        <f>IFERROR(VLOOKUP($A354,[1]FINAL!$A$1:$BZ$1000,MATCH([1]FINAL!$BF$1,[1]FINAL!$A$1:$BZ$1,0),0),0)</f>
        <v>0</v>
      </c>
      <c r="M354" s="7">
        <f t="shared" si="27"/>
        <v>0</v>
      </c>
      <c r="N354" s="6">
        <f>IFERROR(VLOOKUP($A354,#REF!,MATCH(#REF!,#REF!,0),0),0)</f>
        <v>0</v>
      </c>
      <c r="O354" s="7">
        <f t="shared" si="28"/>
        <v>0</v>
      </c>
      <c r="P354" s="10" t="str">
        <f>IFERROR(VLOOKUP($A354,[1]FINAL!$A$1:$BZ$1000,MATCH([1]FINAL!$BB$1,[1]FINAL!$A$1:$BZ$1,0),0),"")</f>
        <v/>
      </c>
      <c r="Q354" s="18">
        <f t="shared" si="29"/>
        <v>1</v>
      </c>
    </row>
    <row r="355" spans="1:17" x14ac:dyDescent="0.25">
      <c r="A355" s="14" t="str">
        <f>[1]FINAL!$A495</f>
        <v>Ryan Giles</v>
      </c>
      <c r="B355" s="20" t="str">
        <f>IFERROR(VLOOKUP($A355,[1]FINAL!$A$1:$Z$1000,MATCH([1]FINAL!$T$1,[1]FINAL!$A$1:$Z$1,0),0),"")</f>
        <v>DEF</v>
      </c>
      <c r="C355" s="3" t="str">
        <f>IFERROR(VLOOKUP($A355,[1]FINAL!$A$1:$Z$1000,MATCH([1]FINAL!$U$1,[1]FINAL!$A$1:$Z$1,0),0),"")</f>
        <v>LB</v>
      </c>
      <c r="D355" s="3" t="str">
        <f>IFERROR(VLOOKUP($A355,[1]FINAL!$A$1:$Z$1000,MATCH([1]FINAL!$V$1,[1]FINAL!$A$1:$Z$1,0),0),"")</f>
        <v>HUL</v>
      </c>
      <c r="E355" s="6">
        <f t="shared" si="25"/>
        <v>196611.11111111112</v>
      </c>
      <c r="F355" s="5">
        <f t="shared" si="26"/>
        <v>0.9375</v>
      </c>
      <c r="G355" s="5">
        <f>IFERROR(IF(H355&lt;&gt;"",H355,VLOOKUP($A355,[1]FINAL!$A$1:$BZ$1000,MATCH([1]FINAL!$BL$1,[1]FINAL!$A$1:$BZ$1,0),0)),0)</f>
        <v>0.9375</v>
      </c>
      <c r="I355" s="5">
        <f>IFERROR(IF(J355&lt;&gt;"",J355,(IF(VLOOKUP($A355,#REF!,MATCH(#REF!,#REF!,0),0)=0,G355,VLOOKUP($A355,#REF!,MATCH(#REF!,#REF!,0),0)))),G355)</f>
        <v>0.9375</v>
      </c>
      <c r="K355" s="6">
        <f>IFERROR(VLOOKUP($A355,#REF!,MATCH(#REF!,#REF!,0),0),0)</f>
        <v>0</v>
      </c>
      <c r="L355" s="6">
        <f>IFERROR(VLOOKUP($A355,[1]FINAL!$A$1:$BZ$1000,MATCH([1]FINAL!$BF$1,[1]FINAL!$A$1:$BZ$1,0),0),0)</f>
        <v>82</v>
      </c>
      <c r="M355" s="7">
        <f t="shared" si="27"/>
        <v>0.91111111111111109</v>
      </c>
      <c r="N355" s="6">
        <f>IFERROR(VLOOKUP($A355,#REF!,MATCH(#REF!,#REF!,0),0),0)</f>
        <v>0</v>
      </c>
      <c r="O355" s="7">
        <f t="shared" si="28"/>
        <v>0</v>
      </c>
      <c r="P355" s="10" t="str">
        <f>IFERROR(VLOOKUP($A355,[1]FINAL!$A$1:$BZ$1000,MATCH([1]FINAL!$BB$1,[1]FINAL!$A$1:$BZ$1,0),0),"")</f>
        <v/>
      </c>
      <c r="Q355" s="18">
        <f t="shared" si="29"/>
        <v>1</v>
      </c>
    </row>
    <row r="356" spans="1:17" x14ac:dyDescent="0.25">
      <c r="A356" s="14" t="str">
        <f>[1]FINAL!$A118</f>
        <v>Justin Devenny</v>
      </c>
      <c r="B356" s="20" t="str">
        <f>IFERROR(VLOOKUP($A356,[1]FINAL!$A$1:$Z$1000,MATCH([1]FINAL!$T$1,[1]FINAL!$A$1:$Z$1,0),0),"")</f>
        <v>MID</v>
      </c>
      <c r="C356" s="3" t="str">
        <f>IFERROR(VLOOKUP($A356,[1]FINAL!$A$1:$Z$1000,MATCH([1]FINAL!$U$1,[1]FINAL!$A$1:$Z$1,0),0),"")</f>
        <v>AM</v>
      </c>
      <c r="D356" s="3" t="str">
        <f>IFERROR(VLOOKUP($A356,[1]FINAL!$A$1:$Z$1000,MATCH([1]FINAL!$V$1,[1]FINAL!$A$1:$Z$1,0),0),"")</f>
        <v>CRY</v>
      </c>
      <c r="E356" s="6">
        <f t="shared" si="25"/>
        <v>48222.222222222226</v>
      </c>
      <c r="F356" s="5">
        <f t="shared" si="26"/>
        <v>0.19444444444444445</v>
      </c>
      <c r="G356" s="5">
        <f>IFERROR(IF(H356&lt;&gt;"",H356,VLOOKUP($A356,[1]FINAL!$A$1:$BZ$1000,MATCH([1]FINAL!$BL$1,[1]FINAL!$A$1:$BZ$1,0),0)),0)</f>
        <v>0.19444444444444445</v>
      </c>
      <c r="I356" s="5">
        <f>IFERROR(IF(J356&lt;&gt;"",J356,(IF(VLOOKUP($A356,#REF!,MATCH(#REF!,#REF!,0),0)=0,G356,VLOOKUP($A356,#REF!,MATCH(#REF!,#REF!,0),0)))),G356)</f>
        <v>0.19444444444444445</v>
      </c>
      <c r="K356" s="6">
        <f>IFERROR(VLOOKUP($A356,#REF!,MATCH(#REF!,#REF!,0),0),0)</f>
        <v>0</v>
      </c>
      <c r="L356" s="6">
        <f>IFERROR(VLOOKUP($A356,[1]FINAL!$A$1:$BZ$1000,MATCH([1]FINAL!$BF$1,[1]FINAL!$A$1:$BZ$1,0),0),0)</f>
        <v>84</v>
      </c>
      <c r="M356" s="7">
        <f t="shared" si="27"/>
        <v>0.93333333333333335</v>
      </c>
      <c r="N356" s="6">
        <f>IFERROR(VLOOKUP($A356,#REF!,MATCH(#REF!,#REF!,0),0),0)</f>
        <v>0</v>
      </c>
      <c r="O356" s="7">
        <f t="shared" si="28"/>
        <v>0</v>
      </c>
      <c r="P356" s="10" t="str">
        <f>IFERROR(VLOOKUP($A356,[1]FINAL!$A$1:$BZ$1000,MATCH([1]FINAL!$BB$1,[1]FINAL!$A$1:$BZ$1,0),0),"")</f>
        <v/>
      </c>
      <c r="Q356" s="18">
        <f t="shared" si="29"/>
        <v>1</v>
      </c>
    </row>
    <row r="357" spans="1:17" x14ac:dyDescent="0.25">
      <c r="A357" s="14" t="str">
        <f>[1]FINAL!$A529</f>
        <v>Luke Woolfenden</v>
      </c>
      <c r="B357" s="20" t="str">
        <f>IFERROR(VLOOKUP($A357,[1]FINAL!$A$1:$Z$1000,MATCH([1]FINAL!$T$1,[1]FINAL!$A$1:$Z$1,0),0),"")</f>
        <v>DEF</v>
      </c>
      <c r="C357" s="3" t="str">
        <f>IFERROR(VLOOKUP($A357,[1]FINAL!$A$1:$Z$1000,MATCH([1]FINAL!$U$1,[1]FINAL!$A$1:$Z$1,0),0),"")</f>
        <v>CB</v>
      </c>
      <c r="D357" s="3" t="str">
        <f>IFERROR(VLOOKUP($A357,[1]FINAL!$A$1:$Z$1000,MATCH([1]FINAL!$V$1,[1]FINAL!$A$1:$Z$1,0),0),"")</f>
        <v>COV</v>
      </c>
      <c r="E357" s="6">
        <f t="shared" si="25"/>
        <v>0</v>
      </c>
      <c r="F357" s="5">
        <f t="shared" si="26"/>
        <v>0</v>
      </c>
      <c r="G357" s="5">
        <f>IFERROR(IF(H357&lt;&gt;"",H357,VLOOKUP($A357,[1]FINAL!$A$1:$BZ$1000,MATCH([1]FINAL!$BL$1,[1]FINAL!$A$1:$BZ$1,0),0)),0)</f>
        <v>0</v>
      </c>
      <c r="I357" s="5">
        <f>IFERROR(IF(J357&lt;&gt;"",J357,(IF(VLOOKUP($A357,#REF!,MATCH(#REF!,#REF!,0),0)=0,G357,VLOOKUP($A357,#REF!,MATCH(#REF!,#REF!,0),0)))),G357)</f>
        <v>0</v>
      </c>
      <c r="K357" s="6">
        <f>IFERROR(VLOOKUP($A357,#REF!,MATCH(#REF!,#REF!,0),0),0)</f>
        <v>0</v>
      </c>
      <c r="L357" s="6">
        <f>IFERROR(VLOOKUP($A357,[1]FINAL!$A$1:$BZ$1000,MATCH([1]FINAL!$BF$1,[1]FINAL!$A$1:$BZ$1,0),0),0)</f>
        <v>0</v>
      </c>
      <c r="M357" s="7">
        <f t="shared" si="27"/>
        <v>0</v>
      </c>
      <c r="N357" s="6">
        <f>IFERROR(VLOOKUP($A357,#REF!,MATCH(#REF!,#REF!,0),0),0)</f>
        <v>0</v>
      </c>
      <c r="O357" s="7">
        <f t="shared" si="28"/>
        <v>0</v>
      </c>
      <c r="P357" s="10" t="str">
        <f>IFERROR(VLOOKUP($A357,[1]FINAL!$A$1:$BZ$1000,MATCH([1]FINAL!$BB$1,[1]FINAL!$A$1:$BZ$1,0),0),"")</f>
        <v/>
      </c>
      <c r="Q357" s="18">
        <f t="shared" si="29"/>
        <v>1</v>
      </c>
    </row>
    <row r="358" spans="1:17" x14ac:dyDescent="0.25">
      <c r="A358" s="14" t="str">
        <f>[1]FINAL!$A58</f>
        <v>James Trafford</v>
      </c>
      <c r="B358" s="20" t="str">
        <f>IFERROR(VLOOKUP($A358,[1]FINAL!$A$1:$Z$1000,MATCH([1]FINAL!$T$1,[1]FINAL!$A$1:$Z$1,0),0),"")</f>
        <v>GK</v>
      </c>
      <c r="C358" s="3" t="str">
        <f>IFERROR(VLOOKUP($A358,[1]FINAL!$A$1:$Z$1000,MATCH([1]FINAL!$U$1,[1]FINAL!$A$1:$Z$1,0),0),"")</f>
        <v>GK</v>
      </c>
      <c r="D358" s="3" t="str">
        <f>IFERROR(VLOOKUP($A358,[1]FINAL!$A$1:$Z$1000,MATCH([1]FINAL!$V$1,[1]FINAL!$A$1:$Z$1,0),0),"")</f>
        <v>MCI</v>
      </c>
      <c r="E358" s="6">
        <f t="shared" si="25"/>
        <v>31052.631578947367</v>
      </c>
      <c r="F358" s="5">
        <f t="shared" si="26"/>
        <v>0.10526315789473684</v>
      </c>
      <c r="G358" s="5">
        <f>IFERROR(IF(H358&lt;&gt;"",H358,VLOOKUP($A358,[1]FINAL!$A$1:$BZ$1000,MATCH([1]FINAL!$BL$1,[1]FINAL!$A$1:$BZ$1,0),0)),0)</f>
        <v>0.10526315789473684</v>
      </c>
      <c r="I358" s="5">
        <f>IFERROR(IF(J358&lt;&gt;"",J358,(IF(VLOOKUP($A358,#REF!,MATCH(#REF!,#REF!,0),0)=0,G358,VLOOKUP($A358,#REF!,MATCH(#REF!,#REF!,0),0)))),G358)</f>
        <v>0.10526315789473684</v>
      </c>
      <c r="K358" s="6">
        <f>IFERROR(VLOOKUP($A358,#REF!,MATCH(#REF!,#REF!,0),0),0)</f>
        <v>0</v>
      </c>
      <c r="L358" s="6">
        <f>IFERROR(VLOOKUP($A358,[1]FINAL!$A$1:$BZ$1000,MATCH([1]FINAL!$BF$1,[1]FINAL!$A$1:$BZ$1,0),0),0)</f>
        <v>90</v>
      </c>
      <c r="M358" s="7">
        <f t="shared" si="27"/>
        <v>1</v>
      </c>
      <c r="N358" s="6">
        <f>IFERROR(VLOOKUP($A358,#REF!,MATCH(#REF!,#REF!,0),0),0)</f>
        <v>0</v>
      </c>
      <c r="O358" s="7">
        <f t="shared" si="28"/>
        <v>0</v>
      </c>
      <c r="P358" s="10" t="str">
        <f>IFERROR(VLOOKUP($A358,[1]FINAL!$A$1:$BZ$1000,MATCH([1]FINAL!$BB$1,[1]FINAL!$A$1:$BZ$1,0),0),"")</f>
        <v/>
      </c>
      <c r="Q358" s="18">
        <f t="shared" si="29"/>
        <v>1</v>
      </c>
    </row>
    <row r="359" spans="1:17" x14ac:dyDescent="0.25">
      <c r="A359" s="14" t="str">
        <f>[1]FINAL!$A146</f>
        <v>Jacob Murphy</v>
      </c>
      <c r="B359" s="20" t="str">
        <f>IFERROR(VLOOKUP($A359,[1]FINAL!$A$1:$Z$1000,MATCH([1]FINAL!$T$1,[1]FINAL!$A$1:$Z$1,0),0),"")</f>
        <v>MID</v>
      </c>
      <c r="C359" s="3" t="str">
        <f>IFERROR(VLOOKUP($A359,[1]FINAL!$A$1:$Z$1000,MATCH([1]FINAL!$U$1,[1]FINAL!$A$1:$Z$1,0),0),"")</f>
        <v>RW</v>
      </c>
      <c r="D359" s="3" t="str">
        <f>IFERROR(VLOOKUP($A359,[1]FINAL!$A$1:$Z$1000,MATCH([1]FINAL!$V$1,[1]FINAL!$A$1:$Z$1,0),0),"")</f>
        <v>NEW</v>
      </c>
      <c r="E359" s="6">
        <f t="shared" si="25"/>
        <v>113222.22222222223</v>
      </c>
      <c r="F359" s="5">
        <f t="shared" si="26"/>
        <v>0.52777777777777779</v>
      </c>
      <c r="G359" s="5">
        <f>IFERROR(IF(H359&lt;&gt;"",H359,VLOOKUP($A359,[1]FINAL!$A$1:$BZ$1000,MATCH([1]FINAL!$BL$1,[1]FINAL!$A$1:$BZ$1,0),0)),0)</f>
        <v>0.52777777777777779</v>
      </c>
      <c r="I359" s="5">
        <f>IFERROR(IF(J359&lt;&gt;"",J359,(IF(VLOOKUP($A359,#REF!,MATCH(#REF!,#REF!,0),0)=0,G359,VLOOKUP($A359,#REF!,MATCH(#REF!,#REF!,0),0)))),G359)</f>
        <v>0.52777777777777779</v>
      </c>
      <c r="K359" s="6">
        <f>IFERROR(VLOOKUP($A359,#REF!,MATCH(#REF!,#REF!,0),0),0)</f>
        <v>0</v>
      </c>
      <c r="L359" s="6">
        <f>IFERROR(VLOOKUP($A359,[1]FINAL!$A$1:$BZ$1000,MATCH([1]FINAL!$BF$1,[1]FINAL!$A$1:$BZ$1,0),0),0)</f>
        <v>69</v>
      </c>
      <c r="M359" s="7">
        <f t="shared" si="27"/>
        <v>0.76666666666666672</v>
      </c>
      <c r="N359" s="6">
        <f>IFERROR(VLOOKUP($A359,#REF!,MATCH(#REF!,#REF!,0),0),0)</f>
        <v>0</v>
      </c>
      <c r="O359" s="7">
        <f t="shared" si="28"/>
        <v>0</v>
      </c>
      <c r="P359" s="10" t="str">
        <f>IFERROR(VLOOKUP($A359,[1]FINAL!$A$1:$BZ$1000,MATCH([1]FINAL!$BB$1,[1]FINAL!$A$1:$BZ$1,0),0),"")</f>
        <v/>
      </c>
      <c r="Q359" s="18">
        <f t="shared" si="29"/>
        <v>1</v>
      </c>
    </row>
    <row r="360" spans="1:17" x14ac:dyDescent="0.25">
      <c r="A360" s="14" t="str">
        <f>[1]FINAL!$A271</f>
        <v>Tyrick Mitchell</v>
      </c>
      <c r="B360" s="20" t="str">
        <f>IFERROR(VLOOKUP($A360,[1]FINAL!$A$1:$Z$1000,MATCH([1]FINAL!$T$1,[1]FINAL!$A$1:$Z$1,0),0),"")</f>
        <v>DEF</v>
      </c>
      <c r="C360" s="3" t="str">
        <f>IFERROR(VLOOKUP($A360,[1]FINAL!$A$1:$Z$1000,MATCH([1]FINAL!$U$1,[1]FINAL!$A$1:$Z$1,0),0),"")</f>
        <v>LB</v>
      </c>
      <c r="D360" s="3" t="str">
        <f>IFERROR(VLOOKUP($A360,[1]FINAL!$A$1:$Z$1000,MATCH([1]FINAL!$V$1,[1]FINAL!$A$1:$Z$1,0),0),"")</f>
        <v>CRY</v>
      </c>
      <c r="E360" s="6">
        <f t="shared" si="25"/>
        <v>199251.46198830407</v>
      </c>
      <c r="F360" s="5">
        <f t="shared" si="26"/>
        <v>0.94736842105263153</v>
      </c>
      <c r="G360" s="5">
        <f>IFERROR(IF(H360&lt;&gt;"",H360,VLOOKUP($A360,[1]FINAL!$A$1:$BZ$1000,MATCH([1]FINAL!$BL$1,[1]FINAL!$A$1:$BZ$1,0),0)),0)</f>
        <v>0.94736842105263153</v>
      </c>
      <c r="I360" s="5">
        <f>IFERROR(IF(J360&lt;&gt;"",J360,(IF(VLOOKUP($A360,#REF!,MATCH(#REF!,#REF!,0),0)=0,G360,VLOOKUP($A360,#REF!,MATCH(#REF!,#REF!,0),0)))),G360)</f>
        <v>0.94736842105263153</v>
      </c>
      <c r="K360" s="6">
        <f>IFERROR(VLOOKUP($A360,#REF!,MATCH(#REF!,#REF!,0),0),0)</f>
        <v>0</v>
      </c>
      <c r="L360" s="6">
        <f>IFERROR(VLOOKUP($A360,[1]FINAL!$A$1:$BZ$1000,MATCH([1]FINAL!$BF$1,[1]FINAL!$A$1:$BZ$1,0),0),0)</f>
        <v>88</v>
      </c>
      <c r="M360" s="7">
        <f t="shared" si="27"/>
        <v>0.97777777777777775</v>
      </c>
      <c r="N360" s="6">
        <f>IFERROR(VLOOKUP($A360,#REF!,MATCH(#REF!,#REF!,0),0),0)</f>
        <v>0</v>
      </c>
      <c r="O360" s="7">
        <f t="shared" si="28"/>
        <v>0</v>
      </c>
      <c r="P360" s="10" t="str">
        <f>IFERROR(VLOOKUP($A360,[1]FINAL!$A$1:$BZ$1000,MATCH([1]FINAL!$BB$1,[1]FINAL!$A$1:$BZ$1,0),0),"")</f>
        <v/>
      </c>
      <c r="Q360" s="18">
        <f t="shared" si="29"/>
        <v>1</v>
      </c>
    </row>
    <row r="361" spans="1:17" x14ac:dyDescent="0.25">
      <c r="A361" s="14" t="str">
        <f>[1]FINAL!$A315</f>
        <v>Kobbie Mainoo</v>
      </c>
      <c r="B361" s="20" t="str">
        <f>IFERROR(VLOOKUP($A361,[1]FINAL!$A$1:$Z$1000,MATCH([1]FINAL!$T$1,[1]FINAL!$A$1:$Z$1,0),0),"")</f>
        <v>MID</v>
      </c>
      <c r="C361" s="3" t="str">
        <f>IFERROR(VLOOKUP($A361,[1]FINAL!$A$1:$Z$1000,MATCH([1]FINAL!$U$1,[1]FINAL!$A$1:$Z$1,0),0),"")</f>
        <v>CM</v>
      </c>
      <c r="D361" s="3" t="str">
        <f>IFERROR(VLOOKUP($A361,[1]FINAL!$A$1:$Z$1000,MATCH([1]FINAL!$V$1,[1]FINAL!$A$1:$Z$1,0),0),"")</f>
        <v>MUN</v>
      </c>
      <c r="E361" s="6">
        <f t="shared" si="25"/>
        <v>109888.88888888889</v>
      </c>
      <c r="F361" s="5">
        <f t="shared" si="26"/>
        <v>0.5</v>
      </c>
      <c r="G361" s="5">
        <f>IFERROR(IF(H361&lt;&gt;"",H361,VLOOKUP($A361,[1]FINAL!$A$1:$BZ$1000,MATCH([1]FINAL!$BL$1,[1]FINAL!$A$1:$BZ$1,0),0)),0)</f>
        <v>0.5</v>
      </c>
      <c r="I361" s="5">
        <f>IFERROR(IF(J361&lt;&gt;"",J361,(IF(VLOOKUP($A361,#REF!,MATCH(#REF!,#REF!,0),0)=0,G361,VLOOKUP($A361,#REF!,MATCH(#REF!,#REF!,0),0)))),G361)</f>
        <v>0.5</v>
      </c>
      <c r="K361" s="6">
        <f>IFERROR(VLOOKUP($A361,#REF!,MATCH(#REF!,#REF!,0),0),0)</f>
        <v>0</v>
      </c>
      <c r="L361" s="6">
        <f>IFERROR(VLOOKUP($A361,[1]FINAL!$A$1:$BZ$1000,MATCH([1]FINAL!$BF$1,[1]FINAL!$A$1:$BZ$1,0),0),0)</f>
        <v>89</v>
      </c>
      <c r="M361" s="7">
        <f t="shared" si="27"/>
        <v>0.98888888888888893</v>
      </c>
      <c r="N361" s="6">
        <f>IFERROR(VLOOKUP($A361,#REF!,MATCH(#REF!,#REF!,0),0),0)</f>
        <v>0</v>
      </c>
      <c r="O361" s="7">
        <f t="shared" si="28"/>
        <v>0</v>
      </c>
      <c r="P361" s="10" t="str">
        <f>IFERROR(VLOOKUP($A361,[1]FINAL!$A$1:$BZ$1000,MATCH([1]FINAL!$BB$1,[1]FINAL!$A$1:$BZ$1,0),0),"")</f>
        <v/>
      </c>
      <c r="Q361" s="18">
        <f t="shared" si="29"/>
        <v>1</v>
      </c>
    </row>
    <row r="362" spans="1:17" x14ac:dyDescent="0.25">
      <c r="A362" s="14" t="str">
        <f>[1]FINAL!$A86</f>
        <v>Freddie Woodman</v>
      </c>
      <c r="B362" s="20" t="str">
        <f>IFERROR(VLOOKUP($A362,[1]FINAL!$A$1:$Z$1000,MATCH([1]FINAL!$T$1,[1]FINAL!$A$1:$Z$1,0),0),"")</f>
        <v>GK</v>
      </c>
      <c r="C362" s="3" t="str">
        <f>IFERROR(VLOOKUP($A362,[1]FINAL!$A$1:$Z$1000,MATCH([1]FINAL!$U$1,[1]FINAL!$A$1:$Z$1,0),0),"")</f>
        <v>GK</v>
      </c>
      <c r="D362" s="3" t="str">
        <f>IFERROR(VLOOKUP($A362,[1]FINAL!$A$1:$Z$1000,MATCH([1]FINAL!$V$1,[1]FINAL!$A$1:$Z$1,0),0),"")</f>
        <v>LIV</v>
      </c>
      <c r="E362" s="6">
        <f t="shared" si="25"/>
        <v>31052.631578947367</v>
      </c>
      <c r="F362" s="5">
        <f t="shared" si="26"/>
        <v>0.10526315789473684</v>
      </c>
      <c r="G362" s="5">
        <f>IFERROR(IF(H362&lt;&gt;"",H362,VLOOKUP($A362,[1]FINAL!$A$1:$BZ$1000,MATCH([1]FINAL!$BL$1,[1]FINAL!$A$1:$BZ$1,0),0)),0)</f>
        <v>0.10526315789473684</v>
      </c>
      <c r="I362" s="5">
        <f>IFERROR(IF(J362&lt;&gt;"",J362,(IF(VLOOKUP($A362,#REF!,MATCH(#REF!,#REF!,0),0)=0,G362,VLOOKUP($A362,#REF!,MATCH(#REF!,#REF!,0),0)))),G362)</f>
        <v>0.10526315789473684</v>
      </c>
      <c r="K362" s="6">
        <f>IFERROR(VLOOKUP($A362,#REF!,MATCH(#REF!,#REF!,0),0),0)</f>
        <v>0</v>
      </c>
      <c r="L362" s="6">
        <f>IFERROR(VLOOKUP($A362,[1]FINAL!$A$1:$BZ$1000,MATCH([1]FINAL!$BF$1,[1]FINAL!$A$1:$BZ$1,0),0),0)</f>
        <v>90</v>
      </c>
      <c r="M362" s="7">
        <f t="shared" si="27"/>
        <v>1</v>
      </c>
      <c r="N362" s="6">
        <f>IFERROR(VLOOKUP($A362,#REF!,MATCH(#REF!,#REF!,0),0),0)</f>
        <v>0</v>
      </c>
      <c r="O362" s="7">
        <f t="shared" si="28"/>
        <v>0</v>
      </c>
      <c r="P362" s="10" t="str">
        <f>IFERROR(VLOOKUP($A362,[1]FINAL!$A$1:$BZ$1000,MATCH([1]FINAL!$BB$1,[1]FINAL!$A$1:$BZ$1,0),0),"")</f>
        <v/>
      </c>
      <c r="Q362" s="18">
        <f t="shared" si="29"/>
        <v>1</v>
      </c>
    </row>
    <row r="363" spans="1:17" x14ac:dyDescent="0.25">
      <c r="A363" s="14" t="str">
        <f>[1]FINAL!$A190</f>
        <v>Harry Maguire</v>
      </c>
      <c r="B363" s="20" t="str">
        <f>IFERROR(VLOOKUP($A363,[1]FINAL!$A$1:$Z$1000,MATCH([1]FINAL!$T$1,[1]FINAL!$A$1:$Z$1,0),0),"")</f>
        <v>DEF</v>
      </c>
      <c r="C363" s="3" t="str">
        <f>IFERROR(VLOOKUP($A363,[1]FINAL!$A$1:$Z$1000,MATCH([1]FINAL!$U$1,[1]FINAL!$A$1:$Z$1,0),0),"")</f>
        <v>CB</v>
      </c>
      <c r="D363" s="3" t="str">
        <f>IFERROR(VLOOKUP($A363,[1]FINAL!$A$1:$Z$1000,MATCH([1]FINAL!$V$1,[1]FINAL!$A$1:$Z$1,0),0),"")</f>
        <v>MUN</v>
      </c>
      <c r="E363" s="6">
        <f t="shared" si="25"/>
        <v>155487.1794871795</v>
      </c>
      <c r="F363" s="5">
        <f t="shared" si="26"/>
        <v>0.73076923076923073</v>
      </c>
      <c r="G363" s="5">
        <f>IFERROR(IF(H363&lt;&gt;"",H363,VLOOKUP($A363,[1]FINAL!$A$1:$BZ$1000,MATCH([1]FINAL!$BL$1,[1]FINAL!$A$1:$BZ$1,0),0)),0)</f>
        <v>0.73076923076923073</v>
      </c>
      <c r="I363" s="5">
        <f>IFERROR(IF(J363&lt;&gt;"",J363,(IF(VLOOKUP($A363,#REF!,MATCH(#REF!,#REF!,0),0)=0,G363,VLOOKUP($A363,#REF!,MATCH(#REF!,#REF!,0),0)))),G363)</f>
        <v>0.73076923076923073</v>
      </c>
      <c r="K363" s="6">
        <f>IFERROR(VLOOKUP($A363,#REF!,MATCH(#REF!,#REF!,0),0),0)</f>
        <v>0</v>
      </c>
      <c r="L363" s="6">
        <f>IFERROR(VLOOKUP($A363,[1]FINAL!$A$1:$BZ$1000,MATCH([1]FINAL!$BF$1,[1]FINAL!$A$1:$BZ$1,0),0),0)</f>
        <v>84</v>
      </c>
      <c r="M363" s="7">
        <f t="shared" si="27"/>
        <v>0.93333333333333335</v>
      </c>
      <c r="N363" s="6">
        <f>IFERROR(VLOOKUP($A363,#REF!,MATCH(#REF!,#REF!,0),0),0)</f>
        <v>0</v>
      </c>
      <c r="O363" s="7">
        <f t="shared" si="28"/>
        <v>0</v>
      </c>
      <c r="P363" s="10" t="str">
        <f>IFERROR(VLOOKUP($A363,[1]FINAL!$A$1:$BZ$1000,MATCH([1]FINAL!$BB$1,[1]FINAL!$A$1:$BZ$1,0),0),"")</f>
        <v/>
      </c>
      <c r="Q363" s="18">
        <f t="shared" si="29"/>
        <v>1</v>
      </c>
    </row>
    <row r="364" spans="1:17" x14ac:dyDescent="0.25">
      <c r="A364" s="14" t="str">
        <f>[1]FINAL!$A323</f>
        <v>Simon Adingra</v>
      </c>
      <c r="B364" s="20" t="str">
        <f>IFERROR(VLOOKUP($A364,[1]FINAL!$A$1:$Z$1000,MATCH([1]FINAL!$T$1,[1]FINAL!$A$1:$Z$1,0),0),"")</f>
        <v>MID</v>
      </c>
      <c r="C364" s="3" t="str">
        <f>IFERROR(VLOOKUP($A364,[1]FINAL!$A$1:$Z$1000,MATCH([1]FINAL!$U$1,[1]FINAL!$A$1:$Z$1,0),0),"")</f>
        <v>LW</v>
      </c>
      <c r="D364" s="3" t="str">
        <f>IFERROR(VLOOKUP($A364,[1]FINAL!$A$1:$Z$1000,MATCH([1]FINAL!$V$1,[1]FINAL!$A$1:$Z$1,0),0),"")</f>
        <v>SUN</v>
      </c>
      <c r="E364" s="6">
        <f t="shared" si="25"/>
        <v>88929.292929292933</v>
      </c>
      <c r="F364" s="5">
        <f t="shared" si="26"/>
        <v>0.40909090909090912</v>
      </c>
      <c r="G364" s="5">
        <f>IFERROR(IF(H364&lt;&gt;"",H364,VLOOKUP($A364,[1]FINAL!$A$1:$BZ$1000,MATCH([1]FINAL!$BL$1,[1]FINAL!$A$1:$BZ$1,0),0)),0)</f>
        <v>0.40909090909090912</v>
      </c>
      <c r="I364" s="5">
        <f>IFERROR(IF(J364&lt;&gt;"",J364,(IF(VLOOKUP($A364,#REF!,MATCH(#REF!,#REF!,0),0)=0,G364,VLOOKUP($A364,#REF!,MATCH(#REF!,#REF!,0),0)))),G364)</f>
        <v>0.40909090909090912</v>
      </c>
      <c r="K364" s="6">
        <f>IFERROR(VLOOKUP($A364,#REF!,MATCH(#REF!,#REF!,0),0),0)</f>
        <v>0</v>
      </c>
      <c r="L364" s="6">
        <f>IFERROR(VLOOKUP($A364,[1]FINAL!$A$1:$BZ$1000,MATCH([1]FINAL!$BF$1,[1]FINAL!$A$1:$BZ$1,0),0),0)</f>
        <v>64</v>
      </c>
      <c r="M364" s="7">
        <f t="shared" si="27"/>
        <v>0.71111111111111114</v>
      </c>
      <c r="N364" s="6">
        <f>IFERROR(VLOOKUP($A364,#REF!,MATCH(#REF!,#REF!,0),0),0)</f>
        <v>0</v>
      </c>
      <c r="O364" s="7">
        <f t="shared" si="28"/>
        <v>0</v>
      </c>
      <c r="P364" s="10" t="str">
        <f>IFERROR(VLOOKUP($A364,[1]FINAL!$A$1:$BZ$1000,MATCH([1]FINAL!$BB$1,[1]FINAL!$A$1:$BZ$1,0),0),"")</f>
        <v/>
      </c>
      <c r="Q364" s="18">
        <f t="shared" si="29"/>
        <v>1</v>
      </c>
    </row>
    <row r="365" spans="1:17" x14ac:dyDescent="0.25">
      <c r="A365" s="14" t="str">
        <f>[1]FINAL!$A507</f>
        <v>Victor Torp</v>
      </c>
      <c r="B365" s="20" t="str">
        <f>IFERROR(VLOOKUP($A365,[1]FINAL!$A$1:$Z$1000,MATCH([1]FINAL!$T$1,[1]FINAL!$A$1:$Z$1,0),0),"")</f>
        <v>MID</v>
      </c>
      <c r="C365" s="3" t="str">
        <f>IFERROR(VLOOKUP($A365,[1]FINAL!$A$1:$Z$1000,MATCH([1]FINAL!$U$1,[1]FINAL!$A$1:$Z$1,0),0),"")</f>
        <v>CM</v>
      </c>
      <c r="D365" s="3" t="str">
        <f>IFERROR(VLOOKUP($A365,[1]FINAL!$A$1:$Z$1000,MATCH([1]FINAL!$V$1,[1]FINAL!$A$1:$Z$1,0),0),"")</f>
        <v>COV</v>
      </c>
      <c r="E365" s="6">
        <f t="shared" si="25"/>
        <v>128047.61904761905</v>
      </c>
      <c r="F365" s="5">
        <f t="shared" si="26"/>
        <v>0.59523809523809523</v>
      </c>
      <c r="G365" s="5">
        <f>IFERROR(IF(H365&lt;&gt;"",H365,VLOOKUP($A365,[1]FINAL!$A$1:$BZ$1000,MATCH([1]FINAL!$BL$1,[1]FINAL!$A$1:$BZ$1,0),0)),0)</f>
        <v>0.59523809523809523</v>
      </c>
      <c r="I365" s="5">
        <f>IFERROR(IF(J365&lt;&gt;"",J365,(IF(VLOOKUP($A365,#REF!,MATCH(#REF!,#REF!,0),0)=0,G365,VLOOKUP($A365,#REF!,MATCH(#REF!,#REF!,0),0)))),G365)</f>
        <v>0.59523809523809523</v>
      </c>
      <c r="K365" s="6">
        <f>IFERROR(VLOOKUP($A365,#REF!,MATCH(#REF!,#REF!,0),0),0)</f>
        <v>0</v>
      </c>
      <c r="L365" s="6">
        <f>IFERROR(VLOOKUP($A365,[1]FINAL!$A$1:$BZ$1000,MATCH([1]FINAL!$BF$1,[1]FINAL!$A$1:$BZ$1,0),0),0)</f>
        <v>81</v>
      </c>
      <c r="M365" s="7">
        <f t="shared" si="27"/>
        <v>0.9</v>
      </c>
      <c r="N365" s="6">
        <f>IFERROR(VLOOKUP($A365,#REF!,MATCH(#REF!,#REF!,0),0),0)</f>
        <v>0</v>
      </c>
      <c r="O365" s="7">
        <f t="shared" si="28"/>
        <v>0</v>
      </c>
      <c r="P365" s="10" t="str">
        <f>IFERROR(VLOOKUP($A365,[1]FINAL!$A$1:$BZ$1000,MATCH([1]FINAL!$BB$1,[1]FINAL!$A$1:$BZ$1,0),0),"")</f>
        <v/>
      </c>
      <c r="Q365" s="18">
        <f t="shared" si="29"/>
        <v>1</v>
      </c>
    </row>
    <row r="366" spans="1:17" x14ac:dyDescent="0.25">
      <c r="A366" s="14" t="str">
        <f>[1]FINAL!$A111</f>
        <v>Morgan Rogers</v>
      </c>
      <c r="B366" s="20" t="str">
        <f>IFERROR(VLOOKUP($A366,[1]FINAL!$A$1:$Z$1000,MATCH([1]FINAL!$T$1,[1]FINAL!$A$1:$Z$1,0),0),"")</f>
        <v>MID</v>
      </c>
      <c r="C366" s="3" t="str">
        <f>IFERROR(VLOOKUP($A366,[1]FINAL!$A$1:$Z$1000,MATCH([1]FINAL!$U$1,[1]FINAL!$A$1:$Z$1,0),0),"")</f>
        <v>AM</v>
      </c>
      <c r="D366" s="3" t="str">
        <f>IFERROR(VLOOKUP($A366,[1]FINAL!$A$1:$Z$1000,MATCH([1]FINAL!$V$1,[1]FINAL!$A$1:$Z$1,0),0),"")</f>
        <v>CHE</v>
      </c>
      <c r="E366" s="6">
        <f t="shared" si="25"/>
        <v>209888.88888888888</v>
      </c>
      <c r="F366" s="5">
        <f t="shared" si="26"/>
        <v>1</v>
      </c>
      <c r="G366" s="5">
        <f>IFERROR(IF(H366&lt;&gt;"",H366,VLOOKUP($A366,[1]FINAL!$A$1:$BZ$1000,MATCH([1]FINAL!$BL$1,[1]FINAL!$A$1:$BZ$1,0),0)),0)</f>
        <v>1</v>
      </c>
      <c r="I366" s="5">
        <f>IFERROR(IF(J366&lt;&gt;"",J366,(IF(VLOOKUP($A366,#REF!,MATCH(#REF!,#REF!,0),0)=0,G366,VLOOKUP($A366,#REF!,MATCH(#REF!,#REF!,0),0)))),G366)</f>
        <v>1</v>
      </c>
      <c r="K366" s="6">
        <f>IFERROR(VLOOKUP($A366,#REF!,MATCH(#REF!,#REF!,0),0),0)</f>
        <v>0</v>
      </c>
      <c r="L366" s="6">
        <f>IFERROR(VLOOKUP($A366,[1]FINAL!$A$1:$BZ$1000,MATCH([1]FINAL!$BF$1,[1]FINAL!$A$1:$BZ$1,0),0),0)</f>
        <v>89</v>
      </c>
      <c r="M366" s="7">
        <f t="shared" si="27"/>
        <v>0.98888888888888893</v>
      </c>
      <c r="N366" s="6">
        <f>IFERROR(VLOOKUP($A366,#REF!,MATCH(#REF!,#REF!,0),0),0)</f>
        <v>0</v>
      </c>
      <c r="O366" s="7">
        <f t="shared" si="28"/>
        <v>0</v>
      </c>
      <c r="P366" s="10" t="str">
        <f>IFERROR(VLOOKUP($A366,[1]FINAL!$A$1:$BZ$1000,MATCH([1]FINAL!$BB$1,[1]FINAL!$A$1:$BZ$1,0),0),"")</f>
        <v/>
      </c>
      <c r="Q366" s="18">
        <f t="shared" si="29"/>
        <v>1</v>
      </c>
    </row>
    <row r="367" spans="1:17" x14ac:dyDescent="0.25">
      <c r="A367" s="14" t="str">
        <f>[1]FINAL!$A176</f>
        <v>Emile Smith Rowe</v>
      </c>
      <c r="B367" s="20" t="str">
        <f>IFERROR(VLOOKUP($A367,[1]FINAL!$A$1:$Z$1000,MATCH([1]FINAL!$T$1,[1]FINAL!$A$1:$Z$1,0),0),"")</f>
        <v>MID</v>
      </c>
      <c r="C367" s="3" t="str">
        <f>IFERROR(VLOOKUP($A367,[1]FINAL!$A$1:$Z$1000,MATCH([1]FINAL!$U$1,[1]FINAL!$A$1:$Z$1,0),0),"")</f>
        <v>AM</v>
      </c>
      <c r="D367" s="3" t="str">
        <f>IFERROR(VLOOKUP($A367,[1]FINAL!$A$1:$Z$1000,MATCH([1]FINAL!$V$1,[1]FINAL!$A$1:$Z$1,0),0),"")</f>
        <v>FUL</v>
      </c>
      <c r="E367" s="6">
        <f t="shared" si="25"/>
        <v>127030.03003003003</v>
      </c>
      <c r="F367" s="5">
        <f t="shared" si="26"/>
        <v>0.59459459459459463</v>
      </c>
      <c r="G367" s="5">
        <f>IFERROR(IF(H367&lt;&gt;"",H367,VLOOKUP($A367,[1]FINAL!$A$1:$BZ$1000,MATCH([1]FINAL!$BL$1,[1]FINAL!$A$1:$BZ$1,0),0)),0)</f>
        <v>0.59459459459459463</v>
      </c>
      <c r="I367" s="5">
        <f>IFERROR(IF(J367&lt;&gt;"",J367,(IF(VLOOKUP($A367,#REF!,MATCH(#REF!,#REF!,0),0)=0,G367,VLOOKUP($A367,#REF!,MATCH(#REF!,#REF!,0),0)))),G367)</f>
        <v>0.59459459459459463</v>
      </c>
      <c r="K367" s="6">
        <f>IFERROR(VLOOKUP($A367,#REF!,MATCH(#REF!,#REF!,0),0),0)</f>
        <v>0</v>
      </c>
      <c r="L367" s="6">
        <f>IFERROR(VLOOKUP($A367,[1]FINAL!$A$1:$BZ$1000,MATCH([1]FINAL!$BF$1,[1]FINAL!$A$1:$BZ$1,0),0),0)</f>
        <v>73</v>
      </c>
      <c r="M367" s="7">
        <f t="shared" si="27"/>
        <v>0.81111111111111112</v>
      </c>
      <c r="N367" s="6">
        <f>IFERROR(VLOOKUP($A367,#REF!,MATCH(#REF!,#REF!,0),0),0)</f>
        <v>0</v>
      </c>
      <c r="O367" s="7">
        <f t="shared" si="28"/>
        <v>0</v>
      </c>
      <c r="P367" s="10" t="str">
        <f>IFERROR(VLOOKUP($A367,[1]FINAL!$A$1:$BZ$1000,MATCH([1]FINAL!$BB$1,[1]FINAL!$A$1:$BZ$1,0),0),"")</f>
        <v/>
      </c>
      <c r="Q367" s="18">
        <f t="shared" si="29"/>
        <v>1</v>
      </c>
    </row>
    <row r="368" spans="1:17" x14ac:dyDescent="0.25">
      <c r="A368" s="14" t="str">
        <f>[1]FINAL!$A411</f>
        <v>Jesurun Rak-Sakyi</v>
      </c>
      <c r="B368" s="20" t="str">
        <f>IFERROR(VLOOKUP($A368,[1]FINAL!$A$1:$Z$1000,MATCH([1]FINAL!$T$1,[1]FINAL!$A$1:$Z$1,0),0),"")</f>
        <v>MID</v>
      </c>
      <c r="C368" s="3" t="str">
        <f>IFERROR(VLOOKUP($A368,[1]FINAL!$A$1:$Z$1000,MATCH([1]FINAL!$U$1,[1]FINAL!$A$1:$Z$1,0),0),"")</f>
        <v>RW</v>
      </c>
      <c r="D368" s="3" t="str">
        <f>IFERROR(VLOOKUP($A368,[1]FINAL!$A$1:$Z$1000,MATCH([1]FINAL!$V$1,[1]FINAL!$A$1:$Z$1,0),0),"")</f>
        <v>CRY</v>
      </c>
      <c r="E368" s="6">
        <f t="shared" si="25"/>
        <v>0</v>
      </c>
      <c r="F368" s="5">
        <f t="shared" si="26"/>
        <v>0</v>
      </c>
      <c r="G368" s="5">
        <f>IFERROR(IF(H368&lt;&gt;"",H368,VLOOKUP($A368,[1]FINAL!$A$1:$BZ$1000,MATCH([1]FINAL!$BL$1,[1]FINAL!$A$1:$BZ$1,0),0)),0)</f>
        <v>0</v>
      </c>
      <c r="I368" s="5">
        <f>IFERROR(IF(J368&lt;&gt;"",J368,(IF(VLOOKUP($A368,#REF!,MATCH(#REF!,#REF!,0),0)=0,G368,VLOOKUP($A368,#REF!,MATCH(#REF!,#REF!,0),0)))),G368)</f>
        <v>0</v>
      </c>
      <c r="K368" s="6">
        <f>IFERROR(VLOOKUP($A368,#REF!,MATCH(#REF!,#REF!,0),0),0)</f>
        <v>0</v>
      </c>
      <c r="L368" s="6">
        <f>IFERROR(VLOOKUP($A368,[1]FINAL!$A$1:$BZ$1000,MATCH([1]FINAL!$BF$1,[1]FINAL!$A$1:$BZ$1,0),0),0)</f>
        <v>0</v>
      </c>
      <c r="M368" s="7">
        <f t="shared" si="27"/>
        <v>0</v>
      </c>
      <c r="N368" s="6">
        <f>IFERROR(VLOOKUP($A368,#REF!,MATCH(#REF!,#REF!,0),0),0)</f>
        <v>0</v>
      </c>
      <c r="O368" s="7">
        <f t="shared" si="28"/>
        <v>0</v>
      </c>
      <c r="P368" s="10" t="str">
        <f>IFERROR(VLOOKUP($A368,[1]FINAL!$A$1:$BZ$1000,MATCH([1]FINAL!$BB$1,[1]FINAL!$A$1:$BZ$1,0),0),"")</f>
        <v/>
      </c>
      <c r="Q368" s="18">
        <f t="shared" si="29"/>
        <v>1</v>
      </c>
    </row>
    <row r="369" spans="1:17" x14ac:dyDescent="0.25">
      <c r="A369" s="14" t="str">
        <f>[1]FINAL!$A274</f>
        <v>Michael Kayode</v>
      </c>
      <c r="B369" s="20" t="str">
        <f>IFERROR(VLOOKUP($A369,[1]FINAL!$A$1:$Z$1000,MATCH([1]FINAL!$T$1,[1]FINAL!$A$1:$Z$1,0),0),"")</f>
        <v>DEF</v>
      </c>
      <c r="C369" s="3" t="str">
        <f>IFERROR(VLOOKUP($A369,[1]FINAL!$A$1:$Z$1000,MATCH([1]FINAL!$U$1,[1]FINAL!$A$1:$Z$1,0),0),"")</f>
        <v>RB</v>
      </c>
      <c r="D369" s="3" t="str">
        <f>IFERROR(VLOOKUP($A369,[1]FINAL!$A$1:$Z$1000,MATCH([1]FINAL!$V$1,[1]FINAL!$A$1:$Z$1,0),0),"")</f>
        <v>BRE</v>
      </c>
      <c r="E369" s="6">
        <f t="shared" si="25"/>
        <v>209777.77777777778</v>
      </c>
      <c r="F369" s="5">
        <f t="shared" si="26"/>
        <v>1</v>
      </c>
      <c r="G369" s="5">
        <f>IFERROR(IF(H369&lt;&gt;"",H369,VLOOKUP($A369,[1]FINAL!$A$1:$BZ$1000,MATCH([1]FINAL!$BL$1,[1]FINAL!$A$1:$BZ$1,0),0)),0)</f>
        <v>1</v>
      </c>
      <c r="I369" s="5">
        <f>IFERROR(IF(J369&lt;&gt;"",J369,(IF(VLOOKUP($A369,#REF!,MATCH(#REF!,#REF!,0),0)=0,G369,VLOOKUP($A369,#REF!,MATCH(#REF!,#REF!,0),0)))),G369)</f>
        <v>1</v>
      </c>
      <c r="K369" s="6">
        <f>IFERROR(VLOOKUP($A369,#REF!,MATCH(#REF!,#REF!,0),0),0)</f>
        <v>0</v>
      </c>
      <c r="L369" s="6">
        <f>IFERROR(VLOOKUP($A369,[1]FINAL!$A$1:$BZ$1000,MATCH([1]FINAL!$BF$1,[1]FINAL!$A$1:$BZ$1,0),0),0)</f>
        <v>88</v>
      </c>
      <c r="M369" s="7">
        <f t="shared" si="27"/>
        <v>0.97777777777777775</v>
      </c>
      <c r="N369" s="6">
        <f>IFERROR(VLOOKUP($A369,#REF!,MATCH(#REF!,#REF!,0),0),0)</f>
        <v>0</v>
      </c>
      <c r="O369" s="7">
        <f t="shared" si="28"/>
        <v>0</v>
      </c>
      <c r="P369" s="10" t="str">
        <f>IFERROR(VLOOKUP($A369,[1]FINAL!$A$1:$BZ$1000,MATCH([1]FINAL!$BB$1,[1]FINAL!$A$1:$BZ$1,0),0),"")</f>
        <v/>
      </c>
      <c r="Q369" s="18">
        <f t="shared" si="29"/>
        <v>1</v>
      </c>
    </row>
    <row r="370" spans="1:17" x14ac:dyDescent="0.25">
      <c r="A370" s="14" t="str">
        <f>[1]FINAL!$A424</f>
        <v>Bazoumana Touré</v>
      </c>
      <c r="B370" s="20" t="str">
        <f>IFERROR(VLOOKUP($A370,[1]FINAL!$A$1:$Z$1000,MATCH([1]FINAL!$T$1,[1]FINAL!$A$1:$Z$1,0),0),"")</f>
        <v>MID</v>
      </c>
      <c r="C370" s="3" t="str">
        <f>IFERROR(VLOOKUP($A370,[1]FINAL!$A$1:$Z$1000,MATCH([1]FINAL!$U$1,[1]FINAL!$A$1:$Z$1,0),0),"")</f>
        <v>LW</v>
      </c>
      <c r="D370" s="3" t="str">
        <f>IFERROR(VLOOKUP($A370,[1]FINAL!$A$1:$Z$1000,MATCH([1]FINAL!$V$1,[1]FINAL!$A$1:$Z$1,0),0),"")</f>
        <v>NEW</v>
      </c>
      <c r="E370" s="6">
        <f t="shared" si="25"/>
        <v>0</v>
      </c>
      <c r="F370" s="5">
        <f t="shared" si="26"/>
        <v>0</v>
      </c>
      <c r="G370" s="5">
        <f>IFERROR(IF(H370&lt;&gt;"",H370,VLOOKUP($A370,[1]FINAL!$A$1:$BZ$1000,MATCH([1]FINAL!$BL$1,[1]FINAL!$A$1:$BZ$1,0),0)),0)</f>
        <v>0</v>
      </c>
      <c r="I370" s="5">
        <f>IFERROR(IF(J370&lt;&gt;"",J370,(IF(VLOOKUP($A370,#REF!,MATCH(#REF!,#REF!,0),0)=0,G370,VLOOKUP($A370,#REF!,MATCH(#REF!,#REF!,0),0)))),G370)</f>
        <v>0</v>
      </c>
      <c r="K370" s="6">
        <f>IFERROR(VLOOKUP($A370,#REF!,MATCH(#REF!,#REF!,0),0),0)</f>
        <v>0</v>
      </c>
      <c r="L370" s="6">
        <f>IFERROR(VLOOKUP($A370,[1]FINAL!$A$1:$BZ$1000,MATCH([1]FINAL!$BF$1,[1]FINAL!$A$1:$BZ$1,0),0),0)</f>
        <v>0</v>
      </c>
      <c r="M370" s="7">
        <f t="shared" si="27"/>
        <v>0</v>
      </c>
      <c r="N370" s="6">
        <f>IFERROR(VLOOKUP($A370,#REF!,MATCH(#REF!,#REF!,0),0),0)</f>
        <v>0</v>
      </c>
      <c r="O370" s="7">
        <f t="shared" si="28"/>
        <v>0</v>
      </c>
      <c r="P370" s="10" t="str">
        <f>IFERROR(VLOOKUP($A370,[1]FINAL!$A$1:$BZ$1000,MATCH([1]FINAL!$BB$1,[1]FINAL!$A$1:$BZ$1,0),0),"")</f>
        <v/>
      </c>
      <c r="Q370" s="18">
        <f t="shared" si="29"/>
        <v>1</v>
      </c>
    </row>
    <row r="371" spans="1:17" x14ac:dyDescent="0.25">
      <c r="A371" s="14" t="str">
        <f>[1]FINAL!$A330</f>
        <v>Stefanos Tzimas</v>
      </c>
      <c r="B371" s="20" t="str">
        <f>IFERROR(VLOOKUP($A371,[1]FINAL!$A$1:$Z$1000,MATCH([1]FINAL!$T$1,[1]FINAL!$A$1:$Z$1,0),0),"")</f>
        <v>FWD</v>
      </c>
      <c r="C371" s="3" t="str">
        <f>IFERROR(VLOOKUP($A371,[1]FINAL!$A$1:$Z$1000,MATCH([1]FINAL!$U$1,[1]FINAL!$A$1:$Z$1,0),0),"")</f>
        <v>CF</v>
      </c>
      <c r="D371" s="3" t="str">
        <f>IFERROR(VLOOKUP($A371,[1]FINAL!$A$1:$Z$1000,MATCH([1]FINAL!$V$1,[1]FINAL!$A$1:$Z$1,0),0),"")</f>
        <v>BHA</v>
      </c>
      <c r="E371" s="6">
        <f t="shared" si="25"/>
        <v>15553.030303030304</v>
      </c>
      <c r="F371" s="5">
        <f t="shared" si="26"/>
        <v>6.8181818181818177E-2</v>
      </c>
      <c r="G371" s="5">
        <f>IFERROR(IF(H371&lt;&gt;"",H371,VLOOKUP($A371,[1]FINAL!$A$1:$BZ$1000,MATCH([1]FINAL!$BL$1,[1]FINAL!$A$1:$BZ$1,0),0)),0)</f>
        <v>9.0909090909090912E-2</v>
      </c>
      <c r="I371" s="5">
        <f>IFERROR(IF(J371&lt;&gt;"",J371,(IF(VLOOKUP($A371,#REF!,MATCH(#REF!,#REF!,0),0)=0,G371,VLOOKUP($A371,#REF!,MATCH(#REF!,#REF!,0),0)))),G371)</f>
        <v>9.0909090909090912E-2</v>
      </c>
      <c r="K371" s="6">
        <f>IFERROR(VLOOKUP($A371,#REF!,MATCH(#REF!,#REF!,0),0),0)</f>
        <v>0</v>
      </c>
      <c r="L371" s="6">
        <f>IFERROR(VLOOKUP($A371,[1]FINAL!$A$1:$BZ$1000,MATCH([1]FINAL!$BF$1,[1]FINAL!$A$1:$BZ$1,0),0),0)</f>
        <v>23</v>
      </c>
      <c r="M371" s="7">
        <f t="shared" si="27"/>
        <v>0.25555555555555554</v>
      </c>
      <c r="N371" s="6">
        <f>IFERROR(VLOOKUP($A371,#REF!,MATCH(#REF!,#REF!,0),0),0)</f>
        <v>0</v>
      </c>
      <c r="O371" s="7">
        <f t="shared" si="28"/>
        <v>0</v>
      </c>
      <c r="P371" s="10">
        <f>IFERROR(VLOOKUP($A371,[1]FINAL!$A$1:$BZ$1000,MATCH([1]FINAL!$BB$1,[1]FINAL!$A$1:$BZ$1,0),0),"")</f>
        <v>75</v>
      </c>
      <c r="Q371" s="18">
        <f t="shared" si="29"/>
        <v>0.75</v>
      </c>
    </row>
    <row r="372" spans="1:17" x14ac:dyDescent="0.25">
      <c r="A372" s="14" t="str">
        <f>[1]FINAL!$A496</f>
        <v>Matty Jacob</v>
      </c>
      <c r="B372" s="20" t="str">
        <f>IFERROR(VLOOKUP($A372,[1]FINAL!$A$1:$Z$1000,MATCH([1]FINAL!$T$1,[1]FINAL!$A$1:$Z$1,0),0),"")</f>
        <v>DEF</v>
      </c>
      <c r="C372" s="3" t="str">
        <f>IFERROR(VLOOKUP($A372,[1]FINAL!$A$1:$Z$1000,MATCH([1]FINAL!$U$1,[1]FINAL!$A$1:$Z$1,0),0),"")</f>
        <v>LB</v>
      </c>
      <c r="D372" s="3" t="str">
        <f>IFERROR(VLOOKUP($A372,[1]FINAL!$A$1:$Z$1000,MATCH([1]FINAL!$V$1,[1]FINAL!$A$1:$Z$1,0),0),"")</f>
        <v>HUL</v>
      </c>
      <c r="E372" s="6">
        <f t="shared" si="25"/>
        <v>8222.2222222222226</v>
      </c>
      <c r="F372" s="5">
        <f t="shared" si="26"/>
        <v>0</v>
      </c>
      <c r="G372" s="5">
        <f>IFERROR(IF(H372&lt;&gt;"",H372,VLOOKUP($A372,[1]FINAL!$A$1:$BZ$1000,MATCH([1]FINAL!$BL$1,[1]FINAL!$A$1:$BZ$1,0),0)),0)</f>
        <v>0</v>
      </c>
      <c r="I372" s="5">
        <f>IFERROR(IF(J372&lt;&gt;"",J372,(IF(VLOOKUP($A372,#REF!,MATCH(#REF!,#REF!,0),0)=0,G372,VLOOKUP($A372,#REF!,MATCH(#REF!,#REF!,0),0)))),G372)</f>
        <v>0</v>
      </c>
      <c r="K372" s="6">
        <f>IFERROR(VLOOKUP($A372,#REF!,MATCH(#REF!,#REF!,0),0),0)</f>
        <v>0</v>
      </c>
      <c r="L372" s="6">
        <f>IFERROR(VLOOKUP($A372,[1]FINAL!$A$1:$BZ$1000,MATCH([1]FINAL!$BF$1,[1]FINAL!$A$1:$BZ$1,0),0),0)</f>
        <v>74</v>
      </c>
      <c r="M372" s="7">
        <f t="shared" si="27"/>
        <v>0.82222222222222219</v>
      </c>
      <c r="N372" s="6">
        <f>IFERROR(VLOOKUP($A372,#REF!,MATCH(#REF!,#REF!,0),0),0)</f>
        <v>0</v>
      </c>
      <c r="O372" s="7">
        <f t="shared" si="28"/>
        <v>0</v>
      </c>
      <c r="P372" s="10" t="str">
        <f>IFERROR(VLOOKUP($A372,[1]FINAL!$A$1:$BZ$1000,MATCH([1]FINAL!$BB$1,[1]FINAL!$A$1:$BZ$1,0),0),"")</f>
        <v/>
      </c>
      <c r="Q372" s="18">
        <f t="shared" si="29"/>
        <v>1</v>
      </c>
    </row>
    <row r="373" spans="1:17" x14ac:dyDescent="0.25">
      <c r="A373" s="14" t="str">
        <f>[1]FINAL!$A417</f>
        <v>Thomas Meunier</v>
      </c>
      <c r="B373" s="20" t="str">
        <f>IFERROR(VLOOKUP($A373,[1]FINAL!$A$1:$Z$1000,MATCH([1]FINAL!$T$1,[1]FINAL!$A$1:$Z$1,0),0),"")</f>
        <v>DEF</v>
      </c>
      <c r="C373" s="3" t="str">
        <f>IFERROR(VLOOKUP($A373,[1]FINAL!$A$1:$Z$1000,MATCH([1]FINAL!$U$1,[1]FINAL!$A$1:$Z$1,0),0),"")</f>
        <v>RB</v>
      </c>
      <c r="D373" s="3" t="str">
        <f>IFERROR(VLOOKUP($A373,[1]FINAL!$A$1:$Z$1000,MATCH([1]FINAL!$V$1,[1]FINAL!$A$1:$Z$1,0),0),"")</f>
        <v>SUN</v>
      </c>
      <c r="E373" s="6">
        <f t="shared" si="25"/>
        <v>0</v>
      </c>
      <c r="F373" s="5">
        <f t="shared" si="26"/>
        <v>0</v>
      </c>
      <c r="G373" s="5">
        <f>IFERROR(IF(H373&lt;&gt;"",H373,VLOOKUP($A373,[1]FINAL!$A$1:$BZ$1000,MATCH([1]FINAL!$BL$1,[1]FINAL!$A$1:$BZ$1,0),0)),0)</f>
        <v>0</v>
      </c>
      <c r="I373" s="5">
        <f>IFERROR(IF(J373&lt;&gt;"",J373,(IF(VLOOKUP($A373,#REF!,MATCH(#REF!,#REF!,0),0)=0,G373,VLOOKUP($A373,#REF!,MATCH(#REF!,#REF!,0),0)))),G373)</f>
        <v>0</v>
      </c>
      <c r="K373" s="6">
        <f>IFERROR(VLOOKUP($A373,#REF!,MATCH(#REF!,#REF!,0),0),0)</f>
        <v>0</v>
      </c>
      <c r="L373" s="6">
        <f>IFERROR(VLOOKUP($A373,[1]FINAL!$A$1:$BZ$1000,MATCH([1]FINAL!$BF$1,[1]FINAL!$A$1:$BZ$1,0),0),0)</f>
        <v>0</v>
      </c>
      <c r="M373" s="7">
        <f t="shared" si="27"/>
        <v>0</v>
      </c>
      <c r="N373" s="6">
        <f>IFERROR(VLOOKUP($A373,#REF!,MATCH(#REF!,#REF!,0),0),0)</f>
        <v>0</v>
      </c>
      <c r="O373" s="7">
        <f t="shared" si="28"/>
        <v>0</v>
      </c>
      <c r="P373" s="10" t="str">
        <f>IFERROR(VLOOKUP($A373,[1]FINAL!$A$1:$BZ$1000,MATCH([1]FINAL!$BB$1,[1]FINAL!$A$1:$BZ$1,0),0),"")</f>
        <v/>
      </c>
      <c r="Q373" s="18">
        <f t="shared" si="29"/>
        <v>1</v>
      </c>
    </row>
    <row r="374" spans="1:17" x14ac:dyDescent="0.25">
      <c r="A374" s="14" t="str">
        <f>[1]FINAL!$A999</f>
        <v>Borna Sosa</v>
      </c>
      <c r="B374" s="20" t="str">
        <f>IFERROR(VLOOKUP($A374,[1]FINAL!$A$1:$Z$1000,MATCH([1]FINAL!$T$1,[1]FINAL!$A$1:$Z$1,0),0),"")</f>
        <v>DEF</v>
      </c>
      <c r="C374" s="3" t="str">
        <f>IFERROR(VLOOKUP($A374,[1]FINAL!$A$1:$Z$1000,MATCH([1]FINAL!$U$1,[1]FINAL!$A$1:$Z$1,0),0),"")</f>
        <v>LB</v>
      </c>
      <c r="D374" s="3" t="str">
        <f>IFERROR(VLOOKUP($A374,[1]FINAL!$A$1:$Z$1000,MATCH([1]FINAL!$V$1,[1]FINAL!$A$1:$Z$1,0),0),"")</f>
        <v>CRY</v>
      </c>
      <c r="E374" s="6">
        <f t="shared" si="25"/>
        <v>0</v>
      </c>
      <c r="F374" s="5">
        <f t="shared" si="26"/>
        <v>0</v>
      </c>
      <c r="G374" s="5">
        <f>IFERROR(IF(H374&lt;&gt;"",H374,VLOOKUP($A374,[1]FINAL!$A$1:$BZ$1000,MATCH([1]FINAL!$BL$1,[1]FINAL!$A$1:$BZ$1,0),0)),0)</f>
        <v>0</v>
      </c>
      <c r="I374" s="5">
        <f>IFERROR(IF(J374&lt;&gt;"",J374,(IF(VLOOKUP($A374,#REF!,MATCH(#REF!,#REF!,0),0)=0,G374,VLOOKUP($A374,#REF!,MATCH(#REF!,#REF!,0),0)))),G374)</f>
        <v>0</v>
      </c>
      <c r="K374" s="6">
        <f>IFERROR(VLOOKUP($A374,#REF!,MATCH(#REF!,#REF!,0),0),0)</f>
        <v>0</v>
      </c>
      <c r="L374" s="6">
        <f>IFERROR(VLOOKUP($A374,[1]FINAL!$A$1:$BZ$1000,MATCH([1]FINAL!$BF$1,[1]FINAL!$A$1:$BZ$1,0),0),0)</f>
        <v>0</v>
      </c>
      <c r="M374" s="7">
        <f t="shared" si="27"/>
        <v>0</v>
      </c>
      <c r="N374" s="6">
        <f>IFERROR(VLOOKUP($A374,#REF!,MATCH(#REF!,#REF!,0),0),0)</f>
        <v>0</v>
      </c>
      <c r="O374" s="7">
        <f t="shared" si="28"/>
        <v>0</v>
      </c>
      <c r="P374" s="10" t="str">
        <f>IFERROR(VLOOKUP($A374,[1]FINAL!$A$1:$BZ$1000,MATCH([1]FINAL!$BB$1,[1]FINAL!$A$1:$BZ$1,0),0),"")</f>
        <v/>
      </c>
      <c r="Q374" s="18">
        <f t="shared" si="29"/>
        <v>1</v>
      </c>
    </row>
    <row r="375" spans="1:17" x14ac:dyDescent="0.25">
      <c r="A375" s="14" t="str">
        <f>[1]FINAL!$A466</f>
        <v>David Button</v>
      </c>
      <c r="B375" s="20" t="str">
        <f>IFERROR(VLOOKUP($A375,[1]FINAL!$A$1:$Z$1000,MATCH([1]FINAL!$T$1,[1]FINAL!$A$1:$Z$1,0),0),"")</f>
        <v>GK</v>
      </c>
      <c r="C375" s="3" t="str">
        <f>IFERROR(VLOOKUP($A375,[1]FINAL!$A$1:$Z$1000,MATCH([1]FINAL!$U$1,[1]FINAL!$A$1:$Z$1,0),0),"")</f>
        <v>GK</v>
      </c>
      <c r="D375" s="3" t="str">
        <f>IFERROR(VLOOKUP($A375,[1]FINAL!$A$1:$Z$1000,MATCH([1]FINAL!$V$1,[1]FINAL!$A$1:$Z$1,0),0),"")</f>
        <v>IPS</v>
      </c>
      <c r="E375" s="6">
        <f t="shared" si="25"/>
        <v>0</v>
      </c>
      <c r="F375" s="5">
        <f t="shared" si="26"/>
        <v>0</v>
      </c>
      <c r="G375" s="5">
        <f>IFERROR(IF(H375&lt;&gt;"",H375,VLOOKUP($A375,[1]FINAL!$A$1:$BZ$1000,MATCH([1]FINAL!$BL$1,[1]FINAL!$A$1:$BZ$1,0),0)),0)</f>
        <v>0</v>
      </c>
      <c r="I375" s="5">
        <f>IFERROR(IF(J375&lt;&gt;"",J375,(IF(VLOOKUP($A375,#REF!,MATCH(#REF!,#REF!,0),0)=0,G375,VLOOKUP($A375,#REF!,MATCH(#REF!,#REF!,0),0)))),G375)</f>
        <v>0</v>
      </c>
      <c r="K375" s="6">
        <f>IFERROR(VLOOKUP($A375,#REF!,MATCH(#REF!,#REF!,0),0),0)</f>
        <v>0</v>
      </c>
      <c r="L375" s="6">
        <f>IFERROR(VLOOKUP($A375,[1]FINAL!$A$1:$BZ$1000,MATCH([1]FINAL!$BF$1,[1]FINAL!$A$1:$BZ$1,0),0),0)</f>
        <v>0</v>
      </c>
      <c r="M375" s="7">
        <f t="shared" si="27"/>
        <v>0</v>
      </c>
      <c r="N375" s="6">
        <f>IFERROR(VLOOKUP($A375,#REF!,MATCH(#REF!,#REF!,0),0),0)</f>
        <v>0</v>
      </c>
      <c r="O375" s="7">
        <f t="shared" si="28"/>
        <v>0</v>
      </c>
      <c r="P375" s="10" t="str">
        <f>IFERROR(VLOOKUP($A375,[1]FINAL!$A$1:$BZ$1000,MATCH([1]FINAL!$BB$1,[1]FINAL!$A$1:$BZ$1,0),0),"")</f>
        <v/>
      </c>
      <c r="Q375" s="18">
        <f t="shared" si="29"/>
        <v>1</v>
      </c>
    </row>
    <row r="376" spans="1:17" x14ac:dyDescent="0.25">
      <c r="A376" s="14" t="str">
        <f>[1]FINAL!$A188</f>
        <v>Yasin Ayari</v>
      </c>
      <c r="B376" s="20" t="str">
        <f>IFERROR(VLOOKUP($A376,[1]FINAL!$A$1:$Z$1000,MATCH([1]FINAL!$T$1,[1]FINAL!$A$1:$Z$1,0),0),"")</f>
        <v>MID</v>
      </c>
      <c r="C376" s="3" t="str">
        <f>IFERROR(VLOOKUP($A376,[1]FINAL!$A$1:$Z$1000,MATCH([1]FINAL!$U$1,[1]FINAL!$A$1:$Z$1,0),0),"")</f>
        <v>CM</v>
      </c>
      <c r="D376" s="3" t="str">
        <f>IFERROR(VLOOKUP($A376,[1]FINAL!$A$1:$Z$1000,MATCH([1]FINAL!$V$1,[1]FINAL!$A$1:$Z$1,0),0),"")</f>
        <v>BHA</v>
      </c>
      <c r="E376" s="6">
        <f t="shared" si="25"/>
        <v>138587.81362007168</v>
      </c>
      <c r="F376" s="5">
        <f t="shared" si="26"/>
        <v>0.64516129032258063</v>
      </c>
      <c r="G376" s="5">
        <f>IFERROR(IF(H376&lt;&gt;"",H376,VLOOKUP($A376,[1]FINAL!$A$1:$BZ$1000,MATCH([1]FINAL!$BL$1,[1]FINAL!$A$1:$BZ$1,0),0)),0)</f>
        <v>0.64516129032258063</v>
      </c>
      <c r="I376" s="5">
        <f>IFERROR(IF(J376&lt;&gt;"",J376,(IF(VLOOKUP($A376,#REF!,MATCH(#REF!,#REF!,0),0)=0,G376,VLOOKUP($A376,#REF!,MATCH(#REF!,#REF!,0),0)))),G376)</f>
        <v>0.64516129032258063</v>
      </c>
      <c r="K376" s="6">
        <f>IFERROR(VLOOKUP($A376,#REF!,MATCH(#REF!,#REF!,0),0),0)</f>
        <v>0</v>
      </c>
      <c r="L376" s="6">
        <f>IFERROR(VLOOKUP($A376,[1]FINAL!$A$1:$BZ$1000,MATCH([1]FINAL!$BF$1,[1]FINAL!$A$1:$BZ$1,0),0),0)</f>
        <v>86</v>
      </c>
      <c r="M376" s="7">
        <f t="shared" si="27"/>
        <v>0.9555555555555556</v>
      </c>
      <c r="N376" s="6">
        <f>IFERROR(VLOOKUP($A376,#REF!,MATCH(#REF!,#REF!,0),0),0)</f>
        <v>0</v>
      </c>
      <c r="O376" s="7">
        <f t="shared" si="28"/>
        <v>0</v>
      </c>
      <c r="P376" s="10" t="str">
        <f>IFERROR(VLOOKUP($A376,[1]FINAL!$A$1:$BZ$1000,MATCH([1]FINAL!$BB$1,[1]FINAL!$A$1:$BZ$1,0),0),"")</f>
        <v/>
      </c>
      <c r="Q376" s="18">
        <f t="shared" si="29"/>
        <v>1</v>
      </c>
    </row>
    <row r="377" spans="1:17" x14ac:dyDescent="0.25">
      <c r="A377" s="14" t="str">
        <f>[1]FINAL!$A161</f>
        <v>Gabriel Fernando de Jesus</v>
      </c>
      <c r="B377" s="20" t="str">
        <f>IFERROR(VLOOKUP($A377,[1]FINAL!$A$1:$Z$1000,MATCH([1]FINAL!$T$1,[1]FINAL!$A$1:$Z$1,0),0),"")</f>
        <v>FWD</v>
      </c>
      <c r="C377" s="3" t="str">
        <f>IFERROR(VLOOKUP($A377,[1]FINAL!$A$1:$Z$1000,MATCH([1]FINAL!$U$1,[1]FINAL!$A$1:$Z$1,0),0),"")</f>
        <v>CF</v>
      </c>
      <c r="D377" s="3" t="str">
        <f>IFERROR(VLOOKUP($A377,[1]FINAL!$A$1:$Z$1000,MATCH([1]FINAL!$V$1,[1]FINAL!$A$1:$Z$1,0),0),"")</f>
        <v>ARS</v>
      </c>
      <c r="E377" s="6">
        <f t="shared" si="25"/>
        <v>32000</v>
      </c>
      <c r="F377" s="5">
        <f t="shared" si="26"/>
        <v>0.125</v>
      </c>
      <c r="G377" s="5">
        <f>IFERROR(IF(H377&lt;&gt;"",H377,VLOOKUP($A377,[1]FINAL!$A$1:$BZ$1000,MATCH([1]FINAL!$BL$1,[1]FINAL!$A$1:$BZ$1,0),0)),0)</f>
        <v>0.125</v>
      </c>
      <c r="I377" s="5">
        <f>IFERROR(IF(J377&lt;&gt;"",J377,(IF(VLOOKUP($A377,#REF!,MATCH(#REF!,#REF!,0),0)=0,G377,VLOOKUP($A377,#REF!,MATCH(#REF!,#REF!,0),0)))),G377)</f>
        <v>0.125</v>
      </c>
      <c r="K377" s="6">
        <f>IFERROR(VLOOKUP($A377,#REF!,MATCH(#REF!,#REF!,0),0),0)</f>
        <v>0</v>
      </c>
      <c r="L377" s="6">
        <f>IFERROR(VLOOKUP($A377,[1]FINAL!$A$1:$BZ$1000,MATCH([1]FINAL!$BF$1,[1]FINAL!$A$1:$BZ$1,0),0),0)</f>
        <v>63</v>
      </c>
      <c r="M377" s="7">
        <f t="shared" si="27"/>
        <v>0.7</v>
      </c>
      <c r="N377" s="6">
        <f>IFERROR(VLOOKUP($A377,#REF!,MATCH(#REF!,#REF!,0),0),0)</f>
        <v>0</v>
      </c>
      <c r="O377" s="7">
        <f t="shared" si="28"/>
        <v>0</v>
      </c>
      <c r="P377" s="10" t="str">
        <f>IFERROR(VLOOKUP($A377,[1]FINAL!$A$1:$BZ$1000,MATCH([1]FINAL!$BB$1,[1]FINAL!$A$1:$BZ$1,0),0),"")</f>
        <v/>
      </c>
      <c r="Q377" s="18">
        <f t="shared" si="29"/>
        <v>1</v>
      </c>
    </row>
    <row r="378" spans="1:17" x14ac:dyDescent="0.25">
      <c r="A378" s="14" t="str">
        <f>[1]FINAL!$A425</f>
        <v>Sean Steur</v>
      </c>
      <c r="B378" s="20" t="str">
        <f>IFERROR(VLOOKUP($A378,[1]FINAL!$A$1:$Z$1000,MATCH([1]FINAL!$T$1,[1]FINAL!$A$1:$Z$1,0),0),"")</f>
        <v>MID</v>
      </c>
      <c r="C378" s="3" t="str">
        <f>IFERROR(VLOOKUP($A378,[1]FINAL!$A$1:$Z$1000,MATCH([1]FINAL!$U$1,[1]FINAL!$A$1:$Z$1,0),0),"")</f>
        <v>CM</v>
      </c>
      <c r="D378" s="3" t="str">
        <f>IFERROR(VLOOKUP($A378,[1]FINAL!$A$1:$Z$1000,MATCH([1]FINAL!$V$1,[1]FINAL!$A$1:$Z$1,0),0),"")</f>
        <v>NEW</v>
      </c>
      <c r="E378" s="6">
        <f t="shared" si="25"/>
        <v>0</v>
      </c>
      <c r="F378" s="5">
        <f t="shared" si="26"/>
        <v>0</v>
      </c>
      <c r="G378" s="5">
        <f>IFERROR(IF(H378&lt;&gt;"",H378,VLOOKUP($A378,[1]FINAL!$A$1:$BZ$1000,MATCH([1]FINAL!$BL$1,[1]FINAL!$A$1:$BZ$1,0),0)),0)</f>
        <v>0</v>
      </c>
      <c r="I378" s="5">
        <f>IFERROR(IF(J378&lt;&gt;"",J378,(IF(VLOOKUP($A378,#REF!,MATCH(#REF!,#REF!,0),0)=0,G378,VLOOKUP($A378,#REF!,MATCH(#REF!,#REF!,0),0)))),G378)</f>
        <v>0</v>
      </c>
      <c r="K378" s="6">
        <f>IFERROR(VLOOKUP($A378,#REF!,MATCH(#REF!,#REF!,0),0),0)</f>
        <v>0</v>
      </c>
      <c r="L378" s="6">
        <f>IFERROR(VLOOKUP($A378,[1]FINAL!$A$1:$BZ$1000,MATCH([1]FINAL!$BF$1,[1]FINAL!$A$1:$BZ$1,0),0),0)</f>
        <v>0</v>
      </c>
      <c r="M378" s="7">
        <f t="shared" si="27"/>
        <v>0</v>
      </c>
      <c r="N378" s="6">
        <f>IFERROR(VLOOKUP($A378,#REF!,MATCH(#REF!,#REF!,0),0),0)</f>
        <v>0</v>
      </c>
      <c r="O378" s="7">
        <f t="shared" si="28"/>
        <v>0</v>
      </c>
      <c r="P378" s="10" t="str">
        <f>IFERROR(VLOOKUP($A378,[1]FINAL!$A$1:$BZ$1000,MATCH([1]FINAL!$BB$1,[1]FINAL!$A$1:$BZ$1,0),0),"")</f>
        <v/>
      </c>
      <c r="Q378" s="18">
        <f t="shared" si="29"/>
        <v>1</v>
      </c>
    </row>
    <row r="379" spans="1:17" x14ac:dyDescent="0.25">
      <c r="A379" s="14" t="str">
        <f>[1]FINAL!$A468</f>
        <v>Dara O'Shea</v>
      </c>
      <c r="B379" s="20" t="str">
        <f>IFERROR(VLOOKUP($A379,[1]FINAL!$A$1:$Z$1000,MATCH([1]FINAL!$T$1,[1]FINAL!$A$1:$Z$1,0),0),"")</f>
        <v>DEF</v>
      </c>
      <c r="C379" s="3" t="str">
        <f>IFERROR(VLOOKUP($A379,[1]FINAL!$A$1:$Z$1000,MATCH([1]FINAL!$U$1,[1]FINAL!$A$1:$Z$1,0),0),"")</f>
        <v>CB</v>
      </c>
      <c r="D379" s="3" t="str">
        <f>IFERROR(VLOOKUP($A379,[1]FINAL!$A$1:$Z$1000,MATCH([1]FINAL!$V$1,[1]FINAL!$A$1:$Z$1,0),0),"")</f>
        <v>IPS</v>
      </c>
      <c r="E379" s="6">
        <f t="shared" si="25"/>
        <v>210000</v>
      </c>
      <c r="F379" s="5">
        <f t="shared" si="26"/>
        <v>1</v>
      </c>
      <c r="G379" s="5">
        <f>IFERROR(IF(H379&lt;&gt;"",H379,VLOOKUP($A379,[1]FINAL!$A$1:$BZ$1000,MATCH([1]FINAL!$BL$1,[1]FINAL!$A$1:$BZ$1,0),0)),0)</f>
        <v>1</v>
      </c>
      <c r="I379" s="5">
        <f>IFERROR(IF(J379&lt;&gt;"",J379,(IF(VLOOKUP($A379,#REF!,MATCH(#REF!,#REF!,0),0)=0,G379,VLOOKUP($A379,#REF!,MATCH(#REF!,#REF!,0),0)))),G379)</f>
        <v>1</v>
      </c>
      <c r="K379" s="6">
        <f>IFERROR(VLOOKUP($A379,#REF!,MATCH(#REF!,#REF!,0),0),0)</f>
        <v>0</v>
      </c>
      <c r="L379" s="6">
        <f>IFERROR(VLOOKUP($A379,[1]FINAL!$A$1:$BZ$1000,MATCH([1]FINAL!$BF$1,[1]FINAL!$A$1:$BZ$1,0),0),0)</f>
        <v>90</v>
      </c>
      <c r="M379" s="7">
        <f t="shared" si="27"/>
        <v>1</v>
      </c>
      <c r="N379" s="6">
        <f>IFERROR(VLOOKUP($A379,#REF!,MATCH(#REF!,#REF!,0),0),0)</f>
        <v>0</v>
      </c>
      <c r="O379" s="7">
        <f t="shared" si="28"/>
        <v>0</v>
      </c>
      <c r="P379" s="10" t="str">
        <f>IFERROR(VLOOKUP($A379,[1]FINAL!$A$1:$BZ$1000,MATCH([1]FINAL!$BB$1,[1]FINAL!$A$1:$BZ$1,0),0),"")</f>
        <v/>
      </c>
      <c r="Q379" s="18">
        <f t="shared" si="29"/>
        <v>1</v>
      </c>
    </row>
    <row r="380" spans="1:17" x14ac:dyDescent="0.25">
      <c r="A380" s="14" t="str">
        <f>[1]FINAL!$A195</f>
        <v>Myles Lewis-Skelly</v>
      </c>
      <c r="B380" s="20" t="str">
        <f>IFERROR(VLOOKUP($A380,[1]FINAL!$A$1:$Z$1000,MATCH([1]FINAL!$T$1,[1]FINAL!$A$1:$Z$1,0),0),"")</f>
        <v>MID</v>
      </c>
      <c r="C380" s="3" t="str">
        <f>IFERROR(VLOOKUP($A380,[1]FINAL!$A$1:$Z$1000,MATCH([1]FINAL!$U$1,[1]FINAL!$A$1:$Z$1,0),0),"")</f>
        <v>LB</v>
      </c>
      <c r="D380" s="3" t="str">
        <f>IFERROR(VLOOKUP($A380,[1]FINAL!$A$1:$Z$1000,MATCH([1]FINAL!$V$1,[1]FINAL!$A$1:$Z$1,0),0),"")</f>
        <v>ARS</v>
      </c>
      <c r="E380" s="6">
        <f t="shared" si="25"/>
        <v>36582.582582582589</v>
      </c>
      <c r="F380" s="5">
        <f t="shared" si="26"/>
        <v>0.13513513513513514</v>
      </c>
      <c r="G380" s="5">
        <f>IFERROR(IF(H380&lt;&gt;"",H380,VLOOKUP($A380,[1]FINAL!$A$1:$BZ$1000,MATCH([1]FINAL!$BL$1,[1]FINAL!$A$1:$BZ$1,0),0)),0)</f>
        <v>0.13513513513513514</v>
      </c>
      <c r="I380" s="5">
        <f>IFERROR(IF(J380&lt;&gt;"",J380,(IF(VLOOKUP($A380,#REF!,MATCH(#REF!,#REF!,0),0)=0,G380,VLOOKUP($A380,#REF!,MATCH(#REF!,#REF!,0),0)))),G380)</f>
        <v>0.13513513513513514</v>
      </c>
      <c r="K380" s="6">
        <f>IFERROR(VLOOKUP($A380,#REF!,MATCH(#REF!,#REF!,0),0),0)</f>
        <v>0</v>
      </c>
      <c r="L380" s="6">
        <f>IFERROR(VLOOKUP($A380,[1]FINAL!$A$1:$BZ$1000,MATCH([1]FINAL!$BF$1,[1]FINAL!$A$1:$BZ$1,0),0),0)</f>
        <v>86</v>
      </c>
      <c r="M380" s="7">
        <f t="shared" si="27"/>
        <v>0.9555555555555556</v>
      </c>
      <c r="N380" s="6">
        <f>IFERROR(VLOOKUP($A380,#REF!,MATCH(#REF!,#REF!,0),0),0)</f>
        <v>0</v>
      </c>
      <c r="O380" s="7">
        <f t="shared" si="28"/>
        <v>0</v>
      </c>
      <c r="P380" s="10" t="str">
        <f>IFERROR(VLOOKUP($A380,[1]FINAL!$A$1:$BZ$1000,MATCH([1]FINAL!$BB$1,[1]FINAL!$A$1:$BZ$1,0),0),"")</f>
        <v/>
      </c>
      <c r="Q380" s="18">
        <f t="shared" si="29"/>
        <v>1</v>
      </c>
    </row>
    <row r="381" spans="1:17" x14ac:dyDescent="0.25">
      <c r="A381" s="14" t="str">
        <f>[1]FINAL!$A197</f>
        <v>Leny Yoro</v>
      </c>
      <c r="B381" s="20" t="str">
        <f>IFERROR(VLOOKUP($A381,[1]FINAL!$A$1:$Z$1000,MATCH([1]FINAL!$T$1,[1]FINAL!$A$1:$Z$1,0),0),"")</f>
        <v>DEF</v>
      </c>
      <c r="C381" s="3" t="str">
        <f>IFERROR(VLOOKUP($A381,[1]FINAL!$A$1:$Z$1000,MATCH([1]FINAL!$U$1,[1]FINAL!$A$1:$Z$1,0),0),"")</f>
        <v>CB</v>
      </c>
      <c r="D381" s="3" t="str">
        <f>IFERROR(VLOOKUP($A381,[1]FINAL!$A$1:$Z$1000,MATCH([1]FINAL!$V$1,[1]FINAL!$A$1:$Z$1,0),0),"")</f>
        <v>MUN</v>
      </c>
      <c r="E381" s="6">
        <f t="shared" si="25"/>
        <v>106408.40840840842</v>
      </c>
      <c r="F381" s="5">
        <f t="shared" si="26"/>
        <v>0.48648648648648651</v>
      </c>
      <c r="G381" s="5">
        <f>IFERROR(IF(H381&lt;&gt;"",H381,VLOOKUP($A381,[1]FINAL!$A$1:$BZ$1000,MATCH([1]FINAL!$BL$1,[1]FINAL!$A$1:$BZ$1,0),0)),0)</f>
        <v>0.48648648648648651</v>
      </c>
      <c r="I381" s="5">
        <f>IFERROR(IF(J381&lt;&gt;"",J381,(IF(VLOOKUP($A381,#REF!,MATCH(#REF!,#REF!,0),0)=0,G381,VLOOKUP($A381,#REF!,MATCH(#REF!,#REF!,0),0)))),G381)</f>
        <v>0.48648648648648651</v>
      </c>
      <c r="K381" s="6">
        <f>IFERROR(VLOOKUP($A381,#REF!,MATCH(#REF!,#REF!,0),0),0)</f>
        <v>0</v>
      </c>
      <c r="L381" s="6">
        <f>IFERROR(VLOOKUP($A381,[1]FINAL!$A$1:$BZ$1000,MATCH([1]FINAL!$BF$1,[1]FINAL!$A$1:$BZ$1,0),0),0)</f>
        <v>82</v>
      </c>
      <c r="M381" s="7">
        <f t="shared" si="27"/>
        <v>0.91111111111111109</v>
      </c>
      <c r="N381" s="6">
        <f>IFERROR(VLOOKUP($A381,#REF!,MATCH(#REF!,#REF!,0),0),0)</f>
        <v>0</v>
      </c>
      <c r="O381" s="7">
        <f t="shared" si="28"/>
        <v>0</v>
      </c>
      <c r="P381" s="10" t="str">
        <f>IFERROR(VLOOKUP($A381,[1]FINAL!$A$1:$BZ$1000,MATCH([1]FINAL!$BB$1,[1]FINAL!$A$1:$BZ$1,0),0),"")</f>
        <v/>
      </c>
      <c r="Q381" s="18">
        <f t="shared" si="29"/>
        <v>1</v>
      </c>
    </row>
    <row r="382" spans="1:17" x14ac:dyDescent="0.25">
      <c r="A382" s="14" t="str">
        <f>[1]FINAL!$A500</f>
        <v>Alfie McNally</v>
      </c>
      <c r="B382" s="20" t="str">
        <f>IFERROR(VLOOKUP($A382,[1]FINAL!$A$1:$Z$1000,MATCH([1]FINAL!$T$1,[1]FINAL!$A$1:$Z$1,0),0),"")</f>
        <v>GK</v>
      </c>
      <c r="C382" s="3" t="str">
        <f>IFERROR(VLOOKUP($A382,[1]FINAL!$A$1:$Z$1000,MATCH([1]FINAL!$U$1,[1]FINAL!$A$1:$Z$1,0),0),"")</f>
        <v/>
      </c>
      <c r="D382" s="3" t="str">
        <f>IFERROR(VLOOKUP($A382,[1]FINAL!$A$1:$Z$1000,MATCH([1]FINAL!$V$1,[1]FINAL!$A$1:$Z$1,0),0),"")</f>
        <v>FUL</v>
      </c>
      <c r="E382" s="6">
        <f t="shared" si="25"/>
        <v>0</v>
      </c>
      <c r="F382" s="5">
        <f t="shared" si="26"/>
        <v>0</v>
      </c>
      <c r="G382" s="5">
        <f>IFERROR(IF(H382&lt;&gt;"",H382,VLOOKUP($A382,[1]FINAL!$A$1:$BZ$1000,MATCH([1]FINAL!$BL$1,[1]FINAL!$A$1:$BZ$1,0),0)),0)</f>
        <v>0</v>
      </c>
      <c r="I382" s="5">
        <f>IFERROR(IF(J382&lt;&gt;"",J382,(IF(VLOOKUP($A382,#REF!,MATCH(#REF!,#REF!,0),0)=0,G382,VLOOKUP($A382,#REF!,MATCH(#REF!,#REF!,0),0)))),G382)</f>
        <v>0</v>
      </c>
      <c r="K382" s="6">
        <f>IFERROR(VLOOKUP($A382,#REF!,MATCH(#REF!,#REF!,0),0),0)</f>
        <v>0</v>
      </c>
      <c r="L382" s="6">
        <f>IFERROR(VLOOKUP($A382,[1]FINAL!$A$1:$BZ$1000,MATCH([1]FINAL!$BF$1,[1]FINAL!$A$1:$BZ$1,0),0),0)</f>
        <v>0</v>
      </c>
      <c r="M382" s="7">
        <f t="shared" si="27"/>
        <v>0</v>
      </c>
      <c r="N382" s="6">
        <f>IFERROR(VLOOKUP($A382,#REF!,MATCH(#REF!,#REF!,0),0),0)</f>
        <v>0</v>
      </c>
      <c r="O382" s="7">
        <f t="shared" si="28"/>
        <v>0</v>
      </c>
      <c r="P382" s="10" t="str">
        <f>IFERROR(VLOOKUP($A382,[1]FINAL!$A$1:$BZ$1000,MATCH([1]FINAL!$BB$1,[1]FINAL!$A$1:$BZ$1,0),0),"")</f>
        <v/>
      </c>
      <c r="Q382" s="18">
        <f t="shared" si="29"/>
        <v>1</v>
      </c>
    </row>
    <row r="383" spans="1:17" x14ac:dyDescent="0.25">
      <c r="A383" s="14" t="str">
        <f>[1]FINAL!$A530</f>
        <v>Miguel Brau</v>
      </c>
      <c r="B383" s="20" t="str">
        <f>IFERROR(VLOOKUP($A383,[1]FINAL!$A$1:$Z$1000,MATCH([1]FINAL!$T$1,[1]FINAL!$A$1:$Z$1,0),0),"")</f>
        <v>DEF</v>
      </c>
      <c r="C383" s="3" t="str">
        <f>IFERROR(VLOOKUP($A383,[1]FINAL!$A$1:$Z$1000,MATCH([1]FINAL!$U$1,[1]FINAL!$A$1:$Z$1,0),0),"")</f>
        <v/>
      </c>
      <c r="D383" s="3" t="str">
        <f>IFERROR(VLOOKUP($A383,[1]FINAL!$A$1:$Z$1000,MATCH([1]FINAL!$V$1,[1]FINAL!$A$1:$Z$1,0),0),"")</f>
        <v>COV</v>
      </c>
      <c r="E383" s="6">
        <f t="shared" si="25"/>
        <v>18333.333333333332</v>
      </c>
      <c r="F383" s="5">
        <f t="shared" si="26"/>
        <v>4.1666666666666664E-2</v>
      </c>
      <c r="G383" s="5">
        <f>IFERROR(IF(H383&lt;&gt;"",H383,VLOOKUP($A383,[1]FINAL!$A$1:$BZ$1000,MATCH([1]FINAL!$BL$1,[1]FINAL!$A$1:$BZ$1,0),0)),0)</f>
        <v>4.1666666666666664E-2</v>
      </c>
      <c r="I383" s="5">
        <f>IFERROR(IF(J383&lt;&gt;"",J383,(IF(VLOOKUP($A383,#REF!,MATCH(#REF!,#REF!,0),0)=0,G383,VLOOKUP($A383,#REF!,MATCH(#REF!,#REF!,0),0)))),G383)</f>
        <v>4.1666666666666664E-2</v>
      </c>
      <c r="K383" s="6">
        <f>IFERROR(VLOOKUP($A383,#REF!,MATCH(#REF!,#REF!,0),0),0)</f>
        <v>0</v>
      </c>
      <c r="L383" s="6">
        <f>IFERROR(VLOOKUP($A383,[1]FINAL!$A$1:$BZ$1000,MATCH([1]FINAL!$BF$1,[1]FINAL!$A$1:$BZ$1,0),0),0)</f>
        <v>90</v>
      </c>
      <c r="M383" s="7">
        <f t="shared" si="27"/>
        <v>1</v>
      </c>
      <c r="N383" s="6">
        <f>IFERROR(VLOOKUP($A383,#REF!,MATCH(#REF!,#REF!,0),0),0)</f>
        <v>0</v>
      </c>
      <c r="O383" s="7">
        <f t="shared" si="28"/>
        <v>0</v>
      </c>
      <c r="P383" s="10" t="str">
        <f>IFERROR(VLOOKUP($A383,[1]FINAL!$A$1:$BZ$1000,MATCH([1]FINAL!$BB$1,[1]FINAL!$A$1:$BZ$1,0),0),"")</f>
        <v/>
      </c>
      <c r="Q383" s="18">
        <f t="shared" si="29"/>
        <v>1</v>
      </c>
    </row>
    <row r="384" spans="1:17" x14ac:dyDescent="0.25">
      <c r="A384" s="14" t="str">
        <f>[1]FINAL!$A392</f>
        <v>Fábio Ferreira Vieira</v>
      </c>
      <c r="B384" s="20" t="str">
        <f>IFERROR(VLOOKUP($A384,[1]FINAL!$A$1:$Z$1000,MATCH([1]FINAL!$T$1,[1]FINAL!$A$1:$Z$1,0),0),"")</f>
        <v>MID</v>
      </c>
      <c r="C384" s="3" t="str">
        <f>IFERROR(VLOOKUP($A384,[1]FINAL!$A$1:$Z$1000,MATCH([1]FINAL!$U$1,[1]FINAL!$A$1:$Z$1,0),0),"")</f>
        <v>AM</v>
      </c>
      <c r="D384" s="3" t="str">
        <f>IFERROR(VLOOKUP($A384,[1]FINAL!$A$1:$Z$1000,MATCH([1]FINAL!$V$1,[1]FINAL!$A$1:$Z$1,0),0),"")</f>
        <v>ARS</v>
      </c>
      <c r="E384" s="6">
        <f t="shared" si="25"/>
        <v>0</v>
      </c>
      <c r="F384" s="5">
        <f t="shared" si="26"/>
        <v>0</v>
      </c>
      <c r="G384" s="5">
        <f>IFERROR(IF(H384&lt;&gt;"",H384,VLOOKUP($A384,[1]FINAL!$A$1:$BZ$1000,MATCH([1]FINAL!$BL$1,[1]FINAL!$A$1:$BZ$1,0),0)),0)</f>
        <v>0</v>
      </c>
      <c r="I384" s="5">
        <f>IFERROR(IF(J384&lt;&gt;"",J384,(IF(VLOOKUP($A384,#REF!,MATCH(#REF!,#REF!,0),0)=0,G384,VLOOKUP($A384,#REF!,MATCH(#REF!,#REF!,0),0)))),G384)</f>
        <v>0</v>
      </c>
      <c r="K384" s="6">
        <f>IFERROR(VLOOKUP($A384,#REF!,MATCH(#REF!,#REF!,0),0),0)</f>
        <v>0</v>
      </c>
      <c r="L384" s="6">
        <f>IFERROR(VLOOKUP($A384,[1]FINAL!$A$1:$BZ$1000,MATCH([1]FINAL!$BF$1,[1]FINAL!$A$1:$BZ$1,0),0),0)</f>
        <v>0</v>
      </c>
      <c r="M384" s="7">
        <f t="shared" si="27"/>
        <v>0</v>
      </c>
      <c r="N384" s="6">
        <f>IFERROR(VLOOKUP($A384,#REF!,MATCH(#REF!,#REF!,0),0),0)</f>
        <v>0</v>
      </c>
      <c r="O384" s="7">
        <f t="shared" si="28"/>
        <v>0</v>
      </c>
      <c r="P384" s="10" t="str">
        <f>IFERROR(VLOOKUP($A384,[1]FINAL!$A$1:$BZ$1000,MATCH([1]FINAL!$BB$1,[1]FINAL!$A$1:$BZ$1,0),0),"")</f>
        <v/>
      </c>
      <c r="Q384" s="18">
        <f t="shared" si="29"/>
        <v>1</v>
      </c>
    </row>
    <row r="385" spans="1:17" x14ac:dyDescent="0.25">
      <c r="A385" s="14" t="str">
        <f>[1]FINAL!$A179</f>
        <v>Marcos Senesi Barón</v>
      </c>
      <c r="B385" s="20" t="str">
        <f>IFERROR(VLOOKUP($A385,[1]FINAL!$A$1:$Z$1000,MATCH([1]FINAL!$T$1,[1]FINAL!$A$1:$Z$1,0),0),"")</f>
        <v>DEF</v>
      </c>
      <c r="C385" s="3" t="str">
        <f>IFERROR(VLOOKUP($A385,[1]FINAL!$A$1:$Z$1000,MATCH([1]FINAL!$U$1,[1]FINAL!$A$1:$Z$1,0),0),"")</f>
        <v>CB</v>
      </c>
      <c r="D385" s="3" t="str">
        <f>IFERROR(VLOOKUP($A385,[1]FINAL!$A$1:$Z$1000,MATCH([1]FINAL!$V$1,[1]FINAL!$A$1:$Z$1,0),0),"")</f>
        <v>TOT</v>
      </c>
      <c r="E385" s="6">
        <f t="shared" si="25"/>
        <v>209888.88888888888</v>
      </c>
      <c r="F385" s="5">
        <f t="shared" si="26"/>
        <v>1</v>
      </c>
      <c r="G385" s="5">
        <f>IFERROR(IF(H385&lt;&gt;"",H385,VLOOKUP($A385,[1]FINAL!$A$1:$BZ$1000,MATCH([1]FINAL!$BL$1,[1]FINAL!$A$1:$BZ$1,0),0)),0)</f>
        <v>1</v>
      </c>
      <c r="I385" s="5">
        <f>IFERROR(IF(J385&lt;&gt;"",J385,(IF(VLOOKUP($A385,#REF!,MATCH(#REF!,#REF!,0),0)=0,G385,VLOOKUP($A385,#REF!,MATCH(#REF!,#REF!,0),0)))),G385)</f>
        <v>1</v>
      </c>
      <c r="K385" s="6">
        <f>IFERROR(VLOOKUP($A385,#REF!,MATCH(#REF!,#REF!,0),0),0)</f>
        <v>0</v>
      </c>
      <c r="L385" s="6">
        <f>IFERROR(VLOOKUP($A385,[1]FINAL!$A$1:$BZ$1000,MATCH([1]FINAL!$BF$1,[1]FINAL!$A$1:$BZ$1,0),0),0)</f>
        <v>89</v>
      </c>
      <c r="M385" s="7">
        <f t="shared" si="27"/>
        <v>0.98888888888888893</v>
      </c>
      <c r="N385" s="6">
        <f>IFERROR(VLOOKUP($A385,#REF!,MATCH(#REF!,#REF!,0),0),0)</f>
        <v>0</v>
      </c>
      <c r="O385" s="7">
        <f t="shared" si="28"/>
        <v>0</v>
      </c>
      <c r="P385" s="10" t="str">
        <f>IFERROR(VLOOKUP($A385,[1]FINAL!$A$1:$BZ$1000,MATCH([1]FINAL!$BB$1,[1]FINAL!$A$1:$BZ$1,0),0),"")</f>
        <v/>
      </c>
      <c r="Q385" s="18">
        <f t="shared" si="29"/>
        <v>1</v>
      </c>
    </row>
    <row r="386" spans="1:17" x14ac:dyDescent="0.25">
      <c r="A386" s="14" t="str">
        <f>[1]FINAL!$A191</f>
        <v>Sven Botman</v>
      </c>
      <c r="B386" s="20" t="str">
        <f>IFERROR(VLOOKUP($A386,[1]FINAL!$A$1:$Z$1000,MATCH([1]FINAL!$T$1,[1]FINAL!$A$1:$Z$1,0),0),"")</f>
        <v>DEF</v>
      </c>
      <c r="C386" s="3" t="str">
        <f>IFERROR(VLOOKUP($A386,[1]FINAL!$A$1:$Z$1000,MATCH([1]FINAL!$U$1,[1]FINAL!$A$1:$Z$1,0),0),"")</f>
        <v>CB</v>
      </c>
      <c r="D386" s="3" t="str">
        <f>IFERROR(VLOOKUP($A386,[1]FINAL!$A$1:$Z$1000,MATCH([1]FINAL!$V$1,[1]FINAL!$A$1:$Z$1,0),0),"")</f>
        <v>NEW</v>
      </c>
      <c r="E386" s="6">
        <f t="shared" ref="E386:E449" si="30">IF($Q$1="ON",((G386*100000)+(I386*100000)+(M386*10000)+(O386*10000)+(K386*10))*Q386,((G386*100000)+(I386*100000)+(M386*10000)+(O386*10000)+(K386*10)))</f>
        <v>149333.33333333334</v>
      </c>
      <c r="F386" s="5">
        <f t="shared" ref="F386:F449" si="31">IFERROR(IF($Q$1="ON",((G386*$W$1)+(I386*$U$1))*Q386,((G386*$W$1)+(I386*$U$1))),0)</f>
        <v>0.7</v>
      </c>
      <c r="G386" s="5">
        <f>IFERROR(IF(H386&lt;&gt;"",H386,VLOOKUP($A386,[1]FINAL!$A$1:$BZ$1000,MATCH([1]FINAL!$BL$1,[1]FINAL!$A$1:$BZ$1,0),0)),0)</f>
        <v>0.7</v>
      </c>
      <c r="I386" s="5">
        <f>IFERROR(IF(J386&lt;&gt;"",J386,(IF(VLOOKUP($A386,#REF!,MATCH(#REF!,#REF!,0),0)=0,G386,VLOOKUP($A386,#REF!,MATCH(#REF!,#REF!,0),0)))),G386)</f>
        <v>0.7</v>
      </c>
      <c r="K386" s="6">
        <f>IFERROR(VLOOKUP($A386,#REF!,MATCH(#REF!,#REF!,0),0),0)</f>
        <v>0</v>
      </c>
      <c r="L386" s="6">
        <f>IFERROR(VLOOKUP($A386,[1]FINAL!$A$1:$BZ$1000,MATCH([1]FINAL!$BF$1,[1]FINAL!$A$1:$BZ$1,0),0),0)</f>
        <v>84</v>
      </c>
      <c r="M386" s="7">
        <f t="shared" ref="M386:M449" si="32">L386/90</f>
        <v>0.93333333333333335</v>
      </c>
      <c r="N386" s="6">
        <f>IFERROR(VLOOKUP($A386,#REF!,MATCH(#REF!,#REF!,0),0),0)</f>
        <v>0</v>
      </c>
      <c r="O386" s="7">
        <f t="shared" ref="O386:O449" si="33">N386/90</f>
        <v>0</v>
      </c>
      <c r="P386" s="10" t="str">
        <f>IFERROR(VLOOKUP($A386,[1]FINAL!$A$1:$BZ$1000,MATCH([1]FINAL!$BB$1,[1]FINAL!$A$1:$BZ$1,0),0),"")</f>
        <v/>
      </c>
      <c r="Q386" s="18">
        <f t="shared" ref="Q386:Q449" si="34">IF(P386="",1,IF(P386=0,0.0001,P386/100))</f>
        <v>1</v>
      </c>
    </row>
    <row r="387" spans="1:17" x14ac:dyDescent="0.25">
      <c r="A387" s="14" t="str">
        <f>[1]FINAL!$A334</f>
        <v>Wilfried Gnonto</v>
      </c>
      <c r="B387" s="20" t="str">
        <f>IFERROR(VLOOKUP($A387,[1]FINAL!$A$1:$Z$1000,MATCH([1]FINAL!$T$1,[1]FINAL!$A$1:$Z$1,0),0),"")</f>
        <v>MID</v>
      </c>
      <c r="C387" s="3" t="str">
        <f>IFERROR(VLOOKUP($A387,[1]FINAL!$A$1:$Z$1000,MATCH([1]FINAL!$U$1,[1]FINAL!$A$1:$Z$1,0),0),"")</f>
        <v>RW</v>
      </c>
      <c r="D387" s="3" t="str">
        <f>IFERROR(VLOOKUP($A387,[1]FINAL!$A$1:$Z$1000,MATCH([1]FINAL!$V$1,[1]FINAL!$A$1:$Z$1,0),0),"")</f>
        <v>LEE</v>
      </c>
      <c r="E387" s="6">
        <f t="shared" si="30"/>
        <v>32362.007168458778</v>
      </c>
      <c r="F387" s="5">
        <f t="shared" si="31"/>
        <v>0.12903225806451613</v>
      </c>
      <c r="G387" s="5">
        <f>IFERROR(IF(H387&lt;&gt;"",H387,VLOOKUP($A387,[1]FINAL!$A$1:$BZ$1000,MATCH([1]FINAL!$BL$1,[1]FINAL!$A$1:$BZ$1,0),0)),0)</f>
        <v>0.12903225806451613</v>
      </c>
      <c r="I387" s="5">
        <f>IFERROR(IF(J387&lt;&gt;"",J387,(IF(VLOOKUP($A387,#REF!,MATCH(#REF!,#REF!,0),0)=0,G387,VLOOKUP($A387,#REF!,MATCH(#REF!,#REF!,0),0)))),G387)</f>
        <v>0.12903225806451613</v>
      </c>
      <c r="K387" s="6">
        <f>IFERROR(VLOOKUP($A387,#REF!,MATCH(#REF!,#REF!,0),0),0)</f>
        <v>0</v>
      </c>
      <c r="L387" s="6">
        <f>IFERROR(VLOOKUP($A387,[1]FINAL!$A$1:$BZ$1000,MATCH([1]FINAL!$BF$1,[1]FINAL!$A$1:$BZ$1,0),0),0)</f>
        <v>59</v>
      </c>
      <c r="M387" s="7">
        <f t="shared" si="32"/>
        <v>0.65555555555555556</v>
      </c>
      <c r="N387" s="6">
        <f>IFERROR(VLOOKUP($A387,#REF!,MATCH(#REF!,#REF!,0),0),0)</f>
        <v>0</v>
      </c>
      <c r="O387" s="7">
        <f t="shared" si="33"/>
        <v>0</v>
      </c>
      <c r="P387" s="10" t="str">
        <f>IFERROR(VLOOKUP($A387,[1]FINAL!$A$1:$BZ$1000,MATCH([1]FINAL!$BB$1,[1]FINAL!$A$1:$BZ$1,0),0),"")</f>
        <v/>
      </c>
      <c r="Q387" s="18">
        <f t="shared" si="34"/>
        <v>1</v>
      </c>
    </row>
    <row r="388" spans="1:17" x14ac:dyDescent="0.25">
      <c r="A388" s="14" t="str">
        <f>[1]FINAL!$A292</f>
        <v>Joe Willock</v>
      </c>
      <c r="B388" s="20" t="str">
        <f>IFERROR(VLOOKUP($A388,[1]FINAL!$A$1:$Z$1000,MATCH([1]FINAL!$T$1,[1]FINAL!$A$1:$Z$1,0),0),"")</f>
        <v>MID</v>
      </c>
      <c r="C388" s="3" t="str">
        <f>IFERROR(VLOOKUP($A388,[1]FINAL!$A$1:$Z$1000,MATCH([1]FINAL!$U$1,[1]FINAL!$A$1:$Z$1,0),0),"")</f>
        <v>CM</v>
      </c>
      <c r="D388" s="3" t="str">
        <f>IFERROR(VLOOKUP($A388,[1]FINAL!$A$1:$Z$1000,MATCH([1]FINAL!$V$1,[1]FINAL!$A$1:$Z$1,0),0),"")</f>
        <v>NEW</v>
      </c>
      <c r="E388" s="6">
        <f t="shared" si="30"/>
        <v>61831.831831831842</v>
      </c>
      <c r="F388" s="5">
        <f t="shared" si="31"/>
        <v>0.27027027027027029</v>
      </c>
      <c r="G388" s="5">
        <f>IFERROR(IF(H388&lt;&gt;"",H388,VLOOKUP($A388,[1]FINAL!$A$1:$BZ$1000,MATCH([1]FINAL!$BL$1,[1]FINAL!$A$1:$BZ$1,0),0)),0)</f>
        <v>0.27027027027027029</v>
      </c>
      <c r="I388" s="5">
        <f>IFERROR(IF(J388&lt;&gt;"",J388,(IF(VLOOKUP($A388,#REF!,MATCH(#REF!,#REF!,0),0)=0,G388,VLOOKUP($A388,#REF!,MATCH(#REF!,#REF!,0),0)))),G388)</f>
        <v>0.27027027027027029</v>
      </c>
      <c r="K388" s="6">
        <f>IFERROR(VLOOKUP($A388,#REF!,MATCH(#REF!,#REF!,0),0),0)</f>
        <v>0</v>
      </c>
      <c r="L388" s="6">
        <f>IFERROR(VLOOKUP($A388,[1]FINAL!$A$1:$BZ$1000,MATCH([1]FINAL!$BF$1,[1]FINAL!$A$1:$BZ$1,0),0),0)</f>
        <v>70</v>
      </c>
      <c r="M388" s="7">
        <f t="shared" si="32"/>
        <v>0.77777777777777779</v>
      </c>
      <c r="N388" s="6">
        <f>IFERROR(VLOOKUP($A388,#REF!,MATCH(#REF!,#REF!,0),0),0)</f>
        <v>0</v>
      </c>
      <c r="O388" s="7">
        <f t="shared" si="33"/>
        <v>0</v>
      </c>
      <c r="P388" s="10" t="str">
        <f>IFERROR(VLOOKUP($A388,[1]FINAL!$A$1:$BZ$1000,MATCH([1]FINAL!$BB$1,[1]FINAL!$A$1:$BZ$1,0),0),"")</f>
        <v/>
      </c>
      <c r="Q388" s="18">
        <f t="shared" si="34"/>
        <v>1</v>
      </c>
    </row>
    <row r="389" spans="1:17" x14ac:dyDescent="0.25">
      <c r="A389" s="14" t="str">
        <f>[1]FINAL!$A533</f>
        <v>Marco Palestra</v>
      </c>
      <c r="B389" s="20" t="str">
        <f>IFERROR(VLOOKUP($A389,[1]FINAL!$A$1:$Z$1000,MATCH([1]FINAL!$T$1,[1]FINAL!$A$1:$Z$1,0),0),"")</f>
        <v>DEF</v>
      </c>
      <c r="C389" s="3" t="str">
        <f>IFERROR(VLOOKUP($A389,[1]FINAL!$A$1:$Z$1000,MATCH([1]FINAL!$U$1,[1]FINAL!$A$1:$Z$1,0),0),"")</f>
        <v>RB</v>
      </c>
      <c r="D389" s="3" t="str">
        <f>IFERROR(VLOOKUP($A389,[1]FINAL!$A$1:$Z$1000,MATCH([1]FINAL!$V$1,[1]FINAL!$A$1:$Z$1,0),0),"")</f>
        <v>CHE</v>
      </c>
      <c r="E389" s="6">
        <f t="shared" si="30"/>
        <v>0</v>
      </c>
      <c r="F389" s="5">
        <f t="shared" si="31"/>
        <v>0</v>
      </c>
      <c r="G389" s="5">
        <f>IFERROR(IF(H389&lt;&gt;"",H389,VLOOKUP($A389,[1]FINAL!$A$1:$BZ$1000,MATCH([1]FINAL!$BL$1,[1]FINAL!$A$1:$BZ$1,0),0)),0)</f>
        <v>0</v>
      </c>
      <c r="I389" s="5">
        <f>IFERROR(IF(J389&lt;&gt;"",J389,(IF(VLOOKUP($A389,#REF!,MATCH(#REF!,#REF!,0),0)=0,G389,VLOOKUP($A389,#REF!,MATCH(#REF!,#REF!,0),0)))),G389)</f>
        <v>0</v>
      </c>
      <c r="K389" s="6">
        <f>IFERROR(VLOOKUP($A389,#REF!,MATCH(#REF!,#REF!,0),0),0)</f>
        <v>0</v>
      </c>
      <c r="L389" s="6">
        <f>IFERROR(VLOOKUP($A389,[1]FINAL!$A$1:$BZ$1000,MATCH([1]FINAL!$BF$1,[1]FINAL!$A$1:$BZ$1,0),0),0)</f>
        <v>0</v>
      </c>
      <c r="M389" s="7">
        <f t="shared" si="32"/>
        <v>0</v>
      </c>
      <c r="N389" s="6">
        <f>IFERROR(VLOOKUP($A389,#REF!,MATCH(#REF!,#REF!,0),0),0)</f>
        <v>0</v>
      </c>
      <c r="O389" s="7">
        <f t="shared" si="33"/>
        <v>0</v>
      </c>
      <c r="P389" s="10" t="str">
        <f>IFERROR(VLOOKUP($A389,[1]FINAL!$A$1:$BZ$1000,MATCH([1]FINAL!$BB$1,[1]FINAL!$A$1:$BZ$1,0),0),"")</f>
        <v/>
      </c>
      <c r="Q389" s="18">
        <f t="shared" si="34"/>
        <v>1</v>
      </c>
    </row>
    <row r="390" spans="1:17" x14ac:dyDescent="0.25">
      <c r="A390" s="14" t="str">
        <f>[1]FINAL!$A288</f>
        <v>Joe Gomez</v>
      </c>
      <c r="B390" s="20" t="str">
        <f>IFERROR(VLOOKUP($A390,[1]FINAL!$A$1:$Z$1000,MATCH([1]FINAL!$T$1,[1]FINAL!$A$1:$Z$1,0),0),"")</f>
        <v>DEF</v>
      </c>
      <c r="C390" s="3" t="str">
        <f>IFERROR(VLOOKUP($A390,[1]FINAL!$A$1:$Z$1000,MATCH([1]FINAL!$U$1,[1]FINAL!$A$1:$Z$1,0),0),"")</f>
        <v>CB</v>
      </c>
      <c r="D390" s="3" t="str">
        <f>IFERROR(VLOOKUP($A390,[1]FINAL!$A$1:$Z$1000,MATCH([1]FINAL!$V$1,[1]FINAL!$A$1:$Z$1,0),0),"")</f>
        <v>LIV</v>
      </c>
      <c r="E390" s="6">
        <f t="shared" si="30"/>
        <v>50750</v>
      </c>
      <c r="F390" s="5">
        <f t="shared" si="31"/>
        <v>0.21875</v>
      </c>
      <c r="G390" s="5">
        <f>IFERROR(IF(H390&lt;&gt;"",H390,VLOOKUP($A390,[1]FINAL!$A$1:$BZ$1000,MATCH([1]FINAL!$BL$1,[1]FINAL!$A$1:$BZ$1,0),0)),0)</f>
        <v>0.21875</v>
      </c>
      <c r="I390" s="5">
        <f>IFERROR(IF(J390&lt;&gt;"",J390,(IF(VLOOKUP($A390,#REF!,MATCH(#REF!,#REF!,0),0)=0,G390,VLOOKUP($A390,#REF!,MATCH(#REF!,#REF!,0),0)))),G390)</f>
        <v>0.21875</v>
      </c>
      <c r="K390" s="6">
        <f>IFERROR(VLOOKUP($A390,#REF!,MATCH(#REF!,#REF!,0),0),0)</f>
        <v>0</v>
      </c>
      <c r="L390" s="6">
        <f>IFERROR(VLOOKUP($A390,[1]FINAL!$A$1:$BZ$1000,MATCH([1]FINAL!$BF$1,[1]FINAL!$A$1:$BZ$1,0),0),0)</f>
        <v>63</v>
      </c>
      <c r="M390" s="7">
        <f t="shared" si="32"/>
        <v>0.7</v>
      </c>
      <c r="N390" s="6">
        <f>IFERROR(VLOOKUP($A390,#REF!,MATCH(#REF!,#REF!,0),0),0)</f>
        <v>0</v>
      </c>
      <c r="O390" s="7">
        <f t="shared" si="33"/>
        <v>0</v>
      </c>
      <c r="P390" s="10" t="str">
        <f>IFERROR(VLOOKUP($A390,[1]FINAL!$A$1:$BZ$1000,MATCH([1]FINAL!$BB$1,[1]FINAL!$A$1:$BZ$1,0),0),"")</f>
        <v/>
      </c>
      <c r="Q390" s="18">
        <f t="shared" si="34"/>
        <v>1</v>
      </c>
    </row>
    <row r="391" spans="1:17" x14ac:dyDescent="0.25">
      <c r="A391" s="14" t="str">
        <f>[1]FINAL!$A296</f>
        <v>Granit Xhaka</v>
      </c>
      <c r="B391" s="20" t="str">
        <f>IFERROR(VLOOKUP($A391,[1]FINAL!$A$1:$Z$1000,MATCH([1]FINAL!$T$1,[1]FINAL!$A$1:$Z$1,0),0),"")</f>
        <v>MID</v>
      </c>
      <c r="C391" s="3" t="str">
        <f>IFERROR(VLOOKUP($A391,[1]FINAL!$A$1:$Z$1000,MATCH([1]FINAL!$U$1,[1]FINAL!$A$1:$Z$1,0),0),"")</f>
        <v>DM</v>
      </c>
      <c r="D391" s="3" t="str">
        <f>IFERROR(VLOOKUP($A391,[1]FINAL!$A$1:$Z$1000,MATCH([1]FINAL!$V$1,[1]FINAL!$A$1:$Z$1,0),0),"")</f>
        <v>SUN</v>
      </c>
      <c r="E391" s="6">
        <f t="shared" si="30"/>
        <v>198124.18300653592</v>
      </c>
      <c r="F391" s="5">
        <f t="shared" si="31"/>
        <v>0.94117647058823528</v>
      </c>
      <c r="G391" s="5">
        <f>IFERROR(IF(H391&lt;&gt;"",H391,VLOOKUP($A391,[1]FINAL!$A$1:$BZ$1000,MATCH([1]FINAL!$BL$1,[1]FINAL!$A$1:$BZ$1,0),0)),0)</f>
        <v>0.94117647058823528</v>
      </c>
      <c r="I391" s="5">
        <f>IFERROR(IF(J391&lt;&gt;"",J391,(IF(VLOOKUP($A391,#REF!,MATCH(#REF!,#REF!,0),0)=0,G391,VLOOKUP($A391,#REF!,MATCH(#REF!,#REF!,0),0)))),G391)</f>
        <v>0.94117647058823528</v>
      </c>
      <c r="K391" s="6">
        <f>IFERROR(VLOOKUP($A391,#REF!,MATCH(#REF!,#REF!,0),0),0)</f>
        <v>0</v>
      </c>
      <c r="L391" s="6">
        <f>IFERROR(VLOOKUP($A391,[1]FINAL!$A$1:$BZ$1000,MATCH([1]FINAL!$BF$1,[1]FINAL!$A$1:$BZ$1,0),0),0)</f>
        <v>89</v>
      </c>
      <c r="M391" s="7">
        <f t="shared" si="32"/>
        <v>0.98888888888888893</v>
      </c>
      <c r="N391" s="6">
        <f>IFERROR(VLOOKUP($A391,#REF!,MATCH(#REF!,#REF!,0),0),0)</f>
        <v>0</v>
      </c>
      <c r="O391" s="7">
        <f t="shared" si="33"/>
        <v>0</v>
      </c>
      <c r="P391" s="10" t="str">
        <f>IFERROR(VLOOKUP($A391,[1]FINAL!$A$1:$BZ$1000,MATCH([1]FINAL!$BB$1,[1]FINAL!$A$1:$BZ$1,0),0),"")</f>
        <v/>
      </c>
      <c r="Q391" s="18">
        <f t="shared" si="34"/>
        <v>1</v>
      </c>
    </row>
    <row r="392" spans="1:17" x14ac:dyDescent="0.25">
      <c r="A392" s="14" t="str">
        <f>[1]FINAL!$A293</f>
        <v>Roméo Lavia</v>
      </c>
      <c r="B392" s="20" t="str">
        <f>IFERROR(VLOOKUP($A392,[1]FINAL!$A$1:$Z$1000,MATCH([1]FINAL!$T$1,[1]FINAL!$A$1:$Z$1,0),0),"")</f>
        <v>MID</v>
      </c>
      <c r="C392" s="3" t="str">
        <f>IFERROR(VLOOKUP($A392,[1]FINAL!$A$1:$Z$1000,MATCH([1]FINAL!$U$1,[1]FINAL!$A$1:$Z$1,0),0),"")</f>
        <v>DM</v>
      </c>
      <c r="D392" s="3" t="str">
        <f>IFERROR(VLOOKUP($A392,[1]FINAL!$A$1:$Z$1000,MATCH([1]FINAL!$V$1,[1]FINAL!$A$1:$Z$1,0),0),"")</f>
        <v>CHE</v>
      </c>
      <c r="E392" s="6">
        <f t="shared" si="30"/>
        <v>59777.777777777781</v>
      </c>
      <c r="F392" s="5">
        <f t="shared" si="31"/>
        <v>0.26666666666666666</v>
      </c>
      <c r="G392" s="5">
        <f>IFERROR(IF(H392&lt;&gt;"",H392,VLOOKUP($A392,[1]FINAL!$A$1:$BZ$1000,MATCH([1]FINAL!$BL$1,[1]FINAL!$A$1:$BZ$1,0),0)),0)</f>
        <v>0.26666666666666666</v>
      </c>
      <c r="I392" s="5">
        <f>IFERROR(IF(J392&lt;&gt;"",J392,(IF(VLOOKUP($A392,#REF!,MATCH(#REF!,#REF!,0),0)=0,G392,VLOOKUP($A392,#REF!,MATCH(#REF!,#REF!,0),0)))),G392)</f>
        <v>0.26666666666666666</v>
      </c>
      <c r="K392" s="6">
        <f>IFERROR(VLOOKUP($A392,#REF!,MATCH(#REF!,#REF!,0),0),0)</f>
        <v>0</v>
      </c>
      <c r="L392" s="6">
        <f>IFERROR(VLOOKUP($A392,[1]FINAL!$A$1:$BZ$1000,MATCH([1]FINAL!$BF$1,[1]FINAL!$A$1:$BZ$1,0),0),0)</f>
        <v>58</v>
      </c>
      <c r="M392" s="7">
        <f t="shared" si="32"/>
        <v>0.64444444444444449</v>
      </c>
      <c r="N392" s="6">
        <f>IFERROR(VLOOKUP($A392,#REF!,MATCH(#REF!,#REF!,0),0),0)</f>
        <v>0</v>
      </c>
      <c r="O392" s="7">
        <f t="shared" si="33"/>
        <v>0</v>
      </c>
      <c r="P392" s="10" t="str">
        <f>IFERROR(VLOOKUP($A392,[1]FINAL!$A$1:$BZ$1000,MATCH([1]FINAL!$BB$1,[1]FINAL!$A$1:$BZ$1,0),0),"")</f>
        <v/>
      </c>
      <c r="Q392" s="18">
        <f t="shared" si="34"/>
        <v>1</v>
      </c>
    </row>
    <row r="393" spans="1:17" x14ac:dyDescent="0.25">
      <c r="A393" s="14" t="str">
        <f>[1]FINAL!$A405</f>
        <v>Dejan Kulusevski</v>
      </c>
      <c r="B393" s="20" t="str">
        <f>IFERROR(VLOOKUP($A393,[1]FINAL!$A$1:$Z$1000,MATCH([1]FINAL!$T$1,[1]FINAL!$A$1:$Z$1,0),0),"")</f>
        <v>MID</v>
      </c>
      <c r="C393" s="3" t="str">
        <f>IFERROR(VLOOKUP($A393,[1]FINAL!$A$1:$Z$1000,MATCH([1]FINAL!$U$1,[1]FINAL!$A$1:$Z$1,0),0),"")</f>
        <v>AM</v>
      </c>
      <c r="D393" s="3" t="str">
        <f>IFERROR(VLOOKUP($A393,[1]FINAL!$A$1:$Z$1000,MATCH([1]FINAL!$V$1,[1]FINAL!$A$1:$Z$1,0),0),"")</f>
        <v>TOT</v>
      </c>
      <c r="E393" s="6">
        <f t="shared" si="30"/>
        <v>0</v>
      </c>
      <c r="F393" s="5">
        <f t="shared" si="31"/>
        <v>0</v>
      </c>
      <c r="G393" s="5">
        <f>IFERROR(IF(H393&lt;&gt;"",H393,VLOOKUP($A393,[1]FINAL!$A$1:$BZ$1000,MATCH([1]FINAL!$BL$1,[1]FINAL!$A$1:$BZ$1,0),0)),0)</f>
        <v>0</v>
      </c>
      <c r="I393" s="5">
        <f>IFERROR(IF(J393&lt;&gt;"",J393,(IF(VLOOKUP($A393,#REF!,MATCH(#REF!,#REF!,0),0)=0,G393,VLOOKUP($A393,#REF!,MATCH(#REF!,#REF!,0),0)))),G393)</f>
        <v>0</v>
      </c>
      <c r="K393" s="6">
        <f>IFERROR(VLOOKUP($A393,#REF!,MATCH(#REF!,#REF!,0),0),0)</f>
        <v>0</v>
      </c>
      <c r="L393" s="6">
        <f>IFERROR(VLOOKUP($A393,[1]FINAL!$A$1:$BZ$1000,MATCH([1]FINAL!$BF$1,[1]FINAL!$A$1:$BZ$1,0),0),0)</f>
        <v>0</v>
      </c>
      <c r="M393" s="7">
        <f t="shared" si="32"/>
        <v>0</v>
      </c>
      <c r="N393" s="6">
        <f>IFERROR(VLOOKUP($A393,#REF!,MATCH(#REF!,#REF!,0),0),0)</f>
        <v>0</v>
      </c>
      <c r="O393" s="7">
        <f t="shared" si="33"/>
        <v>0</v>
      </c>
      <c r="P393" s="10">
        <f>IFERROR(VLOOKUP($A393,[1]FINAL!$A$1:$BZ$1000,MATCH([1]FINAL!$BB$1,[1]FINAL!$A$1:$BZ$1,0),0),"")</f>
        <v>0</v>
      </c>
      <c r="Q393" s="18">
        <f t="shared" si="34"/>
        <v>1E-4</v>
      </c>
    </row>
    <row r="394" spans="1:17" x14ac:dyDescent="0.25">
      <c r="A394" s="14" t="str">
        <f>[1]FINAL!$A112</f>
        <v>Ross Barkley</v>
      </c>
      <c r="B394" s="20" t="str">
        <f>IFERROR(VLOOKUP($A394,[1]FINAL!$A$1:$Z$1000,MATCH([1]FINAL!$T$1,[1]FINAL!$A$1:$Z$1,0),0),"")</f>
        <v>MID</v>
      </c>
      <c r="C394" s="3" t="str">
        <f>IFERROR(VLOOKUP($A394,[1]FINAL!$A$1:$Z$1000,MATCH([1]FINAL!$U$1,[1]FINAL!$A$1:$Z$1,0),0),"")</f>
        <v>CM</v>
      </c>
      <c r="D394" s="3" t="str">
        <f>IFERROR(VLOOKUP($A394,[1]FINAL!$A$1:$Z$1000,MATCH([1]FINAL!$V$1,[1]FINAL!$A$1:$Z$1,0),0),"")</f>
        <v>AVL</v>
      </c>
      <c r="E394" s="6">
        <f t="shared" si="30"/>
        <v>72191.91919191918</v>
      </c>
      <c r="F394" s="5">
        <f t="shared" si="31"/>
        <v>0.31818181818181818</v>
      </c>
      <c r="G394" s="5">
        <f>IFERROR(IF(H394&lt;&gt;"",H394,VLOOKUP($A394,[1]FINAL!$A$1:$BZ$1000,MATCH([1]FINAL!$BL$1,[1]FINAL!$A$1:$BZ$1,0),0)),0)</f>
        <v>0.31818181818181818</v>
      </c>
      <c r="I394" s="5">
        <f>IFERROR(IF(J394&lt;&gt;"",J394,(IF(VLOOKUP($A394,#REF!,MATCH(#REF!,#REF!,0),0)=0,G394,VLOOKUP($A394,#REF!,MATCH(#REF!,#REF!,0),0)))),G394)</f>
        <v>0.31818181818181818</v>
      </c>
      <c r="K394" s="6">
        <f>IFERROR(VLOOKUP($A394,#REF!,MATCH(#REF!,#REF!,0),0),0)</f>
        <v>0</v>
      </c>
      <c r="L394" s="6">
        <f>IFERROR(VLOOKUP($A394,[1]FINAL!$A$1:$BZ$1000,MATCH([1]FINAL!$BF$1,[1]FINAL!$A$1:$BZ$1,0),0),0)</f>
        <v>77</v>
      </c>
      <c r="M394" s="7">
        <f t="shared" si="32"/>
        <v>0.85555555555555551</v>
      </c>
      <c r="N394" s="6">
        <f>IFERROR(VLOOKUP($A394,#REF!,MATCH(#REF!,#REF!,0),0),0)</f>
        <v>0</v>
      </c>
      <c r="O394" s="7">
        <f t="shared" si="33"/>
        <v>0</v>
      </c>
      <c r="P394" s="10" t="str">
        <f>IFERROR(VLOOKUP($A394,[1]FINAL!$A$1:$BZ$1000,MATCH([1]FINAL!$BB$1,[1]FINAL!$A$1:$BZ$1,0),0),"")</f>
        <v/>
      </c>
      <c r="Q394" s="18">
        <f t="shared" si="34"/>
        <v>1</v>
      </c>
    </row>
    <row r="395" spans="1:17" x14ac:dyDescent="0.25">
      <c r="A395" s="14" t="str">
        <f>[1]FINAL!$A451</f>
        <v>Ali Al-Hamadi</v>
      </c>
      <c r="B395" s="20" t="str">
        <f>IFERROR(VLOOKUP($A395,[1]FINAL!$A$1:$Z$1000,MATCH([1]FINAL!$T$1,[1]FINAL!$A$1:$Z$1,0),0),"")</f>
        <v>FWD</v>
      </c>
      <c r="C395" s="3" t="str">
        <f>IFERROR(VLOOKUP($A395,[1]FINAL!$A$1:$Z$1000,MATCH([1]FINAL!$U$1,[1]FINAL!$A$1:$Z$1,0),0),"")</f>
        <v>CF</v>
      </c>
      <c r="D395" s="3" t="str">
        <f>IFERROR(VLOOKUP($A395,[1]FINAL!$A$1:$Z$1000,MATCH([1]FINAL!$V$1,[1]FINAL!$A$1:$Z$1,0),0),"")</f>
        <v>IPS</v>
      </c>
      <c r="E395" s="6">
        <f t="shared" si="30"/>
        <v>0</v>
      </c>
      <c r="F395" s="5">
        <f t="shared" si="31"/>
        <v>0</v>
      </c>
      <c r="G395" s="5">
        <f>IFERROR(IF(H395&lt;&gt;"",H395,VLOOKUP($A395,[1]FINAL!$A$1:$BZ$1000,MATCH([1]FINAL!$BL$1,[1]FINAL!$A$1:$BZ$1,0),0)),0)</f>
        <v>0</v>
      </c>
      <c r="I395" s="5">
        <f>IFERROR(IF(J395&lt;&gt;"",J395,(IF(VLOOKUP($A395,#REF!,MATCH(#REF!,#REF!,0),0)=0,G395,VLOOKUP($A395,#REF!,MATCH(#REF!,#REF!,0),0)))),G395)</f>
        <v>0</v>
      </c>
      <c r="K395" s="6">
        <f>IFERROR(VLOOKUP($A395,#REF!,MATCH(#REF!,#REF!,0),0),0)</f>
        <v>0</v>
      </c>
      <c r="L395" s="6">
        <f>IFERROR(VLOOKUP($A395,[1]FINAL!$A$1:$BZ$1000,MATCH([1]FINAL!$BF$1,[1]FINAL!$A$1:$BZ$1,0),0),0)</f>
        <v>0</v>
      </c>
      <c r="M395" s="7">
        <f t="shared" si="32"/>
        <v>0</v>
      </c>
      <c r="N395" s="6">
        <f>IFERROR(VLOOKUP($A395,#REF!,MATCH(#REF!,#REF!,0),0),0)</f>
        <v>0</v>
      </c>
      <c r="O395" s="7">
        <f t="shared" si="33"/>
        <v>0</v>
      </c>
      <c r="P395" s="10" t="str">
        <f>IFERROR(VLOOKUP($A395,[1]FINAL!$A$1:$BZ$1000,MATCH([1]FINAL!$BB$1,[1]FINAL!$A$1:$BZ$1,0),0),"")</f>
        <v/>
      </c>
      <c r="Q395" s="18">
        <f t="shared" si="34"/>
        <v>1</v>
      </c>
    </row>
    <row r="396" spans="1:17" x14ac:dyDescent="0.25">
      <c r="A396" s="14" t="str">
        <f>[1]FINAL!$A237</f>
        <v>Daichi Kamada</v>
      </c>
      <c r="B396" s="20" t="str">
        <f>IFERROR(VLOOKUP($A396,[1]FINAL!$A$1:$Z$1000,MATCH([1]FINAL!$T$1,[1]FINAL!$A$1:$Z$1,0),0),"")</f>
        <v>MID</v>
      </c>
      <c r="C396" s="3" t="str">
        <f>IFERROR(VLOOKUP($A396,[1]FINAL!$A$1:$Z$1000,MATCH([1]FINAL!$U$1,[1]FINAL!$A$1:$Z$1,0),0),"")</f>
        <v>AM</v>
      </c>
      <c r="D396" s="3" t="str">
        <f>IFERROR(VLOOKUP($A396,[1]FINAL!$A$1:$Z$1000,MATCH([1]FINAL!$V$1,[1]FINAL!$A$1:$Z$1,0),0),"")</f>
        <v>CRY</v>
      </c>
      <c r="E396" s="6">
        <f t="shared" si="30"/>
        <v>166031.74603174601</v>
      </c>
      <c r="F396" s="5">
        <f t="shared" si="31"/>
        <v>0.7857142857142857</v>
      </c>
      <c r="G396" s="5">
        <f>IFERROR(IF(H396&lt;&gt;"",H396,VLOOKUP($A396,[1]FINAL!$A$1:$BZ$1000,MATCH([1]FINAL!$BL$1,[1]FINAL!$A$1:$BZ$1,0),0)),0)</f>
        <v>0.7857142857142857</v>
      </c>
      <c r="I396" s="5">
        <f>IFERROR(IF(J396&lt;&gt;"",J396,(IF(VLOOKUP($A396,#REF!,MATCH(#REF!,#REF!,0),0)=0,G396,VLOOKUP($A396,#REF!,MATCH(#REF!,#REF!,0),0)))),G396)</f>
        <v>0.7857142857142857</v>
      </c>
      <c r="K396" s="6">
        <f>IFERROR(VLOOKUP($A396,#REF!,MATCH(#REF!,#REF!,0),0),0)</f>
        <v>0</v>
      </c>
      <c r="L396" s="6">
        <f>IFERROR(VLOOKUP($A396,[1]FINAL!$A$1:$BZ$1000,MATCH([1]FINAL!$BF$1,[1]FINAL!$A$1:$BZ$1,0),0),0)</f>
        <v>80</v>
      </c>
      <c r="M396" s="7">
        <f t="shared" si="32"/>
        <v>0.88888888888888884</v>
      </c>
      <c r="N396" s="6">
        <f>IFERROR(VLOOKUP($A396,#REF!,MATCH(#REF!,#REF!,0),0),0)</f>
        <v>0</v>
      </c>
      <c r="O396" s="7">
        <f t="shared" si="33"/>
        <v>0</v>
      </c>
      <c r="P396" s="10" t="str">
        <f>IFERROR(VLOOKUP($A396,[1]FINAL!$A$1:$BZ$1000,MATCH([1]FINAL!$BB$1,[1]FINAL!$A$1:$BZ$1,0),0),"")</f>
        <v/>
      </c>
      <c r="Q396" s="18">
        <f t="shared" si="34"/>
        <v>1</v>
      </c>
    </row>
    <row r="397" spans="1:17" x14ac:dyDescent="0.25">
      <c r="A397" s="14" t="str">
        <f>[1]FINAL!$A273</f>
        <v>James McAtee</v>
      </c>
      <c r="B397" s="20" t="str">
        <f>IFERROR(VLOOKUP($A397,[1]FINAL!$A$1:$Z$1000,MATCH([1]FINAL!$T$1,[1]FINAL!$A$1:$Z$1,0),0),"")</f>
        <v>MID</v>
      </c>
      <c r="C397" s="3" t="str">
        <f>IFERROR(VLOOKUP($A397,[1]FINAL!$A$1:$Z$1000,MATCH([1]FINAL!$U$1,[1]FINAL!$A$1:$Z$1,0),0),"")</f>
        <v>AM</v>
      </c>
      <c r="D397" s="3" t="str">
        <f>IFERROR(VLOOKUP($A397,[1]FINAL!$A$1:$Z$1000,MATCH([1]FINAL!$V$1,[1]FINAL!$A$1:$Z$1,0),0),"")</f>
        <v>NFO</v>
      </c>
      <c r="E397" s="6">
        <f t="shared" si="30"/>
        <v>19761.904761904763</v>
      </c>
      <c r="F397" s="5">
        <f t="shared" si="31"/>
        <v>5.7142857142857141E-2</v>
      </c>
      <c r="G397" s="5">
        <f>IFERROR(IF(H397&lt;&gt;"",H397,VLOOKUP($A397,[1]FINAL!$A$1:$BZ$1000,MATCH([1]FINAL!$BL$1,[1]FINAL!$A$1:$BZ$1,0),0)),0)</f>
        <v>5.7142857142857141E-2</v>
      </c>
      <c r="I397" s="5">
        <f>IFERROR(IF(J397&lt;&gt;"",J397,(IF(VLOOKUP($A397,#REF!,MATCH(#REF!,#REF!,0),0)=0,G397,VLOOKUP($A397,#REF!,MATCH(#REF!,#REF!,0),0)))),G397)</f>
        <v>5.7142857142857141E-2</v>
      </c>
      <c r="K397" s="6">
        <f>IFERROR(VLOOKUP($A397,#REF!,MATCH(#REF!,#REF!,0),0),0)</f>
        <v>0</v>
      </c>
      <c r="L397" s="6">
        <f>IFERROR(VLOOKUP($A397,[1]FINAL!$A$1:$BZ$1000,MATCH([1]FINAL!$BF$1,[1]FINAL!$A$1:$BZ$1,0),0),0)</f>
        <v>75</v>
      </c>
      <c r="M397" s="7">
        <f t="shared" si="32"/>
        <v>0.83333333333333337</v>
      </c>
      <c r="N397" s="6">
        <f>IFERROR(VLOOKUP($A397,#REF!,MATCH(#REF!,#REF!,0),0),0)</f>
        <v>0</v>
      </c>
      <c r="O397" s="7">
        <f t="shared" si="33"/>
        <v>0</v>
      </c>
      <c r="P397" s="10" t="str">
        <f>IFERROR(VLOOKUP($A397,[1]FINAL!$A$1:$BZ$1000,MATCH([1]FINAL!$BB$1,[1]FINAL!$A$1:$BZ$1,0),0),"")</f>
        <v/>
      </c>
      <c r="Q397" s="18">
        <f t="shared" si="34"/>
        <v>1</v>
      </c>
    </row>
    <row r="398" spans="1:17" x14ac:dyDescent="0.25">
      <c r="A398" s="14" t="str">
        <f>[1]FINAL!$A71</f>
        <v>Sávio Moreira de Oliveira</v>
      </c>
      <c r="B398" s="20" t="str">
        <f>IFERROR(VLOOKUP($A398,[1]FINAL!$A$1:$Z$1000,MATCH([1]FINAL!$T$1,[1]FINAL!$A$1:$Z$1,0),0),"")</f>
        <v>MID</v>
      </c>
      <c r="C398" s="3" t="str">
        <f>IFERROR(VLOOKUP($A398,[1]FINAL!$A$1:$Z$1000,MATCH([1]FINAL!$U$1,[1]FINAL!$A$1:$Z$1,0),0),"")</f>
        <v>LW</v>
      </c>
      <c r="D398" s="3" t="str">
        <f>IFERROR(VLOOKUP($A398,[1]FINAL!$A$1:$Z$1000,MATCH([1]FINAL!$V$1,[1]FINAL!$A$1:$Z$1,0),0),"")</f>
        <v>MCI</v>
      </c>
      <c r="E398" s="6">
        <f t="shared" si="30"/>
        <v>60518.518518518511</v>
      </c>
      <c r="F398" s="5">
        <f t="shared" si="31"/>
        <v>0.25925925925925924</v>
      </c>
      <c r="G398" s="5">
        <f>IFERROR(IF(H398&lt;&gt;"",H398,VLOOKUP($A398,[1]FINAL!$A$1:$BZ$1000,MATCH([1]FINAL!$BL$1,[1]FINAL!$A$1:$BZ$1,0),0)),0)</f>
        <v>0.25925925925925924</v>
      </c>
      <c r="I398" s="5">
        <f>IFERROR(IF(J398&lt;&gt;"",J398,(IF(VLOOKUP($A398,#REF!,MATCH(#REF!,#REF!,0),0)=0,G398,VLOOKUP($A398,#REF!,MATCH(#REF!,#REF!,0),0)))),G398)</f>
        <v>0.25925925925925924</v>
      </c>
      <c r="K398" s="6">
        <f>IFERROR(VLOOKUP($A398,#REF!,MATCH(#REF!,#REF!,0),0),0)</f>
        <v>0</v>
      </c>
      <c r="L398" s="6">
        <f>IFERROR(VLOOKUP($A398,[1]FINAL!$A$1:$BZ$1000,MATCH([1]FINAL!$BF$1,[1]FINAL!$A$1:$BZ$1,0),0),0)</f>
        <v>78</v>
      </c>
      <c r="M398" s="7">
        <f t="shared" si="32"/>
        <v>0.8666666666666667</v>
      </c>
      <c r="N398" s="6">
        <f>IFERROR(VLOOKUP($A398,#REF!,MATCH(#REF!,#REF!,0),0),0)</f>
        <v>0</v>
      </c>
      <c r="O398" s="7">
        <f t="shared" si="33"/>
        <v>0</v>
      </c>
      <c r="P398" s="10" t="str">
        <f>IFERROR(VLOOKUP($A398,[1]FINAL!$A$1:$BZ$1000,MATCH([1]FINAL!$BB$1,[1]FINAL!$A$1:$BZ$1,0),0),"")</f>
        <v/>
      </c>
      <c r="Q398" s="18">
        <f t="shared" si="34"/>
        <v>1</v>
      </c>
    </row>
    <row r="399" spans="1:17" x14ac:dyDescent="0.25">
      <c r="A399" s="14" t="str">
        <f>[1]FINAL!$A33</f>
        <v>Dango Ouattara</v>
      </c>
      <c r="B399" s="20" t="str">
        <f>IFERROR(VLOOKUP($A399,[1]FINAL!$A$1:$Z$1000,MATCH([1]FINAL!$T$1,[1]FINAL!$A$1:$Z$1,0),0),"")</f>
        <v>MID</v>
      </c>
      <c r="C399" s="3" t="str">
        <f>IFERROR(VLOOKUP($A399,[1]FINAL!$A$1:$Z$1000,MATCH([1]FINAL!$U$1,[1]FINAL!$A$1:$Z$1,0),0),"")</f>
        <v>RW</v>
      </c>
      <c r="D399" s="3" t="str">
        <f>IFERROR(VLOOKUP($A399,[1]FINAL!$A$1:$Z$1000,MATCH([1]FINAL!$V$1,[1]FINAL!$A$1:$Z$1,0),0),"")</f>
        <v>BRE</v>
      </c>
      <c r="E399" s="6">
        <f t="shared" si="30"/>
        <v>165583.33333333334</v>
      </c>
      <c r="F399" s="5">
        <f t="shared" si="31"/>
        <v>0.78125</v>
      </c>
      <c r="G399" s="5">
        <f>IFERROR(IF(H399&lt;&gt;"",H399,VLOOKUP($A399,[1]FINAL!$A$1:$BZ$1000,MATCH([1]FINAL!$BL$1,[1]FINAL!$A$1:$BZ$1,0),0)),0)</f>
        <v>0.78125</v>
      </c>
      <c r="I399" s="5">
        <f>IFERROR(IF(J399&lt;&gt;"",J399,(IF(VLOOKUP($A399,#REF!,MATCH(#REF!,#REF!,0),0)=0,G399,VLOOKUP($A399,#REF!,MATCH(#REF!,#REF!,0),0)))),G399)</f>
        <v>0.78125</v>
      </c>
      <c r="K399" s="6">
        <f>IFERROR(VLOOKUP($A399,#REF!,MATCH(#REF!,#REF!,0),0),0)</f>
        <v>0</v>
      </c>
      <c r="L399" s="6">
        <f>IFERROR(VLOOKUP($A399,[1]FINAL!$A$1:$BZ$1000,MATCH([1]FINAL!$BF$1,[1]FINAL!$A$1:$BZ$1,0),0),0)</f>
        <v>84</v>
      </c>
      <c r="M399" s="7">
        <f t="shared" si="32"/>
        <v>0.93333333333333335</v>
      </c>
      <c r="N399" s="6">
        <f>IFERROR(VLOOKUP($A399,#REF!,MATCH(#REF!,#REF!,0),0),0)</f>
        <v>0</v>
      </c>
      <c r="O399" s="7">
        <f t="shared" si="33"/>
        <v>0</v>
      </c>
      <c r="P399" s="10" t="str">
        <f>IFERROR(VLOOKUP($A399,[1]FINAL!$A$1:$BZ$1000,MATCH([1]FINAL!$BB$1,[1]FINAL!$A$1:$BZ$1,0),0),"")</f>
        <v/>
      </c>
      <c r="Q399" s="18">
        <f t="shared" si="34"/>
        <v>1</v>
      </c>
    </row>
    <row r="400" spans="1:17" x14ac:dyDescent="0.25">
      <c r="A400" s="14" t="str">
        <f>[1]FINAL!$A261</f>
        <v>Rodrigo Muniz Carvalho</v>
      </c>
      <c r="B400" s="20" t="str">
        <f>IFERROR(VLOOKUP($A400,[1]FINAL!$A$1:$Z$1000,MATCH([1]FINAL!$T$1,[1]FINAL!$A$1:$Z$1,0),0),"")</f>
        <v>FWD</v>
      </c>
      <c r="C400" s="3" t="str">
        <f>IFERROR(VLOOKUP($A400,[1]FINAL!$A$1:$Z$1000,MATCH([1]FINAL!$U$1,[1]FINAL!$A$1:$Z$1,0),0),"")</f>
        <v>CF</v>
      </c>
      <c r="D400" s="3" t="str">
        <f>IFERROR(VLOOKUP($A400,[1]FINAL!$A$1:$Z$1000,MATCH([1]FINAL!$V$1,[1]FINAL!$A$1:$Z$1,0),0),"")</f>
        <v>FUL</v>
      </c>
      <c r="E400" s="6">
        <f t="shared" si="30"/>
        <v>103460.31746031746</v>
      </c>
      <c r="F400" s="5">
        <f t="shared" si="31"/>
        <v>0.47619047619047616</v>
      </c>
      <c r="G400" s="5">
        <f>IFERROR(IF(H400&lt;&gt;"",H400,VLOOKUP($A400,[1]FINAL!$A$1:$BZ$1000,MATCH([1]FINAL!$BL$1,[1]FINAL!$A$1:$BZ$1,0),0)),0)</f>
        <v>0.47619047619047616</v>
      </c>
      <c r="I400" s="5">
        <f>IFERROR(IF(J400&lt;&gt;"",J400,(IF(VLOOKUP($A400,#REF!,MATCH(#REF!,#REF!,0),0)=0,G400,VLOOKUP($A400,#REF!,MATCH(#REF!,#REF!,0),0)))),G400)</f>
        <v>0.47619047619047616</v>
      </c>
      <c r="K400" s="6">
        <f>IFERROR(VLOOKUP($A400,#REF!,MATCH(#REF!,#REF!,0),0),0)</f>
        <v>0</v>
      </c>
      <c r="L400" s="6">
        <f>IFERROR(VLOOKUP($A400,[1]FINAL!$A$1:$BZ$1000,MATCH([1]FINAL!$BF$1,[1]FINAL!$A$1:$BZ$1,0),0),0)</f>
        <v>74</v>
      </c>
      <c r="M400" s="7">
        <f t="shared" si="32"/>
        <v>0.82222222222222219</v>
      </c>
      <c r="N400" s="6">
        <f>IFERROR(VLOOKUP($A400,#REF!,MATCH(#REF!,#REF!,0),0),0)</f>
        <v>0</v>
      </c>
      <c r="O400" s="7">
        <f t="shared" si="33"/>
        <v>0</v>
      </c>
      <c r="P400" s="10" t="str">
        <f>IFERROR(VLOOKUP($A400,[1]FINAL!$A$1:$BZ$1000,MATCH([1]FINAL!$BB$1,[1]FINAL!$A$1:$BZ$1,0),0),"")</f>
        <v/>
      </c>
      <c r="Q400" s="18">
        <f t="shared" si="34"/>
        <v>1</v>
      </c>
    </row>
    <row r="401" spans="1:17" x14ac:dyDescent="0.25">
      <c r="A401" s="14" t="str">
        <f>[1]FINAL!$A51</f>
        <v>Rico Lewis</v>
      </c>
      <c r="B401" s="20" t="str">
        <f>IFERROR(VLOOKUP($A401,[1]FINAL!$A$1:$Z$1000,MATCH([1]FINAL!$T$1,[1]FINAL!$A$1:$Z$1,0),0),"")</f>
        <v>DEF</v>
      </c>
      <c r="C401" s="3" t="str">
        <f>IFERROR(VLOOKUP($A401,[1]FINAL!$A$1:$Z$1000,MATCH([1]FINAL!$U$1,[1]FINAL!$A$1:$Z$1,0),0),"")</f>
        <v>RB</v>
      </c>
      <c r="D401" s="3" t="str">
        <f>IFERROR(VLOOKUP($A401,[1]FINAL!$A$1:$Z$1000,MATCH([1]FINAL!$V$1,[1]FINAL!$A$1:$Z$1,0),0),"")</f>
        <v>MCI</v>
      </c>
      <c r="E401" s="6">
        <f t="shared" si="30"/>
        <v>38962.962962962964</v>
      </c>
      <c r="F401" s="5">
        <f t="shared" si="31"/>
        <v>0.14814814814814814</v>
      </c>
      <c r="G401" s="5">
        <f>IFERROR(IF(H401&lt;&gt;"",H401,VLOOKUP($A401,[1]FINAL!$A$1:$BZ$1000,MATCH([1]FINAL!$BL$1,[1]FINAL!$A$1:$BZ$1,0),0)),0)</f>
        <v>0.14814814814814814</v>
      </c>
      <c r="I401" s="5">
        <f>IFERROR(IF(J401&lt;&gt;"",J401,(IF(VLOOKUP($A401,#REF!,MATCH(#REF!,#REF!,0),0)=0,G401,VLOOKUP($A401,#REF!,MATCH(#REF!,#REF!,0),0)))),G401)</f>
        <v>0.14814814814814814</v>
      </c>
      <c r="K401" s="6">
        <f>IFERROR(VLOOKUP($A401,#REF!,MATCH(#REF!,#REF!,0),0),0)</f>
        <v>0</v>
      </c>
      <c r="L401" s="6">
        <f>IFERROR(VLOOKUP($A401,[1]FINAL!$A$1:$BZ$1000,MATCH([1]FINAL!$BF$1,[1]FINAL!$A$1:$BZ$1,0),0),0)</f>
        <v>84</v>
      </c>
      <c r="M401" s="7">
        <f t="shared" si="32"/>
        <v>0.93333333333333335</v>
      </c>
      <c r="N401" s="6">
        <f>IFERROR(VLOOKUP($A401,#REF!,MATCH(#REF!,#REF!,0),0),0)</f>
        <v>0</v>
      </c>
      <c r="O401" s="7">
        <f t="shared" si="33"/>
        <v>0</v>
      </c>
      <c r="P401" s="10" t="str">
        <f>IFERROR(VLOOKUP($A401,[1]FINAL!$A$1:$BZ$1000,MATCH([1]FINAL!$BB$1,[1]FINAL!$A$1:$BZ$1,0),0),"")</f>
        <v/>
      </c>
      <c r="Q401" s="18">
        <f t="shared" si="34"/>
        <v>1</v>
      </c>
    </row>
    <row r="402" spans="1:17" x14ac:dyDescent="0.25">
      <c r="A402" s="14" t="str">
        <f>[1]FINAL!$A259</f>
        <v>Veljko Milosavljevic</v>
      </c>
      <c r="B402" s="20" t="str">
        <f>IFERROR(VLOOKUP($A402,[1]FINAL!$A$1:$Z$1000,MATCH([1]FINAL!$T$1,[1]FINAL!$A$1:$Z$1,0),0),"")</f>
        <v>DEF</v>
      </c>
      <c r="C402" s="3" t="str">
        <f>IFERROR(VLOOKUP($A402,[1]FINAL!$A$1:$Z$1000,MATCH([1]FINAL!$U$1,[1]FINAL!$A$1:$Z$1,0),0),"")</f>
        <v>CB</v>
      </c>
      <c r="D402" s="3" t="str">
        <f>IFERROR(VLOOKUP($A402,[1]FINAL!$A$1:$Z$1000,MATCH([1]FINAL!$V$1,[1]FINAL!$A$1:$Z$1,0),0),"")</f>
        <v>BOU</v>
      </c>
      <c r="E402" s="6">
        <f t="shared" si="30"/>
        <v>46363.636363636368</v>
      </c>
      <c r="F402" s="5">
        <f t="shared" si="31"/>
        <v>0.18181818181818182</v>
      </c>
      <c r="G402" s="5">
        <f>IFERROR(IF(H402&lt;&gt;"",H402,VLOOKUP($A402,[1]FINAL!$A$1:$BZ$1000,MATCH([1]FINAL!$BL$1,[1]FINAL!$A$1:$BZ$1,0),0)),0)</f>
        <v>0.18181818181818182</v>
      </c>
      <c r="I402" s="5">
        <f>IFERROR(IF(J402&lt;&gt;"",J402,(IF(VLOOKUP($A402,#REF!,MATCH(#REF!,#REF!,0),0)=0,G402,VLOOKUP($A402,#REF!,MATCH(#REF!,#REF!,0),0)))),G402)</f>
        <v>0.18181818181818182</v>
      </c>
      <c r="K402" s="6">
        <f>IFERROR(VLOOKUP($A402,#REF!,MATCH(#REF!,#REF!,0),0),0)</f>
        <v>0</v>
      </c>
      <c r="L402" s="6">
        <f>IFERROR(VLOOKUP($A402,[1]FINAL!$A$1:$BZ$1000,MATCH([1]FINAL!$BF$1,[1]FINAL!$A$1:$BZ$1,0),0),0)</f>
        <v>90</v>
      </c>
      <c r="M402" s="7">
        <f t="shared" si="32"/>
        <v>1</v>
      </c>
      <c r="N402" s="6">
        <f>IFERROR(VLOOKUP($A402,#REF!,MATCH(#REF!,#REF!,0),0),0)</f>
        <v>0</v>
      </c>
      <c r="O402" s="7">
        <f t="shared" si="33"/>
        <v>0</v>
      </c>
      <c r="P402" s="10" t="str">
        <f>IFERROR(VLOOKUP($A402,[1]FINAL!$A$1:$BZ$1000,MATCH([1]FINAL!$BB$1,[1]FINAL!$A$1:$BZ$1,0),0),"")</f>
        <v/>
      </c>
      <c r="Q402" s="18">
        <f t="shared" si="34"/>
        <v>1</v>
      </c>
    </row>
    <row r="403" spans="1:17" x14ac:dyDescent="0.25">
      <c r="A403" s="14" t="str">
        <f>[1]FINAL!$A15</f>
        <v>Tammy Abraham</v>
      </c>
      <c r="B403" s="20" t="str">
        <f>IFERROR(VLOOKUP($A403,[1]FINAL!$A$1:$Z$1000,MATCH([1]FINAL!$T$1,[1]FINAL!$A$1:$Z$1,0),0),"")</f>
        <v>FWD</v>
      </c>
      <c r="C403" s="3" t="str">
        <f>IFERROR(VLOOKUP($A403,[1]FINAL!$A$1:$Z$1000,MATCH([1]FINAL!$U$1,[1]FINAL!$A$1:$Z$1,0),0),"")</f>
        <v>CF</v>
      </c>
      <c r="D403" s="3" t="str">
        <f>IFERROR(VLOOKUP($A403,[1]FINAL!$A$1:$Z$1000,MATCH([1]FINAL!$V$1,[1]FINAL!$A$1:$Z$1,0),0),"")</f>
        <v>AVL</v>
      </c>
      <c r="E403" s="6">
        <f t="shared" si="30"/>
        <v>3.6904761904761902</v>
      </c>
      <c r="F403" s="5">
        <f t="shared" si="31"/>
        <v>1.4285714285714285E-5</v>
      </c>
      <c r="G403" s="5">
        <f>IFERROR(IF(H403&lt;&gt;"",H403,VLOOKUP($A403,[1]FINAL!$A$1:$BZ$1000,MATCH([1]FINAL!$BL$1,[1]FINAL!$A$1:$BZ$1,0),0)),0)</f>
        <v>0.14285714285714285</v>
      </c>
      <c r="I403" s="5">
        <f>IFERROR(IF(J403&lt;&gt;"",J403,(IF(VLOOKUP($A403,#REF!,MATCH(#REF!,#REF!,0),0)=0,G403,VLOOKUP($A403,#REF!,MATCH(#REF!,#REF!,0),0)))),G403)</f>
        <v>0.14285714285714285</v>
      </c>
      <c r="K403" s="6">
        <f>IFERROR(VLOOKUP($A403,#REF!,MATCH(#REF!,#REF!,0),0),0)</f>
        <v>0</v>
      </c>
      <c r="L403" s="6">
        <f>IFERROR(VLOOKUP($A403,[1]FINAL!$A$1:$BZ$1000,MATCH([1]FINAL!$BF$1,[1]FINAL!$A$1:$BZ$1,0),0),0)</f>
        <v>75</v>
      </c>
      <c r="M403" s="7">
        <f t="shared" si="32"/>
        <v>0.83333333333333337</v>
      </c>
      <c r="N403" s="6">
        <f>IFERROR(VLOOKUP($A403,#REF!,MATCH(#REF!,#REF!,0),0),0)</f>
        <v>0</v>
      </c>
      <c r="O403" s="7">
        <f t="shared" si="33"/>
        <v>0</v>
      </c>
      <c r="P403" s="10">
        <f>IFERROR(VLOOKUP($A403,[1]FINAL!$A$1:$BZ$1000,MATCH([1]FINAL!$BB$1,[1]FINAL!$A$1:$BZ$1,0),0),"")</f>
        <v>0</v>
      </c>
      <c r="Q403" s="18">
        <f t="shared" si="34"/>
        <v>1E-4</v>
      </c>
    </row>
    <row r="404" spans="1:17" x14ac:dyDescent="0.25">
      <c r="A404" s="14" t="str">
        <f>[1]FINAL!$A81</f>
        <v>Iliman Ndiaye</v>
      </c>
      <c r="B404" s="20" t="str">
        <f>IFERROR(VLOOKUP($A404,[1]FINAL!$A$1:$Z$1000,MATCH([1]FINAL!$T$1,[1]FINAL!$A$1:$Z$1,0),0),"")</f>
        <v>MID</v>
      </c>
      <c r="C404" s="3" t="str">
        <f>IFERROR(VLOOKUP($A404,[1]FINAL!$A$1:$Z$1000,MATCH([1]FINAL!$U$1,[1]FINAL!$A$1:$Z$1,0),0),"")</f>
        <v>RW</v>
      </c>
      <c r="D404" s="3" t="str">
        <f>IFERROR(VLOOKUP($A404,[1]FINAL!$A$1:$Z$1000,MATCH([1]FINAL!$V$1,[1]FINAL!$A$1:$Z$1,0),0),"")</f>
        <v>EVE</v>
      </c>
      <c r="E404" s="6">
        <f t="shared" si="30"/>
        <v>209666.66666666666</v>
      </c>
      <c r="F404" s="5">
        <f t="shared" si="31"/>
        <v>1</v>
      </c>
      <c r="G404" s="5">
        <f>IFERROR(IF(H404&lt;&gt;"",H404,VLOOKUP($A404,[1]FINAL!$A$1:$BZ$1000,MATCH([1]FINAL!$BL$1,[1]FINAL!$A$1:$BZ$1,0),0)),0)</f>
        <v>1</v>
      </c>
      <c r="I404" s="5">
        <f>IFERROR(IF(J404&lt;&gt;"",J404,(IF(VLOOKUP($A404,#REF!,MATCH(#REF!,#REF!,0),0)=0,G404,VLOOKUP($A404,#REF!,MATCH(#REF!,#REF!,0),0)))),G404)</f>
        <v>1</v>
      </c>
      <c r="K404" s="6">
        <f>IFERROR(VLOOKUP($A404,#REF!,MATCH(#REF!,#REF!,0),0),0)</f>
        <v>0</v>
      </c>
      <c r="L404" s="6">
        <f>IFERROR(VLOOKUP($A404,[1]FINAL!$A$1:$BZ$1000,MATCH([1]FINAL!$BF$1,[1]FINAL!$A$1:$BZ$1,0),0),0)</f>
        <v>87</v>
      </c>
      <c r="M404" s="7">
        <f t="shared" si="32"/>
        <v>0.96666666666666667</v>
      </c>
      <c r="N404" s="6">
        <f>IFERROR(VLOOKUP($A404,#REF!,MATCH(#REF!,#REF!,0),0),0)</f>
        <v>0</v>
      </c>
      <c r="O404" s="7">
        <f t="shared" si="33"/>
        <v>0</v>
      </c>
      <c r="P404" s="10" t="str">
        <f>IFERROR(VLOOKUP($A404,[1]FINAL!$A$1:$BZ$1000,MATCH([1]FINAL!$BB$1,[1]FINAL!$A$1:$BZ$1,0),0),"")</f>
        <v/>
      </c>
      <c r="Q404" s="18">
        <f t="shared" si="34"/>
        <v>1</v>
      </c>
    </row>
    <row r="405" spans="1:17" x14ac:dyDescent="0.25">
      <c r="A405" s="14" t="str">
        <f>[1]FINAL!$A282</f>
        <v>Archie Gray</v>
      </c>
      <c r="B405" s="20" t="str">
        <f>IFERROR(VLOOKUP($A405,[1]FINAL!$A$1:$Z$1000,MATCH([1]FINAL!$T$1,[1]FINAL!$A$1:$Z$1,0),0),"")</f>
        <v>MID</v>
      </c>
      <c r="C405" s="3" t="str">
        <f>IFERROR(VLOOKUP($A405,[1]FINAL!$A$1:$Z$1000,MATCH([1]FINAL!$U$1,[1]FINAL!$A$1:$Z$1,0),0),"")</f>
        <v>DM</v>
      </c>
      <c r="D405" s="3" t="str">
        <f>IFERROR(VLOOKUP($A405,[1]FINAL!$A$1:$Z$1000,MATCH([1]FINAL!$V$1,[1]FINAL!$A$1:$Z$1,0),0),"")</f>
        <v>TOT</v>
      </c>
      <c r="E405" s="6">
        <f t="shared" si="30"/>
        <v>111523.80952380951</v>
      </c>
      <c r="F405" s="5">
        <f t="shared" si="31"/>
        <v>0.51428571428571423</v>
      </c>
      <c r="G405" s="5">
        <f>IFERROR(IF(H405&lt;&gt;"",H405,VLOOKUP($A405,[1]FINAL!$A$1:$BZ$1000,MATCH([1]FINAL!$BL$1,[1]FINAL!$A$1:$BZ$1,0),0)),0)</f>
        <v>0.51428571428571423</v>
      </c>
      <c r="I405" s="5">
        <f>IFERROR(IF(J405&lt;&gt;"",J405,(IF(VLOOKUP($A405,#REF!,MATCH(#REF!,#REF!,0),0)=0,G405,VLOOKUP($A405,#REF!,MATCH(#REF!,#REF!,0),0)))),G405)</f>
        <v>0.51428571428571423</v>
      </c>
      <c r="K405" s="6">
        <f>IFERROR(VLOOKUP($A405,#REF!,MATCH(#REF!,#REF!,0),0),0)</f>
        <v>0</v>
      </c>
      <c r="L405" s="6">
        <f>IFERROR(VLOOKUP($A405,[1]FINAL!$A$1:$BZ$1000,MATCH([1]FINAL!$BF$1,[1]FINAL!$A$1:$BZ$1,0),0),0)</f>
        <v>78</v>
      </c>
      <c r="M405" s="7">
        <f t="shared" si="32"/>
        <v>0.8666666666666667</v>
      </c>
      <c r="N405" s="6">
        <f>IFERROR(VLOOKUP($A405,#REF!,MATCH(#REF!,#REF!,0),0),0)</f>
        <v>0</v>
      </c>
      <c r="O405" s="7">
        <f t="shared" si="33"/>
        <v>0</v>
      </c>
      <c r="P405" s="10" t="str">
        <f>IFERROR(VLOOKUP($A405,[1]FINAL!$A$1:$BZ$1000,MATCH([1]FINAL!$BB$1,[1]FINAL!$A$1:$BZ$1,0),0),"")</f>
        <v/>
      </c>
      <c r="Q405" s="18">
        <f t="shared" si="34"/>
        <v>1</v>
      </c>
    </row>
    <row r="406" spans="1:17" x14ac:dyDescent="0.25">
      <c r="A406" s="14" t="str">
        <f>[1]FINAL!$A460</f>
        <v>Christian Walton</v>
      </c>
      <c r="B406" s="20" t="str">
        <f>IFERROR(VLOOKUP($A406,[1]FINAL!$A$1:$Z$1000,MATCH([1]FINAL!$T$1,[1]FINAL!$A$1:$Z$1,0),0),"")</f>
        <v>GK</v>
      </c>
      <c r="C406" s="3" t="str">
        <f>IFERROR(VLOOKUP($A406,[1]FINAL!$A$1:$Z$1000,MATCH([1]FINAL!$U$1,[1]FINAL!$A$1:$Z$1,0),0),"")</f>
        <v>GK</v>
      </c>
      <c r="D406" s="3" t="str">
        <f>IFERROR(VLOOKUP($A406,[1]FINAL!$A$1:$Z$1000,MATCH([1]FINAL!$V$1,[1]FINAL!$A$1:$Z$1,0),0),"")</f>
        <v>IPS</v>
      </c>
      <c r="E406" s="6">
        <f t="shared" si="30"/>
        <v>166521.73913043478</v>
      </c>
      <c r="F406" s="5">
        <f t="shared" si="31"/>
        <v>0.78260869565217395</v>
      </c>
      <c r="G406" s="5">
        <f>IFERROR(IF(H406&lt;&gt;"",H406,VLOOKUP($A406,[1]FINAL!$A$1:$BZ$1000,MATCH([1]FINAL!$BL$1,[1]FINAL!$A$1:$BZ$1,0),0)),0)</f>
        <v>0.78260869565217395</v>
      </c>
      <c r="I406" s="5">
        <f>IFERROR(IF(J406&lt;&gt;"",J406,(IF(VLOOKUP($A406,#REF!,MATCH(#REF!,#REF!,0),0)=0,G406,VLOOKUP($A406,#REF!,MATCH(#REF!,#REF!,0),0)))),G406)</f>
        <v>0.78260869565217395</v>
      </c>
      <c r="K406" s="6">
        <f>IFERROR(VLOOKUP($A406,#REF!,MATCH(#REF!,#REF!,0),0),0)</f>
        <v>0</v>
      </c>
      <c r="L406" s="6">
        <f>IFERROR(VLOOKUP($A406,[1]FINAL!$A$1:$BZ$1000,MATCH([1]FINAL!$BF$1,[1]FINAL!$A$1:$BZ$1,0),0),0)</f>
        <v>90</v>
      </c>
      <c r="M406" s="7">
        <f t="shared" si="32"/>
        <v>1</v>
      </c>
      <c r="N406" s="6">
        <f>IFERROR(VLOOKUP($A406,#REF!,MATCH(#REF!,#REF!,0),0),0)</f>
        <v>0</v>
      </c>
      <c r="O406" s="7">
        <f t="shared" si="33"/>
        <v>0</v>
      </c>
      <c r="P406" s="10" t="str">
        <f>IFERROR(VLOOKUP($A406,[1]FINAL!$A$1:$BZ$1000,MATCH([1]FINAL!$BB$1,[1]FINAL!$A$1:$BZ$1,0),0),"")</f>
        <v/>
      </c>
      <c r="Q406" s="18">
        <f t="shared" si="34"/>
        <v>1</v>
      </c>
    </row>
    <row r="407" spans="1:17" x14ac:dyDescent="0.25">
      <c r="A407" s="14" t="str">
        <f>[1]FINAL!$A138</f>
        <v>Callum Hudson-Odoi</v>
      </c>
      <c r="B407" s="20" t="str">
        <f>IFERROR(VLOOKUP($A407,[1]FINAL!$A$1:$Z$1000,MATCH([1]FINAL!$T$1,[1]FINAL!$A$1:$Z$1,0),0),"")</f>
        <v>MID</v>
      </c>
      <c r="C407" s="3" t="str">
        <f>IFERROR(VLOOKUP($A407,[1]FINAL!$A$1:$Z$1000,MATCH([1]FINAL!$U$1,[1]FINAL!$A$1:$Z$1,0),0),"")</f>
        <v>LW</v>
      </c>
      <c r="D407" s="3" t="str">
        <f>IFERROR(VLOOKUP($A407,[1]FINAL!$A$1:$Z$1000,MATCH([1]FINAL!$V$1,[1]FINAL!$A$1:$Z$1,0),0),"")</f>
        <v>NFO</v>
      </c>
      <c r="E407" s="6">
        <f t="shared" si="30"/>
        <v>111250</v>
      </c>
      <c r="F407" s="5">
        <f t="shared" si="31"/>
        <v>0.52499999999999991</v>
      </c>
      <c r="G407" s="5">
        <f>IFERROR(IF(H407&lt;&gt;"",H407,VLOOKUP($A407,[1]FINAL!$A$1:$BZ$1000,MATCH([1]FINAL!$BL$1,[1]FINAL!$A$1:$BZ$1,0),0)),0)</f>
        <v>0.7</v>
      </c>
      <c r="I407" s="5">
        <f>IFERROR(IF(J407&lt;&gt;"",J407,(IF(VLOOKUP($A407,#REF!,MATCH(#REF!,#REF!,0),0)=0,G407,VLOOKUP($A407,#REF!,MATCH(#REF!,#REF!,0),0)))),G407)</f>
        <v>0.7</v>
      </c>
      <c r="K407" s="6">
        <f>IFERROR(VLOOKUP($A407,#REF!,MATCH(#REF!,#REF!,0),0),0)</f>
        <v>0</v>
      </c>
      <c r="L407" s="6">
        <f>IFERROR(VLOOKUP($A407,[1]FINAL!$A$1:$BZ$1000,MATCH([1]FINAL!$BF$1,[1]FINAL!$A$1:$BZ$1,0),0),0)</f>
        <v>75</v>
      </c>
      <c r="M407" s="7">
        <f t="shared" si="32"/>
        <v>0.83333333333333337</v>
      </c>
      <c r="N407" s="6">
        <f>IFERROR(VLOOKUP($A407,#REF!,MATCH(#REF!,#REF!,0),0),0)</f>
        <v>0</v>
      </c>
      <c r="O407" s="7">
        <f t="shared" si="33"/>
        <v>0</v>
      </c>
      <c r="P407" s="10">
        <f>IFERROR(VLOOKUP($A407,[1]FINAL!$A$1:$BZ$1000,MATCH([1]FINAL!$BB$1,[1]FINAL!$A$1:$BZ$1,0),0),"")</f>
        <v>75</v>
      </c>
      <c r="Q407" s="18">
        <f t="shared" si="34"/>
        <v>0.75</v>
      </c>
    </row>
    <row r="408" spans="1:17" x14ac:dyDescent="0.25">
      <c r="A408" s="14" t="str">
        <f>[1]FINAL!$A145</f>
        <v>Robert Lynch Sánchez</v>
      </c>
      <c r="B408" s="20" t="str">
        <f>IFERROR(VLOOKUP($A408,[1]FINAL!$A$1:$Z$1000,MATCH([1]FINAL!$T$1,[1]FINAL!$A$1:$Z$1,0),0),"")</f>
        <v>GK</v>
      </c>
      <c r="C408" s="3" t="str">
        <f>IFERROR(VLOOKUP($A408,[1]FINAL!$A$1:$Z$1000,MATCH([1]FINAL!$U$1,[1]FINAL!$A$1:$Z$1,0),0),"")</f>
        <v>GK</v>
      </c>
      <c r="D408" s="3" t="str">
        <f>IFERROR(VLOOKUP($A408,[1]FINAL!$A$1:$Z$1000,MATCH([1]FINAL!$V$1,[1]FINAL!$A$1:$Z$1,0),0),"")</f>
        <v>CHE</v>
      </c>
      <c r="E408" s="6">
        <f t="shared" si="30"/>
        <v>204111.11111111109</v>
      </c>
      <c r="F408" s="5">
        <f t="shared" si="31"/>
        <v>0.97222222222222221</v>
      </c>
      <c r="G408" s="5">
        <f>IFERROR(IF(H408&lt;&gt;"",H408,VLOOKUP($A408,[1]FINAL!$A$1:$BZ$1000,MATCH([1]FINAL!$BL$1,[1]FINAL!$A$1:$BZ$1,0),0)),0)</f>
        <v>0.97222222222222221</v>
      </c>
      <c r="I408" s="5">
        <f>IFERROR(IF(J408&lt;&gt;"",J408,(IF(VLOOKUP($A408,#REF!,MATCH(#REF!,#REF!,0),0)=0,G408,VLOOKUP($A408,#REF!,MATCH(#REF!,#REF!,0),0)))),G408)</f>
        <v>0.97222222222222221</v>
      </c>
      <c r="K408" s="6">
        <f>IFERROR(VLOOKUP($A408,#REF!,MATCH(#REF!,#REF!,0),0),0)</f>
        <v>0</v>
      </c>
      <c r="L408" s="6">
        <f>IFERROR(VLOOKUP($A408,[1]FINAL!$A$1:$BZ$1000,MATCH([1]FINAL!$BF$1,[1]FINAL!$A$1:$BZ$1,0),0),0)</f>
        <v>87</v>
      </c>
      <c r="M408" s="7">
        <f t="shared" si="32"/>
        <v>0.96666666666666667</v>
      </c>
      <c r="N408" s="6">
        <f>IFERROR(VLOOKUP($A408,#REF!,MATCH(#REF!,#REF!,0),0),0)</f>
        <v>0</v>
      </c>
      <c r="O408" s="7">
        <f t="shared" si="33"/>
        <v>0</v>
      </c>
      <c r="P408" s="10" t="str">
        <f>IFERROR(VLOOKUP($A408,[1]FINAL!$A$1:$BZ$1000,MATCH([1]FINAL!$BB$1,[1]FINAL!$A$1:$BZ$1,0),0),"")</f>
        <v/>
      </c>
      <c r="Q408" s="18">
        <f t="shared" si="34"/>
        <v>1</v>
      </c>
    </row>
    <row r="409" spans="1:17" x14ac:dyDescent="0.25">
      <c r="A409" s="14" t="str">
        <f>[1]FINAL!$A117</f>
        <v>Andrew Robertson</v>
      </c>
      <c r="B409" s="20" t="str">
        <f>IFERROR(VLOOKUP($A409,[1]FINAL!$A$1:$Z$1000,MATCH([1]FINAL!$T$1,[1]FINAL!$A$1:$Z$1,0),0),"")</f>
        <v>DEF</v>
      </c>
      <c r="C409" s="3" t="str">
        <f>IFERROR(VLOOKUP($A409,[1]FINAL!$A$1:$Z$1000,MATCH([1]FINAL!$U$1,[1]FINAL!$A$1:$Z$1,0),0),"")</f>
        <v>LB</v>
      </c>
      <c r="D409" s="3" t="str">
        <f>IFERROR(VLOOKUP($A409,[1]FINAL!$A$1:$Z$1000,MATCH([1]FINAL!$V$1,[1]FINAL!$A$1:$Z$1,0),0),"")</f>
        <v>TOT</v>
      </c>
      <c r="E409" s="6">
        <f t="shared" si="30"/>
        <v>66783.625730994157</v>
      </c>
      <c r="F409" s="5">
        <f t="shared" si="31"/>
        <v>0.28947368421052633</v>
      </c>
      <c r="G409" s="5">
        <f>IFERROR(IF(H409&lt;&gt;"",H409,VLOOKUP($A409,[1]FINAL!$A$1:$BZ$1000,MATCH([1]FINAL!$BL$1,[1]FINAL!$A$1:$BZ$1,0),0)),0)</f>
        <v>0.28947368421052633</v>
      </c>
      <c r="I409" s="5">
        <f>IFERROR(IF(J409&lt;&gt;"",J409,(IF(VLOOKUP($A409,#REF!,MATCH(#REF!,#REF!,0),0)=0,G409,VLOOKUP($A409,#REF!,MATCH(#REF!,#REF!,0),0)))),G409)</f>
        <v>0.28947368421052633</v>
      </c>
      <c r="K409" s="6">
        <f>IFERROR(VLOOKUP($A409,#REF!,MATCH(#REF!,#REF!,0),0),0)</f>
        <v>0</v>
      </c>
      <c r="L409" s="6">
        <f>IFERROR(VLOOKUP($A409,[1]FINAL!$A$1:$BZ$1000,MATCH([1]FINAL!$BF$1,[1]FINAL!$A$1:$BZ$1,0),0),0)</f>
        <v>80</v>
      </c>
      <c r="M409" s="7">
        <f t="shared" si="32"/>
        <v>0.88888888888888884</v>
      </c>
      <c r="N409" s="6">
        <f>IFERROR(VLOOKUP($A409,#REF!,MATCH(#REF!,#REF!,0),0),0)</f>
        <v>0</v>
      </c>
      <c r="O409" s="7">
        <f t="shared" si="33"/>
        <v>0</v>
      </c>
      <c r="P409" s="10" t="str">
        <f>IFERROR(VLOOKUP($A409,[1]FINAL!$A$1:$BZ$1000,MATCH([1]FINAL!$BB$1,[1]FINAL!$A$1:$BZ$1,0),0),"")</f>
        <v/>
      </c>
      <c r="Q409" s="18">
        <f t="shared" si="34"/>
        <v>1</v>
      </c>
    </row>
    <row r="410" spans="1:17" x14ac:dyDescent="0.25">
      <c r="A410" s="14" t="str">
        <f>[1]FINAL!$A272</f>
        <v>Luke Shaw</v>
      </c>
      <c r="B410" s="20" t="str">
        <f>IFERROR(VLOOKUP($A410,[1]FINAL!$A$1:$Z$1000,MATCH([1]FINAL!$T$1,[1]FINAL!$A$1:$Z$1,0),0),"")</f>
        <v>DEF</v>
      </c>
      <c r="C410" s="3" t="str">
        <f>IFERROR(VLOOKUP($A410,[1]FINAL!$A$1:$Z$1000,MATCH([1]FINAL!$U$1,[1]FINAL!$A$1:$Z$1,0),0),"")</f>
        <v>LB</v>
      </c>
      <c r="D410" s="3" t="str">
        <f>IFERROR(VLOOKUP($A410,[1]FINAL!$A$1:$Z$1000,MATCH([1]FINAL!$V$1,[1]FINAL!$A$1:$Z$1,0),0),"")</f>
        <v>MUN</v>
      </c>
      <c r="E410" s="6">
        <f t="shared" si="30"/>
        <v>209444.44444444444</v>
      </c>
      <c r="F410" s="5">
        <f t="shared" si="31"/>
        <v>1</v>
      </c>
      <c r="G410" s="5">
        <f>IFERROR(IF(H410&lt;&gt;"",H410,VLOOKUP($A410,[1]FINAL!$A$1:$BZ$1000,MATCH([1]FINAL!$BL$1,[1]FINAL!$A$1:$BZ$1,0),0)),0)</f>
        <v>1</v>
      </c>
      <c r="I410" s="5">
        <f>IFERROR(IF(J410&lt;&gt;"",J410,(IF(VLOOKUP($A410,#REF!,MATCH(#REF!,#REF!,0),0)=0,G410,VLOOKUP($A410,#REF!,MATCH(#REF!,#REF!,0),0)))),G410)</f>
        <v>1</v>
      </c>
      <c r="K410" s="6">
        <f>IFERROR(VLOOKUP($A410,#REF!,MATCH(#REF!,#REF!,0),0),0)</f>
        <v>0</v>
      </c>
      <c r="L410" s="6">
        <f>IFERROR(VLOOKUP($A410,[1]FINAL!$A$1:$BZ$1000,MATCH([1]FINAL!$BF$1,[1]FINAL!$A$1:$BZ$1,0),0),0)</f>
        <v>85</v>
      </c>
      <c r="M410" s="7">
        <f t="shared" si="32"/>
        <v>0.94444444444444442</v>
      </c>
      <c r="N410" s="6">
        <f>IFERROR(VLOOKUP($A410,#REF!,MATCH(#REF!,#REF!,0),0),0)</f>
        <v>0</v>
      </c>
      <c r="O410" s="7">
        <f t="shared" si="33"/>
        <v>0</v>
      </c>
      <c r="P410" s="10" t="str">
        <f>IFERROR(VLOOKUP($A410,[1]FINAL!$A$1:$BZ$1000,MATCH([1]FINAL!$BB$1,[1]FINAL!$A$1:$BZ$1,0),0),"")</f>
        <v/>
      </c>
      <c r="Q410" s="18">
        <f t="shared" si="34"/>
        <v>1</v>
      </c>
    </row>
    <row r="411" spans="1:17" x14ac:dyDescent="0.25">
      <c r="A411" s="14" t="str">
        <f>[1]FINAL!$A196</f>
        <v>Elliot Anderson</v>
      </c>
      <c r="B411" s="20" t="str">
        <f>IFERROR(VLOOKUP($A411,[1]FINAL!$A$1:$Z$1000,MATCH([1]FINAL!$T$1,[1]FINAL!$A$1:$Z$1,0),0),"")</f>
        <v>MID</v>
      </c>
      <c r="C411" s="3" t="str">
        <f>IFERROR(VLOOKUP($A411,[1]FINAL!$A$1:$Z$1000,MATCH([1]FINAL!$U$1,[1]FINAL!$A$1:$Z$1,0),0),"")</f>
        <v>DM</v>
      </c>
      <c r="D411" s="3" t="str">
        <f>IFERROR(VLOOKUP($A411,[1]FINAL!$A$1:$Z$1000,MATCH([1]FINAL!$V$1,[1]FINAL!$A$1:$Z$1,0),0),"")</f>
        <v>MCI</v>
      </c>
      <c r="E411" s="6">
        <f t="shared" si="30"/>
        <v>204625.73099415205</v>
      </c>
      <c r="F411" s="5">
        <f t="shared" si="31"/>
        <v>0.97368421052631582</v>
      </c>
      <c r="G411" s="5">
        <f>IFERROR(IF(H411&lt;&gt;"",H411,VLOOKUP($A411,[1]FINAL!$A$1:$BZ$1000,MATCH([1]FINAL!$BL$1,[1]FINAL!$A$1:$BZ$1,0),0)),0)</f>
        <v>0.97368421052631582</v>
      </c>
      <c r="I411" s="5">
        <f>IFERROR(IF(J411&lt;&gt;"",J411,(IF(VLOOKUP($A411,#REF!,MATCH(#REF!,#REF!,0),0)=0,G411,VLOOKUP($A411,#REF!,MATCH(#REF!,#REF!,0),0)))),G411)</f>
        <v>0.97368421052631582</v>
      </c>
      <c r="K411" s="6">
        <f>IFERROR(VLOOKUP($A411,#REF!,MATCH(#REF!,#REF!,0),0),0)</f>
        <v>0</v>
      </c>
      <c r="L411" s="6">
        <f>IFERROR(VLOOKUP($A411,[1]FINAL!$A$1:$BZ$1000,MATCH([1]FINAL!$BF$1,[1]FINAL!$A$1:$BZ$1,0),0),0)</f>
        <v>89</v>
      </c>
      <c r="M411" s="7">
        <f t="shared" si="32"/>
        <v>0.98888888888888893</v>
      </c>
      <c r="N411" s="6">
        <f>IFERROR(VLOOKUP($A411,#REF!,MATCH(#REF!,#REF!,0),0),0)</f>
        <v>0</v>
      </c>
      <c r="O411" s="7">
        <f t="shared" si="33"/>
        <v>0</v>
      </c>
      <c r="P411" s="10" t="str">
        <f>IFERROR(VLOOKUP($A411,[1]FINAL!$A$1:$BZ$1000,MATCH([1]FINAL!$BB$1,[1]FINAL!$A$1:$BZ$1,0),0),"")</f>
        <v/>
      </c>
      <c r="Q411" s="18">
        <f t="shared" si="34"/>
        <v>1</v>
      </c>
    </row>
    <row r="412" spans="1:17" x14ac:dyDescent="0.25">
      <c r="A412" s="14" t="str">
        <f>[1]FINAL!$A248</f>
        <v>Andrey Nascimento dos Santos</v>
      </c>
      <c r="B412" s="20" t="str">
        <f>IFERROR(VLOOKUP($A412,[1]FINAL!$A$1:$Z$1000,MATCH([1]FINAL!$T$1,[1]FINAL!$A$1:$Z$1,0),0),"")</f>
        <v>MID</v>
      </c>
      <c r="C412" s="3" t="str">
        <f>IFERROR(VLOOKUP($A412,[1]FINAL!$A$1:$Z$1000,MATCH([1]FINAL!$U$1,[1]FINAL!$A$1:$Z$1,0),0),"")</f>
        <v>DM</v>
      </c>
      <c r="D412" s="3" t="str">
        <f>IFERROR(VLOOKUP($A412,[1]FINAL!$A$1:$Z$1000,MATCH([1]FINAL!$V$1,[1]FINAL!$A$1:$Z$1,0),0),"")</f>
        <v>MUN</v>
      </c>
      <c r="E412" s="6">
        <f t="shared" si="30"/>
        <v>78159.159159159171</v>
      </c>
      <c r="F412" s="5">
        <f t="shared" si="31"/>
        <v>0.35135135135135137</v>
      </c>
      <c r="G412" s="5">
        <f>IFERROR(IF(H412&lt;&gt;"",H412,VLOOKUP($A412,[1]FINAL!$A$1:$BZ$1000,MATCH([1]FINAL!$BL$1,[1]FINAL!$A$1:$BZ$1,0),0)),0)</f>
        <v>0.35135135135135137</v>
      </c>
      <c r="I412" s="5">
        <f>IFERROR(IF(J412&lt;&gt;"",J412,(IF(VLOOKUP($A412,#REF!,MATCH(#REF!,#REF!,0),0)=0,G412,VLOOKUP($A412,#REF!,MATCH(#REF!,#REF!,0),0)))),G412)</f>
        <v>0.35135135135135137</v>
      </c>
      <c r="K412" s="6">
        <f>IFERROR(VLOOKUP($A412,#REF!,MATCH(#REF!,#REF!,0),0),0)</f>
        <v>0</v>
      </c>
      <c r="L412" s="6">
        <f>IFERROR(VLOOKUP($A412,[1]FINAL!$A$1:$BZ$1000,MATCH([1]FINAL!$BF$1,[1]FINAL!$A$1:$BZ$1,0),0),0)</f>
        <v>71</v>
      </c>
      <c r="M412" s="7">
        <f t="shared" si="32"/>
        <v>0.78888888888888886</v>
      </c>
      <c r="N412" s="6">
        <f>IFERROR(VLOOKUP($A412,#REF!,MATCH(#REF!,#REF!,0),0),0)</f>
        <v>0</v>
      </c>
      <c r="O412" s="7">
        <f t="shared" si="33"/>
        <v>0</v>
      </c>
      <c r="P412" s="10" t="str">
        <f>IFERROR(VLOOKUP($A412,[1]FINAL!$A$1:$BZ$1000,MATCH([1]FINAL!$BB$1,[1]FINAL!$A$1:$BZ$1,0),0),"")</f>
        <v/>
      </c>
      <c r="Q412" s="18">
        <f t="shared" si="34"/>
        <v>1</v>
      </c>
    </row>
    <row r="413" spans="1:17" x14ac:dyDescent="0.25">
      <c r="A413" s="14" t="str">
        <f>[1]FINAL!$A31</f>
        <v>Florian Wirtz</v>
      </c>
      <c r="B413" s="20" t="str">
        <f>IFERROR(VLOOKUP($A413,[1]FINAL!$A$1:$Z$1000,MATCH([1]FINAL!$T$1,[1]FINAL!$A$1:$Z$1,0),0),"")</f>
        <v>MID</v>
      </c>
      <c r="C413" s="3" t="str">
        <f>IFERROR(VLOOKUP($A413,[1]FINAL!$A$1:$Z$1000,MATCH([1]FINAL!$U$1,[1]FINAL!$A$1:$Z$1,0),0),"")</f>
        <v>AM</v>
      </c>
      <c r="D413" s="3" t="str">
        <f>IFERROR(VLOOKUP($A413,[1]FINAL!$A$1:$Z$1000,MATCH([1]FINAL!$V$1,[1]FINAL!$A$1:$Z$1,0),0),"")</f>
        <v>LIV</v>
      </c>
      <c r="E413" s="6">
        <f t="shared" si="30"/>
        <v>172747.47474747477</v>
      </c>
      <c r="F413" s="5">
        <f t="shared" si="31"/>
        <v>0.81818181818181823</v>
      </c>
      <c r="G413" s="5">
        <f>IFERROR(IF(H413&lt;&gt;"",H413,VLOOKUP($A413,[1]FINAL!$A$1:$BZ$1000,MATCH([1]FINAL!$BL$1,[1]FINAL!$A$1:$BZ$1,0),0)),0)</f>
        <v>0.81818181818181823</v>
      </c>
      <c r="I413" s="5">
        <f>IFERROR(IF(J413&lt;&gt;"",J413,(IF(VLOOKUP($A413,#REF!,MATCH(#REF!,#REF!,0),0)=0,G413,VLOOKUP($A413,#REF!,MATCH(#REF!,#REF!,0),0)))),G413)</f>
        <v>0.81818181818181823</v>
      </c>
      <c r="K413" s="6">
        <f>IFERROR(VLOOKUP($A413,#REF!,MATCH(#REF!,#REF!,0),0),0)</f>
        <v>0</v>
      </c>
      <c r="L413" s="6">
        <f>IFERROR(VLOOKUP($A413,[1]FINAL!$A$1:$BZ$1000,MATCH([1]FINAL!$BF$1,[1]FINAL!$A$1:$BZ$1,0),0),0)</f>
        <v>82</v>
      </c>
      <c r="M413" s="7">
        <f t="shared" si="32"/>
        <v>0.91111111111111109</v>
      </c>
      <c r="N413" s="6">
        <f>IFERROR(VLOOKUP($A413,#REF!,MATCH(#REF!,#REF!,0),0),0)</f>
        <v>0</v>
      </c>
      <c r="O413" s="7">
        <f t="shared" si="33"/>
        <v>0</v>
      </c>
      <c r="P413" s="10" t="str">
        <f>IFERROR(VLOOKUP($A413,[1]FINAL!$A$1:$BZ$1000,MATCH([1]FINAL!$BB$1,[1]FINAL!$A$1:$BZ$1,0),0),"")</f>
        <v/>
      </c>
      <c r="Q413" s="18">
        <f t="shared" si="34"/>
        <v>1</v>
      </c>
    </row>
    <row r="414" spans="1:17" x14ac:dyDescent="0.25">
      <c r="A414" s="14" t="str">
        <f>[1]FINAL!$A52</f>
        <v>Kevin Schade</v>
      </c>
      <c r="B414" s="20" t="str">
        <f>IFERROR(VLOOKUP($A414,[1]FINAL!$A$1:$Z$1000,MATCH([1]FINAL!$T$1,[1]FINAL!$A$1:$Z$1,0),0),"")</f>
        <v>MID</v>
      </c>
      <c r="C414" s="3" t="str">
        <f>IFERROR(VLOOKUP($A414,[1]FINAL!$A$1:$Z$1000,MATCH([1]FINAL!$U$1,[1]FINAL!$A$1:$Z$1,0),0),"")</f>
        <v>LW</v>
      </c>
      <c r="D414" s="3" t="str">
        <f>IFERROR(VLOOKUP($A414,[1]FINAL!$A$1:$Z$1000,MATCH([1]FINAL!$V$1,[1]FINAL!$A$1:$Z$1,0),0),"")</f>
        <v>BRE</v>
      </c>
      <c r="E414" s="6">
        <f t="shared" si="30"/>
        <v>191968.25396825396</v>
      </c>
      <c r="F414" s="5">
        <f t="shared" si="31"/>
        <v>0.91428571428571426</v>
      </c>
      <c r="G414" s="5">
        <f>IFERROR(IF(H414&lt;&gt;"",H414,VLOOKUP($A414,[1]FINAL!$A$1:$BZ$1000,MATCH([1]FINAL!$BL$1,[1]FINAL!$A$1:$BZ$1,0),0)),0)</f>
        <v>0.91428571428571426</v>
      </c>
      <c r="I414" s="5">
        <f>IFERROR(IF(J414&lt;&gt;"",J414,(IF(VLOOKUP($A414,#REF!,MATCH(#REF!,#REF!,0),0)=0,G414,VLOOKUP($A414,#REF!,MATCH(#REF!,#REF!,0),0)))),G414)</f>
        <v>0.91428571428571426</v>
      </c>
      <c r="K414" s="6">
        <f>IFERROR(VLOOKUP($A414,#REF!,MATCH(#REF!,#REF!,0),0),0)</f>
        <v>0</v>
      </c>
      <c r="L414" s="6">
        <f>IFERROR(VLOOKUP($A414,[1]FINAL!$A$1:$BZ$1000,MATCH([1]FINAL!$BF$1,[1]FINAL!$A$1:$BZ$1,0),0),0)</f>
        <v>82</v>
      </c>
      <c r="M414" s="7">
        <f t="shared" si="32"/>
        <v>0.91111111111111109</v>
      </c>
      <c r="N414" s="6">
        <f>IFERROR(VLOOKUP($A414,#REF!,MATCH(#REF!,#REF!,0),0),0)</f>
        <v>0</v>
      </c>
      <c r="O414" s="7">
        <f t="shared" si="33"/>
        <v>0</v>
      </c>
      <c r="P414" s="10" t="str">
        <f>IFERROR(VLOOKUP($A414,[1]FINAL!$A$1:$BZ$1000,MATCH([1]FINAL!$BB$1,[1]FINAL!$A$1:$BZ$1,0),0),"")</f>
        <v/>
      </c>
      <c r="Q414" s="18">
        <f t="shared" si="34"/>
        <v>1</v>
      </c>
    </row>
    <row r="415" spans="1:17" x14ac:dyDescent="0.25">
      <c r="A415" s="14" t="str">
        <f>[1]FINAL!$A53</f>
        <v>Danny Welbeck</v>
      </c>
      <c r="B415" s="20" t="str">
        <f>IFERROR(VLOOKUP($A415,[1]FINAL!$A$1:$Z$1000,MATCH([1]FINAL!$T$1,[1]FINAL!$A$1:$Z$1,0),0),"")</f>
        <v>FWD</v>
      </c>
      <c r="C415" s="3" t="str">
        <f>IFERROR(VLOOKUP($A415,[1]FINAL!$A$1:$Z$1000,MATCH([1]FINAL!$U$1,[1]FINAL!$A$1:$Z$1,0),0),"")</f>
        <v>CF</v>
      </c>
      <c r="D415" s="3" t="str">
        <f>IFERROR(VLOOKUP($A415,[1]FINAL!$A$1:$Z$1000,MATCH([1]FINAL!$V$1,[1]FINAL!$A$1:$Z$1,0),0),"")</f>
        <v>BHA</v>
      </c>
      <c r="E415" s="6">
        <f t="shared" si="30"/>
        <v>149318.31831831834</v>
      </c>
      <c r="F415" s="5">
        <f t="shared" si="31"/>
        <v>0.70270270270270274</v>
      </c>
      <c r="G415" s="5">
        <f>IFERROR(IF(H415&lt;&gt;"",H415,VLOOKUP($A415,[1]FINAL!$A$1:$BZ$1000,MATCH([1]FINAL!$BL$1,[1]FINAL!$A$1:$BZ$1,0),0)),0)</f>
        <v>0.70270270270270274</v>
      </c>
      <c r="I415" s="5">
        <f>IFERROR(IF(J415&lt;&gt;"",J415,(IF(VLOOKUP($A415,#REF!,MATCH(#REF!,#REF!,0),0)=0,G415,VLOOKUP($A415,#REF!,MATCH(#REF!,#REF!,0),0)))),G415)</f>
        <v>0.70270270270270274</v>
      </c>
      <c r="K415" s="6">
        <f>IFERROR(VLOOKUP($A415,#REF!,MATCH(#REF!,#REF!,0),0),0)</f>
        <v>0</v>
      </c>
      <c r="L415" s="6">
        <f>IFERROR(VLOOKUP($A415,[1]FINAL!$A$1:$BZ$1000,MATCH([1]FINAL!$BF$1,[1]FINAL!$A$1:$BZ$1,0),0),0)</f>
        <v>79</v>
      </c>
      <c r="M415" s="7">
        <f t="shared" si="32"/>
        <v>0.87777777777777777</v>
      </c>
      <c r="N415" s="6">
        <f>IFERROR(VLOOKUP($A415,#REF!,MATCH(#REF!,#REF!,0),0),0)</f>
        <v>0</v>
      </c>
      <c r="O415" s="7">
        <f t="shared" si="33"/>
        <v>0</v>
      </c>
      <c r="P415" s="10" t="str">
        <f>IFERROR(VLOOKUP($A415,[1]FINAL!$A$1:$BZ$1000,MATCH([1]FINAL!$BB$1,[1]FINAL!$A$1:$BZ$1,0),0),"")</f>
        <v/>
      </c>
      <c r="Q415" s="18">
        <f t="shared" si="34"/>
        <v>1</v>
      </c>
    </row>
    <row r="416" spans="1:17" x14ac:dyDescent="0.25">
      <c r="A416" s="14" t="str">
        <f>[1]FINAL!$A54</f>
        <v>Patrick Dorgu</v>
      </c>
      <c r="B416" s="20" t="str">
        <f>IFERROR(VLOOKUP($A416,[1]FINAL!$A$1:$Z$1000,MATCH([1]FINAL!$T$1,[1]FINAL!$A$1:$Z$1,0),0),"")</f>
        <v>MID</v>
      </c>
      <c r="C416" s="3" t="str">
        <f>IFERROR(VLOOKUP($A416,[1]FINAL!$A$1:$Z$1000,MATCH([1]FINAL!$U$1,[1]FINAL!$A$1:$Z$1,0),0),"")</f>
        <v>LB</v>
      </c>
      <c r="D416" s="3" t="str">
        <f>IFERROR(VLOOKUP($A416,[1]FINAL!$A$1:$Z$1000,MATCH([1]FINAL!$V$1,[1]FINAL!$A$1:$Z$1,0),0),"")</f>
        <v>MUN</v>
      </c>
      <c r="E416" s="6">
        <f t="shared" si="30"/>
        <v>116476.19047619047</v>
      </c>
      <c r="F416" s="5">
        <f t="shared" si="31"/>
        <v>0.5357142857142857</v>
      </c>
      <c r="G416" s="5">
        <f>IFERROR(IF(H416&lt;&gt;"",H416,VLOOKUP($A416,[1]FINAL!$A$1:$BZ$1000,MATCH([1]FINAL!$BL$1,[1]FINAL!$A$1:$BZ$1,0),0)),0)</f>
        <v>0.5357142857142857</v>
      </c>
      <c r="I416" s="5">
        <f>IFERROR(IF(J416&lt;&gt;"",J416,(IF(VLOOKUP($A416,#REF!,MATCH(#REF!,#REF!,0),0)=0,G416,VLOOKUP($A416,#REF!,MATCH(#REF!,#REF!,0),0)))),G416)</f>
        <v>0.5357142857142857</v>
      </c>
      <c r="K416" s="6">
        <f>IFERROR(VLOOKUP($A416,#REF!,MATCH(#REF!,#REF!,0),0),0)</f>
        <v>0</v>
      </c>
      <c r="L416" s="6">
        <f>IFERROR(VLOOKUP($A416,[1]FINAL!$A$1:$BZ$1000,MATCH([1]FINAL!$BF$1,[1]FINAL!$A$1:$BZ$1,0),0),0)</f>
        <v>84</v>
      </c>
      <c r="M416" s="7">
        <f t="shared" si="32"/>
        <v>0.93333333333333335</v>
      </c>
      <c r="N416" s="6">
        <f>IFERROR(VLOOKUP($A416,#REF!,MATCH(#REF!,#REF!,0),0),0)</f>
        <v>0</v>
      </c>
      <c r="O416" s="7">
        <f t="shared" si="33"/>
        <v>0</v>
      </c>
      <c r="P416" s="10" t="str">
        <f>IFERROR(VLOOKUP($A416,[1]FINAL!$A$1:$BZ$1000,MATCH([1]FINAL!$BB$1,[1]FINAL!$A$1:$BZ$1,0),0),"")</f>
        <v/>
      </c>
      <c r="Q416" s="18">
        <f t="shared" si="34"/>
        <v>1</v>
      </c>
    </row>
    <row r="417" spans="1:17" x14ac:dyDescent="0.25">
      <c r="A417" s="14" t="str">
        <f>[1]FINAL!$A55</f>
        <v>Rayan Aït-Nouri</v>
      </c>
      <c r="B417" s="20" t="str">
        <f>IFERROR(VLOOKUP($A417,[1]FINAL!$A$1:$Z$1000,MATCH([1]FINAL!$T$1,[1]FINAL!$A$1:$Z$1,0),0),"")</f>
        <v>DEF</v>
      </c>
      <c r="C417" s="3" t="str">
        <f>IFERROR(VLOOKUP($A417,[1]FINAL!$A$1:$Z$1000,MATCH([1]FINAL!$U$1,[1]FINAL!$A$1:$Z$1,0),0),"")</f>
        <v>LB</v>
      </c>
      <c r="D417" s="3" t="str">
        <f>IFERROR(VLOOKUP($A417,[1]FINAL!$A$1:$Z$1000,MATCH([1]FINAL!$V$1,[1]FINAL!$A$1:$Z$1,0),0),"")</f>
        <v>MCI</v>
      </c>
      <c r="E417" s="6">
        <f t="shared" si="30"/>
        <v>100863.24786324787</v>
      </c>
      <c r="F417" s="5">
        <f t="shared" si="31"/>
        <v>0.46153846153846156</v>
      </c>
      <c r="G417" s="5">
        <f>IFERROR(IF(H417&lt;&gt;"",H417,VLOOKUP($A417,[1]FINAL!$A$1:$BZ$1000,MATCH([1]FINAL!$BL$1,[1]FINAL!$A$1:$BZ$1,0),0)),0)</f>
        <v>0.46153846153846156</v>
      </c>
      <c r="I417" s="5">
        <f>IFERROR(IF(J417&lt;&gt;"",J417,(IF(VLOOKUP($A417,#REF!,MATCH(#REF!,#REF!,0),0)=0,G417,VLOOKUP($A417,#REF!,MATCH(#REF!,#REF!,0),0)))),G417)</f>
        <v>0.46153846153846156</v>
      </c>
      <c r="K417" s="6">
        <f>IFERROR(VLOOKUP($A417,#REF!,MATCH(#REF!,#REF!,0),0),0)</f>
        <v>0</v>
      </c>
      <c r="L417" s="6">
        <f>IFERROR(VLOOKUP($A417,[1]FINAL!$A$1:$BZ$1000,MATCH([1]FINAL!$BF$1,[1]FINAL!$A$1:$BZ$1,0),0),0)</f>
        <v>77</v>
      </c>
      <c r="M417" s="7">
        <f t="shared" si="32"/>
        <v>0.85555555555555551</v>
      </c>
      <c r="N417" s="6">
        <f>IFERROR(VLOOKUP($A417,#REF!,MATCH(#REF!,#REF!,0),0),0)</f>
        <v>0</v>
      </c>
      <c r="O417" s="7">
        <f t="shared" si="33"/>
        <v>0</v>
      </c>
      <c r="P417" s="10" t="str">
        <f>IFERROR(VLOOKUP($A417,[1]FINAL!$A$1:$BZ$1000,MATCH([1]FINAL!$BB$1,[1]FINAL!$A$1:$BZ$1,0),0),"")</f>
        <v/>
      </c>
      <c r="Q417" s="18">
        <f t="shared" si="34"/>
        <v>1</v>
      </c>
    </row>
    <row r="418" spans="1:17" x14ac:dyDescent="0.25">
      <c r="A418" s="14" t="str">
        <f>[1]FINAL!$A56</f>
        <v>Viktor Gyökeres</v>
      </c>
      <c r="B418" s="20" t="str">
        <f>IFERROR(VLOOKUP($A418,[1]FINAL!$A$1:$Z$1000,MATCH([1]FINAL!$T$1,[1]FINAL!$A$1:$Z$1,0),0),"")</f>
        <v>FWD</v>
      </c>
      <c r="C418" s="3" t="str">
        <f>IFERROR(VLOOKUP($A418,[1]FINAL!$A$1:$Z$1000,MATCH([1]FINAL!$U$1,[1]FINAL!$A$1:$Z$1,0),0),"")</f>
        <v>CF</v>
      </c>
      <c r="D418" s="3" t="str">
        <f>IFERROR(VLOOKUP($A418,[1]FINAL!$A$1:$Z$1000,MATCH([1]FINAL!$V$1,[1]FINAL!$A$1:$Z$1,0),0),"")</f>
        <v>ARS</v>
      </c>
      <c r="E418" s="6">
        <f t="shared" si="30"/>
        <v>152888.88888888888</v>
      </c>
      <c r="F418" s="5">
        <f t="shared" si="31"/>
        <v>0.72222222222222221</v>
      </c>
      <c r="G418" s="5">
        <f>IFERROR(IF(H418&lt;&gt;"",H418,VLOOKUP($A418,[1]FINAL!$A$1:$BZ$1000,MATCH([1]FINAL!$BL$1,[1]FINAL!$A$1:$BZ$1,0),0)),0)</f>
        <v>0.72222222222222221</v>
      </c>
      <c r="I418" s="5">
        <f>IFERROR(IF(J418&lt;&gt;"",J418,(IF(VLOOKUP($A418,#REF!,MATCH(#REF!,#REF!,0),0)=0,G418,VLOOKUP($A418,#REF!,MATCH(#REF!,#REF!,0),0)))),G418)</f>
        <v>0.72222222222222221</v>
      </c>
      <c r="K418" s="6">
        <f>IFERROR(VLOOKUP($A418,#REF!,MATCH(#REF!,#REF!,0),0),0)</f>
        <v>0</v>
      </c>
      <c r="L418" s="6">
        <f>IFERROR(VLOOKUP($A418,[1]FINAL!$A$1:$BZ$1000,MATCH([1]FINAL!$BF$1,[1]FINAL!$A$1:$BZ$1,0),0),0)</f>
        <v>76</v>
      </c>
      <c r="M418" s="7">
        <f t="shared" si="32"/>
        <v>0.84444444444444444</v>
      </c>
      <c r="N418" s="6">
        <f>IFERROR(VLOOKUP($A418,#REF!,MATCH(#REF!,#REF!,0),0),0)</f>
        <v>0</v>
      </c>
      <c r="O418" s="7">
        <f t="shared" si="33"/>
        <v>0</v>
      </c>
      <c r="P418" s="10" t="str">
        <f>IFERROR(VLOOKUP($A418,[1]FINAL!$A$1:$BZ$1000,MATCH([1]FINAL!$BB$1,[1]FINAL!$A$1:$BZ$1,0),0),"")</f>
        <v/>
      </c>
      <c r="Q418" s="18">
        <f t="shared" si="34"/>
        <v>1</v>
      </c>
    </row>
    <row r="419" spans="1:17" x14ac:dyDescent="0.25">
      <c r="A419" s="14" t="str">
        <f>[1]FINAL!$A107</f>
        <v>Estêvão Almeida de Oliveira Gonçalves</v>
      </c>
      <c r="B419" s="20" t="str">
        <f>IFERROR(VLOOKUP($A419,[1]FINAL!$A$1:$Z$1000,MATCH([1]FINAL!$T$1,[1]FINAL!$A$1:$Z$1,0),0),"")</f>
        <v>MID</v>
      </c>
      <c r="C419" s="3" t="str">
        <f>IFERROR(VLOOKUP($A419,[1]FINAL!$A$1:$Z$1000,MATCH([1]FINAL!$U$1,[1]FINAL!$A$1:$Z$1,0),0),"")</f>
        <v>RW</v>
      </c>
      <c r="D419" s="3" t="str">
        <f>IFERROR(VLOOKUP($A419,[1]FINAL!$A$1:$Z$1000,MATCH([1]FINAL!$V$1,[1]FINAL!$A$1:$Z$1,0),0),"")</f>
        <v>CHE</v>
      </c>
      <c r="E419" s="6">
        <f t="shared" si="30"/>
        <v>102000</v>
      </c>
      <c r="F419" s="5">
        <f t="shared" si="31"/>
        <v>0.48</v>
      </c>
      <c r="G419" s="5">
        <f>IFERROR(IF(H419&lt;&gt;"",H419,VLOOKUP($A419,[1]FINAL!$A$1:$BZ$1000,MATCH([1]FINAL!$BL$1,[1]FINAL!$A$1:$BZ$1,0),0)),0)</f>
        <v>0.48</v>
      </c>
      <c r="I419" s="5">
        <f>IFERROR(IF(J419&lt;&gt;"",J419,(IF(VLOOKUP($A419,#REF!,MATCH(#REF!,#REF!,0),0)=0,G419,VLOOKUP($A419,#REF!,MATCH(#REF!,#REF!,0),0)))),G419)</f>
        <v>0.48</v>
      </c>
      <c r="K419" s="6">
        <f>IFERROR(VLOOKUP($A419,#REF!,MATCH(#REF!,#REF!,0),0),0)</f>
        <v>0</v>
      </c>
      <c r="L419" s="6">
        <f>IFERROR(VLOOKUP($A419,[1]FINAL!$A$1:$BZ$1000,MATCH([1]FINAL!$BF$1,[1]FINAL!$A$1:$BZ$1,0),0),0)</f>
        <v>54</v>
      </c>
      <c r="M419" s="7">
        <f t="shared" si="32"/>
        <v>0.6</v>
      </c>
      <c r="N419" s="6">
        <f>IFERROR(VLOOKUP($A419,#REF!,MATCH(#REF!,#REF!,0),0),0)</f>
        <v>0</v>
      </c>
      <c r="O419" s="7">
        <f t="shared" si="33"/>
        <v>0</v>
      </c>
      <c r="P419" s="10" t="str">
        <f>IFERROR(VLOOKUP($A419,[1]FINAL!$A$1:$BZ$1000,MATCH([1]FINAL!$BB$1,[1]FINAL!$A$1:$BZ$1,0),0),"")</f>
        <v/>
      </c>
      <c r="Q419" s="18">
        <f t="shared" si="34"/>
        <v>1</v>
      </c>
    </row>
    <row r="420" spans="1:17" x14ac:dyDescent="0.25">
      <c r="A420" s="14" t="str">
        <f>[1]FINAL!$A108</f>
        <v>Martin Ødegaard</v>
      </c>
      <c r="B420" s="20" t="str">
        <f>IFERROR(VLOOKUP($A420,[1]FINAL!$A$1:$Z$1000,MATCH([1]FINAL!$T$1,[1]FINAL!$A$1:$Z$1,0),0),"")</f>
        <v>MID</v>
      </c>
      <c r="C420" s="3" t="str">
        <f>IFERROR(VLOOKUP($A420,[1]FINAL!$A$1:$Z$1000,MATCH([1]FINAL!$U$1,[1]FINAL!$A$1:$Z$1,0),0),"")</f>
        <v>AM</v>
      </c>
      <c r="D420" s="3" t="str">
        <f>IFERROR(VLOOKUP($A420,[1]FINAL!$A$1:$Z$1000,MATCH([1]FINAL!$V$1,[1]FINAL!$A$1:$Z$1,0),0),"")</f>
        <v>ARS</v>
      </c>
      <c r="E420" s="6">
        <f t="shared" si="30"/>
        <v>136000</v>
      </c>
      <c r="F420" s="5">
        <f t="shared" si="31"/>
        <v>0.64</v>
      </c>
      <c r="G420" s="5">
        <f>IFERROR(IF(H420&lt;&gt;"",H420,VLOOKUP($A420,[1]FINAL!$A$1:$BZ$1000,MATCH([1]FINAL!$BL$1,[1]FINAL!$A$1:$BZ$1,0),0)),0)</f>
        <v>0.64</v>
      </c>
      <c r="I420" s="5">
        <f>IFERROR(IF(J420&lt;&gt;"",J420,(IF(VLOOKUP($A420,#REF!,MATCH(#REF!,#REF!,0),0)=0,G420,VLOOKUP($A420,#REF!,MATCH(#REF!,#REF!,0),0)))),G420)</f>
        <v>0.64</v>
      </c>
      <c r="K420" s="6">
        <f>IFERROR(VLOOKUP($A420,#REF!,MATCH(#REF!,#REF!,0),0),0)</f>
        <v>0</v>
      </c>
      <c r="L420" s="6">
        <f>IFERROR(VLOOKUP($A420,[1]FINAL!$A$1:$BZ$1000,MATCH([1]FINAL!$BF$1,[1]FINAL!$A$1:$BZ$1,0),0),0)</f>
        <v>72</v>
      </c>
      <c r="M420" s="7">
        <f t="shared" si="32"/>
        <v>0.8</v>
      </c>
      <c r="N420" s="6">
        <f>IFERROR(VLOOKUP($A420,#REF!,MATCH(#REF!,#REF!,0),0),0)</f>
        <v>0</v>
      </c>
      <c r="O420" s="7">
        <f t="shared" si="33"/>
        <v>0</v>
      </c>
      <c r="P420" s="10" t="str">
        <f>IFERROR(VLOOKUP($A420,[1]FINAL!$A$1:$BZ$1000,MATCH([1]FINAL!$BB$1,[1]FINAL!$A$1:$BZ$1,0),0),"")</f>
        <v/>
      </c>
      <c r="Q420" s="18">
        <f t="shared" si="34"/>
        <v>1</v>
      </c>
    </row>
    <row r="421" spans="1:17" x14ac:dyDescent="0.25">
      <c r="A421" s="14" t="str">
        <f>[1]FINAL!$A109</f>
        <v>Senne Lammens</v>
      </c>
      <c r="B421" s="20" t="str">
        <f>IFERROR(VLOOKUP($A421,[1]FINAL!$A$1:$Z$1000,MATCH([1]FINAL!$T$1,[1]FINAL!$A$1:$Z$1,0),0),"")</f>
        <v>GK</v>
      </c>
      <c r="C421" s="3" t="str">
        <f>IFERROR(VLOOKUP($A421,[1]FINAL!$A$1:$Z$1000,MATCH([1]FINAL!$U$1,[1]FINAL!$A$1:$Z$1,0),0),"")</f>
        <v>GK</v>
      </c>
      <c r="D421" s="3" t="str">
        <f>IFERROR(VLOOKUP($A421,[1]FINAL!$A$1:$Z$1000,MATCH([1]FINAL!$V$1,[1]FINAL!$A$1:$Z$1,0),0),"")</f>
        <v>MUN</v>
      </c>
      <c r="E421" s="6">
        <f t="shared" si="30"/>
        <v>192857.14285714284</v>
      </c>
      <c r="F421" s="5">
        <f t="shared" si="31"/>
        <v>0.91428571428571426</v>
      </c>
      <c r="G421" s="5">
        <f>IFERROR(IF(H421&lt;&gt;"",H421,VLOOKUP($A421,[1]FINAL!$A$1:$BZ$1000,MATCH([1]FINAL!$BL$1,[1]FINAL!$A$1:$BZ$1,0),0)),0)</f>
        <v>0.91428571428571426</v>
      </c>
      <c r="I421" s="5">
        <f>IFERROR(IF(J421&lt;&gt;"",J421,(IF(VLOOKUP($A421,#REF!,MATCH(#REF!,#REF!,0),0)=0,G421,VLOOKUP($A421,#REF!,MATCH(#REF!,#REF!,0),0)))),G421)</f>
        <v>0.91428571428571426</v>
      </c>
      <c r="K421" s="6">
        <f>IFERROR(VLOOKUP($A421,#REF!,MATCH(#REF!,#REF!,0),0),0)</f>
        <v>0</v>
      </c>
      <c r="L421" s="6">
        <f>IFERROR(VLOOKUP($A421,[1]FINAL!$A$1:$BZ$1000,MATCH([1]FINAL!$BF$1,[1]FINAL!$A$1:$BZ$1,0),0),0)</f>
        <v>90</v>
      </c>
      <c r="M421" s="7">
        <f t="shared" si="32"/>
        <v>1</v>
      </c>
      <c r="N421" s="6">
        <f>IFERROR(VLOOKUP($A421,#REF!,MATCH(#REF!,#REF!,0),0),0)</f>
        <v>0</v>
      </c>
      <c r="O421" s="7">
        <f t="shared" si="33"/>
        <v>0</v>
      </c>
      <c r="P421" s="10" t="str">
        <f>IFERROR(VLOOKUP($A421,[1]FINAL!$A$1:$BZ$1000,MATCH([1]FINAL!$BB$1,[1]FINAL!$A$1:$BZ$1,0),0),"")</f>
        <v/>
      </c>
      <c r="Q421" s="18">
        <f t="shared" si="34"/>
        <v>1</v>
      </c>
    </row>
    <row r="422" spans="1:17" x14ac:dyDescent="0.25">
      <c r="A422" s="14" t="str">
        <f>[1]FINAL!$A177</f>
        <v>Malo Gusto</v>
      </c>
      <c r="B422" s="20" t="str">
        <f>IFERROR(VLOOKUP($A422,[1]FINAL!$A$1:$Z$1000,MATCH([1]FINAL!$T$1,[1]FINAL!$A$1:$Z$1,0),0),"")</f>
        <v>DEF</v>
      </c>
      <c r="C422" s="3" t="str">
        <f>IFERROR(VLOOKUP($A422,[1]FINAL!$A$1:$Z$1000,MATCH([1]FINAL!$U$1,[1]FINAL!$A$1:$Z$1,0),0),"")</f>
        <v>RB</v>
      </c>
      <c r="D422" s="3" t="str">
        <f>IFERROR(VLOOKUP($A422,[1]FINAL!$A$1:$Z$1000,MATCH([1]FINAL!$V$1,[1]FINAL!$A$1:$Z$1,0),0),"")</f>
        <v>CHE</v>
      </c>
      <c r="E422" s="6">
        <f t="shared" si="30"/>
        <v>157460.31746031746</v>
      </c>
      <c r="F422" s="5">
        <f t="shared" si="31"/>
        <v>0.74285714285714288</v>
      </c>
      <c r="G422" s="5">
        <f>IFERROR(IF(H422&lt;&gt;"",H422,VLOOKUP($A422,[1]FINAL!$A$1:$BZ$1000,MATCH([1]FINAL!$BL$1,[1]FINAL!$A$1:$BZ$1,0),0)),0)</f>
        <v>0.74285714285714288</v>
      </c>
      <c r="I422" s="5">
        <f>IFERROR(IF(J422&lt;&gt;"",J422,(IF(VLOOKUP($A422,#REF!,MATCH(#REF!,#REF!,0),0)=0,G422,VLOOKUP($A422,#REF!,MATCH(#REF!,#REF!,0),0)))),G422)</f>
        <v>0.74285714285714288</v>
      </c>
      <c r="K422" s="6">
        <f>IFERROR(VLOOKUP($A422,#REF!,MATCH(#REF!,#REF!,0),0),0)</f>
        <v>0</v>
      </c>
      <c r="L422" s="6">
        <f>IFERROR(VLOOKUP($A422,[1]FINAL!$A$1:$BZ$1000,MATCH([1]FINAL!$BF$1,[1]FINAL!$A$1:$BZ$1,0),0),0)</f>
        <v>80</v>
      </c>
      <c r="M422" s="7">
        <f t="shared" si="32"/>
        <v>0.88888888888888884</v>
      </c>
      <c r="N422" s="6">
        <f>IFERROR(VLOOKUP($A422,#REF!,MATCH(#REF!,#REF!,0),0),0)</f>
        <v>0</v>
      </c>
      <c r="O422" s="7">
        <f t="shared" si="33"/>
        <v>0</v>
      </c>
      <c r="P422" s="10" t="str">
        <f>IFERROR(VLOOKUP($A422,[1]FINAL!$A$1:$BZ$1000,MATCH([1]FINAL!$BB$1,[1]FINAL!$A$1:$BZ$1,0),0),"")</f>
        <v/>
      </c>
      <c r="Q422" s="18">
        <f t="shared" si="34"/>
        <v>1</v>
      </c>
    </row>
    <row r="423" spans="1:17" x14ac:dyDescent="0.25">
      <c r="A423" s="14" t="str">
        <f>[1]FINAL!$A181</f>
        <v>Sepp van den Berg</v>
      </c>
      <c r="B423" s="20" t="str">
        <f>IFERROR(VLOOKUP($A423,[1]FINAL!$A$1:$Z$1000,MATCH([1]FINAL!$T$1,[1]FINAL!$A$1:$Z$1,0),0),"")</f>
        <v>DEF</v>
      </c>
      <c r="C423" s="3" t="str">
        <f>IFERROR(VLOOKUP($A423,[1]FINAL!$A$1:$Z$1000,MATCH([1]FINAL!$U$1,[1]FINAL!$A$1:$Z$1,0),0),"")</f>
        <v>CB</v>
      </c>
      <c r="D423" s="3" t="str">
        <f>IFERROR(VLOOKUP($A423,[1]FINAL!$A$1:$Z$1000,MATCH([1]FINAL!$V$1,[1]FINAL!$A$1:$Z$1,0),0),"")</f>
        <v>BRE</v>
      </c>
      <c r="E423" s="6">
        <f t="shared" si="30"/>
        <v>172162.16216216216</v>
      </c>
      <c r="F423" s="5">
        <f t="shared" si="31"/>
        <v>0.81081081081081086</v>
      </c>
      <c r="G423" s="5">
        <f>IFERROR(IF(H423&lt;&gt;"",H423,VLOOKUP($A423,[1]FINAL!$A$1:$BZ$1000,MATCH([1]FINAL!$BL$1,[1]FINAL!$A$1:$BZ$1,0),0)),0)</f>
        <v>0.81081081081081086</v>
      </c>
      <c r="I423" s="5">
        <f>IFERROR(IF(J423&lt;&gt;"",J423,(IF(VLOOKUP($A423,#REF!,MATCH(#REF!,#REF!,0),0)=0,G423,VLOOKUP($A423,#REF!,MATCH(#REF!,#REF!,0),0)))),G423)</f>
        <v>0.81081081081081086</v>
      </c>
      <c r="K423" s="6">
        <f>IFERROR(VLOOKUP($A423,#REF!,MATCH(#REF!,#REF!,0),0),0)</f>
        <v>0</v>
      </c>
      <c r="L423" s="6">
        <f>IFERROR(VLOOKUP($A423,[1]FINAL!$A$1:$BZ$1000,MATCH([1]FINAL!$BF$1,[1]FINAL!$A$1:$BZ$1,0),0),0)</f>
        <v>90</v>
      </c>
      <c r="M423" s="7">
        <f t="shared" si="32"/>
        <v>1</v>
      </c>
      <c r="N423" s="6">
        <f>IFERROR(VLOOKUP($A423,#REF!,MATCH(#REF!,#REF!,0),0),0)</f>
        <v>0</v>
      </c>
      <c r="O423" s="7">
        <f t="shared" si="33"/>
        <v>0</v>
      </c>
      <c r="P423" s="10" t="str">
        <f>IFERROR(VLOOKUP($A423,[1]FINAL!$A$1:$BZ$1000,MATCH([1]FINAL!$BB$1,[1]FINAL!$A$1:$BZ$1,0),0),"")</f>
        <v/>
      </c>
      <c r="Q423" s="18">
        <f t="shared" si="34"/>
        <v>1</v>
      </c>
    </row>
    <row r="424" spans="1:17" x14ac:dyDescent="0.25">
      <c r="A424" s="14" t="str">
        <f>[1]FINAL!$A189</f>
        <v>Jaidon Anthony</v>
      </c>
      <c r="B424" s="20" t="str">
        <f>IFERROR(VLOOKUP($A424,[1]FINAL!$A$1:$Z$1000,MATCH([1]FINAL!$T$1,[1]FINAL!$A$1:$Z$1,0),0),"")</f>
        <v>MID</v>
      </c>
      <c r="C424" s="3" t="str">
        <f>IFERROR(VLOOKUP($A424,[1]FINAL!$A$1:$Z$1000,MATCH([1]FINAL!$U$1,[1]FINAL!$A$1:$Z$1,0),0),"")</f>
        <v>LW</v>
      </c>
      <c r="D424" s="3" t="str">
        <f>IFERROR(VLOOKUP($A424,[1]FINAL!$A$1:$Z$1000,MATCH([1]FINAL!$V$1,[1]FINAL!$A$1:$Z$1,0),0),"")</f>
        <v>BRE</v>
      </c>
      <c r="E424" s="6">
        <f t="shared" si="30"/>
        <v>177532.16374269006</v>
      </c>
      <c r="F424" s="5">
        <f t="shared" si="31"/>
        <v>0.84210526315789469</v>
      </c>
      <c r="G424" s="5">
        <f>IFERROR(IF(H424&lt;&gt;"",H424,VLOOKUP($A424,[1]FINAL!$A$1:$BZ$1000,MATCH([1]FINAL!$BL$1,[1]FINAL!$A$1:$BZ$1,0),0)),0)</f>
        <v>0.84210526315789469</v>
      </c>
      <c r="I424" s="5">
        <f>IFERROR(IF(J424&lt;&gt;"",J424,(IF(VLOOKUP($A424,#REF!,MATCH(#REF!,#REF!,0),0)=0,G424,VLOOKUP($A424,#REF!,MATCH(#REF!,#REF!,0),0)))),G424)</f>
        <v>0.84210526315789469</v>
      </c>
      <c r="K424" s="6">
        <f>IFERROR(VLOOKUP($A424,#REF!,MATCH(#REF!,#REF!,0),0),0)</f>
        <v>0</v>
      </c>
      <c r="L424" s="6">
        <f>IFERROR(VLOOKUP($A424,[1]FINAL!$A$1:$BZ$1000,MATCH([1]FINAL!$BF$1,[1]FINAL!$A$1:$BZ$1,0),0),0)</f>
        <v>82</v>
      </c>
      <c r="M424" s="7">
        <f t="shared" si="32"/>
        <v>0.91111111111111109</v>
      </c>
      <c r="N424" s="6">
        <f>IFERROR(VLOOKUP($A424,#REF!,MATCH(#REF!,#REF!,0),0),0)</f>
        <v>0</v>
      </c>
      <c r="O424" s="7">
        <f t="shared" si="33"/>
        <v>0</v>
      </c>
      <c r="P424" s="10" t="str">
        <f>IFERROR(VLOOKUP($A424,[1]FINAL!$A$1:$BZ$1000,MATCH([1]FINAL!$BB$1,[1]FINAL!$A$1:$BZ$1,0),0),"")</f>
        <v/>
      </c>
      <c r="Q424" s="18">
        <f t="shared" si="34"/>
        <v>1</v>
      </c>
    </row>
    <row r="425" spans="1:17" x14ac:dyDescent="0.25">
      <c r="A425" s="14" t="str">
        <f>[1]FINAL!$A193</f>
        <v>Dominic Solanke-Mitchell</v>
      </c>
      <c r="B425" s="20" t="str">
        <f>IFERROR(VLOOKUP($A425,[1]FINAL!$A$1:$Z$1000,MATCH([1]FINAL!$T$1,[1]FINAL!$A$1:$Z$1,0),0),"")</f>
        <v>FWD</v>
      </c>
      <c r="C425" s="3" t="str">
        <f>IFERROR(VLOOKUP($A425,[1]FINAL!$A$1:$Z$1000,MATCH([1]FINAL!$U$1,[1]FINAL!$A$1:$Z$1,0),0),"")</f>
        <v>CF</v>
      </c>
      <c r="D425" s="3" t="str">
        <f>IFERROR(VLOOKUP($A425,[1]FINAL!$A$1:$Z$1000,MATCH([1]FINAL!$V$1,[1]FINAL!$A$1:$Z$1,0),0),"")</f>
        <v>TOT</v>
      </c>
      <c r="E425" s="6">
        <f t="shared" si="30"/>
        <v>146722.22222222222</v>
      </c>
      <c r="F425" s="5">
        <f t="shared" si="31"/>
        <v>0.6875</v>
      </c>
      <c r="G425" s="5">
        <f>IFERROR(IF(H425&lt;&gt;"",H425,VLOOKUP($A425,[1]FINAL!$A$1:$BZ$1000,MATCH([1]FINAL!$BL$1,[1]FINAL!$A$1:$BZ$1,0),0)),0)</f>
        <v>0.6875</v>
      </c>
      <c r="I425" s="5">
        <f>IFERROR(IF(J425&lt;&gt;"",J425,(IF(VLOOKUP($A425,#REF!,MATCH(#REF!,#REF!,0),0)=0,G425,VLOOKUP($A425,#REF!,MATCH(#REF!,#REF!,0),0)))),G425)</f>
        <v>0.6875</v>
      </c>
      <c r="K425" s="6">
        <f>IFERROR(VLOOKUP($A425,#REF!,MATCH(#REF!,#REF!,0),0),0)</f>
        <v>0</v>
      </c>
      <c r="L425" s="6">
        <f>IFERROR(VLOOKUP($A425,[1]FINAL!$A$1:$BZ$1000,MATCH([1]FINAL!$BF$1,[1]FINAL!$A$1:$BZ$1,0),0),0)</f>
        <v>83</v>
      </c>
      <c r="M425" s="7">
        <f t="shared" si="32"/>
        <v>0.92222222222222228</v>
      </c>
      <c r="N425" s="6">
        <f>IFERROR(VLOOKUP($A425,#REF!,MATCH(#REF!,#REF!,0),0),0)</f>
        <v>0</v>
      </c>
      <c r="O425" s="7">
        <f t="shared" si="33"/>
        <v>0</v>
      </c>
      <c r="P425" s="10" t="str">
        <f>IFERROR(VLOOKUP($A425,[1]FINAL!$A$1:$BZ$1000,MATCH([1]FINAL!$BB$1,[1]FINAL!$A$1:$BZ$1,0),0),"")</f>
        <v/>
      </c>
      <c r="Q425" s="18">
        <f t="shared" si="34"/>
        <v>1</v>
      </c>
    </row>
    <row r="426" spans="1:17" x14ac:dyDescent="0.25">
      <c r="A426" s="14" t="str">
        <f>[1]FINAL!$A198</f>
        <v>Igor Jesus Maciel da Cruz</v>
      </c>
      <c r="B426" s="20" t="str">
        <f>IFERROR(VLOOKUP($A426,[1]FINAL!$A$1:$Z$1000,MATCH([1]FINAL!$T$1,[1]FINAL!$A$1:$Z$1,0),0),"")</f>
        <v>FWD</v>
      </c>
      <c r="C426" s="3" t="str">
        <f>IFERROR(VLOOKUP($A426,[1]FINAL!$A$1:$Z$1000,MATCH([1]FINAL!$U$1,[1]FINAL!$A$1:$Z$1,0),0),"")</f>
        <v>CF</v>
      </c>
      <c r="D426" s="3" t="str">
        <f>IFERROR(VLOOKUP($A426,[1]FINAL!$A$1:$Z$1000,MATCH([1]FINAL!$V$1,[1]FINAL!$A$1:$Z$1,0),0),"")</f>
        <v>NFO</v>
      </c>
      <c r="E426" s="6">
        <f t="shared" si="30"/>
        <v>159573.57357357358</v>
      </c>
      <c r="F426" s="5">
        <f t="shared" si="31"/>
        <v>0.7567567567567568</v>
      </c>
      <c r="G426" s="5">
        <f>IFERROR(IF(H426&lt;&gt;"",H426,VLOOKUP($A426,[1]FINAL!$A$1:$BZ$1000,MATCH([1]FINAL!$BL$1,[1]FINAL!$A$1:$BZ$1,0),0)),0)</f>
        <v>0.7567567567567568</v>
      </c>
      <c r="I426" s="5">
        <f>IFERROR(IF(J426&lt;&gt;"",J426,(IF(VLOOKUP($A426,#REF!,MATCH(#REF!,#REF!,0),0)=0,G426,VLOOKUP($A426,#REF!,MATCH(#REF!,#REF!,0),0)))),G426)</f>
        <v>0.7567567567567568</v>
      </c>
      <c r="K426" s="6">
        <f>IFERROR(VLOOKUP($A426,#REF!,MATCH(#REF!,#REF!,0),0),0)</f>
        <v>0</v>
      </c>
      <c r="L426" s="6">
        <f>IFERROR(VLOOKUP($A426,[1]FINAL!$A$1:$BZ$1000,MATCH([1]FINAL!$BF$1,[1]FINAL!$A$1:$BZ$1,0),0),0)</f>
        <v>74</v>
      </c>
      <c r="M426" s="7">
        <f t="shared" si="32"/>
        <v>0.82222222222222219</v>
      </c>
      <c r="N426" s="6">
        <f>IFERROR(VLOOKUP($A426,#REF!,MATCH(#REF!,#REF!,0),0),0)</f>
        <v>0</v>
      </c>
      <c r="O426" s="7">
        <f t="shared" si="33"/>
        <v>0</v>
      </c>
      <c r="P426" s="10" t="str">
        <f>IFERROR(VLOOKUP($A426,[1]FINAL!$A$1:$BZ$1000,MATCH([1]FINAL!$BB$1,[1]FINAL!$A$1:$BZ$1,0),0),"")</f>
        <v/>
      </c>
      <c r="Q426" s="18">
        <f t="shared" si="34"/>
        <v>1</v>
      </c>
    </row>
    <row r="427" spans="1:17" x14ac:dyDescent="0.25">
      <c r="A427" s="14" t="str">
        <f>[1]FINAL!$A202</f>
        <v>Pascal Struijk</v>
      </c>
      <c r="B427" s="20" t="str">
        <f>IFERROR(VLOOKUP($A427,[1]FINAL!$A$1:$Z$1000,MATCH([1]FINAL!$T$1,[1]FINAL!$A$1:$Z$1,0),0),"")</f>
        <v>DEF</v>
      </c>
      <c r="C427" s="3" t="str">
        <f>IFERROR(VLOOKUP($A427,[1]FINAL!$A$1:$Z$1000,MATCH([1]FINAL!$U$1,[1]FINAL!$A$1:$Z$1,0),0),"")</f>
        <v>CB</v>
      </c>
      <c r="D427" s="3" t="str">
        <f>IFERROR(VLOOKUP($A427,[1]FINAL!$A$1:$Z$1000,MATCH([1]FINAL!$V$1,[1]FINAL!$A$1:$Z$1,0),0),"")</f>
        <v>BHA</v>
      </c>
      <c r="E427" s="6">
        <f t="shared" si="30"/>
        <v>193222.22222222219</v>
      </c>
      <c r="F427" s="5">
        <f t="shared" si="31"/>
        <v>0.91666666666666663</v>
      </c>
      <c r="G427" s="5">
        <f>IFERROR(IF(H427&lt;&gt;"",H427,VLOOKUP($A427,[1]FINAL!$A$1:$BZ$1000,MATCH([1]FINAL!$BL$1,[1]FINAL!$A$1:$BZ$1,0),0)),0)</f>
        <v>0.91666666666666663</v>
      </c>
      <c r="I427" s="5">
        <f>IFERROR(IF(J427&lt;&gt;"",J427,(IF(VLOOKUP($A427,#REF!,MATCH(#REF!,#REF!,0),0)=0,G427,VLOOKUP($A427,#REF!,MATCH(#REF!,#REF!,0),0)))),G427)</f>
        <v>0.91666666666666663</v>
      </c>
      <c r="K427" s="6">
        <f>IFERROR(VLOOKUP($A427,#REF!,MATCH(#REF!,#REF!,0),0),0)</f>
        <v>0</v>
      </c>
      <c r="L427" s="6">
        <f>IFERROR(VLOOKUP($A427,[1]FINAL!$A$1:$BZ$1000,MATCH([1]FINAL!$BF$1,[1]FINAL!$A$1:$BZ$1,0),0),0)</f>
        <v>89</v>
      </c>
      <c r="M427" s="7">
        <f t="shared" si="32"/>
        <v>0.98888888888888893</v>
      </c>
      <c r="N427" s="6">
        <f>IFERROR(VLOOKUP($A427,#REF!,MATCH(#REF!,#REF!,0),0),0)</f>
        <v>0</v>
      </c>
      <c r="O427" s="7">
        <f t="shared" si="33"/>
        <v>0</v>
      </c>
      <c r="P427" s="10" t="str">
        <f>IFERROR(VLOOKUP($A427,[1]FINAL!$A$1:$BZ$1000,MATCH([1]FINAL!$BB$1,[1]FINAL!$A$1:$BZ$1,0),0),"")</f>
        <v/>
      </c>
      <c r="Q427" s="18">
        <f t="shared" si="34"/>
        <v>1</v>
      </c>
    </row>
    <row r="428" spans="1:17" x14ac:dyDescent="0.25">
      <c r="A428" s="14" t="str">
        <f>[1]FINAL!$A203</f>
        <v>Chemsdine Talbi</v>
      </c>
      <c r="B428" s="20" t="str">
        <f>IFERROR(VLOOKUP($A428,[1]FINAL!$A$1:$Z$1000,MATCH([1]FINAL!$T$1,[1]FINAL!$A$1:$Z$1,0),0),"")</f>
        <v>MID</v>
      </c>
      <c r="C428" s="3" t="str">
        <f>IFERROR(VLOOKUP($A428,[1]FINAL!$A$1:$Z$1000,MATCH([1]FINAL!$U$1,[1]FINAL!$A$1:$Z$1,0),0),"")</f>
        <v>RW</v>
      </c>
      <c r="D428" s="3" t="str">
        <f>IFERROR(VLOOKUP($A428,[1]FINAL!$A$1:$Z$1000,MATCH([1]FINAL!$V$1,[1]FINAL!$A$1:$Z$1,0),0),"")</f>
        <v>SUN</v>
      </c>
      <c r="E428" s="6">
        <f t="shared" si="30"/>
        <v>111892.47311827957</v>
      </c>
      <c r="F428" s="5">
        <f t="shared" si="31"/>
        <v>0.5161290322580645</v>
      </c>
      <c r="G428" s="5">
        <f>IFERROR(IF(H428&lt;&gt;"",H428,VLOOKUP($A428,[1]FINAL!$A$1:$BZ$1000,MATCH([1]FINAL!$BL$1,[1]FINAL!$A$1:$BZ$1,0),0)),0)</f>
        <v>0.5161290322580645</v>
      </c>
      <c r="I428" s="5">
        <f>IFERROR(IF(J428&lt;&gt;"",J428,(IF(VLOOKUP($A428,#REF!,MATCH(#REF!,#REF!,0),0)=0,G428,VLOOKUP($A428,#REF!,MATCH(#REF!,#REF!,0),0)))),G428)</f>
        <v>0.5161290322580645</v>
      </c>
      <c r="K428" s="6">
        <f>IFERROR(VLOOKUP($A428,#REF!,MATCH(#REF!,#REF!,0),0),0)</f>
        <v>0</v>
      </c>
      <c r="L428" s="6">
        <f>IFERROR(VLOOKUP($A428,[1]FINAL!$A$1:$BZ$1000,MATCH([1]FINAL!$BF$1,[1]FINAL!$A$1:$BZ$1,0),0),0)</f>
        <v>78</v>
      </c>
      <c r="M428" s="7">
        <f t="shared" si="32"/>
        <v>0.8666666666666667</v>
      </c>
      <c r="N428" s="6">
        <f>IFERROR(VLOOKUP($A428,#REF!,MATCH(#REF!,#REF!,0),0),0)</f>
        <v>0</v>
      </c>
      <c r="O428" s="7">
        <f t="shared" si="33"/>
        <v>0</v>
      </c>
      <c r="P428" s="10" t="str">
        <f>IFERROR(VLOOKUP($A428,[1]FINAL!$A$1:$BZ$1000,MATCH([1]FINAL!$BB$1,[1]FINAL!$A$1:$BZ$1,0),0),"")</f>
        <v/>
      </c>
      <c r="Q428" s="18">
        <f t="shared" si="34"/>
        <v>1</v>
      </c>
    </row>
    <row r="429" spans="1:17" x14ac:dyDescent="0.25">
      <c r="A429" s="14" t="str">
        <f>[1]FINAL!$A204</f>
        <v>Oscar Bobb</v>
      </c>
      <c r="B429" s="20" t="str">
        <f>IFERROR(VLOOKUP($A429,[1]FINAL!$A$1:$Z$1000,MATCH([1]FINAL!$T$1,[1]FINAL!$A$1:$Z$1,0),0),"")</f>
        <v>MID</v>
      </c>
      <c r="C429" s="3" t="str">
        <f>IFERROR(VLOOKUP($A429,[1]FINAL!$A$1:$Z$1000,MATCH([1]FINAL!$U$1,[1]FINAL!$A$1:$Z$1,0),0),"")</f>
        <v>RW</v>
      </c>
      <c r="D429" s="3" t="str">
        <f>IFERROR(VLOOKUP($A429,[1]FINAL!$A$1:$Z$1000,MATCH([1]FINAL!$V$1,[1]FINAL!$A$1:$Z$1,0),0),"")</f>
        <v>FUL</v>
      </c>
      <c r="E429" s="6">
        <f t="shared" si="30"/>
        <v>92825.39682539682</v>
      </c>
      <c r="F429" s="5">
        <f t="shared" si="31"/>
        <v>0.42857142857142855</v>
      </c>
      <c r="G429" s="5">
        <f>IFERROR(IF(H429&lt;&gt;"",H429,VLOOKUP($A429,[1]FINAL!$A$1:$BZ$1000,MATCH([1]FINAL!$BL$1,[1]FINAL!$A$1:$BZ$1,0),0)),0)</f>
        <v>0.42857142857142855</v>
      </c>
      <c r="I429" s="5">
        <f>IFERROR(IF(J429&lt;&gt;"",J429,(IF(VLOOKUP($A429,#REF!,MATCH(#REF!,#REF!,0),0)=0,G429,VLOOKUP($A429,#REF!,MATCH(#REF!,#REF!,0),0)))),G429)</f>
        <v>0.42857142857142855</v>
      </c>
      <c r="K429" s="6">
        <f>IFERROR(VLOOKUP($A429,#REF!,MATCH(#REF!,#REF!,0),0),0)</f>
        <v>0</v>
      </c>
      <c r="L429" s="6">
        <f>IFERROR(VLOOKUP($A429,[1]FINAL!$A$1:$BZ$1000,MATCH([1]FINAL!$BF$1,[1]FINAL!$A$1:$BZ$1,0),0),0)</f>
        <v>64</v>
      </c>
      <c r="M429" s="7">
        <f t="shared" si="32"/>
        <v>0.71111111111111114</v>
      </c>
      <c r="N429" s="6">
        <f>IFERROR(VLOOKUP($A429,#REF!,MATCH(#REF!,#REF!,0),0),0)</f>
        <v>0</v>
      </c>
      <c r="O429" s="7">
        <f t="shared" si="33"/>
        <v>0</v>
      </c>
      <c r="P429" s="10" t="str">
        <f>IFERROR(VLOOKUP($A429,[1]FINAL!$A$1:$BZ$1000,MATCH([1]FINAL!$BB$1,[1]FINAL!$A$1:$BZ$1,0),0),"")</f>
        <v/>
      </c>
      <c r="Q429" s="18">
        <f t="shared" si="34"/>
        <v>1</v>
      </c>
    </row>
    <row r="430" spans="1:17" x14ac:dyDescent="0.25">
      <c r="A430" s="14" t="str">
        <f>[1]FINAL!$A208</f>
        <v>Marco Bizot</v>
      </c>
      <c r="B430" s="20" t="str">
        <f>IFERROR(VLOOKUP($A430,[1]FINAL!$A$1:$Z$1000,MATCH([1]FINAL!$T$1,[1]FINAL!$A$1:$Z$1,0),0),"")</f>
        <v>GK</v>
      </c>
      <c r="C430" s="3" t="str">
        <f>IFERROR(VLOOKUP($A430,[1]FINAL!$A$1:$Z$1000,MATCH([1]FINAL!$U$1,[1]FINAL!$A$1:$Z$1,0),0),"")</f>
        <v>GK</v>
      </c>
      <c r="D430" s="3" t="str">
        <f>IFERROR(VLOOKUP($A430,[1]FINAL!$A$1:$Z$1000,MATCH([1]FINAL!$V$1,[1]FINAL!$A$1:$Z$1,0),0),"")</f>
        <v>AVL</v>
      </c>
      <c r="E430" s="6">
        <f t="shared" si="30"/>
        <v>42432.432432432433</v>
      </c>
      <c r="F430" s="5">
        <f t="shared" si="31"/>
        <v>0.16216216216216217</v>
      </c>
      <c r="G430" s="5">
        <f>IFERROR(IF(H430&lt;&gt;"",H430,VLOOKUP($A430,[1]FINAL!$A$1:$BZ$1000,MATCH([1]FINAL!$BL$1,[1]FINAL!$A$1:$BZ$1,0),0)),0)</f>
        <v>0.16216216216216217</v>
      </c>
      <c r="I430" s="5">
        <f>IFERROR(IF(J430&lt;&gt;"",J430,(IF(VLOOKUP($A430,#REF!,MATCH(#REF!,#REF!,0),0)=0,G430,VLOOKUP($A430,#REF!,MATCH(#REF!,#REF!,0),0)))),G430)</f>
        <v>0.16216216216216217</v>
      </c>
      <c r="K430" s="6">
        <f>IFERROR(VLOOKUP($A430,#REF!,MATCH(#REF!,#REF!,0),0),0)</f>
        <v>0</v>
      </c>
      <c r="L430" s="6">
        <f>IFERROR(VLOOKUP($A430,[1]FINAL!$A$1:$BZ$1000,MATCH([1]FINAL!$BF$1,[1]FINAL!$A$1:$BZ$1,0),0),0)</f>
        <v>90</v>
      </c>
      <c r="M430" s="7">
        <f t="shared" si="32"/>
        <v>1</v>
      </c>
      <c r="N430" s="6">
        <f>IFERROR(VLOOKUP($A430,#REF!,MATCH(#REF!,#REF!,0),0),0)</f>
        <v>0</v>
      </c>
      <c r="O430" s="7">
        <f t="shared" si="33"/>
        <v>0</v>
      </c>
      <c r="P430" s="10" t="str">
        <f>IFERROR(VLOOKUP($A430,[1]FINAL!$A$1:$BZ$1000,MATCH([1]FINAL!$BB$1,[1]FINAL!$A$1:$BZ$1,0),0),"")</f>
        <v/>
      </c>
      <c r="Q430" s="18">
        <f t="shared" si="34"/>
        <v>1</v>
      </c>
    </row>
    <row r="431" spans="1:17" x14ac:dyDescent="0.25">
      <c r="A431" s="14" t="str">
        <f>[1]FINAL!$A209</f>
        <v>Ryan Sessegnon</v>
      </c>
      <c r="B431" s="20" t="str">
        <f>IFERROR(VLOOKUP($A431,[1]FINAL!$A$1:$Z$1000,MATCH([1]FINAL!$T$1,[1]FINAL!$A$1:$Z$1,0),0),"")</f>
        <v>DEF</v>
      </c>
      <c r="C431" s="3" t="str">
        <f>IFERROR(VLOOKUP($A431,[1]FINAL!$A$1:$Z$1000,MATCH([1]FINAL!$U$1,[1]FINAL!$A$1:$Z$1,0),0),"")</f>
        <v>LB</v>
      </c>
      <c r="D431" s="3" t="str">
        <f>IFERROR(VLOOKUP($A431,[1]FINAL!$A$1:$Z$1000,MATCH([1]FINAL!$V$1,[1]FINAL!$A$1:$Z$1,0),0),"")</f>
        <v>FUL</v>
      </c>
      <c r="E431" s="6">
        <f t="shared" si="30"/>
        <v>152301.58730158731</v>
      </c>
      <c r="F431" s="5">
        <f t="shared" si="31"/>
        <v>0.7142857142857143</v>
      </c>
      <c r="G431" s="5">
        <f>IFERROR(IF(H431&lt;&gt;"",H431,VLOOKUP($A431,[1]FINAL!$A$1:$BZ$1000,MATCH([1]FINAL!$BL$1,[1]FINAL!$A$1:$BZ$1,0),0)),0)</f>
        <v>0.7142857142857143</v>
      </c>
      <c r="I431" s="5">
        <f>IFERROR(IF(J431&lt;&gt;"",J431,(IF(VLOOKUP($A431,#REF!,MATCH(#REF!,#REF!,0),0)=0,G431,VLOOKUP($A431,#REF!,MATCH(#REF!,#REF!,0),0)))),G431)</f>
        <v>0.7142857142857143</v>
      </c>
      <c r="K431" s="6">
        <f>IFERROR(VLOOKUP($A431,#REF!,MATCH(#REF!,#REF!,0),0),0)</f>
        <v>0</v>
      </c>
      <c r="L431" s="6">
        <f>IFERROR(VLOOKUP($A431,[1]FINAL!$A$1:$BZ$1000,MATCH([1]FINAL!$BF$1,[1]FINAL!$A$1:$BZ$1,0),0),0)</f>
        <v>85</v>
      </c>
      <c r="M431" s="7">
        <f t="shared" si="32"/>
        <v>0.94444444444444442</v>
      </c>
      <c r="N431" s="6">
        <f>IFERROR(VLOOKUP($A431,#REF!,MATCH(#REF!,#REF!,0),0),0)</f>
        <v>0</v>
      </c>
      <c r="O431" s="7">
        <f t="shared" si="33"/>
        <v>0</v>
      </c>
      <c r="P431" s="10" t="str">
        <f>IFERROR(VLOOKUP($A431,[1]FINAL!$A$1:$BZ$1000,MATCH([1]FINAL!$BB$1,[1]FINAL!$A$1:$BZ$1,0),0),"")</f>
        <v/>
      </c>
      <c r="Q431" s="18">
        <f t="shared" si="34"/>
        <v>1</v>
      </c>
    </row>
    <row r="432" spans="1:17" x14ac:dyDescent="0.25">
      <c r="A432" s="14" t="str">
        <f>[1]FINAL!$A212</f>
        <v>Lisandro Martínez</v>
      </c>
      <c r="B432" s="20" t="str">
        <f>IFERROR(VLOOKUP($A432,[1]FINAL!$A$1:$Z$1000,MATCH([1]FINAL!$T$1,[1]FINAL!$A$1:$Z$1,0),0),"")</f>
        <v>DEF</v>
      </c>
      <c r="C432" s="3" t="str">
        <f>IFERROR(VLOOKUP($A432,[1]FINAL!$A$1:$Z$1000,MATCH([1]FINAL!$U$1,[1]FINAL!$A$1:$Z$1,0),0),"")</f>
        <v>CB</v>
      </c>
      <c r="D432" s="3" t="str">
        <f>IFERROR(VLOOKUP($A432,[1]FINAL!$A$1:$Z$1000,MATCH([1]FINAL!$V$1,[1]FINAL!$A$1:$Z$1,0),0),"")</f>
        <v>MUN</v>
      </c>
      <c r="E432" s="6">
        <f t="shared" si="30"/>
        <v>146508.77192982455</v>
      </c>
      <c r="F432" s="5">
        <f t="shared" si="31"/>
        <v>0.68421052631578949</v>
      </c>
      <c r="G432" s="5">
        <f>IFERROR(IF(H432&lt;&gt;"",H432,VLOOKUP($A432,[1]FINAL!$A$1:$BZ$1000,MATCH([1]FINAL!$BL$1,[1]FINAL!$A$1:$BZ$1,0),0)),0)</f>
        <v>0.68421052631578949</v>
      </c>
      <c r="I432" s="5">
        <f>IFERROR(IF(J432&lt;&gt;"",J432,(IF(VLOOKUP($A432,#REF!,MATCH(#REF!,#REF!,0),0)=0,G432,VLOOKUP($A432,#REF!,MATCH(#REF!,#REF!,0),0)))),G432)</f>
        <v>0.68421052631578949</v>
      </c>
      <c r="K432" s="6">
        <f>IFERROR(VLOOKUP($A432,#REF!,MATCH(#REF!,#REF!,0),0),0)</f>
        <v>0</v>
      </c>
      <c r="L432" s="6">
        <f>IFERROR(VLOOKUP($A432,[1]FINAL!$A$1:$BZ$1000,MATCH([1]FINAL!$BF$1,[1]FINAL!$A$1:$BZ$1,0),0),0)</f>
        <v>87</v>
      </c>
      <c r="M432" s="7">
        <f t="shared" si="32"/>
        <v>0.96666666666666667</v>
      </c>
      <c r="N432" s="6">
        <f>IFERROR(VLOOKUP($A432,#REF!,MATCH(#REF!,#REF!,0),0),0)</f>
        <v>0</v>
      </c>
      <c r="O432" s="7">
        <f t="shared" si="33"/>
        <v>0</v>
      </c>
      <c r="P432" s="10" t="str">
        <f>IFERROR(VLOOKUP($A432,[1]FINAL!$A$1:$BZ$1000,MATCH([1]FINAL!$BB$1,[1]FINAL!$A$1:$BZ$1,0),0),"")</f>
        <v/>
      </c>
      <c r="Q432" s="18">
        <f t="shared" si="34"/>
        <v>1</v>
      </c>
    </row>
    <row r="433" spans="1:17" x14ac:dyDescent="0.25">
      <c r="A433" s="14" t="str">
        <f>[1]FINAL!$A213</f>
        <v>Joël Piroe</v>
      </c>
      <c r="B433" s="20" t="str">
        <f>IFERROR(VLOOKUP($A433,[1]FINAL!$A$1:$Z$1000,MATCH([1]FINAL!$T$1,[1]FINAL!$A$1:$Z$1,0),0),"")</f>
        <v>FWD</v>
      </c>
      <c r="C433" s="3" t="str">
        <f>IFERROR(VLOOKUP($A433,[1]FINAL!$A$1:$Z$1000,MATCH([1]FINAL!$U$1,[1]FINAL!$A$1:$Z$1,0),0),"")</f>
        <v>CF</v>
      </c>
      <c r="D433" s="3" t="str">
        <f>IFERROR(VLOOKUP($A433,[1]FINAL!$A$1:$Z$1000,MATCH([1]FINAL!$V$1,[1]FINAL!$A$1:$Z$1,0),0),"")</f>
        <v>LEE</v>
      </c>
      <c r="E433" s="6">
        <f t="shared" si="30"/>
        <v>18255.255255255255</v>
      </c>
      <c r="F433" s="5">
        <f t="shared" si="31"/>
        <v>5.4054054054054057E-2</v>
      </c>
      <c r="G433" s="5">
        <f>IFERROR(IF(H433&lt;&gt;"",H433,VLOOKUP($A433,[1]FINAL!$A$1:$BZ$1000,MATCH([1]FINAL!$BL$1,[1]FINAL!$A$1:$BZ$1,0),0)),0)</f>
        <v>5.4054054054054057E-2</v>
      </c>
      <c r="I433" s="5">
        <f>IFERROR(IF(J433&lt;&gt;"",J433,(IF(VLOOKUP($A433,#REF!,MATCH(#REF!,#REF!,0),0)=0,G433,VLOOKUP($A433,#REF!,MATCH(#REF!,#REF!,0),0)))),G433)</f>
        <v>5.4054054054054057E-2</v>
      </c>
      <c r="K433" s="6">
        <f>IFERROR(VLOOKUP($A433,#REF!,MATCH(#REF!,#REF!,0),0),0)</f>
        <v>0</v>
      </c>
      <c r="L433" s="6">
        <f>IFERROR(VLOOKUP($A433,[1]FINAL!$A$1:$BZ$1000,MATCH([1]FINAL!$BF$1,[1]FINAL!$A$1:$BZ$1,0),0),0)</f>
        <v>67</v>
      </c>
      <c r="M433" s="7">
        <f t="shared" si="32"/>
        <v>0.74444444444444446</v>
      </c>
      <c r="N433" s="6">
        <f>IFERROR(VLOOKUP($A433,#REF!,MATCH(#REF!,#REF!,0),0),0)</f>
        <v>0</v>
      </c>
      <c r="O433" s="7">
        <f t="shared" si="33"/>
        <v>0</v>
      </c>
      <c r="P433" s="10" t="str">
        <f>IFERROR(VLOOKUP($A433,[1]FINAL!$A$1:$BZ$1000,MATCH([1]FINAL!$BB$1,[1]FINAL!$A$1:$BZ$1,0),0),"")</f>
        <v/>
      </c>
      <c r="Q433" s="18">
        <f t="shared" si="34"/>
        <v>1</v>
      </c>
    </row>
    <row r="434" spans="1:17" x14ac:dyDescent="0.25">
      <c r="A434" s="14" t="str">
        <f>[1]FINAL!$A214</f>
        <v>Lewis Hall</v>
      </c>
      <c r="B434" s="20" t="str">
        <f>IFERROR(VLOOKUP($A434,[1]FINAL!$A$1:$Z$1000,MATCH([1]FINAL!$T$1,[1]FINAL!$A$1:$Z$1,0),0),"")</f>
        <v>DEF</v>
      </c>
      <c r="C434" s="3" t="str">
        <f>IFERROR(VLOOKUP($A434,[1]FINAL!$A$1:$Z$1000,MATCH([1]FINAL!$U$1,[1]FINAL!$A$1:$Z$1,0),0),"")</f>
        <v>LB</v>
      </c>
      <c r="D434" s="3" t="str">
        <f>IFERROR(VLOOKUP($A434,[1]FINAL!$A$1:$Z$1000,MATCH([1]FINAL!$V$1,[1]FINAL!$A$1:$Z$1,0),0),"")</f>
        <v>NEW</v>
      </c>
      <c r="E434" s="6">
        <f t="shared" si="30"/>
        <v>150732.02614379086</v>
      </c>
      <c r="F434" s="5">
        <f t="shared" si="31"/>
        <v>0.70588235294117652</v>
      </c>
      <c r="G434" s="5">
        <f>IFERROR(IF(H434&lt;&gt;"",H434,VLOOKUP($A434,[1]FINAL!$A$1:$BZ$1000,MATCH([1]FINAL!$BL$1,[1]FINAL!$A$1:$BZ$1,0),0)),0)</f>
        <v>0.70588235294117652</v>
      </c>
      <c r="I434" s="5">
        <f>IFERROR(IF(J434&lt;&gt;"",J434,(IF(VLOOKUP($A434,#REF!,MATCH(#REF!,#REF!,0),0)=0,G434,VLOOKUP($A434,#REF!,MATCH(#REF!,#REF!,0),0)))),G434)</f>
        <v>0.70588235294117652</v>
      </c>
      <c r="K434" s="6">
        <f>IFERROR(VLOOKUP($A434,#REF!,MATCH(#REF!,#REF!,0),0),0)</f>
        <v>0</v>
      </c>
      <c r="L434" s="6">
        <f>IFERROR(VLOOKUP($A434,[1]FINAL!$A$1:$BZ$1000,MATCH([1]FINAL!$BF$1,[1]FINAL!$A$1:$BZ$1,0),0),0)</f>
        <v>86</v>
      </c>
      <c r="M434" s="7">
        <f t="shared" si="32"/>
        <v>0.9555555555555556</v>
      </c>
      <c r="N434" s="6">
        <f>IFERROR(VLOOKUP($A434,#REF!,MATCH(#REF!,#REF!,0),0),0)</f>
        <v>0</v>
      </c>
      <c r="O434" s="7">
        <f t="shared" si="33"/>
        <v>0</v>
      </c>
      <c r="P434" s="10" t="str">
        <f>IFERROR(VLOOKUP($A434,[1]FINAL!$A$1:$BZ$1000,MATCH([1]FINAL!$BB$1,[1]FINAL!$A$1:$BZ$1,0),0),"")</f>
        <v/>
      </c>
      <c r="Q434" s="18">
        <f t="shared" si="34"/>
        <v>1</v>
      </c>
    </row>
    <row r="435" spans="1:17" x14ac:dyDescent="0.25">
      <c r="A435" s="14" t="str">
        <f>[1]FINAL!$A287</f>
        <v>Sandro Tonali</v>
      </c>
      <c r="B435" s="20" t="str">
        <f>IFERROR(VLOOKUP($A435,[1]FINAL!$A$1:$Z$1000,MATCH([1]FINAL!$T$1,[1]FINAL!$A$1:$Z$1,0),0),"")</f>
        <v>MID</v>
      </c>
      <c r="C435" s="3" t="str">
        <f>IFERROR(VLOOKUP($A435,[1]FINAL!$A$1:$Z$1000,MATCH([1]FINAL!$U$1,[1]FINAL!$A$1:$Z$1,0),0),"")</f>
        <v>DM</v>
      </c>
      <c r="D435" s="3" t="str">
        <f>IFERROR(VLOOKUP($A435,[1]FINAL!$A$1:$Z$1000,MATCH([1]FINAL!$V$1,[1]FINAL!$A$1:$Z$1,0),0),"")</f>
        <v>TOT</v>
      </c>
      <c r="E435" s="6">
        <f t="shared" si="30"/>
        <v>186031.74603174601</v>
      </c>
      <c r="F435" s="5">
        <f t="shared" si="31"/>
        <v>0.88571428571428568</v>
      </c>
      <c r="G435" s="5">
        <f>IFERROR(IF(H435&lt;&gt;"",H435,VLOOKUP($A435,[1]FINAL!$A$1:$BZ$1000,MATCH([1]FINAL!$BL$1,[1]FINAL!$A$1:$BZ$1,0),0)),0)</f>
        <v>0.88571428571428568</v>
      </c>
      <c r="I435" s="5">
        <f>IFERROR(IF(J435&lt;&gt;"",J435,(IF(VLOOKUP($A435,#REF!,MATCH(#REF!,#REF!,0),0)=0,G435,VLOOKUP($A435,#REF!,MATCH(#REF!,#REF!,0),0)))),G435)</f>
        <v>0.88571428571428568</v>
      </c>
      <c r="K435" s="6">
        <f>IFERROR(VLOOKUP($A435,#REF!,MATCH(#REF!,#REF!,0),0),0)</f>
        <v>0</v>
      </c>
      <c r="L435" s="6">
        <f>IFERROR(VLOOKUP($A435,[1]FINAL!$A$1:$BZ$1000,MATCH([1]FINAL!$BF$1,[1]FINAL!$A$1:$BZ$1,0),0),0)</f>
        <v>80</v>
      </c>
      <c r="M435" s="7">
        <f t="shared" si="32"/>
        <v>0.88888888888888884</v>
      </c>
      <c r="N435" s="6">
        <f>IFERROR(VLOOKUP($A435,#REF!,MATCH(#REF!,#REF!,0),0),0)</f>
        <v>0</v>
      </c>
      <c r="O435" s="7">
        <f t="shared" si="33"/>
        <v>0</v>
      </c>
      <c r="P435" s="10" t="str">
        <f>IFERROR(VLOOKUP($A435,[1]FINAL!$A$1:$BZ$1000,MATCH([1]FINAL!$BB$1,[1]FINAL!$A$1:$BZ$1,0),0),"")</f>
        <v/>
      </c>
      <c r="Q435" s="18">
        <f t="shared" si="34"/>
        <v>1</v>
      </c>
    </row>
    <row r="436" spans="1:17" x14ac:dyDescent="0.25">
      <c r="A436" s="14" t="str">
        <f>[1]FINAL!$A289</f>
        <v>Joe Rodon</v>
      </c>
      <c r="B436" s="20" t="str">
        <f>IFERROR(VLOOKUP($A436,[1]FINAL!$A$1:$Z$1000,MATCH([1]FINAL!$T$1,[1]FINAL!$A$1:$Z$1,0),0),"")</f>
        <v>DEF</v>
      </c>
      <c r="C436" s="3" t="str">
        <f>IFERROR(VLOOKUP($A436,[1]FINAL!$A$1:$Z$1000,MATCH([1]FINAL!$U$1,[1]FINAL!$A$1:$Z$1,0),0),"")</f>
        <v>CB</v>
      </c>
      <c r="D436" s="3" t="str">
        <f>IFERROR(VLOOKUP($A436,[1]FINAL!$A$1:$Z$1000,MATCH([1]FINAL!$V$1,[1]FINAL!$A$1:$Z$1,0),0),"")</f>
        <v>LEE</v>
      </c>
      <c r="E436" s="6">
        <f t="shared" si="30"/>
        <v>198349.20634920636</v>
      </c>
      <c r="F436" s="5">
        <f t="shared" si="31"/>
        <v>0.94285714285714284</v>
      </c>
      <c r="G436" s="5">
        <f>IFERROR(IF(H436&lt;&gt;"",H436,VLOOKUP($A436,[1]FINAL!$A$1:$BZ$1000,MATCH([1]FINAL!$BL$1,[1]FINAL!$A$1:$BZ$1,0),0)),0)</f>
        <v>0.94285714285714284</v>
      </c>
      <c r="I436" s="5">
        <f>IFERROR(IF(J436&lt;&gt;"",J436,(IF(VLOOKUP($A436,#REF!,MATCH(#REF!,#REF!,0),0)=0,G436,VLOOKUP($A436,#REF!,MATCH(#REF!,#REF!,0),0)))),G436)</f>
        <v>0.94285714285714284</v>
      </c>
      <c r="K436" s="6">
        <f>IFERROR(VLOOKUP($A436,#REF!,MATCH(#REF!,#REF!,0),0),0)</f>
        <v>0</v>
      </c>
      <c r="L436" s="6">
        <f>IFERROR(VLOOKUP($A436,[1]FINAL!$A$1:$BZ$1000,MATCH([1]FINAL!$BF$1,[1]FINAL!$A$1:$BZ$1,0),0),0)</f>
        <v>88</v>
      </c>
      <c r="M436" s="7">
        <f t="shared" si="32"/>
        <v>0.97777777777777775</v>
      </c>
      <c r="N436" s="6">
        <f>IFERROR(VLOOKUP($A436,#REF!,MATCH(#REF!,#REF!,0),0),0)</f>
        <v>0</v>
      </c>
      <c r="O436" s="7">
        <f t="shared" si="33"/>
        <v>0</v>
      </c>
      <c r="P436" s="10" t="str">
        <f>IFERROR(VLOOKUP($A436,[1]FINAL!$A$1:$BZ$1000,MATCH([1]FINAL!$BB$1,[1]FINAL!$A$1:$BZ$1,0),0),"")</f>
        <v/>
      </c>
      <c r="Q436" s="18">
        <f t="shared" si="34"/>
        <v>1</v>
      </c>
    </row>
    <row r="437" spans="1:17" x14ac:dyDescent="0.25">
      <c r="A437" s="14" t="str">
        <f>[1]FINAL!$A290</f>
        <v>Lewis Dunk</v>
      </c>
      <c r="B437" s="20" t="str">
        <f>IFERROR(VLOOKUP($A437,[1]FINAL!$A$1:$Z$1000,MATCH([1]FINAL!$T$1,[1]FINAL!$A$1:$Z$1,0),0),"")</f>
        <v>DEF</v>
      </c>
      <c r="C437" s="3" t="str">
        <f>IFERROR(VLOOKUP($A437,[1]FINAL!$A$1:$Z$1000,MATCH([1]FINAL!$U$1,[1]FINAL!$A$1:$Z$1,0),0),"")</f>
        <v>CB</v>
      </c>
      <c r="D437" s="3" t="str">
        <f>IFERROR(VLOOKUP($A437,[1]FINAL!$A$1:$Z$1000,MATCH([1]FINAL!$V$1,[1]FINAL!$A$1:$Z$1,0),0),"")</f>
        <v>BHA</v>
      </c>
      <c r="E437" s="6">
        <f t="shared" si="30"/>
        <v>192352.94117647057</v>
      </c>
      <c r="F437" s="5">
        <f t="shared" si="31"/>
        <v>0.91176470588235292</v>
      </c>
      <c r="G437" s="5">
        <f>IFERROR(IF(H437&lt;&gt;"",H437,VLOOKUP($A437,[1]FINAL!$A$1:$BZ$1000,MATCH([1]FINAL!$BL$1,[1]FINAL!$A$1:$BZ$1,0),0)),0)</f>
        <v>0.91176470588235292</v>
      </c>
      <c r="I437" s="5">
        <f>IFERROR(IF(J437&lt;&gt;"",J437,(IF(VLOOKUP($A437,#REF!,MATCH(#REF!,#REF!,0),0)=0,G437,VLOOKUP($A437,#REF!,MATCH(#REF!,#REF!,0),0)))),G437)</f>
        <v>0.91176470588235292</v>
      </c>
      <c r="K437" s="6">
        <f>IFERROR(VLOOKUP($A437,#REF!,MATCH(#REF!,#REF!,0),0),0)</f>
        <v>0</v>
      </c>
      <c r="L437" s="6">
        <f>IFERROR(VLOOKUP($A437,[1]FINAL!$A$1:$BZ$1000,MATCH([1]FINAL!$BF$1,[1]FINAL!$A$1:$BZ$1,0),0),0)</f>
        <v>90</v>
      </c>
      <c r="M437" s="7">
        <f t="shared" si="32"/>
        <v>1</v>
      </c>
      <c r="N437" s="6">
        <f>IFERROR(VLOOKUP($A437,#REF!,MATCH(#REF!,#REF!,0),0),0)</f>
        <v>0</v>
      </c>
      <c r="O437" s="7">
        <f t="shared" si="33"/>
        <v>0</v>
      </c>
      <c r="P437" s="10" t="str">
        <f>IFERROR(VLOOKUP($A437,[1]FINAL!$A$1:$BZ$1000,MATCH([1]FINAL!$BB$1,[1]FINAL!$A$1:$BZ$1,0),0),"")</f>
        <v/>
      </c>
      <c r="Q437" s="18">
        <f t="shared" si="34"/>
        <v>1</v>
      </c>
    </row>
    <row r="438" spans="1:17" x14ac:dyDescent="0.25">
      <c r="A438" s="14" t="str">
        <f>[1]FINAL!$A294</f>
        <v>Vitaly Janelt</v>
      </c>
      <c r="B438" s="20" t="str">
        <f>IFERROR(VLOOKUP($A438,[1]FINAL!$A$1:$Z$1000,MATCH([1]FINAL!$T$1,[1]FINAL!$A$1:$Z$1,0),0),"")</f>
        <v>MID</v>
      </c>
      <c r="C438" s="3" t="str">
        <f>IFERROR(VLOOKUP($A438,[1]FINAL!$A$1:$Z$1000,MATCH([1]FINAL!$U$1,[1]FINAL!$A$1:$Z$1,0),0),"")</f>
        <v>DM</v>
      </c>
      <c r="D438" s="3" t="str">
        <f>IFERROR(VLOOKUP($A438,[1]FINAL!$A$1:$Z$1000,MATCH([1]FINAL!$V$1,[1]FINAL!$A$1:$Z$1,0),0),"")</f>
        <v>BRE</v>
      </c>
      <c r="E438" s="6">
        <f t="shared" si="30"/>
        <v>116253.96825396825</v>
      </c>
      <c r="F438" s="5">
        <f t="shared" si="31"/>
        <v>0.5357142857142857</v>
      </c>
      <c r="G438" s="5">
        <f>IFERROR(IF(H438&lt;&gt;"",H438,VLOOKUP($A438,[1]FINAL!$A$1:$BZ$1000,MATCH([1]FINAL!$BL$1,[1]FINAL!$A$1:$BZ$1,0),0)),0)</f>
        <v>0.5357142857142857</v>
      </c>
      <c r="I438" s="5">
        <f>IFERROR(IF(J438&lt;&gt;"",J438,(IF(VLOOKUP($A438,#REF!,MATCH(#REF!,#REF!,0),0)=0,G438,VLOOKUP($A438,#REF!,MATCH(#REF!,#REF!,0),0)))),G438)</f>
        <v>0.5357142857142857</v>
      </c>
      <c r="K438" s="6">
        <f>IFERROR(VLOOKUP($A438,#REF!,MATCH(#REF!,#REF!,0),0),0)</f>
        <v>0</v>
      </c>
      <c r="L438" s="6">
        <f>IFERROR(VLOOKUP($A438,[1]FINAL!$A$1:$BZ$1000,MATCH([1]FINAL!$BF$1,[1]FINAL!$A$1:$BZ$1,0),0),0)</f>
        <v>82</v>
      </c>
      <c r="M438" s="7">
        <f t="shared" si="32"/>
        <v>0.91111111111111109</v>
      </c>
      <c r="N438" s="6">
        <f>IFERROR(VLOOKUP($A438,#REF!,MATCH(#REF!,#REF!,0),0),0)</f>
        <v>0</v>
      </c>
      <c r="O438" s="7">
        <f t="shared" si="33"/>
        <v>0</v>
      </c>
      <c r="P438" s="10" t="str">
        <f>IFERROR(VLOOKUP($A438,[1]FINAL!$A$1:$BZ$1000,MATCH([1]FINAL!$BB$1,[1]FINAL!$A$1:$BZ$1,0),0),"")</f>
        <v/>
      </c>
      <c r="Q438" s="18">
        <f t="shared" si="34"/>
        <v>1</v>
      </c>
    </row>
    <row r="439" spans="1:17" x14ac:dyDescent="0.25">
      <c r="A439" s="14" t="str">
        <f>[1]FINAL!$A297</f>
        <v>Jørgen Strand Larsen</v>
      </c>
      <c r="B439" s="20" t="str">
        <f>IFERROR(VLOOKUP($A439,[1]FINAL!$A$1:$Z$1000,MATCH([1]FINAL!$T$1,[1]FINAL!$A$1:$Z$1,0),0),"")</f>
        <v>FWD</v>
      </c>
      <c r="C439" s="3" t="str">
        <f>IFERROR(VLOOKUP($A439,[1]FINAL!$A$1:$Z$1000,MATCH([1]FINAL!$U$1,[1]FINAL!$A$1:$Z$1,0),0),"")</f>
        <v>CF</v>
      </c>
      <c r="D439" s="3" t="str">
        <f>IFERROR(VLOOKUP($A439,[1]FINAL!$A$1:$Z$1000,MATCH([1]FINAL!$V$1,[1]FINAL!$A$1:$Z$1,0),0),"")</f>
        <v>CRY</v>
      </c>
      <c r="E439" s="6">
        <f t="shared" si="30"/>
        <v>136494.94949494948</v>
      </c>
      <c r="F439" s="5">
        <f t="shared" si="31"/>
        <v>0.63636363636363635</v>
      </c>
      <c r="G439" s="5">
        <f>IFERROR(IF(H439&lt;&gt;"",H439,VLOOKUP($A439,[1]FINAL!$A$1:$BZ$1000,MATCH([1]FINAL!$BL$1,[1]FINAL!$A$1:$BZ$1,0),0)),0)</f>
        <v>0.63636363636363635</v>
      </c>
      <c r="I439" s="5">
        <f>IFERROR(IF(J439&lt;&gt;"",J439,(IF(VLOOKUP($A439,#REF!,MATCH(#REF!,#REF!,0),0)=0,G439,VLOOKUP($A439,#REF!,MATCH(#REF!,#REF!,0),0)))),G439)</f>
        <v>0.63636363636363635</v>
      </c>
      <c r="K439" s="6">
        <f>IFERROR(VLOOKUP($A439,#REF!,MATCH(#REF!,#REF!,0),0),0)</f>
        <v>0</v>
      </c>
      <c r="L439" s="6">
        <f>IFERROR(VLOOKUP($A439,[1]FINAL!$A$1:$BZ$1000,MATCH([1]FINAL!$BF$1,[1]FINAL!$A$1:$BZ$1,0),0),0)</f>
        <v>83</v>
      </c>
      <c r="M439" s="7">
        <f t="shared" si="32"/>
        <v>0.92222222222222228</v>
      </c>
      <c r="N439" s="6">
        <f>IFERROR(VLOOKUP($A439,#REF!,MATCH(#REF!,#REF!,0),0),0)</f>
        <v>0</v>
      </c>
      <c r="O439" s="7">
        <f t="shared" si="33"/>
        <v>0</v>
      </c>
      <c r="P439" s="10" t="str">
        <f>IFERROR(VLOOKUP($A439,[1]FINAL!$A$1:$BZ$1000,MATCH([1]FINAL!$BB$1,[1]FINAL!$A$1:$BZ$1,0),0),"")</f>
        <v/>
      </c>
      <c r="Q439" s="18">
        <f t="shared" si="34"/>
        <v>1</v>
      </c>
    </row>
    <row r="440" spans="1:17" x14ac:dyDescent="0.25">
      <c r="A440" s="14" t="str">
        <f>[1]FINAL!$A298</f>
        <v>Calvin Bassey</v>
      </c>
      <c r="B440" s="20" t="str">
        <f>IFERROR(VLOOKUP($A440,[1]FINAL!$A$1:$Z$1000,MATCH([1]FINAL!$T$1,[1]FINAL!$A$1:$Z$1,0),0),"")</f>
        <v>DEF</v>
      </c>
      <c r="C440" s="3" t="str">
        <f>IFERROR(VLOOKUP($A440,[1]FINAL!$A$1:$Z$1000,MATCH([1]FINAL!$U$1,[1]FINAL!$A$1:$Z$1,0),0),"")</f>
        <v>CB</v>
      </c>
      <c r="D440" s="3" t="str">
        <f>IFERROR(VLOOKUP($A440,[1]FINAL!$A$1:$Z$1000,MATCH([1]FINAL!$V$1,[1]FINAL!$A$1:$Z$1,0),0),"")</f>
        <v>FUL</v>
      </c>
      <c r="E440" s="6">
        <f t="shared" si="30"/>
        <v>185000</v>
      </c>
      <c r="F440" s="5">
        <f t="shared" si="31"/>
        <v>0.875</v>
      </c>
      <c r="G440" s="5">
        <f>IFERROR(IF(H440&lt;&gt;"",H440,VLOOKUP($A440,[1]FINAL!$A$1:$BZ$1000,MATCH([1]FINAL!$BL$1,[1]FINAL!$A$1:$BZ$1,0),0)),0)</f>
        <v>0.875</v>
      </c>
      <c r="I440" s="5">
        <f>IFERROR(IF(J440&lt;&gt;"",J440,(IF(VLOOKUP($A440,#REF!,MATCH(#REF!,#REF!,0),0)=0,G440,VLOOKUP($A440,#REF!,MATCH(#REF!,#REF!,0),0)))),G440)</f>
        <v>0.875</v>
      </c>
      <c r="K440" s="6">
        <f>IFERROR(VLOOKUP($A440,#REF!,MATCH(#REF!,#REF!,0),0),0)</f>
        <v>0</v>
      </c>
      <c r="L440" s="6">
        <f>IFERROR(VLOOKUP($A440,[1]FINAL!$A$1:$BZ$1000,MATCH([1]FINAL!$BF$1,[1]FINAL!$A$1:$BZ$1,0),0),0)</f>
        <v>90</v>
      </c>
      <c r="M440" s="7">
        <f t="shared" si="32"/>
        <v>1</v>
      </c>
      <c r="N440" s="6">
        <f>IFERROR(VLOOKUP($A440,#REF!,MATCH(#REF!,#REF!,0),0),0)</f>
        <v>0</v>
      </c>
      <c r="O440" s="7">
        <f t="shared" si="33"/>
        <v>0</v>
      </c>
      <c r="P440" s="10" t="str">
        <f>IFERROR(VLOOKUP($A440,[1]FINAL!$A$1:$BZ$1000,MATCH([1]FINAL!$BB$1,[1]FINAL!$A$1:$BZ$1,0),0),"")</f>
        <v/>
      </c>
      <c r="Q440" s="18">
        <f t="shared" si="34"/>
        <v>1</v>
      </c>
    </row>
    <row r="441" spans="1:17" x14ac:dyDescent="0.25">
      <c r="A441" s="14" t="str">
        <f>[1]FINAL!$A299</f>
        <v>Brennan Johnson</v>
      </c>
      <c r="B441" s="20" t="str">
        <f>IFERROR(VLOOKUP($A441,[1]FINAL!$A$1:$Z$1000,MATCH([1]FINAL!$T$1,[1]FINAL!$A$1:$Z$1,0),0),"")</f>
        <v>MID</v>
      </c>
      <c r="C441" s="3" t="str">
        <f>IFERROR(VLOOKUP($A441,[1]FINAL!$A$1:$Z$1000,MATCH([1]FINAL!$U$1,[1]FINAL!$A$1:$Z$1,0),0),"")</f>
        <v>RW</v>
      </c>
      <c r="D441" s="3" t="str">
        <f>IFERROR(VLOOKUP($A441,[1]FINAL!$A$1:$Z$1000,MATCH([1]FINAL!$V$1,[1]FINAL!$A$1:$Z$1,0),0),"")</f>
        <v>CRY</v>
      </c>
      <c r="E441" s="6">
        <f t="shared" si="30"/>
        <v>145286.54970760233</v>
      </c>
      <c r="F441" s="5">
        <f t="shared" si="31"/>
        <v>0.68421052631578949</v>
      </c>
      <c r="G441" s="5">
        <f>IFERROR(IF(H441&lt;&gt;"",H441,VLOOKUP($A441,[1]FINAL!$A$1:$BZ$1000,MATCH([1]FINAL!$BL$1,[1]FINAL!$A$1:$BZ$1,0),0)),0)</f>
        <v>0.68421052631578949</v>
      </c>
      <c r="I441" s="5">
        <f>IFERROR(IF(J441&lt;&gt;"",J441,(IF(VLOOKUP($A441,#REF!,MATCH(#REF!,#REF!,0),0)=0,G441,VLOOKUP($A441,#REF!,MATCH(#REF!,#REF!,0),0)))),G441)</f>
        <v>0.68421052631578949</v>
      </c>
      <c r="K441" s="6">
        <f>IFERROR(VLOOKUP($A441,#REF!,MATCH(#REF!,#REF!,0),0),0)</f>
        <v>0</v>
      </c>
      <c r="L441" s="6">
        <f>IFERROR(VLOOKUP($A441,[1]FINAL!$A$1:$BZ$1000,MATCH([1]FINAL!$BF$1,[1]FINAL!$A$1:$BZ$1,0),0),0)</f>
        <v>76</v>
      </c>
      <c r="M441" s="7">
        <f t="shared" si="32"/>
        <v>0.84444444444444444</v>
      </c>
      <c r="N441" s="6">
        <f>IFERROR(VLOOKUP($A441,#REF!,MATCH(#REF!,#REF!,0),0),0)</f>
        <v>0</v>
      </c>
      <c r="O441" s="7">
        <f t="shared" si="33"/>
        <v>0</v>
      </c>
      <c r="P441" s="10" t="str">
        <f>IFERROR(VLOOKUP($A441,[1]FINAL!$A$1:$BZ$1000,MATCH([1]FINAL!$BB$1,[1]FINAL!$A$1:$BZ$1,0),0),"")</f>
        <v/>
      </c>
      <c r="Q441" s="18">
        <f t="shared" si="34"/>
        <v>1</v>
      </c>
    </row>
    <row r="442" spans="1:17" x14ac:dyDescent="0.25">
      <c r="A442" s="14" t="str">
        <f>[1]FINAL!$A300</f>
        <v>Joachim Andersen</v>
      </c>
      <c r="B442" s="20" t="str">
        <f>IFERROR(VLOOKUP($A442,[1]FINAL!$A$1:$Z$1000,MATCH([1]FINAL!$T$1,[1]FINAL!$A$1:$Z$1,0),0),"")</f>
        <v>DEF</v>
      </c>
      <c r="C442" s="3" t="str">
        <f>IFERROR(VLOOKUP($A442,[1]FINAL!$A$1:$Z$1000,MATCH([1]FINAL!$U$1,[1]FINAL!$A$1:$Z$1,0),0),"")</f>
        <v>CB</v>
      </c>
      <c r="D442" s="3" t="str">
        <f>IFERROR(VLOOKUP($A442,[1]FINAL!$A$1:$Z$1000,MATCH([1]FINAL!$V$1,[1]FINAL!$A$1:$Z$1,0),0),"")</f>
        <v>FUL</v>
      </c>
      <c r="E442" s="6">
        <f t="shared" si="30"/>
        <v>20.37843137254902</v>
      </c>
      <c r="F442" s="5">
        <f t="shared" si="31"/>
        <v>9.705882352941177E-5</v>
      </c>
      <c r="G442" s="5">
        <f>IFERROR(IF(H442&lt;&gt;"",H442,VLOOKUP($A442,[1]FINAL!$A$1:$BZ$1000,MATCH([1]FINAL!$BL$1,[1]FINAL!$A$1:$BZ$1,0),0)),0)</f>
        <v>0.97058823529411764</v>
      </c>
      <c r="I442" s="5">
        <f>IFERROR(IF(J442&lt;&gt;"",J442,(IF(VLOOKUP($A442,#REF!,MATCH(#REF!,#REF!,0),0)=0,G442,VLOOKUP($A442,#REF!,MATCH(#REF!,#REF!,0),0)))),G442)</f>
        <v>0.97058823529411764</v>
      </c>
      <c r="K442" s="6">
        <f>IFERROR(VLOOKUP($A442,#REF!,MATCH(#REF!,#REF!,0),0),0)</f>
        <v>0</v>
      </c>
      <c r="L442" s="6">
        <f>IFERROR(VLOOKUP($A442,[1]FINAL!$A$1:$BZ$1000,MATCH([1]FINAL!$BF$1,[1]FINAL!$A$1:$BZ$1,0),0),0)</f>
        <v>87</v>
      </c>
      <c r="M442" s="7">
        <f t="shared" si="32"/>
        <v>0.96666666666666667</v>
      </c>
      <c r="N442" s="6">
        <f>IFERROR(VLOOKUP($A442,#REF!,MATCH(#REF!,#REF!,0),0),0)</f>
        <v>0</v>
      </c>
      <c r="O442" s="7">
        <f t="shared" si="33"/>
        <v>0</v>
      </c>
      <c r="P442" s="10">
        <f>IFERROR(VLOOKUP($A442,[1]FINAL!$A$1:$BZ$1000,MATCH([1]FINAL!$BB$1,[1]FINAL!$A$1:$BZ$1,0),0),"")</f>
        <v>0</v>
      </c>
      <c r="Q442" s="18">
        <f t="shared" si="34"/>
        <v>1E-4</v>
      </c>
    </row>
    <row r="443" spans="1:17" x14ac:dyDescent="0.25">
      <c r="A443" s="14" t="str">
        <f>[1]FINAL!$A301</f>
        <v>Amadou Onana</v>
      </c>
      <c r="B443" s="20" t="str">
        <f>IFERROR(VLOOKUP($A443,[1]FINAL!$A$1:$Z$1000,MATCH([1]FINAL!$T$1,[1]FINAL!$A$1:$Z$1,0),0),"")</f>
        <v>MID</v>
      </c>
      <c r="C443" s="3" t="str">
        <f>IFERROR(VLOOKUP($A443,[1]FINAL!$A$1:$Z$1000,MATCH([1]FINAL!$U$1,[1]FINAL!$A$1:$Z$1,0),0),"")</f>
        <v>DM</v>
      </c>
      <c r="D443" s="3" t="str">
        <f>IFERROR(VLOOKUP($A443,[1]FINAL!$A$1:$Z$1000,MATCH([1]FINAL!$V$1,[1]FINAL!$A$1:$Z$1,0),0),"")</f>
        <v>AVL</v>
      </c>
      <c r="E443" s="6">
        <f t="shared" si="30"/>
        <v>17.053846153846155</v>
      </c>
      <c r="F443" s="5">
        <f t="shared" si="31"/>
        <v>8.0769230769230777E-5</v>
      </c>
      <c r="G443" s="5">
        <f>IFERROR(IF(H443&lt;&gt;"",H443,VLOOKUP($A443,[1]FINAL!$A$1:$BZ$1000,MATCH([1]FINAL!$BL$1,[1]FINAL!$A$1:$BZ$1,0),0)),0)</f>
        <v>0.80769230769230771</v>
      </c>
      <c r="I443" s="5">
        <f>IFERROR(IF(J443&lt;&gt;"",J443,(IF(VLOOKUP($A443,#REF!,MATCH(#REF!,#REF!,0),0)=0,G443,VLOOKUP($A443,#REF!,MATCH(#REF!,#REF!,0),0)))),G443)</f>
        <v>0.80769230769230771</v>
      </c>
      <c r="K443" s="6">
        <f>IFERROR(VLOOKUP($A443,#REF!,MATCH(#REF!,#REF!,0),0),0)</f>
        <v>0</v>
      </c>
      <c r="L443" s="6">
        <f>IFERROR(VLOOKUP($A443,[1]FINAL!$A$1:$BZ$1000,MATCH([1]FINAL!$BF$1,[1]FINAL!$A$1:$BZ$1,0),0),0)</f>
        <v>81</v>
      </c>
      <c r="M443" s="7">
        <f t="shared" si="32"/>
        <v>0.9</v>
      </c>
      <c r="N443" s="6">
        <f>IFERROR(VLOOKUP($A443,#REF!,MATCH(#REF!,#REF!,0),0),0)</f>
        <v>0</v>
      </c>
      <c r="O443" s="7">
        <f t="shared" si="33"/>
        <v>0</v>
      </c>
      <c r="P443" s="10">
        <f>IFERROR(VLOOKUP($A443,[1]FINAL!$A$1:$BZ$1000,MATCH([1]FINAL!$BB$1,[1]FINAL!$A$1:$BZ$1,0),0),"")</f>
        <v>0</v>
      </c>
      <c r="Q443" s="18">
        <f t="shared" si="34"/>
        <v>1E-4</v>
      </c>
    </row>
    <row r="444" spans="1:17" x14ac:dyDescent="0.25">
      <c r="A444" s="14" t="str">
        <f>[1]FINAL!$A302</f>
        <v>Vitor de Oliveira Nunes dos Reis</v>
      </c>
      <c r="B444" s="20" t="str">
        <f>IFERROR(VLOOKUP($A444,[1]FINAL!$A$1:$Z$1000,MATCH([1]FINAL!$T$1,[1]FINAL!$A$1:$Z$1,0),0),"")</f>
        <v>DEF</v>
      </c>
      <c r="C444" s="3" t="str">
        <f>IFERROR(VLOOKUP($A444,[1]FINAL!$A$1:$Z$1000,MATCH([1]FINAL!$U$1,[1]FINAL!$A$1:$Z$1,0),0),"")</f>
        <v>CB</v>
      </c>
      <c r="D444" s="3" t="str">
        <f>IFERROR(VLOOKUP($A444,[1]FINAL!$A$1:$Z$1000,MATCH([1]FINAL!$V$1,[1]FINAL!$A$1:$Z$1,0),0),"")</f>
        <v>MCI</v>
      </c>
      <c r="E444" s="6">
        <f t="shared" si="30"/>
        <v>0</v>
      </c>
      <c r="F444" s="5">
        <f t="shared" si="31"/>
        <v>0</v>
      </c>
      <c r="G444" s="5">
        <f>IFERROR(IF(H444&lt;&gt;"",H444,VLOOKUP($A444,[1]FINAL!$A$1:$BZ$1000,MATCH([1]FINAL!$BL$1,[1]FINAL!$A$1:$BZ$1,0),0)),0)</f>
        <v>0</v>
      </c>
      <c r="I444" s="5">
        <f>IFERROR(IF(J444&lt;&gt;"",J444,(IF(VLOOKUP($A444,#REF!,MATCH(#REF!,#REF!,0),0)=0,G444,VLOOKUP($A444,#REF!,MATCH(#REF!,#REF!,0),0)))),G444)</f>
        <v>0</v>
      </c>
      <c r="K444" s="6">
        <f>IFERROR(VLOOKUP($A444,#REF!,MATCH(#REF!,#REF!,0),0),0)</f>
        <v>0</v>
      </c>
      <c r="L444" s="6">
        <f>IFERROR(VLOOKUP($A444,[1]FINAL!$A$1:$BZ$1000,MATCH([1]FINAL!$BF$1,[1]FINAL!$A$1:$BZ$1,0),0),0)</f>
        <v>0</v>
      </c>
      <c r="M444" s="7">
        <f t="shared" si="32"/>
        <v>0</v>
      </c>
      <c r="N444" s="6">
        <f>IFERROR(VLOOKUP($A444,#REF!,MATCH(#REF!,#REF!,0),0),0)</f>
        <v>0</v>
      </c>
      <c r="O444" s="7">
        <f t="shared" si="33"/>
        <v>0</v>
      </c>
      <c r="P444" s="10" t="str">
        <f>IFERROR(VLOOKUP($A444,[1]FINAL!$A$1:$BZ$1000,MATCH([1]FINAL!$BB$1,[1]FINAL!$A$1:$BZ$1,0),0),"")</f>
        <v/>
      </c>
      <c r="Q444" s="18">
        <f t="shared" si="34"/>
        <v>1</v>
      </c>
    </row>
    <row r="445" spans="1:17" x14ac:dyDescent="0.25">
      <c r="A445" s="14" t="str">
        <f>[1]FINAL!$A304</f>
        <v>Ethan Ampadu</v>
      </c>
      <c r="B445" s="20" t="str">
        <f>IFERROR(VLOOKUP($A445,[1]FINAL!$A$1:$Z$1000,MATCH([1]FINAL!$T$1,[1]FINAL!$A$1:$Z$1,0),0),"")</f>
        <v>MID</v>
      </c>
      <c r="C445" s="3" t="str">
        <f>IFERROR(VLOOKUP($A445,[1]FINAL!$A$1:$Z$1000,MATCH([1]FINAL!$U$1,[1]FINAL!$A$1:$Z$1,0),0),"")</f>
        <v>DM</v>
      </c>
      <c r="D445" s="3" t="str">
        <f>IFERROR(VLOOKUP($A445,[1]FINAL!$A$1:$Z$1000,MATCH([1]FINAL!$V$1,[1]FINAL!$A$1:$Z$1,0),0),"")</f>
        <v>LEE</v>
      </c>
      <c r="E445" s="6">
        <f t="shared" si="30"/>
        <v>209888.88888888888</v>
      </c>
      <c r="F445" s="5">
        <f t="shared" si="31"/>
        <v>1</v>
      </c>
      <c r="G445" s="5">
        <f>IFERROR(IF(H445&lt;&gt;"",H445,VLOOKUP($A445,[1]FINAL!$A$1:$BZ$1000,MATCH([1]FINAL!$BL$1,[1]FINAL!$A$1:$BZ$1,0),0)),0)</f>
        <v>1</v>
      </c>
      <c r="I445" s="5">
        <f>IFERROR(IF(J445&lt;&gt;"",J445,(IF(VLOOKUP($A445,#REF!,MATCH(#REF!,#REF!,0),0)=0,G445,VLOOKUP($A445,#REF!,MATCH(#REF!,#REF!,0),0)))),G445)</f>
        <v>1</v>
      </c>
      <c r="K445" s="6">
        <f>IFERROR(VLOOKUP($A445,#REF!,MATCH(#REF!,#REF!,0),0),0)</f>
        <v>0</v>
      </c>
      <c r="L445" s="6">
        <f>IFERROR(VLOOKUP($A445,[1]FINAL!$A$1:$BZ$1000,MATCH([1]FINAL!$BF$1,[1]FINAL!$A$1:$BZ$1,0),0),0)</f>
        <v>89</v>
      </c>
      <c r="M445" s="7">
        <f t="shared" si="32"/>
        <v>0.98888888888888893</v>
      </c>
      <c r="N445" s="6">
        <f>IFERROR(VLOOKUP($A445,#REF!,MATCH(#REF!,#REF!,0),0),0)</f>
        <v>0</v>
      </c>
      <c r="O445" s="7">
        <f t="shared" si="33"/>
        <v>0</v>
      </c>
      <c r="P445" s="10" t="str">
        <f>IFERROR(VLOOKUP($A445,[1]FINAL!$A$1:$BZ$1000,MATCH([1]FINAL!$BB$1,[1]FINAL!$A$1:$BZ$1,0),0),"")</f>
        <v/>
      </c>
      <c r="Q445" s="18">
        <f t="shared" si="34"/>
        <v>1</v>
      </c>
    </row>
    <row r="446" spans="1:17" x14ac:dyDescent="0.25">
      <c r="A446" s="14" t="str">
        <f>[1]FINAL!$A305</f>
        <v>Alex Murphy</v>
      </c>
      <c r="B446" s="20" t="str">
        <f>IFERROR(VLOOKUP($A446,[1]FINAL!$A$1:$Z$1000,MATCH([1]FINAL!$T$1,[1]FINAL!$A$1:$Z$1,0),0),"")</f>
        <v>DEF</v>
      </c>
      <c r="C446" s="3" t="str">
        <f>IFERROR(VLOOKUP($A446,[1]FINAL!$A$1:$Z$1000,MATCH([1]FINAL!$U$1,[1]FINAL!$A$1:$Z$1,0),0),"")</f>
        <v>LB</v>
      </c>
      <c r="D446" s="3" t="str">
        <f>IFERROR(VLOOKUP($A446,[1]FINAL!$A$1:$Z$1000,MATCH([1]FINAL!$V$1,[1]FINAL!$A$1:$Z$1,0),0),"")</f>
        <v>NEW</v>
      </c>
      <c r="E446" s="6">
        <f t="shared" si="30"/>
        <v>0</v>
      </c>
      <c r="F446" s="5">
        <f t="shared" si="31"/>
        <v>0</v>
      </c>
      <c r="G446" s="5">
        <f>IFERROR(IF(H446&lt;&gt;"",H446,VLOOKUP($A446,[1]FINAL!$A$1:$BZ$1000,MATCH([1]FINAL!$BL$1,[1]FINAL!$A$1:$BZ$1,0),0)),0)</f>
        <v>0</v>
      </c>
      <c r="I446" s="5">
        <f>IFERROR(IF(J446&lt;&gt;"",J446,(IF(VLOOKUP($A446,#REF!,MATCH(#REF!,#REF!,0),0)=0,G446,VLOOKUP($A446,#REF!,MATCH(#REF!,#REF!,0),0)))),G446)</f>
        <v>0</v>
      </c>
      <c r="K446" s="6">
        <f>IFERROR(VLOOKUP($A446,#REF!,MATCH(#REF!,#REF!,0),0),0)</f>
        <v>0</v>
      </c>
      <c r="L446" s="6">
        <f>IFERROR(VLOOKUP($A446,[1]FINAL!$A$1:$BZ$1000,MATCH([1]FINAL!$BF$1,[1]FINAL!$A$1:$BZ$1,0),0),0)</f>
        <v>0</v>
      </c>
      <c r="M446" s="7">
        <f t="shared" si="32"/>
        <v>0</v>
      </c>
      <c r="N446" s="6">
        <f>IFERROR(VLOOKUP($A446,#REF!,MATCH(#REF!,#REF!,0),0),0)</f>
        <v>0</v>
      </c>
      <c r="O446" s="7">
        <f t="shared" si="33"/>
        <v>0</v>
      </c>
      <c r="P446" s="10" t="str">
        <f>IFERROR(VLOOKUP($A446,[1]FINAL!$A$1:$BZ$1000,MATCH([1]FINAL!$BB$1,[1]FINAL!$A$1:$BZ$1,0),0),"")</f>
        <v/>
      </c>
      <c r="Q446" s="18">
        <f t="shared" si="34"/>
        <v>1</v>
      </c>
    </row>
    <row r="447" spans="1:17" x14ac:dyDescent="0.25">
      <c r="A447" s="14" t="str">
        <f>[1]FINAL!$A306</f>
        <v>Christian Nørgaard</v>
      </c>
      <c r="B447" s="20" t="str">
        <f>IFERROR(VLOOKUP($A447,[1]FINAL!$A$1:$Z$1000,MATCH([1]FINAL!$T$1,[1]FINAL!$A$1:$Z$1,0),0),"")</f>
        <v>MID</v>
      </c>
      <c r="C447" s="3" t="str">
        <f>IFERROR(VLOOKUP($A447,[1]FINAL!$A$1:$Z$1000,MATCH([1]FINAL!$U$1,[1]FINAL!$A$1:$Z$1,0),0),"")</f>
        <v>DM</v>
      </c>
      <c r="D447" s="3" t="str">
        <f>IFERROR(VLOOKUP($A447,[1]FINAL!$A$1:$Z$1000,MATCH([1]FINAL!$V$1,[1]FINAL!$A$1:$Z$1,0),0),"")</f>
        <v>ARS</v>
      </c>
      <c r="E447" s="6">
        <f t="shared" si="30"/>
        <v>12142.857142857141</v>
      </c>
      <c r="F447" s="5">
        <f t="shared" si="31"/>
        <v>3.5714285714285712E-2</v>
      </c>
      <c r="G447" s="5">
        <f>IFERROR(IF(H447&lt;&gt;"",H447,VLOOKUP($A447,[1]FINAL!$A$1:$BZ$1000,MATCH([1]FINAL!$BL$1,[1]FINAL!$A$1:$BZ$1,0),0)),0)</f>
        <v>3.5714285714285712E-2</v>
      </c>
      <c r="I447" s="5">
        <f>IFERROR(IF(J447&lt;&gt;"",J447,(IF(VLOOKUP($A447,#REF!,MATCH(#REF!,#REF!,0),0)=0,G447,VLOOKUP($A447,#REF!,MATCH(#REF!,#REF!,0),0)))),G447)</f>
        <v>3.5714285714285712E-2</v>
      </c>
      <c r="K447" s="6">
        <f>IFERROR(VLOOKUP($A447,#REF!,MATCH(#REF!,#REF!,0),0),0)</f>
        <v>0</v>
      </c>
      <c r="L447" s="6">
        <f>IFERROR(VLOOKUP($A447,[1]FINAL!$A$1:$BZ$1000,MATCH([1]FINAL!$BF$1,[1]FINAL!$A$1:$BZ$1,0),0),0)</f>
        <v>45</v>
      </c>
      <c r="M447" s="7">
        <f t="shared" si="32"/>
        <v>0.5</v>
      </c>
      <c r="N447" s="6">
        <f>IFERROR(VLOOKUP($A447,#REF!,MATCH(#REF!,#REF!,0),0),0)</f>
        <v>0</v>
      </c>
      <c r="O447" s="7">
        <f t="shared" si="33"/>
        <v>0</v>
      </c>
      <c r="P447" s="10" t="str">
        <f>IFERROR(VLOOKUP($A447,[1]FINAL!$A$1:$BZ$1000,MATCH([1]FINAL!$BB$1,[1]FINAL!$A$1:$BZ$1,0),0),"")</f>
        <v/>
      </c>
      <c r="Q447" s="18">
        <f t="shared" si="34"/>
        <v>1</v>
      </c>
    </row>
    <row r="448" spans="1:17" x14ac:dyDescent="0.25">
      <c r="A448" s="14" t="str">
        <f>[1]FINAL!$A307</f>
        <v>Nicolás Domínguez</v>
      </c>
      <c r="B448" s="20" t="str">
        <f>IFERROR(VLOOKUP($A448,[1]FINAL!$A$1:$Z$1000,MATCH([1]FINAL!$T$1,[1]FINAL!$A$1:$Z$1,0),0),"")</f>
        <v>MID</v>
      </c>
      <c r="C448" s="3" t="str">
        <f>IFERROR(VLOOKUP($A448,[1]FINAL!$A$1:$Z$1000,MATCH([1]FINAL!$U$1,[1]FINAL!$A$1:$Z$1,0),0),"")</f>
        <v>CM</v>
      </c>
      <c r="D448" s="3" t="str">
        <f>IFERROR(VLOOKUP($A448,[1]FINAL!$A$1:$Z$1000,MATCH([1]FINAL!$V$1,[1]FINAL!$A$1:$Z$1,0),0),"")</f>
        <v>NFO</v>
      </c>
      <c r="E448" s="6">
        <f t="shared" si="30"/>
        <v>116344.08602150537</v>
      </c>
      <c r="F448" s="5">
        <f t="shared" si="31"/>
        <v>0.54838709677419351</v>
      </c>
      <c r="G448" s="5">
        <f>IFERROR(IF(H448&lt;&gt;"",H448,VLOOKUP($A448,[1]FINAL!$A$1:$BZ$1000,MATCH([1]FINAL!$BL$1,[1]FINAL!$A$1:$BZ$1,0),0)),0)</f>
        <v>0.54838709677419351</v>
      </c>
      <c r="I448" s="5">
        <f>IFERROR(IF(J448&lt;&gt;"",J448,(IF(VLOOKUP($A448,#REF!,MATCH(#REF!,#REF!,0),0)=0,G448,VLOOKUP($A448,#REF!,MATCH(#REF!,#REF!,0),0)))),G448)</f>
        <v>0.54838709677419351</v>
      </c>
      <c r="K448" s="6">
        <f>IFERROR(VLOOKUP($A448,#REF!,MATCH(#REF!,#REF!,0),0),0)</f>
        <v>0</v>
      </c>
      <c r="L448" s="6">
        <f>IFERROR(VLOOKUP($A448,[1]FINAL!$A$1:$BZ$1000,MATCH([1]FINAL!$BF$1,[1]FINAL!$A$1:$BZ$1,0),0),0)</f>
        <v>60</v>
      </c>
      <c r="M448" s="7">
        <f t="shared" si="32"/>
        <v>0.66666666666666663</v>
      </c>
      <c r="N448" s="6">
        <f>IFERROR(VLOOKUP($A448,#REF!,MATCH(#REF!,#REF!,0),0),0)</f>
        <v>0</v>
      </c>
      <c r="O448" s="7">
        <f t="shared" si="33"/>
        <v>0</v>
      </c>
      <c r="P448" s="10" t="str">
        <f>IFERROR(VLOOKUP($A448,[1]FINAL!$A$1:$BZ$1000,MATCH([1]FINAL!$BB$1,[1]FINAL!$A$1:$BZ$1,0),0),"")</f>
        <v/>
      </c>
      <c r="Q448" s="18">
        <f t="shared" si="34"/>
        <v>1</v>
      </c>
    </row>
    <row r="449" spans="1:17" x14ac:dyDescent="0.25">
      <c r="A449" s="14" t="str">
        <f>[1]FINAL!$A319</f>
        <v>Levi Samuels Colwill</v>
      </c>
      <c r="B449" s="20" t="str">
        <f>IFERROR(VLOOKUP($A449,[1]FINAL!$A$1:$Z$1000,MATCH([1]FINAL!$T$1,[1]FINAL!$A$1:$Z$1,0),0),"")</f>
        <v>DEF</v>
      </c>
      <c r="C449" s="3" t="str">
        <f>IFERROR(VLOOKUP($A449,[1]FINAL!$A$1:$Z$1000,MATCH([1]FINAL!$U$1,[1]FINAL!$A$1:$Z$1,0),0),"")</f>
        <v>CB</v>
      </c>
      <c r="D449" s="3" t="str">
        <f>IFERROR(VLOOKUP($A449,[1]FINAL!$A$1:$Z$1000,MATCH([1]FINAL!$V$1,[1]FINAL!$A$1:$Z$1,0),0),"")</f>
        <v>CHE</v>
      </c>
      <c r="E449" s="6">
        <f t="shared" si="30"/>
        <v>143333.33333333331</v>
      </c>
      <c r="F449" s="5">
        <f t="shared" si="31"/>
        <v>0.66666666666666663</v>
      </c>
      <c r="G449" s="5">
        <f>IFERROR(IF(H449&lt;&gt;"",H449,VLOOKUP($A449,[1]FINAL!$A$1:$BZ$1000,MATCH([1]FINAL!$BL$1,[1]FINAL!$A$1:$BZ$1,0),0)),0)</f>
        <v>0.66666666666666663</v>
      </c>
      <c r="I449" s="5">
        <f>IFERROR(IF(J449&lt;&gt;"",J449,(IF(VLOOKUP($A449,#REF!,MATCH(#REF!,#REF!,0),0)=0,G449,VLOOKUP($A449,#REF!,MATCH(#REF!,#REF!,0),0)))),G449)</f>
        <v>0.66666666666666663</v>
      </c>
      <c r="K449" s="6">
        <f>IFERROR(VLOOKUP($A449,#REF!,MATCH(#REF!,#REF!,0),0),0)</f>
        <v>0</v>
      </c>
      <c r="L449" s="6">
        <f>IFERROR(VLOOKUP($A449,[1]FINAL!$A$1:$BZ$1000,MATCH([1]FINAL!$BF$1,[1]FINAL!$A$1:$BZ$1,0),0),0)</f>
        <v>90</v>
      </c>
      <c r="M449" s="7">
        <f t="shared" si="32"/>
        <v>1</v>
      </c>
      <c r="N449" s="6">
        <f>IFERROR(VLOOKUP($A449,#REF!,MATCH(#REF!,#REF!,0),0),0)</f>
        <v>0</v>
      </c>
      <c r="O449" s="7">
        <f t="shared" si="33"/>
        <v>0</v>
      </c>
      <c r="P449" s="10" t="str">
        <f>IFERROR(VLOOKUP($A449,[1]FINAL!$A$1:$BZ$1000,MATCH([1]FINAL!$BB$1,[1]FINAL!$A$1:$BZ$1,0),0),"")</f>
        <v/>
      </c>
      <c r="Q449" s="18">
        <f t="shared" si="34"/>
        <v>1</v>
      </c>
    </row>
    <row r="450" spans="1:17" x14ac:dyDescent="0.25">
      <c r="A450" s="14" t="str">
        <f>[1]FINAL!$A320</f>
        <v>Wesley Fofana</v>
      </c>
      <c r="B450" s="20" t="str">
        <f>IFERROR(VLOOKUP($A450,[1]FINAL!$A$1:$Z$1000,MATCH([1]FINAL!$T$1,[1]FINAL!$A$1:$Z$1,0),0),"")</f>
        <v>DEF</v>
      </c>
      <c r="C450" s="3" t="str">
        <f>IFERROR(VLOOKUP($A450,[1]FINAL!$A$1:$Z$1000,MATCH([1]FINAL!$U$1,[1]FINAL!$A$1:$Z$1,0),0),"")</f>
        <v>CB</v>
      </c>
      <c r="D450" s="3" t="str">
        <f>IFERROR(VLOOKUP($A450,[1]FINAL!$A$1:$Z$1000,MATCH([1]FINAL!$V$1,[1]FINAL!$A$1:$Z$1,0),0),"")</f>
        <v>CHE</v>
      </c>
      <c r="E450" s="6">
        <f t="shared" ref="E450:E513" si="35">IF($Q$1="ON",((G450*100000)+(I450*100000)+(M450*10000)+(O450*10000)+(K450*10))*Q450,((G450*100000)+(I450*100000)+(M450*10000)+(O450*10000)+(K450*10)))</f>
        <v>13.7921146953405</v>
      </c>
      <c r="F450" s="5">
        <f t="shared" ref="F450:F513" si="36">IFERROR(IF($Q$1="ON",((G450*$W$1)+(I450*$U$1))*Q450,((G450*$W$1)+(I450*$U$1))),0)</f>
        <v>6.4516129032258067E-5</v>
      </c>
      <c r="G450" s="5">
        <f>IFERROR(IF(H450&lt;&gt;"",H450,VLOOKUP($A450,[1]FINAL!$A$1:$BZ$1000,MATCH([1]FINAL!$BL$1,[1]FINAL!$A$1:$BZ$1,0),0)),0)</f>
        <v>0.64516129032258063</v>
      </c>
      <c r="I450" s="5">
        <f>IFERROR(IF(J450&lt;&gt;"",J450,(IF(VLOOKUP($A450,#REF!,MATCH(#REF!,#REF!,0),0)=0,G450,VLOOKUP($A450,#REF!,MATCH(#REF!,#REF!,0),0)))),G450)</f>
        <v>0.64516129032258063</v>
      </c>
      <c r="K450" s="6">
        <f>IFERROR(VLOOKUP($A450,#REF!,MATCH(#REF!,#REF!,0),0),0)</f>
        <v>0</v>
      </c>
      <c r="L450" s="6">
        <f>IFERROR(VLOOKUP($A450,[1]FINAL!$A$1:$BZ$1000,MATCH([1]FINAL!$BF$1,[1]FINAL!$A$1:$BZ$1,0),0),0)</f>
        <v>80</v>
      </c>
      <c r="M450" s="7">
        <f t="shared" ref="M450:M513" si="37">L450/90</f>
        <v>0.88888888888888884</v>
      </c>
      <c r="N450" s="6">
        <f>IFERROR(VLOOKUP($A450,#REF!,MATCH(#REF!,#REF!,0),0),0)</f>
        <v>0</v>
      </c>
      <c r="O450" s="7">
        <f t="shared" ref="O450:O513" si="38">N450/90</f>
        <v>0</v>
      </c>
      <c r="P450" s="10">
        <f>IFERROR(VLOOKUP($A450,[1]FINAL!$A$1:$BZ$1000,MATCH([1]FINAL!$BB$1,[1]FINAL!$A$1:$BZ$1,0),0),"")</f>
        <v>0</v>
      </c>
      <c r="Q450" s="18">
        <f t="shared" ref="Q450:Q513" si="39">IF(P450="",1,IF(P450=0,0.0001,P450/100))</f>
        <v>1E-4</v>
      </c>
    </row>
    <row r="451" spans="1:17" x14ac:dyDescent="0.25">
      <c r="A451" s="14" t="str">
        <f>[1]FINAL!$A321</f>
        <v>Hákon Rafn Valdimarsson</v>
      </c>
      <c r="B451" s="20" t="str">
        <f>IFERROR(VLOOKUP($A451,[1]FINAL!$A$1:$Z$1000,MATCH([1]FINAL!$T$1,[1]FINAL!$A$1:$Z$1,0),0),"")</f>
        <v>GK</v>
      </c>
      <c r="C451" s="3" t="str">
        <f>IFERROR(VLOOKUP($A451,[1]FINAL!$A$1:$Z$1000,MATCH([1]FINAL!$U$1,[1]FINAL!$A$1:$Z$1,0),0),"")</f>
        <v/>
      </c>
      <c r="D451" s="3" t="str">
        <f>IFERROR(VLOOKUP($A451,[1]FINAL!$A$1:$Z$1000,MATCH([1]FINAL!$V$1,[1]FINAL!$A$1:$Z$1,0),0),"")</f>
        <v>BRE</v>
      </c>
      <c r="E451" s="6">
        <f t="shared" si="35"/>
        <v>0</v>
      </c>
      <c r="F451" s="5">
        <f t="shared" si="36"/>
        <v>0</v>
      </c>
      <c r="G451" s="5">
        <f>IFERROR(IF(H451&lt;&gt;"",H451,VLOOKUP($A451,[1]FINAL!$A$1:$BZ$1000,MATCH([1]FINAL!$BL$1,[1]FINAL!$A$1:$BZ$1,0),0)),0)</f>
        <v>0</v>
      </c>
      <c r="I451" s="5">
        <f>IFERROR(IF(J451&lt;&gt;"",J451,(IF(VLOOKUP($A451,#REF!,MATCH(#REF!,#REF!,0),0)=0,G451,VLOOKUP($A451,#REF!,MATCH(#REF!,#REF!,0),0)))),G451)</f>
        <v>0</v>
      </c>
      <c r="K451" s="6">
        <f>IFERROR(VLOOKUP($A451,#REF!,MATCH(#REF!,#REF!,0),0),0)</f>
        <v>0</v>
      </c>
      <c r="L451" s="6">
        <f>IFERROR(VLOOKUP($A451,[1]FINAL!$A$1:$BZ$1000,MATCH([1]FINAL!$BF$1,[1]FINAL!$A$1:$BZ$1,0),0),0)</f>
        <v>0</v>
      </c>
      <c r="M451" s="7">
        <f t="shared" si="37"/>
        <v>0</v>
      </c>
      <c r="N451" s="6">
        <f>IFERROR(VLOOKUP($A451,#REF!,MATCH(#REF!,#REF!,0),0),0)</f>
        <v>0</v>
      </c>
      <c r="O451" s="7">
        <f t="shared" si="38"/>
        <v>0</v>
      </c>
      <c r="P451" s="10" t="str">
        <f>IFERROR(VLOOKUP($A451,[1]FINAL!$A$1:$BZ$1000,MATCH([1]FINAL!$BB$1,[1]FINAL!$A$1:$BZ$1,0),0),"")</f>
        <v/>
      </c>
      <c r="Q451" s="18">
        <f t="shared" si="39"/>
        <v>1</v>
      </c>
    </row>
    <row r="452" spans="1:17" x14ac:dyDescent="0.25">
      <c r="A452" s="14" t="str">
        <f>[1]FINAL!$A322</f>
        <v>Moisés Caicedo Corozo</v>
      </c>
      <c r="B452" s="20" t="str">
        <f>IFERROR(VLOOKUP($A452,[1]FINAL!$A$1:$Z$1000,MATCH([1]FINAL!$T$1,[1]FINAL!$A$1:$Z$1,0),0),"")</f>
        <v>MID</v>
      </c>
      <c r="C452" s="3" t="str">
        <f>IFERROR(VLOOKUP($A452,[1]FINAL!$A$1:$Z$1000,MATCH([1]FINAL!$U$1,[1]FINAL!$A$1:$Z$1,0),0),"")</f>
        <v>DM</v>
      </c>
      <c r="D452" s="3" t="str">
        <f>IFERROR(VLOOKUP($A452,[1]FINAL!$A$1:$Z$1000,MATCH([1]FINAL!$V$1,[1]FINAL!$A$1:$Z$1,0),0),"")</f>
        <v>CHE</v>
      </c>
      <c r="E452" s="6">
        <f t="shared" si="35"/>
        <v>197790.84967320261</v>
      </c>
      <c r="F452" s="5">
        <f t="shared" si="36"/>
        <v>0.94117647058823528</v>
      </c>
      <c r="G452" s="5">
        <f>IFERROR(IF(H452&lt;&gt;"",H452,VLOOKUP($A452,[1]FINAL!$A$1:$BZ$1000,MATCH([1]FINAL!$BL$1,[1]FINAL!$A$1:$BZ$1,0),0)),0)</f>
        <v>0.94117647058823528</v>
      </c>
      <c r="I452" s="5">
        <f>IFERROR(IF(J452&lt;&gt;"",J452,(IF(VLOOKUP($A452,#REF!,MATCH(#REF!,#REF!,0),0)=0,G452,VLOOKUP($A452,#REF!,MATCH(#REF!,#REF!,0),0)))),G452)</f>
        <v>0.94117647058823528</v>
      </c>
      <c r="K452" s="6">
        <f>IFERROR(VLOOKUP($A452,#REF!,MATCH(#REF!,#REF!,0),0),0)</f>
        <v>0</v>
      </c>
      <c r="L452" s="6">
        <f>IFERROR(VLOOKUP($A452,[1]FINAL!$A$1:$BZ$1000,MATCH([1]FINAL!$BF$1,[1]FINAL!$A$1:$BZ$1,0),0),0)</f>
        <v>86</v>
      </c>
      <c r="M452" s="7">
        <f t="shared" si="37"/>
        <v>0.9555555555555556</v>
      </c>
      <c r="N452" s="6">
        <f>IFERROR(VLOOKUP($A452,#REF!,MATCH(#REF!,#REF!,0),0),0)</f>
        <v>0</v>
      </c>
      <c r="O452" s="7">
        <f t="shared" si="38"/>
        <v>0</v>
      </c>
      <c r="P452" s="10" t="str">
        <f>IFERROR(VLOOKUP($A452,[1]FINAL!$A$1:$BZ$1000,MATCH([1]FINAL!$BB$1,[1]FINAL!$A$1:$BZ$1,0),0),"")</f>
        <v/>
      </c>
      <c r="Q452" s="18">
        <f t="shared" si="39"/>
        <v>1</v>
      </c>
    </row>
    <row r="453" spans="1:17" x14ac:dyDescent="0.25">
      <c r="A453" s="14" t="str">
        <f>[1]FINAL!$A325</f>
        <v>Nathan Patterson</v>
      </c>
      <c r="B453" s="20" t="str">
        <f>IFERROR(VLOOKUP($A453,[1]FINAL!$A$1:$Z$1000,MATCH([1]FINAL!$T$1,[1]FINAL!$A$1:$Z$1,0),0),"")</f>
        <v>DEF</v>
      </c>
      <c r="C453" s="3" t="str">
        <f>IFERROR(VLOOKUP($A453,[1]FINAL!$A$1:$Z$1000,MATCH([1]FINAL!$U$1,[1]FINAL!$A$1:$Z$1,0),0),"")</f>
        <v>RB</v>
      </c>
      <c r="D453" s="3" t="str">
        <f>IFERROR(VLOOKUP($A453,[1]FINAL!$A$1:$Z$1000,MATCH([1]FINAL!$V$1,[1]FINAL!$A$1:$Z$1,0),0),"")</f>
        <v>EVE</v>
      </c>
      <c r="E453" s="6">
        <f t="shared" si="35"/>
        <v>29984.126984126982</v>
      </c>
      <c r="F453" s="5">
        <f t="shared" si="36"/>
        <v>0.10714285714285714</v>
      </c>
      <c r="G453" s="5">
        <f>IFERROR(IF(H453&lt;&gt;"",H453,VLOOKUP($A453,[1]FINAL!$A$1:$BZ$1000,MATCH([1]FINAL!$BL$1,[1]FINAL!$A$1:$BZ$1,0),0)),0)</f>
        <v>0.10714285714285714</v>
      </c>
      <c r="I453" s="5">
        <f>IFERROR(IF(J453&lt;&gt;"",J453,(IF(VLOOKUP($A453,#REF!,MATCH(#REF!,#REF!,0),0)=0,G453,VLOOKUP($A453,#REF!,MATCH(#REF!,#REF!,0),0)))),G453)</f>
        <v>0.10714285714285714</v>
      </c>
      <c r="K453" s="6">
        <f>IFERROR(VLOOKUP($A453,#REF!,MATCH(#REF!,#REF!,0),0),0)</f>
        <v>0</v>
      </c>
      <c r="L453" s="6">
        <f>IFERROR(VLOOKUP($A453,[1]FINAL!$A$1:$BZ$1000,MATCH([1]FINAL!$BF$1,[1]FINAL!$A$1:$BZ$1,0),0),0)</f>
        <v>77</v>
      </c>
      <c r="M453" s="7">
        <f t="shared" si="37"/>
        <v>0.85555555555555551</v>
      </c>
      <c r="N453" s="6">
        <f>IFERROR(VLOOKUP($A453,#REF!,MATCH(#REF!,#REF!,0),0),0)</f>
        <v>0</v>
      </c>
      <c r="O453" s="7">
        <f t="shared" si="38"/>
        <v>0</v>
      </c>
      <c r="P453" s="10" t="str">
        <f>IFERROR(VLOOKUP($A453,[1]FINAL!$A$1:$BZ$1000,MATCH([1]FINAL!$BB$1,[1]FINAL!$A$1:$BZ$1,0),0),"")</f>
        <v/>
      </c>
      <c r="Q453" s="18">
        <f t="shared" si="39"/>
        <v>1</v>
      </c>
    </row>
    <row r="454" spans="1:17" x14ac:dyDescent="0.25">
      <c r="A454" s="14" t="str">
        <f>[1]FINAL!$A326</f>
        <v>Jake O'Brien</v>
      </c>
      <c r="B454" s="20" t="str">
        <f>IFERROR(VLOOKUP($A454,[1]FINAL!$A$1:$Z$1000,MATCH([1]FINAL!$T$1,[1]FINAL!$A$1:$Z$1,0),0),"")</f>
        <v>DEF</v>
      </c>
      <c r="C454" s="3" t="str">
        <f>IFERROR(VLOOKUP($A454,[1]FINAL!$A$1:$Z$1000,MATCH([1]FINAL!$U$1,[1]FINAL!$A$1:$Z$1,0),0),"")</f>
        <v>RB</v>
      </c>
      <c r="D454" s="3" t="str">
        <f>IFERROR(VLOOKUP($A454,[1]FINAL!$A$1:$Z$1000,MATCH([1]FINAL!$V$1,[1]FINAL!$A$1:$Z$1,0),0),"")</f>
        <v>EVE</v>
      </c>
      <c r="E454" s="6">
        <f t="shared" si="35"/>
        <v>198855.85585585586</v>
      </c>
      <c r="F454" s="5">
        <f t="shared" si="36"/>
        <v>0.94594594594594594</v>
      </c>
      <c r="G454" s="5">
        <f>IFERROR(IF(H454&lt;&gt;"",H454,VLOOKUP($A454,[1]FINAL!$A$1:$BZ$1000,MATCH([1]FINAL!$BL$1,[1]FINAL!$A$1:$BZ$1,0),0)),0)</f>
        <v>0.94594594594594594</v>
      </c>
      <c r="I454" s="5">
        <f>IFERROR(IF(J454&lt;&gt;"",J454,(IF(VLOOKUP($A454,#REF!,MATCH(#REF!,#REF!,0),0)=0,G454,VLOOKUP($A454,#REF!,MATCH(#REF!,#REF!,0),0)))),G454)</f>
        <v>0.94594594594594594</v>
      </c>
      <c r="K454" s="6">
        <f>IFERROR(VLOOKUP($A454,#REF!,MATCH(#REF!,#REF!,0),0),0)</f>
        <v>0</v>
      </c>
      <c r="L454" s="6">
        <f>IFERROR(VLOOKUP($A454,[1]FINAL!$A$1:$BZ$1000,MATCH([1]FINAL!$BF$1,[1]FINAL!$A$1:$BZ$1,0),0),0)</f>
        <v>87</v>
      </c>
      <c r="M454" s="7">
        <f t="shared" si="37"/>
        <v>0.96666666666666667</v>
      </c>
      <c r="N454" s="6">
        <f>IFERROR(VLOOKUP($A454,#REF!,MATCH(#REF!,#REF!,0),0),0)</f>
        <v>0</v>
      </c>
      <c r="O454" s="7">
        <f t="shared" si="38"/>
        <v>0</v>
      </c>
      <c r="P454" s="10" t="str">
        <f>IFERROR(VLOOKUP($A454,[1]FINAL!$A$1:$BZ$1000,MATCH([1]FINAL!$BB$1,[1]FINAL!$A$1:$BZ$1,0),0),"")</f>
        <v/>
      </c>
      <c r="Q454" s="18">
        <f t="shared" si="39"/>
        <v>1</v>
      </c>
    </row>
    <row r="455" spans="1:17" x14ac:dyDescent="0.25">
      <c r="A455" s="14" t="str">
        <f>[1]FINAL!$A327</f>
        <v>Manuel Ugarte Ribeiro</v>
      </c>
      <c r="B455" s="20" t="str">
        <f>IFERROR(VLOOKUP($A455,[1]FINAL!$A$1:$Z$1000,MATCH([1]FINAL!$T$1,[1]FINAL!$A$1:$Z$1,0),0),"")</f>
        <v>MID</v>
      </c>
      <c r="C455" s="3" t="str">
        <f>IFERROR(VLOOKUP($A455,[1]FINAL!$A$1:$Z$1000,MATCH([1]FINAL!$U$1,[1]FINAL!$A$1:$Z$1,0),0),"")</f>
        <v>DM</v>
      </c>
      <c r="D455" s="3" t="str">
        <f>IFERROR(VLOOKUP($A455,[1]FINAL!$A$1:$Z$1000,MATCH([1]FINAL!$V$1,[1]FINAL!$A$1:$Z$1,0),0),"")</f>
        <v>MUN</v>
      </c>
      <c r="E455" s="6">
        <f t="shared" si="35"/>
        <v>5.2132132132132138</v>
      </c>
      <c r="F455" s="5">
        <f t="shared" si="36"/>
        <v>2.1621621621621624E-5</v>
      </c>
      <c r="G455" s="5">
        <f>IFERROR(IF(H455&lt;&gt;"",H455,VLOOKUP($A455,[1]FINAL!$A$1:$BZ$1000,MATCH([1]FINAL!$BL$1,[1]FINAL!$A$1:$BZ$1,0),0)),0)</f>
        <v>0.21621621621621623</v>
      </c>
      <c r="I455" s="5">
        <f>IFERROR(IF(J455&lt;&gt;"",J455,(IF(VLOOKUP($A455,#REF!,MATCH(#REF!,#REF!,0),0)=0,G455,VLOOKUP($A455,#REF!,MATCH(#REF!,#REF!,0),0)))),G455)</f>
        <v>0.21621621621621623</v>
      </c>
      <c r="K455" s="6">
        <f>IFERROR(VLOOKUP($A455,#REF!,MATCH(#REF!,#REF!,0),0),0)</f>
        <v>0</v>
      </c>
      <c r="L455" s="6">
        <f>IFERROR(VLOOKUP($A455,[1]FINAL!$A$1:$BZ$1000,MATCH([1]FINAL!$BF$1,[1]FINAL!$A$1:$BZ$1,0),0),0)</f>
        <v>80</v>
      </c>
      <c r="M455" s="7">
        <f t="shared" si="37"/>
        <v>0.88888888888888884</v>
      </c>
      <c r="N455" s="6">
        <f>IFERROR(VLOOKUP($A455,#REF!,MATCH(#REF!,#REF!,0),0),0)</f>
        <v>0</v>
      </c>
      <c r="O455" s="7">
        <f t="shared" si="38"/>
        <v>0</v>
      </c>
      <c r="P455" s="10">
        <f>IFERROR(VLOOKUP($A455,[1]FINAL!$A$1:$BZ$1000,MATCH([1]FINAL!$BB$1,[1]FINAL!$A$1:$BZ$1,0),0),"")</f>
        <v>0</v>
      </c>
      <c r="Q455" s="18">
        <f t="shared" si="39"/>
        <v>1E-4</v>
      </c>
    </row>
    <row r="456" spans="1:17" x14ac:dyDescent="0.25">
      <c r="A456" s="14" t="str">
        <f>[1]FINAL!$A328</f>
        <v>Harry Amass</v>
      </c>
      <c r="B456" s="20" t="str">
        <f>IFERROR(VLOOKUP($A456,[1]FINAL!$A$1:$Z$1000,MATCH([1]FINAL!$T$1,[1]FINAL!$A$1:$Z$1,0),0),"")</f>
        <v>DEF</v>
      </c>
      <c r="C456" s="3" t="str">
        <f>IFERROR(VLOOKUP($A456,[1]FINAL!$A$1:$Z$1000,MATCH([1]FINAL!$U$1,[1]FINAL!$A$1:$Z$1,0),0),"")</f>
        <v>LB</v>
      </c>
      <c r="D456" s="3" t="str">
        <f>IFERROR(VLOOKUP($A456,[1]FINAL!$A$1:$Z$1000,MATCH([1]FINAL!$V$1,[1]FINAL!$A$1:$Z$1,0),0),"")</f>
        <v>MUN</v>
      </c>
      <c r="E456" s="6">
        <f t="shared" si="35"/>
        <v>0</v>
      </c>
      <c r="F456" s="5">
        <f t="shared" si="36"/>
        <v>0</v>
      </c>
      <c r="G456" s="5">
        <f>IFERROR(IF(H456&lt;&gt;"",H456,VLOOKUP($A456,[1]FINAL!$A$1:$BZ$1000,MATCH([1]FINAL!$BL$1,[1]FINAL!$A$1:$BZ$1,0),0)),0)</f>
        <v>0</v>
      </c>
      <c r="I456" s="5">
        <f>IFERROR(IF(J456&lt;&gt;"",J456,(IF(VLOOKUP($A456,#REF!,MATCH(#REF!,#REF!,0),0)=0,G456,VLOOKUP($A456,#REF!,MATCH(#REF!,#REF!,0),0)))),G456)</f>
        <v>0</v>
      </c>
      <c r="K456" s="6">
        <f>IFERROR(VLOOKUP($A456,#REF!,MATCH(#REF!,#REF!,0),0),0)</f>
        <v>0</v>
      </c>
      <c r="L456" s="6">
        <f>IFERROR(VLOOKUP($A456,[1]FINAL!$A$1:$BZ$1000,MATCH([1]FINAL!$BF$1,[1]FINAL!$A$1:$BZ$1,0),0),0)</f>
        <v>0</v>
      </c>
      <c r="M456" s="7">
        <f t="shared" si="37"/>
        <v>0</v>
      </c>
      <c r="N456" s="6">
        <f>IFERROR(VLOOKUP($A456,#REF!,MATCH(#REF!,#REF!,0),0),0)</f>
        <v>0</v>
      </c>
      <c r="O456" s="7">
        <f t="shared" si="38"/>
        <v>0</v>
      </c>
      <c r="P456" s="10" t="str">
        <f>IFERROR(VLOOKUP($A456,[1]FINAL!$A$1:$BZ$1000,MATCH([1]FINAL!$BB$1,[1]FINAL!$A$1:$BZ$1,0),0),"")</f>
        <v/>
      </c>
      <c r="Q456" s="18">
        <f t="shared" si="39"/>
        <v>1</v>
      </c>
    </row>
    <row r="457" spans="1:17" x14ac:dyDescent="0.25">
      <c r="A457" s="14" t="str">
        <f>[1]FINAL!$A329</f>
        <v>Tom Heaton</v>
      </c>
      <c r="B457" s="20" t="str">
        <f>IFERROR(VLOOKUP($A457,[1]FINAL!$A$1:$Z$1000,MATCH([1]FINAL!$T$1,[1]FINAL!$A$1:$Z$1,0),0),"")</f>
        <v>GK</v>
      </c>
      <c r="C457" s="3" t="str">
        <f>IFERROR(VLOOKUP($A457,[1]FINAL!$A$1:$Z$1000,MATCH([1]FINAL!$U$1,[1]FINAL!$A$1:$Z$1,0),0),"")</f>
        <v>GK</v>
      </c>
      <c r="D457" s="3" t="str">
        <f>IFERROR(VLOOKUP($A457,[1]FINAL!$A$1:$Z$1000,MATCH([1]FINAL!$V$1,[1]FINAL!$A$1:$Z$1,0),0),"")</f>
        <v>MUN</v>
      </c>
      <c r="E457" s="6">
        <f t="shared" si="35"/>
        <v>0</v>
      </c>
      <c r="F457" s="5">
        <f t="shared" si="36"/>
        <v>0</v>
      </c>
      <c r="G457" s="5">
        <f>IFERROR(IF(H457&lt;&gt;"",H457,VLOOKUP($A457,[1]FINAL!$A$1:$BZ$1000,MATCH([1]FINAL!$BL$1,[1]FINAL!$A$1:$BZ$1,0),0)),0)</f>
        <v>0</v>
      </c>
      <c r="I457" s="5">
        <f>IFERROR(IF(J457&lt;&gt;"",J457,(IF(VLOOKUP($A457,#REF!,MATCH(#REF!,#REF!,0),0)=0,G457,VLOOKUP($A457,#REF!,MATCH(#REF!,#REF!,0),0)))),G457)</f>
        <v>0</v>
      </c>
      <c r="K457" s="6">
        <f>IFERROR(VLOOKUP($A457,#REF!,MATCH(#REF!,#REF!,0),0),0)</f>
        <v>0</v>
      </c>
      <c r="L457" s="6">
        <f>IFERROR(VLOOKUP($A457,[1]FINAL!$A$1:$BZ$1000,MATCH([1]FINAL!$BF$1,[1]FINAL!$A$1:$BZ$1,0),0),0)</f>
        <v>0</v>
      </c>
      <c r="M457" s="7">
        <f t="shared" si="37"/>
        <v>0</v>
      </c>
      <c r="N457" s="6">
        <f>IFERROR(VLOOKUP($A457,#REF!,MATCH(#REF!,#REF!,0),0),0)</f>
        <v>0</v>
      </c>
      <c r="O457" s="7">
        <f t="shared" si="38"/>
        <v>0</v>
      </c>
      <c r="P457" s="10" t="str">
        <f>IFERROR(VLOOKUP($A457,[1]FINAL!$A$1:$BZ$1000,MATCH([1]FINAL!$BB$1,[1]FINAL!$A$1:$BZ$1,0),0),"")</f>
        <v/>
      </c>
      <c r="Q457" s="18">
        <f t="shared" si="39"/>
        <v>1</v>
      </c>
    </row>
    <row r="458" spans="1:17" x14ac:dyDescent="0.25">
      <c r="A458" s="14" t="str">
        <f>[1]FINAL!$A333</f>
        <v>Joelinton Cássio Apolinário de Lira</v>
      </c>
      <c r="B458" s="20" t="str">
        <f>IFERROR(VLOOKUP($A458,[1]FINAL!$A$1:$Z$1000,MATCH([1]FINAL!$T$1,[1]FINAL!$A$1:$Z$1,0),0),"")</f>
        <v>MID</v>
      </c>
      <c r="C458" s="3" t="str">
        <f>IFERROR(VLOOKUP($A458,[1]FINAL!$A$1:$Z$1000,MATCH([1]FINAL!$U$1,[1]FINAL!$A$1:$Z$1,0),0),"")</f>
        <v>CM</v>
      </c>
      <c r="D458" s="3" t="str">
        <f>IFERROR(VLOOKUP($A458,[1]FINAL!$A$1:$Z$1000,MATCH([1]FINAL!$V$1,[1]FINAL!$A$1:$Z$1,0),0),"")</f>
        <v>NEW</v>
      </c>
      <c r="E458" s="6">
        <f t="shared" si="35"/>
        <v>121750</v>
      </c>
      <c r="F458" s="5">
        <f t="shared" si="36"/>
        <v>0.57500000000000007</v>
      </c>
      <c r="G458" s="5">
        <f>IFERROR(IF(H458&lt;&gt;"",H458,VLOOKUP($A458,[1]FINAL!$A$1:$BZ$1000,MATCH([1]FINAL!$BL$1,[1]FINAL!$A$1:$BZ$1,0),0)),0)</f>
        <v>0.76666666666666672</v>
      </c>
      <c r="I458" s="5">
        <f>IFERROR(IF(J458&lt;&gt;"",J458,(IF(VLOOKUP($A458,#REF!,MATCH(#REF!,#REF!,0),0)=0,G458,VLOOKUP($A458,#REF!,MATCH(#REF!,#REF!,0),0)))),G458)</f>
        <v>0.76666666666666672</v>
      </c>
      <c r="K458" s="6">
        <f>IFERROR(VLOOKUP($A458,#REF!,MATCH(#REF!,#REF!,0),0),0)</f>
        <v>0</v>
      </c>
      <c r="L458" s="6">
        <f>IFERROR(VLOOKUP($A458,[1]FINAL!$A$1:$BZ$1000,MATCH([1]FINAL!$BF$1,[1]FINAL!$A$1:$BZ$1,0),0),0)</f>
        <v>81</v>
      </c>
      <c r="M458" s="7">
        <f t="shared" si="37"/>
        <v>0.9</v>
      </c>
      <c r="N458" s="6">
        <f>IFERROR(VLOOKUP($A458,#REF!,MATCH(#REF!,#REF!,0),0),0)</f>
        <v>0</v>
      </c>
      <c r="O458" s="7">
        <f t="shared" si="38"/>
        <v>0</v>
      </c>
      <c r="P458" s="10">
        <f>IFERROR(VLOOKUP($A458,[1]FINAL!$A$1:$BZ$1000,MATCH([1]FINAL!$BB$1,[1]FINAL!$A$1:$BZ$1,0),0),"")</f>
        <v>75</v>
      </c>
      <c r="Q458" s="18">
        <f t="shared" si="39"/>
        <v>0.75</v>
      </c>
    </row>
    <row r="459" spans="1:17" x14ac:dyDescent="0.25">
      <c r="A459" s="14" t="str">
        <f>[1]FINAL!$A339</f>
        <v>Igor Julio dos Santos de Paulo</v>
      </c>
      <c r="B459" s="20" t="str">
        <f>IFERROR(VLOOKUP($A459,[1]FINAL!$A$1:$Z$1000,MATCH([1]FINAL!$T$1,[1]FINAL!$A$1:$Z$1,0),0),"")</f>
        <v>DEF</v>
      </c>
      <c r="C459" s="3" t="str">
        <f>IFERROR(VLOOKUP($A459,[1]FINAL!$A$1:$Z$1000,MATCH([1]FINAL!$U$1,[1]FINAL!$A$1:$Z$1,0),0),"")</f>
        <v>CB</v>
      </c>
      <c r="D459" s="3" t="str">
        <f>IFERROR(VLOOKUP($A459,[1]FINAL!$A$1:$Z$1000,MATCH([1]FINAL!$V$1,[1]FINAL!$A$1:$Z$1,0),0),"")</f>
        <v>BHA</v>
      </c>
      <c r="E459" s="6">
        <f t="shared" si="35"/>
        <v>25384.615384615383</v>
      </c>
      <c r="F459" s="5">
        <f t="shared" si="36"/>
        <v>7.6923076923076927E-2</v>
      </c>
      <c r="G459" s="5">
        <f>IFERROR(IF(H459&lt;&gt;"",H459,VLOOKUP($A459,[1]FINAL!$A$1:$BZ$1000,MATCH([1]FINAL!$BL$1,[1]FINAL!$A$1:$BZ$1,0),0)),0)</f>
        <v>7.6923076923076927E-2</v>
      </c>
      <c r="I459" s="5">
        <f>IFERROR(IF(J459&lt;&gt;"",J459,(IF(VLOOKUP($A459,#REF!,MATCH(#REF!,#REF!,0),0)=0,G459,VLOOKUP($A459,#REF!,MATCH(#REF!,#REF!,0),0)))),G459)</f>
        <v>7.6923076923076927E-2</v>
      </c>
      <c r="K459" s="6">
        <f>IFERROR(VLOOKUP($A459,#REF!,MATCH(#REF!,#REF!,0),0),0)</f>
        <v>0</v>
      </c>
      <c r="L459" s="6">
        <f>IFERROR(VLOOKUP($A459,[1]FINAL!$A$1:$BZ$1000,MATCH([1]FINAL!$BF$1,[1]FINAL!$A$1:$BZ$1,0),0),0)</f>
        <v>90</v>
      </c>
      <c r="M459" s="7">
        <f t="shared" si="37"/>
        <v>1</v>
      </c>
      <c r="N459" s="6">
        <f>IFERROR(VLOOKUP($A459,#REF!,MATCH(#REF!,#REF!,0),0),0)</f>
        <v>0</v>
      </c>
      <c r="O459" s="7">
        <f t="shared" si="38"/>
        <v>0</v>
      </c>
      <c r="P459" s="10" t="str">
        <f>IFERROR(VLOOKUP($A459,[1]FINAL!$A$1:$BZ$1000,MATCH([1]FINAL!$BB$1,[1]FINAL!$A$1:$BZ$1,0),0),"")</f>
        <v/>
      </c>
      <c r="Q459" s="18">
        <f t="shared" si="39"/>
        <v>1</v>
      </c>
    </row>
    <row r="460" spans="1:17" x14ac:dyDescent="0.25">
      <c r="A460" s="14" t="str">
        <f>[1]FINAL!$A340</f>
        <v>Kristoffer Ajer</v>
      </c>
      <c r="B460" s="20" t="str">
        <f>IFERROR(VLOOKUP($A460,[1]FINAL!$A$1:$Z$1000,MATCH([1]FINAL!$T$1,[1]FINAL!$A$1:$Z$1,0),0),"")</f>
        <v>DEF</v>
      </c>
      <c r="C460" s="3" t="str">
        <f>IFERROR(VLOOKUP($A460,[1]FINAL!$A$1:$Z$1000,MATCH([1]FINAL!$U$1,[1]FINAL!$A$1:$Z$1,0),0),"")</f>
        <v>CB</v>
      </c>
      <c r="D460" s="3" t="str">
        <f>IFERROR(VLOOKUP($A460,[1]FINAL!$A$1:$Z$1000,MATCH([1]FINAL!$V$1,[1]FINAL!$A$1:$Z$1,0),0),"")</f>
        <v>BRE</v>
      </c>
      <c r="E460" s="6">
        <f t="shared" si="35"/>
        <v>120333.33333333333</v>
      </c>
      <c r="F460" s="5">
        <f t="shared" si="36"/>
        <v>0.55555555555555558</v>
      </c>
      <c r="G460" s="5">
        <f>IFERROR(IF(H460&lt;&gt;"",H460,VLOOKUP($A460,[1]FINAL!$A$1:$BZ$1000,MATCH([1]FINAL!$BL$1,[1]FINAL!$A$1:$BZ$1,0),0)),0)</f>
        <v>0.55555555555555558</v>
      </c>
      <c r="I460" s="5">
        <f>IFERROR(IF(J460&lt;&gt;"",J460,(IF(VLOOKUP($A460,#REF!,MATCH(#REF!,#REF!,0),0)=0,G460,VLOOKUP($A460,#REF!,MATCH(#REF!,#REF!,0),0)))),G460)</f>
        <v>0.55555555555555558</v>
      </c>
      <c r="K460" s="6">
        <f>IFERROR(VLOOKUP($A460,#REF!,MATCH(#REF!,#REF!,0),0),0)</f>
        <v>0</v>
      </c>
      <c r="L460" s="6">
        <f>IFERROR(VLOOKUP($A460,[1]FINAL!$A$1:$BZ$1000,MATCH([1]FINAL!$BF$1,[1]FINAL!$A$1:$BZ$1,0),0),0)</f>
        <v>83</v>
      </c>
      <c r="M460" s="7">
        <f t="shared" si="37"/>
        <v>0.92222222222222228</v>
      </c>
      <c r="N460" s="6">
        <f>IFERROR(VLOOKUP($A460,#REF!,MATCH(#REF!,#REF!,0),0),0)</f>
        <v>0</v>
      </c>
      <c r="O460" s="7">
        <f t="shared" si="38"/>
        <v>0</v>
      </c>
      <c r="P460" s="10" t="str">
        <f>IFERROR(VLOOKUP($A460,[1]FINAL!$A$1:$BZ$1000,MATCH([1]FINAL!$BB$1,[1]FINAL!$A$1:$BZ$1,0),0),"")</f>
        <v/>
      </c>
      <c r="Q460" s="18">
        <f t="shared" si="39"/>
        <v>1</v>
      </c>
    </row>
    <row r="461" spans="1:17" x14ac:dyDescent="0.25">
      <c r="A461" s="14" t="str">
        <f>[1]FINAL!$A341</f>
        <v>Boubacar Kamara</v>
      </c>
      <c r="B461" s="20" t="str">
        <f>IFERROR(VLOOKUP($A461,[1]FINAL!$A$1:$Z$1000,MATCH([1]FINAL!$T$1,[1]FINAL!$A$1:$Z$1,0),0),"")</f>
        <v>MID</v>
      </c>
      <c r="C461" s="3" t="str">
        <f>IFERROR(VLOOKUP($A461,[1]FINAL!$A$1:$Z$1000,MATCH([1]FINAL!$U$1,[1]FINAL!$A$1:$Z$1,0),0),"")</f>
        <v>DM</v>
      </c>
      <c r="D461" s="3" t="str">
        <f>IFERROR(VLOOKUP($A461,[1]FINAL!$A$1:$Z$1000,MATCH([1]FINAL!$V$1,[1]FINAL!$A$1:$Z$1,0),0),"")</f>
        <v>AVL</v>
      </c>
      <c r="E461" s="6">
        <f t="shared" si="35"/>
        <v>148500</v>
      </c>
      <c r="F461" s="5">
        <f t="shared" si="36"/>
        <v>0.70833333333333326</v>
      </c>
      <c r="G461" s="5">
        <f>IFERROR(IF(H461&lt;&gt;"",H461,VLOOKUP($A461,[1]FINAL!$A$1:$BZ$1000,MATCH([1]FINAL!$BL$1,[1]FINAL!$A$1:$BZ$1,0),0)),0)</f>
        <v>0.94444444444444442</v>
      </c>
      <c r="I461" s="5">
        <f>IFERROR(IF(J461&lt;&gt;"",J461,(IF(VLOOKUP($A461,#REF!,MATCH(#REF!,#REF!,0),0)=0,G461,VLOOKUP($A461,#REF!,MATCH(#REF!,#REF!,0),0)))),G461)</f>
        <v>0.94444444444444442</v>
      </c>
      <c r="K461" s="6">
        <f>IFERROR(VLOOKUP($A461,#REF!,MATCH(#REF!,#REF!,0),0),0)</f>
        <v>0</v>
      </c>
      <c r="L461" s="6">
        <f>IFERROR(VLOOKUP($A461,[1]FINAL!$A$1:$BZ$1000,MATCH([1]FINAL!$BF$1,[1]FINAL!$A$1:$BZ$1,0),0),0)</f>
        <v>82</v>
      </c>
      <c r="M461" s="7">
        <f t="shared" si="37"/>
        <v>0.91111111111111109</v>
      </c>
      <c r="N461" s="6">
        <f>IFERROR(VLOOKUP($A461,#REF!,MATCH(#REF!,#REF!,0),0),0)</f>
        <v>0</v>
      </c>
      <c r="O461" s="7">
        <f t="shared" si="38"/>
        <v>0</v>
      </c>
      <c r="P461" s="10">
        <f>IFERROR(VLOOKUP($A461,[1]FINAL!$A$1:$BZ$1000,MATCH([1]FINAL!$BB$1,[1]FINAL!$A$1:$BZ$1,0),0),"")</f>
        <v>75</v>
      </c>
      <c r="Q461" s="18">
        <f t="shared" si="39"/>
        <v>0.75</v>
      </c>
    </row>
    <row r="462" spans="1:17" x14ac:dyDescent="0.25">
      <c r="A462" s="14" t="str">
        <f>[1]FINAL!$A342</f>
        <v>Adam Smith</v>
      </c>
      <c r="B462" s="20" t="str">
        <f>IFERROR(VLOOKUP($A462,[1]FINAL!$A$1:$Z$1000,MATCH([1]FINAL!$T$1,[1]FINAL!$A$1:$Z$1,0),0),"")</f>
        <v>DEF</v>
      </c>
      <c r="C462" s="3" t="str">
        <f>IFERROR(VLOOKUP($A462,[1]FINAL!$A$1:$Z$1000,MATCH([1]FINAL!$U$1,[1]FINAL!$A$1:$Z$1,0),0),"")</f>
        <v>RB</v>
      </c>
      <c r="D462" s="3" t="str">
        <f>IFERROR(VLOOKUP($A462,[1]FINAL!$A$1:$Z$1000,MATCH([1]FINAL!$V$1,[1]FINAL!$A$1:$Z$1,0),0),"")</f>
        <v>BOU</v>
      </c>
      <c r="E462" s="6">
        <f t="shared" si="35"/>
        <v>92959.595959595958</v>
      </c>
      <c r="F462" s="5">
        <f t="shared" si="36"/>
        <v>0.42424242424242425</v>
      </c>
      <c r="G462" s="5">
        <f>IFERROR(IF(H462&lt;&gt;"",H462,VLOOKUP($A462,[1]FINAL!$A$1:$BZ$1000,MATCH([1]FINAL!$BL$1,[1]FINAL!$A$1:$BZ$1,0),0)),0)</f>
        <v>0.42424242424242425</v>
      </c>
      <c r="I462" s="5">
        <f>IFERROR(IF(J462&lt;&gt;"",J462,(IF(VLOOKUP($A462,#REF!,MATCH(#REF!,#REF!,0),0)=0,G462,VLOOKUP($A462,#REF!,MATCH(#REF!,#REF!,0),0)))),G462)</f>
        <v>0.42424242424242425</v>
      </c>
      <c r="K462" s="6">
        <f>IFERROR(VLOOKUP($A462,#REF!,MATCH(#REF!,#REF!,0),0),0)</f>
        <v>0</v>
      </c>
      <c r="L462" s="6">
        <f>IFERROR(VLOOKUP($A462,[1]FINAL!$A$1:$BZ$1000,MATCH([1]FINAL!$BF$1,[1]FINAL!$A$1:$BZ$1,0),0),0)</f>
        <v>73</v>
      </c>
      <c r="M462" s="7">
        <f t="shared" si="37"/>
        <v>0.81111111111111112</v>
      </c>
      <c r="N462" s="6">
        <f>IFERROR(VLOOKUP($A462,#REF!,MATCH(#REF!,#REF!,0),0),0)</f>
        <v>0</v>
      </c>
      <c r="O462" s="7">
        <f t="shared" si="38"/>
        <v>0</v>
      </c>
      <c r="P462" s="10" t="str">
        <f>IFERROR(VLOOKUP($A462,[1]FINAL!$A$1:$BZ$1000,MATCH([1]FINAL!$BB$1,[1]FINAL!$A$1:$BZ$1,0),0),"")</f>
        <v/>
      </c>
      <c r="Q462" s="18">
        <f t="shared" si="39"/>
        <v>1</v>
      </c>
    </row>
    <row r="463" spans="1:17" x14ac:dyDescent="0.25">
      <c r="A463" s="14" t="str">
        <f>[1]FINAL!$A349</f>
        <v>Luke O'Nien</v>
      </c>
      <c r="B463" s="20" t="str">
        <f>IFERROR(VLOOKUP($A463,[1]FINAL!$A$1:$Z$1000,MATCH([1]FINAL!$T$1,[1]FINAL!$A$1:$Z$1,0),0),"")</f>
        <v>DEF</v>
      </c>
      <c r="C463" s="3" t="str">
        <f>IFERROR(VLOOKUP($A463,[1]FINAL!$A$1:$Z$1000,MATCH([1]FINAL!$U$1,[1]FINAL!$A$1:$Z$1,0),0),"")</f>
        <v>CB</v>
      </c>
      <c r="D463" s="3" t="str">
        <f>IFERROR(VLOOKUP($A463,[1]FINAL!$A$1:$Z$1000,MATCH([1]FINAL!$V$1,[1]FINAL!$A$1:$Z$1,0),0),"")</f>
        <v>SUN</v>
      </c>
      <c r="E463" s="6">
        <f t="shared" si="35"/>
        <v>44482.758620689659</v>
      </c>
      <c r="F463" s="5">
        <f t="shared" si="36"/>
        <v>0.17241379310344829</v>
      </c>
      <c r="G463" s="5">
        <f>IFERROR(IF(H463&lt;&gt;"",H463,VLOOKUP($A463,[1]FINAL!$A$1:$BZ$1000,MATCH([1]FINAL!$BL$1,[1]FINAL!$A$1:$BZ$1,0),0)),0)</f>
        <v>0.17241379310344829</v>
      </c>
      <c r="I463" s="5">
        <f>IFERROR(IF(J463&lt;&gt;"",J463,(IF(VLOOKUP($A463,#REF!,MATCH(#REF!,#REF!,0),0)=0,G463,VLOOKUP($A463,#REF!,MATCH(#REF!,#REF!,0),0)))),G463)</f>
        <v>0.17241379310344829</v>
      </c>
      <c r="K463" s="6">
        <f>IFERROR(VLOOKUP($A463,#REF!,MATCH(#REF!,#REF!,0),0),0)</f>
        <v>0</v>
      </c>
      <c r="L463" s="6">
        <f>IFERROR(VLOOKUP($A463,[1]FINAL!$A$1:$BZ$1000,MATCH([1]FINAL!$BF$1,[1]FINAL!$A$1:$BZ$1,0),0),0)</f>
        <v>90</v>
      </c>
      <c r="M463" s="7">
        <f t="shared" si="37"/>
        <v>1</v>
      </c>
      <c r="N463" s="6">
        <f>IFERROR(VLOOKUP($A463,#REF!,MATCH(#REF!,#REF!,0),0),0)</f>
        <v>0</v>
      </c>
      <c r="O463" s="7">
        <f t="shared" si="38"/>
        <v>0</v>
      </c>
      <c r="P463" s="10" t="str">
        <f>IFERROR(VLOOKUP($A463,[1]FINAL!$A$1:$BZ$1000,MATCH([1]FINAL!$BB$1,[1]FINAL!$A$1:$BZ$1,0),0),"")</f>
        <v/>
      </c>
      <c r="Q463" s="18">
        <f t="shared" si="39"/>
        <v>1</v>
      </c>
    </row>
    <row r="464" spans="1:17" x14ac:dyDescent="0.25">
      <c r="A464" s="14" t="str">
        <f>[1]FINAL!$A350</f>
        <v>Axel Disasi</v>
      </c>
      <c r="B464" s="20" t="str">
        <f>IFERROR(VLOOKUP($A464,[1]FINAL!$A$1:$Z$1000,MATCH([1]FINAL!$T$1,[1]FINAL!$A$1:$Z$1,0),0),"")</f>
        <v>DEF</v>
      </c>
      <c r="C464" s="3" t="str">
        <f>IFERROR(VLOOKUP($A464,[1]FINAL!$A$1:$Z$1000,MATCH([1]FINAL!$U$1,[1]FINAL!$A$1:$Z$1,0),0),"")</f>
        <v>CB</v>
      </c>
      <c r="D464" s="3" t="str">
        <f>IFERROR(VLOOKUP($A464,[1]FINAL!$A$1:$Z$1000,MATCH([1]FINAL!$V$1,[1]FINAL!$A$1:$Z$1,0),0),"")</f>
        <v>CHE</v>
      </c>
      <c r="E464" s="6">
        <f t="shared" si="35"/>
        <v>210000</v>
      </c>
      <c r="F464" s="5">
        <f t="shared" si="36"/>
        <v>1</v>
      </c>
      <c r="G464" s="5">
        <f>IFERROR(IF(H464&lt;&gt;"",H464,VLOOKUP($A464,[1]FINAL!$A$1:$BZ$1000,MATCH([1]FINAL!$BL$1,[1]FINAL!$A$1:$BZ$1,0),0)),0)</f>
        <v>1</v>
      </c>
      <c r="I464" s="5">
        <f>IFERROR(IF(J464&lt;&gt;"",J464,(IF(VLOOKUP($A464,#REF!,MATCH(#REF!,#REF!,0),0)=0,G464,VLOOKUP($A464,#REF!,MATCH(#REF!,#REF!,0),0)))),G464)</f>
        <v>1</v>
      </c>
      <c r="K464" s="6">
        <f>IFERROR(VLOOKUP($A464,#REF!,MATCH(#REF!,#REF!,0),0),0)</f>
        <v>0</v>
      </c>
      <c r="L464" s="6">
        <f>IFERROR(VLOOKUP($A464,[1]FINAL!$A$1:$BZ$1000,MATCH([1]FINAL!$BF$1,[1]FINAL!$A$1:$BZ$1,0),0),0)</f>
        <v>90</v>
      </c>
      <c r="M464" s="7">
        <f t="shared" si="37"/>
        <v>1</v>
      </c>
      <c r="N464" s="6">
        <f>IFERROR(VLOOKUP($A464,#REF!,MATCH(#REF!,#REF!,0),0),0)</f>
        <v>0</v>
      </c>
      <c r="O464" s="7">
        <f t="shared" si="38"/>
        <v>0</v>
      </c>
      <c r="P464" s="10" t="str">
        <f>IFERROR(VLOOKUP($A464,[1]FINAL!$A$1:$BZ$1000,MATCH([1]FINAL!$BB$1,[1]FINAL!$A$1:$BZ$1,0),0),"")</f>
        <v/>
      </c>
      <c r="Q464" s="18">
        <f t="shared" si="39"/>
        <v>1</v>
      </c>
    </row>
    <row r="465" spans="1:17" x14ac:dyDescent="0.25">
      <c r="A465" s="14" t="str">
        <f>[1]FINAL!$A352</f>
        <v>Sander Berge</v>
      </c>
      <c r="B465" s="20" t="str">
        <f>IFERROR(VLOOKUP($A465,[1]FINAL!$A$1:$Z$1000,MATCH([1]FINAL!$T$1,[1]FINAL!$A$1:$Z$1,0),0),"")</f>
        <v>MID</v>
      </c>
      <c r="C465" s="3" t="str">
        <f>IFERROR(VLOOKUP($A465,[1]FINAL!$A$1:$Z$1000,MATCH([1]FINAL!$U$1,[1]FINAL!$A$1:$Z$1,0),0),"")</f>
        <v>DM</v>
      </c>
      <c r="D465" s="3" t="str">
        <f>IFERROR(VLOOKUP($A465,[1]FINAL!$A$1:$Z$1000,MATCH([1]FINAL!$V$1,[1]FINAL!$A$1:$Z$1,0),0),"")</f>
        <v>FUL</v>
      </c>
      <c r="E465" s="6">
        <f t="shared" si="35"/>
        <v>193228.22822822822</v>
      </c>
      <c r="F465" s="5">
        <f t="shared" si="36"/>
        <v>0.91891891891891897</v>
      </c>
      <c r="G465" s="5">
        <f>IFERROR(IF(H465&lt;&gt;"",H465,VLOOKUP($A465,[1]FINAL!$A$1:$BZ$1000,MATCH([1]FINAL!$BL$1,[1]FINAL!$A$1:$BZ$1,0),0)),0)</f>
        <v>0.91891891891891897</v>
      </c>
      <c r="I465" s="5">
        <f>IFERROR(IF(J465&lt;&gt;"",J465,(IF(VLOOKUP($A465,#REF!,MATCH(#REF!,#REF!,0),0)=0,G465,VLOOKUP($A465,#REF!,MATCH(#REF!,#REF!,0),0)))),G465)</f>
        <v>0.91891891891891897</v>
      </c>
      <c r="K465" s="6">
        <f>IFERROR(VLOOKUP($A465,#REF!,MATCH(#REF!,#REF!,0),0),0)</f>
        <v>0</v>
      </c>
      <c r="L465" s="6">
        <f>IFERROR(VLOOKUP($A465,[1]FINAL!$A$1:$BZ$1000,MATCH([1]FINAL!$BF$1,[1]FINAL!$A$1:$BZ$1,0),0),0)</f>
        <v>85</v>
      </c>
      <c r="M465" s="7">
        <f t="shared" si="37"/>
        <v>0.94444444444444442</v>
      </c>
      <c r="N465" s="6">
        <f>IFERROR(VLOOKUP($A465,#REF!,MATCH(#REF!,#REF!,0),0),0)</f>
        <v>0</v>
      </c>
      <c r="O465" s="7">
        <f t="shared" si="38"/>
        <v>0</v>
      </c>
      <c r="P465" s="10" t="str">
        <f>IFERROR(VLOOKUP($A465,[1]FINAL!$A$1:$BZ$1000,MATCH([1]FINAL!$BB$1,[1]FINAL!$A$1:$BZ$1,0),0),"")</f>
        <v/>
      </c>
      <c r="Q465" s="18">
        <f t="shared" si="39"/>
        <v>1</v>
      </c>
    </row>
    <row r="466" spans="1:17" x14ac:dyDescent="0.25">
      <c r="A466" s="14" t="str">
        <f>[1]FINAL!$A353</f>
        <v>Endo Wataru</v>
      </c>
      <c r="B466" s="20" t="str">
        <f>IFERROR(VLOOKUP($A466,[1]FINAL!$A$1:$Z$1000,MATCH([1]FINAL!$T$1,[1]FINAL!$A$1:$Z$1,0),0),"")</f>
        <v>MID</v>
      </c>
      <c r="C466" s="3" t="str">
        <f>IFERROR(VLOOKUP($A466,[1]FINAL!$A$1:$Z$1000,MATCH([1]FINAL!$U$1,[1]FINAL!$A$1:$Z$1,0),0),"")</f>
        <v>DM</v>
      </c>
      <c r="D466" s="3" t="str">
        <f>IFERROR(VLOOKUP($A466,[1]FINAL!$A$1:$Z$1000,MATCH([1]FINAL!$V$1,[1]FINAL!$A$1:$Z$1,0),0),"")</f>
        <v>LIV</v>
      </c>
      <c r="E466" s="6">
        <f t="shared" si="35"/>
        <v>13166.666666666666</v>
      </c>
      <c r="F466" s="5">
        <f t="shared" si="36"/>
        <v>3.7500000000000006E-2</v>
      </c>
      <c r="G466" s="5">
        <f>IFERROR(IF(H466&lt;&gt;"",H466,VLOOKUP($A466,[1]FINAL!$A$1:$BZ$1000,MATCH([1]FINAL!$BL$1,[1]FINAL!$A$1:$BZ$1,0),0)),0)</f>
        <v>0.05</v>
      </c>
      <c r="I466" s="5">
        <f>IFERROR(IF(J466&lt;&gt;"",J466,(IF(VLOOKUP($A466,#REF!,MATCH(#REF!,#REF!,0),0)=0,G466,VLOOKUP($A466,#REF!,MATCH(#REF!,#REF!,0),0)))),G466)</f>
        <v>0.05</v>
      </c>
      <c r="K466" s="6">
        <f>IFERROR(VLOOKUP($A466,#REF!,MATCH(#REF!,#REF!,0),0),0)</f>
        <v>0</v>
      </c>
      <c r="L466" s="6">
        <f>IFERROR(VLOOKUP($A466,[1]FINAL!$A$1:$BZ$1000,MATCH([1]FINAL!$BF$1,[1]FINAL!$A$1:$BZ$1,0),0),0)</f>
        <v>68</v>
      </c>
      <c r="M466" s="7">
        <f t="shared" si="37"/>
        <v>0.75555555555555554</v>
      </c>
      <c r="N466" s="6">
        <f>IFERROR(VLOOKUP($A466,#REF!,MATCH(#REF!,#REF!,0),0),0)</f>
        <v>0</v>
      </c>
      <c r="O466" s="7">
        <f t="shared" si="38"/>
        <v>0</v>
      </c>
      <c r="P466" s="10">
        <f>IFERROR(VLOOKUP($A466,[1]FINAL!$A$1:$BZ$1000,MATCH([1]FINAL!$BB$1,[1]FINAL!$A$1:$BZ$1,0),0),"")</f>
        <v>75</v>
      </c>
      <c r="Q466" s="18">
        <f t="shared" si="39"/>
        <v>0.75</v>
      </c>
    </row>
    <row r="467" spans="1:17" x14ac:dyDescent="0.25">
      <c r="A467" s="14" t="str">
        <f>[1]FINAL!$A354</f>
        <v>Andrés García</v>
      </c>
      <c r="B467" s="20" t="str">
        <f>IFERROR(VLOOKUP($A467,[1]FINAL!$A$1:$Z$1000,MATCH([1]FINAL!$T$1,[1]FINAL!$A$1:$Z$1,0),0),"")</f>
        <v>DEF</v>
      </c>
      <c r="C467" s="3" t="str">
        <f>IFERROR(VLOOKUP($A467,[1]FINAL!$A$1:$Z$1000,MATCH([1]FINAL!$U$1,[1]FINAL!$A$1:$Z$1,0),0),"")</f>
        <v/>
      </c>
      <c r="D467" s="3" t="str">
        <f>IFERROR(VLOOKUP($A467,[1]FINAL!$A$1:$Z$1000,MATCH([1]FINAL!$V$1,[1]FINAL!$A$1:$Z$1,0),0),"")</f>
        <v>AVL</v>
      </c>
      <c r="E467" s="6">
        <f t="shared" si="35"/>
        <v>18333.333333333336</v>
      </c>
      <c r="F467" s="5">
        <f t="shared" si="36"/>
        <v>6.6666666666666666E-2</v>
      </c>
      <c r="G467" s="5">
        <f>IFERROR(IF(H467&lt;&gt;"",H467,VLOOKUP($A467,[1]FINAL!$A$1:$BZ$1000,MATCH([1]FINAL!$BL$1,[1]FINAL!$A$1:$BZ$1,0),0)),0)</f>
        <v>6.6666666666666666E-2</v>
      </c>
      <c r="I467" s="5">
        <f>IFERROR(IF(J467&lt;&gt;"",J467,(IF(VLOOKUP($A467,#REF!,MATCH(#REF!,#REF!,0),0)=0,G467,VLOOKUP($A467,#REF!,MATCH(#REF!,#REF!,0),0)))),G467)</f>
        <v>6.6666666666666666E-2</v>
      </c>
      <c r="K467" s="6">
        <f>IFERROR(VLOOKUP($A467,#REF!,MATCH(#REF!,#REF!,0),0),0)</f>
        <v>0</v>
      </c>
      <c r="L467" s="6">
        <f>IFERROR(VLOOKUP($A467,[1]FINAL!$A$1:$BZ$1000,MATCH([1]FINAL!$BF$1,[1]FINAL!$A$1:$BZ$1,0),0),0)</f>
        <v>45</v>
      </c>
      <c r="M467" s="7">
        <f t="shared" si="37"/>
        <v>0.5</v>
      </c>
      <c r="N467" s="6">
        <f>IFERROR(VLOOKUP($A467,#REF!,MATCH(#REF!,#REF!,0),0),0)</f>
        <v>0</v>
      </c>
      <c r="O467" s="7">
        <f t="shared" si="38"/>
        <v>0</v>
      </c>
      <c r="P467" s="10" t="str">
        <f>IFERROR(VLOOKUP($A467,[1]FINAL!$A$1:$BZ$1000,MATCH([1]FINAL!$BB$1,[1]FINAL!$A$1:$BZ$1,0),0),"")</f>
        <v/>
      </c>
      <c r="Q467" s="18">
        <f t="shared" si="39"/>
        <v>1</v>
      </c>
    </row>
    <row r="468" spans="1:17" x14ac:dyDescent="0.25">
      <c r="A468" s="14" t="str">
        <f>[1]FINAL!$A360</f>
        <v>Felipe Rodrigues da Silva</v>
      </c>
      <c r="B468" s="20" t="str">
        <f>IFERROR(VLOOKUP($A468,[1]FINAL!$A$1:$Z$1000,MATCH([1]FINAL!$T$1,[1]FINAL!$A$1:$Z$1,0),0),"")</f>
        <v>DEF</v>
      </c>
      <c r="C468" s="3" t="str">
        <f>IFERROR(VLOOKUP($A468,[1]FINAL!$A$1:$Z$1000,MATCH([1]FINAL!$U$1,[1]FINAL!$A$1:$Z$1,0),0),"")</f>
        <v>CB</v>
      </c>
      <c r="D468" s="3" t="str">
        <f>IFERROR(VLOOKUP($A468,[1]FINAL!$A$1:$Z$1000,MATCH([1]FINAL!$V$1,[1]FINAL!$A$1:$Z$1,0),0),"")</f>
        <v>NFO</v>
      </c>
      <c r="E468" s="6">
        <f t="shared" si="35"/>
        <v>85564.564564564571</v>
      </c>
      <c r="F468" s="5">
        <f t="shared" si="36"/>
        <v>0.3783783783783784</v>
      </c>
      <c r="G468" s="5">
        <f>IFERROR(IF(H468&lt;&gt;"",H468,VLOOKUP($A468,[1]FINAL!$A$1:$BZ$1000,MATCH([1]FINAL!$BL$1,[1]FINAL!$A$1:$BZ$1,0),0)),0)</f>
        <v>0.3783783783783784</v>
      </c>
      <c r="I468" s="5">
        <f>IFERROR(IF(J468&lt;&gt;"",J468,(IF(VLOOKUP($A468,#REF!,MATCH(#REF!,#REF!,0),0)=0,G468,VLOOKUP($A468,#REF!,MATCH(#REF!,#REF!,0),0)))),G468)</f>
        <v>0.3783783783783784</v>
      </c>
      <c r="K468" s="6">
        <f>IFERROR(VLOOKUP($A468,#REF!,MATCH(#REF!,#REF!,0),0),0)</f>
        <v>0</v>
      </c>
      <c r="L468" s="6">
        <f>IFERROR(VLOOKUP($A468,[1]FINAL!$A$1:$BZ$1000,MATCH([1]FINAL!$BF$1,[1]FINAL!$A$1:$BZ$1,0),0),0)</f>
        <v>89</v>
      </c>
      <c r="M468" s="7">
        <f t="shared" si="37"/>
        <v>0.98888888888888893</v>
      </c>
      <c r="N468" s="6">
        <f>IFERROR(VLOOKUP($A468,#REF!,MATCH(#REF!,#REF!,0),0),0)</f>
        <v>0</v>
      </c>
      <c r="O468" s="7">
        <f t="shared" si="38"/>
        <v>0</v>
      </c>
      <c r="P468" s="10" t="str">
        <f>IFERROR(VLOOKUP($A468,[1]FINAL!$A$1:$BZ$1000,MATCH([1]FINAL!$BB$1,[1]FINAL!$A$1:$BZ$1,0),0),"")</f>
        <v/>
      </c>
      <c r="Q468" s="18">
        <f t="shared" si="39"/>
        <v>1</v>
      </c>
    </row>
    <row r="469" spans="1:17" x14ac:dyDescent="0.25">
      <c r="A469" s="14" t="str">
        <f>[1]FINAL!$A363</f>
        <v>Lewis Cook</v>
      </c>
      <c r="B469" s="20" t="str">
        <f>IFERROR(VLOOKUP($A469,[1]FINAL!$A$1:$Z$1000,MATCH([1]FINAL!$T$1,[1]FINAL!$A$1:$Z$1,0),0),"")</f>
        <v>MID</v>
      </c>
      <c r="C469" s="3" t="str">
        <f>IFERROR(VLOOKUP($A469,[1]FINAL!$A$1:$Z$1000,MATCH([1]FINAL!$U$1,[1]FINAL!$A$1:$Z$1,0),0),"")</f>
        <v>CM</v>
      </c>
      <c r="D469" s="3" t="str">
        <f>IFERROR(VLOOKUP($A469,[1]FINAL!$A$1:$Z$1000,MATCH([1]FINAL!$V$1,[1]FINAL!$A$1:$Z$1,0),0),"")</f>
        <v>BOU</v>
      </c>
      <c r="E469" s="6">
        <f t="shared" si="35"/>
        <v>94210.526315789466</v>
      </c>
      <c r="F469" s="5">
        <f t="shared" si="36"/>
        <v>0.42105263157894735</v>
      </c>
      <c r="G469" s="5">
        <f>IFERROR(IF(H469&lt;&gt;"",H469,VLOOKUP($A469,[1]FINAL!$A$1:$BZ$1000,MATCH([1]FINAL!$BL$1,[1]FINAL!$A$1:$BZ$1,0),0)),0)</f>
        <v>0.42105263157894735</v>
      </c>
      <c r="I469" s="5">
        <f>IFERROR(IF(J469&lt;&gt;"",J469,(IF(VLOOKUP($A469,#REF!,MATCH(#REF!,#REF!,0),0)=0,G469,VLOOKUP($A469,#REF!,MATCH(#REF!,#REF!,0),0)))),G469)</f>
        <v>0.42105263157894735</v>
      </c>
      <c r="K469" s="6">
        <f>IFERROR(VLOOKUP($A469,#REF!,MATCH(#REF!,#REF!,0),0),0)</f>
        <v>0</v>
      </c>
      <c r="L469" s="6">
        <f>IFERROR(VLOOKUP($A469,[1]FINAL!$A$1:$BZ$1000,MATCH([1]FINAL!$BF$1,[1]FINAL!$A$1:$BZ$1,0),0),0)</f>
        <v>90</v>
      </c>
      <c r="M469" s="7">
        <f t="shared" si="37"/>
        <v>1</v>
      </c>
      <c r="N469" s="6">
        <f>IFERROR(VLOOKUP($A469,#REF!,MATCH(#REF!,#REF!,0),0),0)</f>
        <v>0</v>
      </c>
      <c r="O469" s="7">
        <f t="shared" si="38"/>
        <v>0</v>
      </c>
      <c r="P469" s="10" t="str">
        <f>IFERROR(VLOOKUP($A469,[1]FINAL!$A$1:$BZ$1000,MATCH([1]FINAL!$BB$1,[1]FINAL!$A$1:$BZ$1,0),0),"")</f>
        <v/>
      </c>
      <c r="Q469" s="18">
        <f t="shared" si="39"/>
        <v>1</v>
      </c>
    </row>
    <row r="470" spans="1:17" x14ac:dyDescent="0.25">
      <c r="A470" s="14" t="str">
        <f>[1]FINAL!$A364</f>
        <v>Julio Soler Barreto</v>
      </c>
      <c r="B470" s="20" t="str">
        <f>IFERROR(VLOOKUP($A470,[1]FINAL!$A$1:$Z$1000,MATCH([1]FINAL!$T$1,[1]FINAL!$A$1:$Z$1,0),0),"")</f>
        <v>DEF</v>
      </c>
      <c r="C470" s="3" t="str">
        <f>IFERROR(VLOOKUP($A470,[1]FINAL!$A$1:$Z$1000,MATCH([1]FINAL!$U$1,[1]FINAL!$A$1:$Z$1,0),0),"")</f>
        <v/>
      </c>
      <c r="D470" s="3" t="str">
        <f>IFERROR(VLOOKUP($A470,[1]FINAL!$A$1:$Z$1000,MATCH([1]FINAL!$V$1,[1]FINAL!$A$1:$Z$1,0),0),"")</f>
        <v>BOU</v>
      </c>
      <c r="E470" s="6">
        <f t="shared" si="35"/>
        <v>0</v>
      </c>
      <c r="F470" s="5">
        <f t="shared" si="36"/>
        <v>0</v>
      </c>
      <c r="G470" s="5">
        <f>IFERROR(IF(H470&lt;&gt;"",H470,VLOOKUP($A470,[1]FINAL!$A$1:$BZ$1000,MATCH([1]FINAL!$BL$1,[1]FINAL!$A$1:$BZ$1,0),0)),0)</f>
        <v>0</v>
      </c>
      <c r="I470" s="5">
        <f>IFERROR(IF(J470&lt;&gt;"",J470,(IF(VLOOKUP($A470,#REF!,MATCH(#REF!,#REF!,0),0)=0,G470,VLOOKUP($A470,#REF!,MATCH(#REF!,#REF!,0),0)))),G470)</f>
        <v>0</v>
      </c>
      <c r="K470" s="6">
        <f>IFERROR(VLOOKUP($A470,#REF!,MATCH(#REF!,#REF!,0),0),0)</f>
        <v>0</v>
      </c>
      <c r="L470" s="6">
        <f>IFERROR(VLOOKUP($A470,[1]FINAL!$A$1:$BZ$1000,MATCH([1]FINAL!$BF$1,[1]FINAL!$A$1:$BZ$1,0),0),0)</f>
        <v>0</v>
      </c>
      <c r="M470" s="7">
        <f t="shared" si="37"/>
        <v>0</v>
      </c>
      <c r="N470" s="6">
        <f>IFERROR(VLOOKUP($A470,#REF!,MATCH(#REF!,#REF!,0),0),0)</f>
        <v>0</v>
      </c>
      <c r="O470" s="7">
        <f t="shared" si="38"/>
        <v>0</v>
      </c>
      <c r="P470" s="10" t="str">
        <f>IFERROR(VLOOKUP($A470,[1]FINAL!$A$1:$BZ$1000,MATCH([1]FINAL!$BB$1,[1]FINAL!$A$1:$BZ$1,0),0),"")</f>
        <v/>
      </c>
      <c r="Q470" s="18">
        <f t="shared" si="39"/>
        <v>1</v>
      </c>
    </row>
    <row r="471" spans="1:17" x14ac:dyDescent="0.25">
      <c r="A471" s="14" t="str">
        <f>[1]FINAL!$A365</f>
        <v>Jair Paula da Cunha Filho</v>
      </c>
      <c r="B471" s="20" t="str">
        <f>IFERROR(VLOOKUP($A471,[1]FINAL!$A$1:$Z$1000,MATCH([1]FINAL!$T$1,[1]FINAL!$A$1:$Z$1,0),0),"")</f>
        <v>DEF</v>
      </c>
      <c r="C471" s="3" t="str">
        <f>IFERROR(VLOOKUP($A471,[1]FINAL!$A$1:$Z$1000,MATCH([1]FINAL!$U$1,[1]FINAL!$A$1:$Z$1,0),0),"")</f>
        <v>CB</v>
      </c>
      <c r="D471" s="3" t="str">
        <f>IFERROR(VLOOKUP($A471,[1]FINAL!$A$1:$Z$1000,MATCH([1]FINAL!$V$1,[1]FINAL!$A$1:$Z$1,0),0),"")</f>
        <v>NFO</v>
      </c>
      <c r="E471" s="6">
        <f t="shared" si="35"/>
        <v>60062.801932367147</v>
      </c>
      <c r="F471" s="5">
        <f t="shared" si="36"/>
        <v>0.2608695652173913</v>
      </c>
      <c r="G471" s="5">
        <f>IFERROR(IF(H471&lt;&gt;"",H471,VLOOKUP($A471,[1]FINAL!$A$1:$BZ$1000,MATCH([1]FINAL!$BL$1,[1]FINAL!$A$1:$BZ$1,0),0)),0)</f>
        <v>0.2608695652173913</v>
      </c>
      <c r="I471" s="5">
        <f>IFERROR(IF(J471&lt;&gt;"",J471,(IF(VLOOKUP($A471,#REF!,MATCH(#REF!,#REF!,0),0)=0,G471,VLOOKUP($A471,#REF!,MATCH(#REF!,#REF!,0),0)))),G471)</f>
        <v>0.2608695652173913</v>
      </c>
      <c r="K471" s="6">
        <f>IFERROR(VLOOKUP($A471,#REF!,MATCH(#REF!,#REF!,0),0),0)</f>
        <v>0</v>
      </c>
      <c r="L471" s="6">
        <f>IFERROR(VLOOKUP($A471,[1]FINAL!$A$1:$BZ$1000,MATCH([1]FINAL!$BF$1,[1]FINAL!$A$1:$BZ$1,0),0),0)</f>
        <v>71</v>
      </c>
      <c r="M471" s="7">
        <f t="shared" si="37"/>
        <v>0.78888888888888886</v>
      </c>
      <c r="N471" s="6">
        <f>IFERROR(VLOOKUP($A471,#REF!,MATCH(#REF!,#REF!,0),0),0)</f>
        <v>0</v>
      </c>
      <c r="O471" s="7">
        <f t="shared" si="38"/>
        <v>0</v>
      </c>
      <c r="P471" s="10" t="str">
        <f>IFERROR(VLOOKUP($A471,[1]FINAL!$A$1:$BZ$1000,MATCH([1]FINAL!$BB$1,[1]FINAL!$A$1:$BZ$1,0),0),"")</f>
        <v/>
      </c>
      <c r="Q471" s="18">
        <f t="shared" si="39"/>
        <v>1</v>
      </c>
    </row>
    <row r="472" spans="1:17" x14ac:dyDescent="0.25">
      <c r="A472" s="14" t="str">
        <f>[1]FINAL!$A366</f>
        <v>Ashley Phillips</v>
      </c>
      <c r="B472" s="20" t="str">
        <f>IFERROR(VLOOKUP($A472,[1]FINAL!$A$1:$Z$1000,MATCH([1]FINAL!$T$1,[1]FINAL!$A$1:$Z$1,0),0),"")</f>
        <v>DEF</v>
      </c>
      <c r="C472" s="3" t="str">
        <f>IFERROR(VLOOKUP($A472,[1]FINAL!$A$1:$Z$1000,MATCH([1]FINAL!$U$1,[1]FINAL!$A$1:$Z$1,0),0),"")</f>
        <v>CB</v>
      </c>
      <c r="D472" s="3" t="str">
        <f>IFERROR(VLOOKUP($A472,[1]FINAL!$A$1:$Z$1000,MATCH([1]FINAL!$V$1,[1]FINAL!$A$1:$Z$1,0),0),"")</f>
        <v>TOT</v>
      </c>
      <c r="E472" s="6">
        <f t="shared" si="35"/>
        <v>0</v>
      </c>
      <c r="F472" s="5">
        <f t="shared" si="36"/>
        <v>0</v>
      </c>
      <c r="G472" s="5">
        <f>IFERROR(IF(H472&lt;&gt;"",H472,VLOOKUP($A472,[1]FINAL!$A$1:$BZ$1000,MATCH([1]FINAL!$BL$1,[1]FINAL!$A$1:$BZ$1,0),0)),0)</f>
        <v>0</v>
      </c>
      <c r="I472" s="5">
        <f>IFERROR(IF(J472&lt;&gt;"",J472,(IF(VLOOKUP($A472,#REF!,MATCH(#REF!,#REF!,0),0)=0,G472,VLOOKUP($A472,#REF!,MATCH(#REF!,#REF!,0),0)))),G472)</f>
        <v>0</v>
      </c>
      <c r="K472" s="6">
        <f>IFERROR(VLOOKUP($A472,#REF!,MATCH(#REF!,#REF!,0),0),0)</f>
        <v>0</v>
      </c>
      <c r="L472" s="6">
        <f>IFERROR(VLOOKUP($A472,[1]FINAL!$A$1:$BZ$1000,MATCH([1]FINAL!$BF$1,[1]FINAL!$A$1:$BZ$1,0),0),0)</f>
        <v>0</v>
      </c>
      <c r="M472" s="7">
        <f t="shared" si="37"/>
        <v>0</v>
      </c>
      <c r="N472" s="6">
        <f>IFERROR(VLOOKUP($A472,#REF!,MATCH(#REF!,#REF!,0),0),0)</f>
        <v>0</v>
      </c>
      <c r="O472" s="7">
        <f t="shared" si="38"/>
        <v>0</v>
      </c>
      <c r="P472" s="10" t="str">
        <f>IFERROR(VLOOKUP($A472,[1]FINAL!$A$1:$BZ$1000,MATCH([1]FINAL!$BB$1,[1]FINAL!$A$1:$BZ$1,0),0),"")</f>
        <v/>
      </c>
      <c r="Q472" s="18">
        <f t="shared" si="39"/>
        <v>1</v>
      </c>
    </row>
    <row r="473" spans="1:17" x14ac:dyDescent="0.25">
      <c r="A473" s="14" t="str">
        <f>[1]FINAL!$A367</f>
        <v>Brandon Austin</v>
      </c>
      <c r="B473" s="20" t="str">
        <f>IFERROR(VLOOKUP($A473,[1]FINAL!$A$1:$Z$1000,MATCH([1]FINAL!$T$1,[1]FINAL!$A$1:$Z$1,0),0),"")</f>
        <v>GK</v>
      </c>
      <c r="C473" s="3" t="str">
        <f>IFERROR(VLOOKUP($A473,[1]FINAL!$A$1:$Z$1000,MATCH([1]FINAL!$U$1,[1]FINAL!$A$1:$Z$1,0),0),"")</f>
        <v>GK</v>
      </c>
      <c r="D473" s="3" t="str">
        <f>IFERROR(VLOOKUP($A473,[1]FINAL!$A$1:$Z$1000,MATCH([1]FINAL!$V$1,[1]FINAL!$A$1:$Z$1,0),0),"")</f>
        <v>TOT</v>
      </c>
      <c r="E473" s="6">
        <f t="shared" si="35"/>
        <v>0</v>
      </c>
      <c r="F473" s="5">
        <f t="shared" si="36"/>
        <v>0</v>
      </c>
      <c r="G473" s="5">
        <f>IFERROR(IF(H473&lt;&gt;"",H473,VLOOKUP($A473,[1]FINAL!$A$1:$BZ$1000,MATCH([1]FINAL!$BL$1,[1]FINAL!$A$1:$BZ$1,0),0)),0)</f>
        <v>0</v>
      </c>
      <c r="I473" s="5">
        <f>IFERROR(IF(J473&lt;&gt;"",J473,(IF(VLOOKUP($A473,#REF!,MATCH(#REF!,#REF!,0),0)=0,G473,VLOOKUP($A473,#REF!,MATCH(#REF!,#REF!,0),0)))),G473)</f>
        <v>0</v>
      </c>
      <c r="K473" s="6">
        <f>IFERROR(VLOOKUP($A473,#REF!,MATCH(#REF!,#REF!,0),0),0)</f>
        <v>0</v>
      </c>
      <c r="L473" s="6">
        <f>IFERROR(VLOOKUP($A473,[1]FINAL!$A$1:$BZ$1000,MATCH([1]FINAL!$BF$1,[1]FINAL!$A$1:$BZ$1,0),0),0)</f>
        <v>0</v>
      </c>
      <c r="M473" s="7">
        <f t="shared" si="37"/>
        <v>0</v>
      </c>
      <c r="N473" s="6">
        <f>IFERROR(VLOOKUP($A473,#REF!,MATCH(#REF!,#REF!,0),0),0)</f>
        <v>0</v>
      </c>
      <c r="O473" s="7">
        <f t="shared" si="38"/>
        <v>0</v>
      </c>
      <c r="P473" s="10" t="str">
        <f>IFERROR(VLOOKUP($A473,[1]FINAL!$A$1:$BZ$1000,MATCH([1]FINAL!$BB$1,[1]FINAL!$A$1:$BZ$1,0),0),"")</f>
        <v/>
      </c>
      <c r="Q473" s="18">
        <f t="shared" si="39"/>
        <v>1</v>
      </c>
    </row>
    <row r="474" spans="1:17" x14ac:dyDescent="0.25">
      <c r="A474" s="14" t="str">
        <f>[1]FINAL!$A368</f>
        <v>Kevin Danso</v>
      </c>
      <c r="B474" s="20" t="str">
        <f>IFERROR(VLOOKUP($A474,[1]FINAL!$A$1:$Z$1000,MATCH([1]FINAL!$T$1,[1]FINAL!$A$1:$Z$1,0),0),"")</f>
        <v>DEF</v>
      </c>
      <c r="C474" s="3" t="str">
        <f>IFERROR(VLOOKUP($A474,[1]FINAL!$A$1:$Z$1000,MATCH([1]FINAL!$U$1,[1]FINAL!$A$1:$Z$1,0),0),"")</f>
        <v>CB</v>
      </c>
      <c r="D474" s="3" t="str">
        <f>IFERROR(VLOOKUP($A474,[1]FINAL!$A$1:$Z$1000,MATCH([1]FINAL!$V$1,[1]FINAL!$A$1:$Z$1,0),0),"")</f>
        <v>TOT</v>
      </c>
      <c r="E474" s="6">
        <f t="shared" si="35"/>
        <v>109444.44444444444</v>
      </c>
      <c r="F474" s="5">
        <f t="shared" si="36"/>
        <v>0.5</v>
      </c>
      <c r="G474" s="5">
        <f>IFERROR(IF(H474&lt;&gt;"",H474,VLOOKUP($A474,[1]FINAL!$A$1:$BZ$1000,MATCH([1]FINAL!$BL$1,[1]FINAL!$A$1:$BZ$1,0),0)),0)</f>
        <v>0.5</v>
      </c>
      <c r="I474" s="5">
        <f>IFERROR(IF(J474&lt;&gt;"",J474,(IF(VLOOKUP($A474,#REF!,MATCH(#REF!,#REF!,0),0)=0,G474,VLOOKUP($A474,#REF!,MATCH(#REF!,#REF!,0),0)))),G474)</f>
        <v>0.5</v>
      </c>
      <c r="K474" s="6">
        <f>IFERROR(VLOOKUP($A474,#REF!,MATCH(#REF!,#REF!,0),0),0)</f>
        <v>0</v>
      </c>
      <c r="L474" s="6">
        <f>IFERROR(VLOOKUP($A474,[1]FINAL!$A$1:$BZ$1000,MATCH([1]FINAL!$BF$1,[1]FINAL!$A$1:$BZ$1,0),0),0)</f>
        <v>85</v>
      </c>
      <c r="M474" s="7">
        <f t="shared" si="37"/>
        <v>0.94444444444444442</v>
      </c>
      <c r="N474" s="6">
        <f>IFERROR(VLOOKUP($A474,#REF!,MATCH(#REF!,#REF!,0),0),0)</f>
        <v>0</v>
      </c>
      <c r="O474" s="7">
        <f t="shared" si="38"/>
        <v>0</v>
      </c>
      <c r="P474" s="10" t="str">
        <f>IFERROR(VLOOKUP($A474,[1]FINAL!$A$1:$BZ$1000,MATCH([1]FINAL!$BB$1,[1]FINAL!$A$1:$BZ$1,0),0),"")</f>
        <v/>
      </c>
      <c r="Q474" s="18">
        <f t="shared" si="39"/>
        <v>1</v>
      </c>
    </row>
    <row r="475" spans="1:17" x14ac:dyDescent="0.25">
      <c r="A475" s="14" t="str">
        <f>[1]FINAL!$A369</f>
        <v>Yehor Yarmoliuk</v>
      </c>
      <c r="B475" s="20" t="str">
        <f>IFERROR(VLOOKUP($A475,[1]FINAL!$A$1:$Z$1000,MATCH([1]FINAL!$T$1,[1]FINAL!$A$1:$Z$1,0),0),"")</f>
        <v>MID</v>
      </c>
      <c r="C475" s="3" t="str">
        <f>IFERROR(VLOOKUP($A475,[1]FINAL!$A$1:$Z$1000,MATCH([1]FINAL!$U$1,[1]FINAL!$A$1:$Z$1,0),0),"")</f>
        <v>CM</v>
      </c>
      <c r="D475" s="3" t="str">
        <f>IFERROR(VLOOKUP($A475,[1]FINAL!$A$1:$Z$1000,MATCH([1]FINAL!$V$1,[1]FINAL!$A$1:$Z$1,0),0),"")</f>
        <v>BRE</v>
      </c>
      <c r="E475" s="6">
        <f t="shared" si="35"/>
        <v>171384.38438438438</v>
      </c>
      <c r="F475" s="5">
        <f t="shared" si="36"/>
        <v>0.81081081081081086</v>
      </c>
      <c r="G475" s="5">
        <f>IFERROR(IF(H475&lt;&gt;"",H475,VLOOKUP($A475,[1]FINAL!$A$1:$BZ$1000,MATCH([1]FINAL!$BL$1,[1]FINAL!$A$1:$BZ$1,0),0)),0)</f>
        <v>0.81081081081081086</v>
      </c>
      <c r="I475" s="5">
        <f>IFERROR(IF(J475&lt;&gt;"",J475,(IF(VLOOKUP($A475,#REF!,MATCH(#REF!,#REF!,0),0)=0,G475,VLOOKUP($A475,#REF!,MATCH(#REF!,#REF!,0),0)))),G475)</f>
        <v>0.81081081081081086</v>
      </c>
      <c r="K475" s="6">
        <f>IFERROR(VLOOKUP($A475,#REF!,MATCH(#REF!,#REF!,0),0),0)</f>
        <v>0</v>
      </c>
      <c r="L475" s="6">
        <f>IFERROR(VLOOKUP($A475,[1]FINAL!$A$1:$BZ$1000,MATCH([1]FINAL!$BF$1,[1]FINAL!$A$1:$BZ$1,0),0),0)</f>
        <v>83</v>
      </c>
      <c r="M475" s="7">
        <f t="shared" si="37"/>
        <v>0.92222222222222228</v>
      </c>
      <c r="N475" s="6">
        <f>IFERROR(VLOOKUP($A475,#REF!,MATCH(#REF!,#REF!,0),0),0)</f>
        <v>0</v>
      </c>
      <c r="O475" s="7">
        <f t="shared" si="38"/>
        <v>0</v>
      </c>
      <c r="P475" s="10" t="str">
        <f>IFERROR(VLOOKUP($A475,[1]FINAL!$A$1:$BZ$1000,MATCH([1]FINAL!$BB$1,[1]FINAL!$A$1:$BZ$1,0),0),"")</f>
        <v/>
      </c>
      <c r="Q475" s="18">
        <f t="shared" si="39"/>
        <v>1</v>
      </c>
    </row>
    <row r="476" spans="1:17" x14ac:dyDescent="0.25">
      <c r="A476" s="14" t="str">
        <f>[1]FINAL!$A409</f>
        <v>Cheick Doucouré</v>
      </c>
      <c r="B476" s="20" t="str">
        <f>IFERROR(VLOOKUP($A476,[1]FINAL!$A$1:$Z$1000,MATCH([1]FINAL!$T$1,[1]FINAL!$A$1:$Z$1,0),0),"")</f>
        <v>MID</v>
      </c>
      <c r="C476" s="3" t="str">
        <f>IFERROR(VLOOKUP($A476,[1]FINAL!$A$1:$Z$1000,MATCH([1]FINAL!$U$1,[1]FINAL!$A$1:$Z$1,0),0),"")</f>
        <v>DM</v>
      </c>
      <c r="D476" s="3" t="str">
        <f>IFERROR(VLOOKUP($A476,[1]FINAL!$A$1:$Z$1000,MATCH([1]FINAL!$V$1,[1]FINAL!$A$1:$Z$1,0),0),"")</f>
        <v>CRY</v>
      </c>
      <c r="E476" s="6">
        <f t="shared" si="35"/>
        <v>0</v>
      </c>
      <c r="F476" s="5">
        <f t="shared" si="36"/>
        <v>0</v>
      </c>
      <c r="G476" s="5">
        <f>IFERROR(IF(H476&lt;&gt;"",H476,VLOOKUP($A476,[1]FINAL!$A$1:$BZ$1000,MATCH([1]FINAL!$BL$1,[1]FINAL!$A$1:$BZ$1,0),0)),0)</f>
        <v>0</v>
      </c>
      <c r="I476" s="5">
        <f>IFERROR(IF(J476&lt;&gt;"",J476,(IF(VLOOKUP($A476,#REF!,MATCH(#REF!,#REF!,0),0)=0,G476,VLOOKUP($A476,#REF!,MATCH(#REF!,#REF!,0),0)))),G476)</f>
        <v>0</v>
      </c>
      <c r="K476" s="6">
        <f>IFERROR(VLOOKUP($A476,#REF!,MATCH(#REF!,#REF!,0),0),0)</f>
        <v>0</v>
      </c>
      <c r="L476" s="6">
        <f>IFERROR(VLOOKUP($A476,[1]FINAL!$A$1:$BZ$1000,MATCH([1]FINAL!$BF$1,[1]FINAL!$A$1:$BZ$1,0),0),0)</f>
        <v>0</v>
      </c>
      <c r="M476" s="7">
        <f t="shared" si="37"/>
        <v>0</v>
      </c>
      <c r="N476" s="6">
        <f>IFERROR(VLOOKUP($A476,#REF!,MATCH(#REF!,#REF!,0),0),0)</f>
        <v>0</v>
      </c>
      <c r="O476" s="7">
        <f t="shared" si="38"/>
        <v>0</v>
      </c>
      <c r="P476" s="10" t="str">
        <f>IFERROR(VLOOKUP($A476,[1]FINAL!$A$1:$BZ$1000,MATCH([1]FINAL!$BB$1,[1]FINAL!$A$1:$BZ$1,0),0),"")</f>
        <v/>
      </c>
      <c r="Q476" s="18">
        <f t="shared" si="39"/>
        <v>1</v>
      </c>
    </row>
    <row r="477" spans="1:17" x14ac:dyDescent="0.25">
      <c r="A477" s="14" t="str">
        <f>[1]FINAL!$A418</f>
        <v>Anthony Patterson</v>
      </c>
      <c r="B477" s="20" t="str">
        <f>IFERROR(VLOOKUP($A477,[1]FINAL!$A$1:$Z$1000,MATCH([1]FINAL!$T$1,[1]FINAL!$A$1:$Z$1,0),0),"")</f>
        <v>GK</v>
      </c>
      <c r="C477" s="3" t="str">
        <f>IFERROR(VLOOKUP($A477,[1]FINAL!$A$1:$Z$1000,MATCH([1]FINAL!$U$1,[1]FINAL!$A$1:$Z$1,0),0),"")</f>
        <v>GK</v>
      </c>
      <c r="D477" s="3" t="str">
        <f>IFERROR(VLOOKUP($A477,[1]FINAL!$A$1:$Z$1000,MATCH([1]FINAL!$V$1,[1]FINAL!$A$1:$Z$1,0),0),"")</f>
        <v>SUN</v>
      </c>
      <c r="E477" s="6">
        <f t="shared" si="35"/>
        <v>0</v>
      </c>
      <c r="F477" s="5">
        <f t="shared" si="36"/>
        <v>0</v>
      </c>
      <c r="G477" s="5">
        <f>IFERROR(IF(H477&lt;&gt;"",H477,VLOOKUP($A477,[1]FINAL!$A$1:$BZ$1000,MATCH([1]FINAL!$BL$1,[1]FINAL!$A$1:$BZ$1,0),0)),0)</f>
        <v>0</v>
      </c>
      <c r="I477" s="5">
        <f>IFERROR(IF(J477&lt;&gt;"",J477,(IF(VLOOKUP($A477,#REF!,MATCH(#REF!,#REF!,0),0)=0,G477,VLOOKUP($A477,#REF!,MATCH(#REF!,#REF!,0),0)))),G477)</f>
        <v>0</v>
      </c>
      <c r="K477" s="6">
        <f>IFERROR(VLOOKUP($A477,#REF!,MATCH(#REF!,#REF!,0),0),0)</f>
        <v>0</v>
      </c>
      <c r="L477" s="6">
        <f>IFERROR(VLOOKUP($A477,[1]FINAL!$A$1:$BZ$1000,MATCH([1]FINAL!$BF$1,[1]FINAL!$A$1:$BZ$1,0),0),0)</f>
        <v>0</v>
      </c>
      <c r="M477" s="7">
        <f t="shared" si="37"/>
        <v>0</v>
      </c>
      <c r="N477" s="6">
        <f>IFERROR(VLOOKUP($A477,#REF!,MATCH(#REF!,#REF!,0),0),0)</f>
        <v>0</v>
      </c>
      <c r="O477" s="7">
        <f t="shared" si="38"/>
        <v>0</v>
      </c>
      <c r="P477" s="10" t="str">
        <f>IFERROR(VLOOKUP($A477,[1]FINAL!$A$1:$BZ$1000,MATCH([1]FINAL!$BB$1,[1]FINAL!$A$1:$BZ$1,0),0),"")</f>
        <v/>
      </c>
      <c r="Q477" s="18">
        <f t="shared" si="39"/>
        <v>1</v>
      </c>
    </row>
    <row r="478" spans="1:17" x14ac:dyDescent="0.25">
      <c r="A478" s="14" t="str">
        <f>[1]FINAL!$A420</f>
        <v>Xaver Schlager</v>
      </c>
      <c r="B478" s="20" t="str">
        <f>IFERROR(VLOOKUP($A478,[1]FINAL!$A$1:$Z$1000,MATCH([1]FINAL!$T$1,[1]FINAL!$A$1:$Z$1,0),0),"")</f>
        <v>MID</v>
      </c>
      <c r="C478" s="3" t="str">
        <f>IFERROR(VLOOKUP($A478,[1]FINAL!$A$1:$Z$1000,MATCH([1]FINAL!$U$1,[1]FINAL!$A$1:$Z$1,0),0),"")</f>
        <v>CM</v>
      </c>
      <c r="D478" s="3" t="str">
        <f>IFERROR(VLOOKUP($A478,[1]FINAL!$A$1:$Z$1000,MATCH([1]FINAL!$V$1,[1]FINAL!$A$1:$Z$1,0),0),"")</f>
        <v>NFO</v>
      </c>
      <c r="E478" s="6">
        <f t="shared" si="35"/>
        <v>0</v>
      </c>
      <c r="F478" s="5">
        <f t="shared" si="36"/>
        <v>0</v>
      </c>
      <c r="G478" s="5">
        <f>IFERROR(IF(H478&lt;&gt;"",H478,VLOOKUP($A478,[1]FINAL!$A$1:$BZ$1000,MATCH([1]FINAL!$BL$1,[1]FINAL!$A$1:$BZ$1,0),0)),0)</f>
        <v>0</v>
      </c>
      <c r="I478" s="5">
        <f>IFERROR(IF(J478&lt;&gt;"",J478,(IF(VLOOKUP($A478,#REF!,MATCH(#REF!,#REF!,0),0)=0,G478,VLOOKUP($A478,#REF!,MATCH(#REF!,#REF!,0),0)))),G478)</f>
        <v>0</v>
      </c>
      <c r="K478" s="6">
        <f>IFERROR(VLOOKUP($A478,#REF!,MATCH(#REF!,#REF!,0),0),0)</f>
        <v>0</v>
      </c>
      <c r="L478" s="6">
        <f>IFERROR(VLOOKUP($A478,[1]FINAL!$A$1:$BZ$1000,MATCH([1]FINAL!$BF$1,[1]FINAL!$A$1:$BZ$1,0),0),0)</f>
        <v>0</v>
      </c>
      <c r="M478" s="7">
        <f t="shared" si="37"/>
        <v>0</v>
      </c>
      <c r="N478" s="6">
        <f>IFERROR(VLOOKUP($A478,#REF!,MATCH(#REF!,#REF!,0),0),0)</f>
        <v>0</v>
      </c>
      <c r="O478" s="7">
        <f t="shared" si="38"/>
        <v>0</v>
      </c>
      <c r="P478" s="10" t="str">
        <f>IFERROR(VLOOKUP($A478,[1]FINAL!$A$1:$BZ$1000,MATCH([1]FINAL!$BB$1,[1]FINAL!$A$1:$BZ$1,0),0),"")</f>
        <v/>
      </c>
      <c r="Q478" s="18">
        <f t="shared" si="39"/>
        <v>1</v>
      </c>
    </row>
    <row r="479" spans="1:17" x14ac:dyDescent="0.25">
      <c r="A479" s="14" t="str">
        <f>[1]FINAL!$A421</f>
        <v>John Victor Maciel Furtado</v>
      </c>
      <c r="B479" s="20" t="str">
        <f>IFERROR(VLOOKUP($A479,[1]FINAL!$A$1:$Z$1000,MATCH([1]FINAL!$T$1,[1]FINAL!$A$1:$Z$1,0),0),"")</f>
        <v>GK</v>
      </c>
      <c r="C479" s="3" t="str">
        <f>IFERROR(VLOOKUP($A479,[1]FINAL!$A$1:$Z$1000,MATCH([1]FINAL!$U$1,[1]FINAL!$A$1:$Z$1,0),0),"")</f>
        <v/>
      </c>
      <c r="D479" s="3" t="str">
        <f>IFERROR(VLOOKUP($A479,[1]FINAL!$A$1:$Z$1000,MATCH([1]FINAL!$V$1,[1]FINAL!$A$1:$Z$1,0),0),"")</f>
        <v>NFO</v>
      </c>
      <c r="E479" s="6">
        <f t="shared" si="35"/>
        <v>65222.222222222219</v>
      </c>
      <c r="F479" s="5">
        <f t="shared" si="36"/>
        <v>0.27777777777777779</v>
      </c>
      <c r="G479" s="5">
        <f>IFERROR(IF(H479&lt;&gt;"",H479,VLOOKUP($A479,[1]FINAL!$A$1:$BZ$1000,MATCH([1]FINAL!$BL$1,[1]FINAL!$A$1:$BZ$1,0),0)),0)</f>
        <v>0.27777777777777779</v>
      </c>
      <c r="I479" s="5">
        <f>IFERROR(IF(J479&lt;&gt;"",J479,(IF(VLOOKUP($A479,#REF!,MATCH(#REF!,#REF!,0),0)=0,G479,VLOOKUP($A479,#REF!,MATCH(#REF!,#REF!,0),0)))),G479)</f>
        <v>0.27777777777777779</v>
      </c>
      <c r="K479" s="6">
        <f>IFERROR(VLOOKUP($A479,#REF!,MATCH(#REF!,#REF!,0),0),0)</f>
        <v>0</v>
      </c>
      <c r="L479" s="6">
        <f>IFERROR(VLOOKUP($A479,[1]FINAL!$A$1:$BZ$1000,MATCH([1]FINAL!$BF$1,[1]FINAL!$A$1:$BZ$1,0),0),0)</f>
        <v>87</v>
      </c>
      <c r="M479" s="7">
        <f t="shared" si="37"/>
        <v>0.96666666666666667</v>
      </c>
      <c r="N479" s="6">
        <f>IFERROR(VLOOKUP($A479,#REF!,MATCH(#REF!,#REF!,0),0),0)</f>
        <v>0</v>
      </c>
      <c r="O479" s="7">
        <f t="shared" si="38"/>
        <v>0</v>
      </c>
      <c r="P479" s="10" t="str">
        <f>IFERROR(VLOOKUP($A479,[1]FINAL!$A$1:$BZ$1000,MATCH([1]FINAL!$BB$1,[1]FINAL!$A$1:$BZ$1,0),0),"")</f>
        <v/>
      </c>
      <c r="Q479" s="18">
        <f t="shared" si="39"/>
        <v>1</v>
      </c>
    </row>
    <row r="480" spans="1:17" x14ac:dyDescent="0.25">
      <c r="A480" s="14" t="str">
        <f>[1]FINAL!$A422</f>
        <v>Omar Richards</v>
      </c>
      <c r="B480" s="20" t="str">
        <f>IFERROR(VLOOKUP($A480,[1]FINAL!$A$1:$Z$1000,MATCH([1]FINAL!$T$1,[1]FINAL!$A$1:$Z$1,0),0),"")</f>
        <v>DEF</v>
      </c>
      <c r="C480" s="3" t="str">
        <f>IFERROR(VLOOKUP($A480,[1]FINAL!$A$1:$Z$1000,MATCH([1]FINAL!$U$1,[1]FINAL!$A$1:$Z$1,0),0),"")</f>
        <v>LB</v>
      </c>
      <c r="D480" s="3" t="str">
        <f>IFERROR(VLOOKUP($A480,[1]FINAL!$A$1:$Z$1000,MATCH([1]FINAL!$V$1,[1]FINAL!$A$1:$Z$1,0),0),"")</f>
        <v>NFO</v>
      </c>
      <c r="E480" s="6">
        <f t="shared" si="35"/>
        <v>0</v>
      </c>
      <c r="F480" s="5">
        <f t="shared" si="36"/>
        <v>0</v>
      </c>
      <c r="G480" s="5">
        <f>IFERROR(IF(H480&lt;&gt;"",H480,VLOOKUP($A480,[1]FINAL!$A$1:$BZ$1000,MATCH([1]FINAL!$BL$1,[1]FINAL!$A$1:$BZ$1,0),0)),0)</f>
        <v>0</v>
      </c>
      <c r="I480" s="5">
        <f>IFERROR(IF(J480&lt;&gt;"",J480,(IF(VLOOKUP($A480,#REF!,MATCH(#REF!,#REF!,0),0)=0,G480,VLOOKUP($A480,#REF!,MATCH(#REF!,#REF!,0),0)))),G480)</f>
        <v>0</v>
      </c>
      <c r="K480" s="6">
        <f>IFERROR(VLOOKUP($A480,#REF!,MATCH(#REF!,#REF!,0),0),0)</f>
        <v>0</v>
      </c>
      <c r="L480" s="6">
        <f>IFERROR(VLOOKUP($A480,[1]FINAL!$A$1:$BZ$1000,MATCH([1]FINAL!$BF$1,[1]FINAL!$A$1:$BZ$1,0),0),0)</f>
        <v>0</v>
      </c>
      <c r="M480" s="7">
        <f t="shared" si="37"/>
        <v>0</v>
      </c>
      <c r="N480" s="6">
        <f>IFERROR(VLOOKUP($A480,#REF!,MATCH(#REF!,#REF!,0),0),0)</f>
        <v>0</v>
      </c>
      <c r="O480" s="7">
        <f t="shared" si="38"/>
        <v>0</v>
      </c>
      <c r="P480" s="10" t="str">
        <f>IFERROR(VLOOKUP($A480,[1]FINAL!$A$1:$BZ$1000,MATCH([1]FINAL!$BB$1,[1]FINAL!$A$1:$BZ$1,0),0),"")</f>
        <v/>
      </c>
      <c r="Q480" s="18">
        <f t="shared" si="39"/>
        <v>1</v>
      </c>
    </row>
    <row r="481" spans="1:17" x14ac:dyDescent="0.25">
      <c r="A481" s="14" t="str">
        <f>[1]FINAL!$A423</f>
        <v>Tyler Bindon</v>
      </c>
      <c r="B481" s="20" t="str">
        <f>IFERROR(VLOOKUP($A481,[1]FINAL!$A$1:$Z$1000,MATCH([1]FINAL!$T$1,[1]FINAL!$A$1:$Z$1,0),0),"")</f>
        <v>DEF</v>
      </c>
      <c r="C481" s="3" t="str">
        <f>IFERROR(VLOOKUP($A481,[1]FINAL!$A$1:$Z$1000,MATCH([1]FINAL!$U$1,[1]FINAL!$A$1:$Z$1,0),0),"")</f>
        <v>CB</v>
      </c>
      <c r="D481" s="3" t="str">
        <f>IFERROR(VLOOKUP($A481,[1]FINAL!$A$1:$Z$1000,MATCH([1]FINAL!$V$1,[1]FINAL!$A$1:$Z$1,0),0),"")</f>
        <v>NFO</v>
      </c>
      <c r="E481" s="6">
        <f t="shared" si="35"/>
        <v>0</v>
      </c>
      <c r="F481" s="5">
        <f t="shared" si="36"/>
        <v>0</v>
      </c>
      <c r="G481" s="5">
        <f>IFERROR(IF(H481&lt;&gt;"",H481,VLOOKUP($A481,[1]FINAL!$A$1:$BZ$1000,MATCH([1]FINAL!$BL$1,[1]FINAL!$A$1:$BZ$1,0),0)),0)</f>
        <v>0</v>
      </c>
      <c r="I481" s="5">
        <f>IFERROR(IF(J481&lt;&gt;"",J481,(IF(VLOOKUP($A481,#REF!,MATCH(#REF!,#REF!,0),0)=0,G481,VLOOKUP($A481,#REF!,MATCH(#REF!,#REF!,0),0)))),G481)</f>
        <v>0</v>
      </c>
      <c r="K481" s="6">
        <f>IFERROR(VLOOKUP($A481,#REF!,MATCH(#REF!,#REF!,0),0),0)</f>
        <v>0</v>
      </c>
      <c r="L481" s="6">
        <f>IFERROR(VLOOKUP($A481,[1]FINAL!$A$1:$BZ$1000,MATCH([1]FINAL!$BF$1,[1]FINAL!$A$1:$BZ$1,0),0),0)</f>
        <v>0</v>
      </c>
      <c r="M481" s="7">
        <f t="shared" si="37"/>
        <v>0</v>
      </c>
      <c r="N481" s="6">
        <f>IFERROR(VLOOKUP($A481,#REF!,MATCH(#REF!,#REF!,0),0),0)</f>
        <v>0</v>
      </c>
      <c r="O481" s="7">
        <f t="shared" si="38"/>
        <v>0</v>
      </c>
      <c r="P481" s="10" t="str">
        <f>IFERROR(VLOOKUP($A481,[1]FINAL!$A$1:$BZ$1000,MATCH([1]FINAL!$BB$1,[1]FINAL!$A$1:$BZ$1,0),0),"")</f>
        <v/>
      </c>
      <c r="Q481" s="18">
        <f t="shared" si="39"/>
        <v>1</v>
      </c>
    </row>
    <row r="482" spans="1:17" x14ac:dyDescent="0.25">
      <c r="A482" s="14" t="str">
        <f>[1]FINAL!$A427</f>
        <v>Ewen Jaouen</v>
      </c>
      <c r="B482" s="20" t="str">
        <f>IFERROR(VLOOKUP($A482,[1]FINAL!$A$1:$Z$1000,MATCH([1]FINAL!$T$1,[1]FINAL!$A$1:$Z$1,0),0),"")</f>
        <v>GK</v>
      </c>
      <c r="C482" s="3" t="str">
        <f>IFERROR(VLOOKUP($A482,[1]FINAL!$A$1:$Z$1000,MATCH([1]FINAL!$U$1,[1]FINAL!$A$1:$Z$1,0),0),"")</f>
        <v>GK</v>
      </c>
      <c r="D482" s="3" t="str">
        <f>IFERROR(VLOOKUP($A482,[1]FINAL!$A$1:$Z$1000,MATCH([1]FINAL!$V$1,[1]FINAL!$A$1:$Z$1,0),0),"")</f>
        <v>NEW</v>
      </c>
      <c r="E482" s="6">
        <f t="shared" si="35"/>
        <v>0</v>
      </c>
      <c r="F482" s="5">
        <f t="shared" si="36"/>
        <v>0</v>
      </c>
      <c r="G482" s="5">
        <f>IFERROR(IF(H482&lt;&gt;"",H482,VLOOKUP($A482,[1]FINAL!$A$1:$BZ$1000,MATCH([1]FINAL!$BL$1,[1]FINAL!$A$1:$BZ$1,0),0)),0)</f>
        <v>0</v>
      </c>
      <c r="I482" s="5">
        <f>IFERROR(IF(J482&lt;&gt;"",J482,(IF(VLOOKUP($A482,#REF!,MATCH(#REF!,#REF!,0),0)=0,G482,VLOOKUP($A482,#REF!,MATCH(#REF!,#REF!,0),0)))),G482)</f>
        <v>0</v>
      </c>
      <c r="K482" s="6">
        <f>IFERROR(VLOOKUP($A482,#REF!,MATCH(#REF!,#REF!,0),0),0)</f>
        <v>0</v>
      </c>
      <c r="L482" s="6">
        <f>IFERROR(VLOOKUP($A482,[1]FINAL!$A$1:$BZ$1000,MATCH([1]FINAL!$BF$1,[1]FINAL!$A$1:$BZ$1,0),0),0)</f>
        <v>0</v>
      </c>
      <c r="M482" s="7">
        <f t="shared" si="37"/>
        <v>0</v>
      </c>
      <c r="N482" s="6">
        <f>IFERROR(VLOOKUP($A482,#REF!,MATCH(#REF!,#REF!,0),0),0)</f>
        <v>0</v>
      </c>
      <c r="O482" s="7">
        <f t="shared" si="38"/>
        <v>0</v>
      </c>
      <c r="P482" s="10" t="str">
        <f>IFERROR(VLOOKUP($A482,[1]FINAL!$A$1:$BZ$1000,MATCH([1]FINAL!$BB$1,[1]FINAL!$A$1:$BZ$1,0),0),"")</f>
        <v/>
      </c>
      <c r="Q482" s="18">
        <f t="shared" si="39"/>
        <v>1</v>
      </c>
    </row>
    <row r="483" spans="1:17" x14ac:dyDescent="0.25">
      <c r="A483" s="14" t="str">
        <f>[1]FINAL!$A428</f>
        <v>Shea Lacey</v>
      </c>
      <c r="B483" s="20" t="str">
        <f>IFERROR(VLOOKUP($A483,[1]FINAL!$A$1:$Z$1000,MATCH([1]FINAL!$T$1,[1]FINAL!$A$1:$Z$1,0),0),"")</f>
        <v>MID</v>
      </c>
      <c r="C483" s="3" t="str">
        <f>IFERROR(VLOOKUP($A483,[1]FINAL!$A$1:$Z$1000,MATCH([1]FINAL!$U$1,[1]FINAL!$A$1:$Z$1,0),0),"")</f>
        <v>RW</v>
      </c>
      <c r="D483" s="3" t="str">
        <f>IFERROR(VLOOKUP($A483,[1]FINAL!$A$1:$Z$1000,MATCH([1]FINAL!$V$1,[1]FINAL!$A$1:$Z$1,0),0),"")</f>
        <v>MUN</v>
      </c>
      <c r="E483" s="6">
        <f t="shared" si="35"/>
        <v>0</v>
      </c>
      <c r="F483" s="5">
        <f t="shared" si="36"/>
        <v>0</v>
      </c>
      <c r="G483" s="5">
        <f>IFERROR(IF(H483&lt;&gt;"",H483,VLOOKUP($A483,[1]FINAL!$A$1:$BZ$1000,MATCH([1]FINAL!$BL$1,[1]FINAL!$A$1:$BZ$1,0),0)),0)</f>
        <v>0</v>
      </c>
      <c r="I483" s="5">
        <f>IFERROR(IF(J483&lt;&gt;"",J483,(IF(VLOOKUP($A483,#REF!,MATCH(#REF!,#REF!,0),0)=0,G483,VLOOKUP($A483,#REF!,MATCH(#REF!,#REF!,0),0)))),G483)</f>
        <v>0</v>
      </c>
      <c r="K483" s="6">
        <f>IFERROR(VLOOKUP($A483,#REF!,MATCH(#REF!,#REF!,0),0),0)</f>
        <v>0</v>
      </c>
      <c r="L483" s="6">
        <f>IFERROR(VLOOKUP($A483,[1]FINAL!$A$1:$BZ$1000,MATCH([1]FINAL!$BF$1,[1]FINAL!$A$1:$BZ$1,0),0),0)</f>
        <v>0</v>
      </c>
      <c r="M483" s="7">
        <f t="shared" si="37"/>
        <v>0</v>
      </c>
      <c r="N483" s="6">
        <f>IFERROR(VLOOKUP($A483,#REF!,MATCH(#REF!,#REF!,0),0),0)</f>
        <v>0</v>
      </c>
      <c r="O483" s="7">
        <f t="shared" si="38"/>
        <v>0</v>
      </c>
      <c r="P483" s="10" t="str">
        <f>IFERROR(VLOOKUP($A483,[1]FINAL!$A$1:$BZ$1000,MATCH([1]FINAL!$BB$1,[1]FINAL!$A$1:$BZ$1,0),0),"")</f>
        <v/>
      </c>
      <c r="Q483" s="18">
        <f t="shared" si="39"/>
        <v>1</v>
      </c>
    </row>
    <row r="484" spans="1:17" x14ac:dyDescent="0.25">
      <c r="A484" s="14" t="str">
        <f>[1]FINAL!$A429</f>
        <v>Chido Obi</v>
      </c>
      <c r="B484" s="20" t="str">
        <f>IFERROR(VLOOKUP($A484,[1]FINAL!$A$1:$Z$1000,MATCH([1]FINAL!$T$1,[1]FINAL!$A$1:$Z$1,0),0),"")</f>
        <v>FWD</v>
      </c>
      <c r="C484" s="3" t="str">
        <f>IFERROR(VLOOKUP($A484,[1]FINAL!$A$1:$Z$1000,MATCH([1]FINAL!$U$1,[1]FINAL!$A$1:$Z$1,0),0),"")</f>
        <v/>
      </c>
      <c r="D484" s="3" t="str">
        <f>IFERROR(VLOOKUP($A484,[1]FINAL!$A$1:$Z$1000,MATCH([1]FINAL!$V$1,[1]FINAL!$A$1:$Z$1,0),0),"")</f>
        <v>MUN</v>
      </c>
      <c r="E484" s="6">
        <f t="shared" si="35"/>
        <v>0</v>
      </c>
      <c r="F484" s="5">
        <f t="shared" si="36"/>
        <v>0</v>
      </c>
      <c r="G484" s="5">
        <f>IFERROR(IF(H484&lt;&gt;"",H484,VLOOKUP($A484,[1]FINAL!$A$1:$BZ$1000,MATCH([1]FINAL!$BL$1,[1]FINAL!$A$1:$BZ$1,0),0)),0)</f>
        <v>0</v>
      </c>
      <c r="I484" s="5">
        <f>IFERROR(IF(J484&lt;&gt;"",J484,(IF(VLOOKUP($A484,#REF!,MATCH(#REF!,#REF!,0),0)=0,G484,VLOOKUP($A484,#REF!,MATCH(#REF!,#REF!,0),0)))),G484)</f>
        <v>0</v>
      </c>
      <c r="K484" s="6">
        <f>IFERROR(VLOOKUP($A484,#REF!,MATCH(#REF!,#REF!,0),0),0)</f>
        <v>0</v>
      </c>
      <c r="L484" s="6">
        <f>IFERROR(VLOOKUP($A484,[1]FINAL!$A$1:$BZ$1000,MATCH([1]FINAL!$BF$1,[1]FINAL!$A$1:$BZ$1,0),0),0)</f>
        <v>0</v>
      </c>
      <c r="M484" s="7">
        <f t="shared" si="37"/>
        <v>0</v>
      </c>
      <c r="N484" s="6">
        <f>IFERROR(VLOOKUP($A484,#REF!,MATCH(#REF!,#REF!,0),0),0)</f>
        <v>0</v>
      </c>
      <c r="O484" s="7">
        <f t="shared" si="38"/>
        <v>0</v>
      </c>
      <c r="P484" s="10" t="str">
        <f>IFERROR(VLOOKUP($A484,[1]FINAL!$A$1:$BZ$1000,MATCH([1]FINAL!$BB$1,[1]FINAL!$A$1:$BZ$1,0),0),"")</f>
        <v/>
      </c>
      <c r="Q484" s="18">
        <f t="shared" si="39"/>
        <v>1</v>
      </c>
    </row>
    <row r="485" spans="1:17" x14ac:dyDescent="0.25">
      <c r="A485" s="14" t="str">
        <f>[1]FINAL!$A430</f>
        <v>Tyler Fletcher</v>
      </c>
      <c r="B485" s="20" t="str">
        <f>IFERROR(VLOOKUP($A485,[1]FINAL!$A$1:$Z$1000,MATCH([1]FINAL!$T$1,[1]FINAL!$A$1:$Z$1,0),0),"")</f>
        <v>MID</v>
      </c>
      <c r="C485" s="3" t="str">
        <f>IFERROR(VLOOKUP($A485,[1]FINAL!$A$1:$Z$1000,MATCH([1]FINAL!$U$1,[1]FINAL!$A$1:$Z$1,0),0),"")</f>
        <v>CM</v>
      </c>
      <c r="D485" s="3" t="str">
        <f>IFERROR(VLOOKUP($A485,[1]FINAL!$A$1:$Z$1000,MATCH([1]FINAL!$V$1,[1]FINAL!$A$1:$Z$1,0),0),"")</f>
        <v>MUN</v>
      </c>
      <c r="E485" s="6">
        <f t="shared" si="35"/>
        <v>0</v>
      </c>
      <c r="F485" s="5">
        <f t="shared" si="36"/>
        <v>0</v>
      </c>
      <c r="G485" s="5">
        <f>IFERROR(IF(H485&lt;&gt;"",H485,VLOOKUP($A485,[1]FINAL!$A$1:$BZ$1000,MATCH([1]FINAL!$BL$1,[1]FINAL!$A$1:$BZ$1,0),0)),0)</f>
        <v>0</v>
      </c>
      <c r="I485" s="5">
        <f>IFERROR(IF(J485&lt;&gt;"",J485,(IF(VLOOKUP($A485,#REF!,MATCH(#REF!,#REF!,0),0)=0,G485,VLOOKUP($A485,#REF!,MATCH(#REF!,#REF!,0),0)))),G485)</f>
        <v>0</v>
      </c>
      <c r="K485" s="6">
        <f>IFERROR(VLOOKUP($A485,#REF!,MATCH(#REF!,#REF!,0),0),0)</f>
        <v>0</v>
      </c>
      <c r="L485" s="6">
        <f>IFERROR(VLOOKUP($A485,[1]FINAL!$A$1:$BZ$1000,MATCH([1]FINAL!$BF$1,[1]FINAL!$A$1:$BZ$1,0),0),0)</f>
        <v>0</v>
      </c>
      <c r="M485" s="7">
        <f t="shared" si="37"/>
        <v>0</v>
      </c>
      <c r="N485" s="6">
        <f>IFERROR(VLOOKUP($A485,#REF!,MATCH(#REF!,#REF!,0),0),0)</f>
        <v>0</v>
      </c>
      <c r="O485" s="7">
        <f t="shared" si="38"/>
        <v>0</v>
      </c>
      <c r="P485" s="10" t="str">
        <f>IFERROR(VLOOKUP($A485,[1]FINAL!$A$1:$BZ$1000,MATCH([1]FINAL!$BB$1,[1]FINAL!$A$1:$BZ$1,0),0),"")</f>
        <v/>
      </c>
      <c r="Q485" s="18">
        <f t="shared" si="39"/>
        <v>1</v>
      </c>
    </row>
    <row r="486" spans="1:17" x14ac:dyDescent="0.25">
      <c r="A486" s="14" t="str">
        <f>[1]FINAL!$A431</f>
        <v>Bendito Mantato</v>
      </c>
      <c r="B486" s="20" t="str">
        <f>IFERROR(VLOOKUP($A486,[1]FINAL!$A$1:$Z$1000,MATCH([1]FINAL!$T$1,[1]FINAL!$A$1:$Z$1,0),0),"")</f>
        <v>MID</v>
      </c>
      <c r="C486" s="3" t="str">
        <f>IFERROR(VLOOKUP($A486,[1]FINAL!$A$1:$Z$1000,MATCH([1]FINAL!$U$1,[1]FINAL!$A$1:$Z$1,0),0),"")</f>
        <v/>
      </c>
      <c r="D486" s="3" t="str">
        <f>IFERROR(VLOOKUP($A486,[1]FINAL!$A$1:$Z$1000,MATCH([1]FINAL!$V$1,[1]FINAL!$A$1:$Z$1,0),0),"")</f>
        <v>MUN</v>
      </c>
      <c r="E486" s="6">
        <f t="shared" si="35"/>
        <v>0</v>
      </c>
      <c r="F486" s="5">
        <f t="shared" si="36"/>
        <v>0</v>
      </c>
      <c r="G486" s="5">
        <f>IFERROR(IF(H486&lt;&gt;"",H486,VLOOKUP($A486,[1]FINAL!$A$1:$BZ$1000,MATCH([1]FINAL!$BL$1,[1]FINAL!$A$1:$BZ$1,0),0)),0)</f>
        <v>0</v>
      </c>
      <c r="I486" s="5">
        <f>IFERROR(IF(J486&lt;&gt;"",J486,(IF(VLOOKUP($A486,#REF!,MATCH(#REF!,#REF!,0),0)=0,G486,VLOOKUP($A486,#REF!,MATCH(#REF!,#REF!,0),0)))),G486)</f>
        <v>0</v>
      </c>
      <c r="K486" s="6">
        <f>IFERROR(VLOOKUP($A486,#REF!,MATCH(#REF!,#REF!,0),0),0)</f>
        <v>0</v>
      </c>
      <c r="L486" s="6">
        <f>IFERROR(VLOOKUP($A486,[1]FINAL!$A$1:$BZ$1000,MATCH([1]FINAL!$BF$1,[1]FINAL!$A$1:$BZ$1,0),0),0)</f>
        <v>0</v>
      </c>
      <c r="M486" s="7">
        <f t="shared" si="37"/>
        <v>0</v>
      </c>
      <c r="N486" s="6">
        <f>IFERROR(VLOOKUP($A486,#REF!,MATCH(#REF!,#REF!,0),0),0)</f>
        <v>0</v>
      </c>
      <c r="O486" s="7">
        <f t="shared" si="38"/>
        <v>0</v>
      </c>
      <c r="P486" s="10" t="str">
        <f>IFERROR(VLOOKUP($A486,[1]FINAL!$A$1:$BZ$1000,MATCH([1]FINAL!$BB$1,[1]FINAL!$A$1:$BZ$1,0),0),"")</f>
        <v/>
      </c>
      <c r="Q486" s="18">
        <f t="shared" si="39"/>
        <v>1</v>
      </c>
    </row>
    <row r="487" spans="1:17" x14ac:dyDescent="0.25">
      <c r="A487" s="14" t="str">
        <f>[1]FINAL!$A432</f>
        <v>Jeremy Monga</v>
      </c>
      <c r="B487" s="20" t="str">
        <f>IFERROR(VLOOKUP($A487,[1]FINAL!$A$1:$Z$1000,MATCH([1]FINAL!$T$1,[1]FINAL!$A$1:$Z$1,0),0),"")</f>
        <v>MID</v>
      </c>
      <c r="C487" s="3" t="str">
        <f>IFERROR(VLOOKUP($A487,[1]FINAL!$A$1:$Z$1000,MATCH([1]FINAL!$U$1,[1]FINAL!$A$1:$Z$1,0),0),"")</f>
        <v>LW</v>
      </c>
      <c r="D487" s="3" t="str">
        <f>IFERROR(VLOOKUP($A487,[1]FINAL!$A$1:$Z$1000,MATCH([1]FINAL!$V$1,[1]FINAL!$A$1:$Z$1,0),0),"")</f>
        <v>MCI</v>
      </c>
      <c r="E487" s="6">
        <f t="shared" si="35"/>
        <v>0</v>
      </c>
      <c r="F487" s="5">
        <f t="shared" si="36"/>
        <v>0</v>
      </c>
      <c r="G487" s="5">
        <f>IFERROR(IF(H487&lt;&gt;"",H487,VLOOKUP($A487,[1]FINAL!$A$1:$BZ$1000,MATCH([1]FINAL!$BL$1,[1]FINAL!$A$1:$BZ$1,0),0)),0)</f>
        <v>0</v>
      </c>
      <c r="I487" s="5">
        <f>IFERROR(IF(J487&lt;&gt;"",J487,(IF(VLOOKUP($A487,#REF!,MATCH(#REF!,#REF!,0),0)=0,G487,VLOOKUP($A487,#REF!,MATCH(#REF!,#REF!,0),0)))),G487)</f>
        <v>0</v>
      </c>
      <c r="K487" s="6">
        <f>IFERROR(VLOOKUP($A487,#REF!,MATCH(#REF!,#REF!,0),0),0)</f>
        <v>0</v>
      </c>
      <c r="L487" s="6">
        <f>IFERROR(VLOOKUP($A487,[1]FINAL!$A$1:$BZ$1000,MATCH([1]FINAL!$BF$1,[1]FINAL!$A$1:$BZ$1,0),0),0)</f>
        <v>0</v>
      </c>
      <c r="M487" s="7">
        <f t="shared" si="37"/>
        <v>0</v>
      </c>
      <c r="N487" s="6">
        <f>IFERROR(VLOOKUP($A487,#REF!,MATCH(#REF!,#REF!,0),0),0)</f>
        <v>0</v>
      </c>
      <c r="O487" s="7">
        <f t="shared" si="38"/>
        <v>0</v>
      </c>
      <c r="P487" s="10" t="str">
        <f>IFERROR(VLOOKUP($A487,[1]FINAL!$A$1:$BZ$1000,MATCH([1]FINAL!$BB$1,[1]FINAL!$A$1:$BZ$1,0),0),"")</f>
        <v/>
      </c>
      <c r="Q487" s="18">
        <f t="shared" si="39"/>
        <v>1</v>
      </c>
    </row>
    <row r="488" spans="1:17" x14ac:dyDescent="0.25">
      <c r="A488" s="14" t="str">
        <f>[1]FINAL!$A433</f>
        <v>Victor Munoz</v>
      </c>
      <c r="B488" s="20" t="str">
        <f>IFERROR(VLOOKUP($A488,[1]FINAL!$A$1:$Z$1000,MATCH([1]FINAL!$T$1,[1]FINAL!$A$1:$Z$1,0),0),"")</f>
        <v>MID</v>
      </c>
      <c r="C488" s="3" t="str">
        <f>IFERROR(VLOOKUP($A488,[1]FINAL!$A$1:$Z$1000,MATCH([1]FINAL!$U$1,[1]FINAL!$A$1:$Z$1,0),0),"")</f>
        <v/>
      </c>
      <c r="D488" s="3" t="str">
        <f>IFERROR(VLOOKUP($A488,[1]FINAL!$A$1:$Z$1000,MATCH([1]FINAL!$V$1,[1]FINAL!$A$1:$Z$1,0),0),"")</f>
        <v>LIV</v>
      </c>
      <c r="E488" s="6">
        <f t="shared" si="35"/>
        <v>0</v>
      </c>
      <c r="F488" s="5">
        <f t="shared" si="36"/>
        <v>0</v>
      </c>
      <c r="G488" s="5">
        <f>IFERROR(IF(H488&lt;&gt;"",H488,VLOOKUP($A488,[1]FINAL!$A$1:$BZ$1000,MATCH([1]FINAL!$BL$1,[1]FINAL!$A$1:$BZ$1,0),0)),0)</f>
        <v>0</v>
      </c>
      <c r="I488" s="5">
        <f>IFERROR(IF(J488&lt;&gt;"",J488,(IF(VLOOKUP($A488,#REF!,MATCH(#REF!,#REF!,0),0)=0,G488,VLOOKUP($A488,#REF!,MATCH(#REF!,#REF!,0),0)))),G488)</f>
        <v>0</v>
      </c>
      <c r="K488" s="6">
        <f>IFERROR(VLOOKUP($A488,#REF!,MATCH(#REF!,#REF!,0),0),0)</f>
        <v>0</v>
      </c>
      <c r="L488" s="6">
        <f>IFERROR(VLOOKUP($A488,[1]FINAL!$A$1:$BZ$1000,MATCH([1]FINAL!$BF$1,[1]FINAL!$A$1:$BZ$1,0),0),0)</f>
        <v>0</v>
      </c>
      <c r="M488" s="7">
        <f t="shared" si="37"/>
        <v>0</v>
      </c>
      <c r="N488" s="6">
        <f>IFERROR(VLOOKUP($A488,#REF!,MATCH(#REF!,#REF!,0),0),0)</f>
        <v>0</v>
      </c>
      <c r="O488" s="7">
        <f t="shared" si="38"/>
        <v>0</v>
      </c>
      <c r="P488" s="10" t="str">
        <f>IFERROR(VLOOKUP($A488,[1]FINAL!$A$1:$BZ$1000,MATCH([1]FINAL!$BB$1,[1]FINAL!$A$1:$BZ$1,0),0),"")</f>
        <v/>
      </c>
      <c r="Q488" s="18">
        <f t="shared" si="39"/>
        <v>1</v>
      </c>
    </row>
    <row r="489" spans="1:17" x14ac:dyDescent="0.25">
      <c r="A489" s="14" t="str">
        <f>[1]FINAL!$A434</f>
        <v>Trey Nyoni</v>
      </c>
      <c r="B489" s="20" t="str">
        <f>IFERROR(VLOOKUP($A489,[1]FINAL!$A$1:$Z$1000,MATCH([1]FINAL!$T$1,[1]FINAL!$A$1:$Z$1,0),0),"")</f>
        <v>MID</v>
      </c>
      <c r="C489" s="3" t="str">
        <f>IFERROR(VLOOKUP($A489,[1]FINAL!$A$1:$Z$1000,MATCH([1]FINAL!$U$1,[1]FINAL!$A$1:$Z$1,0),0),"")</f>
        <v>CM</v>
      </c>
      <c r="D489" s="3" t="str">
        <f>IFERROR(VLOOKUP($A489,[1]FINAL!$A$1:$Z$1000,MATCH([1]FINAL!$V$1,[1]FINAL!$A$1:$Z$1,0),0),"")</f>
        <v>LIV</v>
      </c>
      <c r="E489" s="6">
        <f t="shared" si="35"/>
        <v>0</v>
      </c>
      <c r="F489" s="5">
        <f t="shared" si="36"/>
        <v>0</v>
      </c>
      <c r="G489" s="5">
        <f>IFERROR(IF(H489&lt;&gt;"",H489,VLOOKUP($A489,[1]FINAL!$A$1:$BZ$1000,MATCH([1]FINAL!$BL$1,[1]FINAL!$A$1:$BZ$1,0),0)),0)</f>
        <v>0</v>
      </c>
      <c r="I489" s="5">
        <f>IFERROR(IF(J489&lt;&gt;"",J489,(IF(VLOOKUP($A489,#REF!,MATCH(#REF!,#REF!,0),0)=0,G489,VLOOKUP($A489,#REF!,MATCH(#REF!,#REF!,0),0)))),G489)</f>
        <v>0</v>
      </c>
      <c r="K489" s="6">
        <f>IFERROR(VLOOKUP($A489,#REF!,MATCH(#REF!,#REF!,0),0),0)</f>
        <v>0</v>
      </c>
      <c r="L489" s="6">
        <f>IFERROR(VLOOKUP($A489,[1]FINAL!$A$1:$BZ$1000,MATCH([1]FINAL!$BF$1,[1]FINAL!$A$1:$BZ$1,0),0),0)</f>
        <v>0</v>
      </c>
      <c r="M489" s="7">
        <f t="shared" si="37"/>
        <v>0</v>
      </c>
      <c r="N489" s="6">
        <f>IFERROR(VLOOKUP($A489,#REF!,MATCH(#REF!,#REF!,0),0),0)</f>
        <v>0</v>
      </c>
      <c r="O489" s="7">
        <f t="shared" si="38"/>
        <v>0</v>
      </c>
      <c r="P489" s="10" t="str">
        <f>IFERROR(VLOOKUP($A489,[1]FINAL!$A$1:$BZ$1000,MATCH([1]FINAL!$BB$1,[1]FINAL!$A$1:$BZ$1,0),0),"")</f>
        <v/>
      </c>
      <c r="Q489" s="18">
        <f t="shared" si="39"/>
        <v>1</v>
      </c>
    </row>
    <row r="490" spans="1:17" x14ac:dyDescent="0.25">
      <c r="A490" s="14" t="str">
        <f>[1]FINAL!$A435</f>
        <v>Jeremy Jacquet</v>
      </c>
      <c r="B490" s="20" t="str">
        <f>IFERROR(VLOOKUP($A490,[1]FINAL!$A$1:$Z$1000,MATCH([1]FINAL!$T$1,[1]FINAL!$A$1:$Z$1,0),0),"")</f>
        <v>DEF</v>
      </c>
      <c r="C490" s="3" t="str">
        <f>IFERROR(VLOOKUP($A490,[1]FINAL!$A$1:$Z$1000,MATCH([1]FINAL!$U$1,[1]FINAL!$A$1:$Z$1,0),0),"")</f>
        <v/>
      </c>
      <c r="D490" s="3" t="str">
        <f>IFERROR(VLOOKUP($A490,[1]FINAL!$A$1:$Z$1000,MATCH([1]FINAL!$V$1,[1]FINAL!$A$1:$Z$1,0),0),"")</f>
        <v>LIV</v>
      </c>
      <c r="E490" s="6">
        <f t="shared" si="35"/>
        <v>0</v>
      </c>
      <c r="F490" s="5">
        <f t="shared" si="36"/>
        <v>0</v>
      </c>
      <c r="G490" s="5">
        <f>IFERROR(IF(H490&lt;&gt;"",H490,VLOOKUP($A490,[1]FINAL!$A$1:$BZ$1000,MATCH([1]FINAL!$BL$1,[1]FINAL!$A$1:$BZ$1,0),0)),0)</f>
        <v>0</v>
      </c>
      <c r="I490" s="5">
        <f>IFERROR(IF(J490&lt;&gt;"",J490,(IF(VLOOKUP($A490,#REF!,MATCH(#REF!,#REF!,0),0)=0,G490,VLOOKUP($A490,#REF!,MATCH(#REF!,#REF!,0),0)))),G490)</f>
        <v>0</v>
      </c>
      <c r="K490" s="6">
        <f>IFERROR(VLOOKUP($A490,#REF!,MATCH(#REF!,#REF!,0),0),0)</f>
        <v>0</v>
      </c>
      <c r="L490" s="6">
        <f>IFERROR(VLOOKUP($A490,[1]FINAL!$A$1:$BZ$1000,MATCH([1]FINAL!$BF$1,[1]FINAL!$A$1:$BZ$1,0),0),0)</f>
        <v>0</v>
      </c>
      <c r="M490" s="7">
        <f t="shared" si="37"/>
        <v>0</v>
      </c>
      <c r="N490" s="6">
        <f>IFERROR(VLOOKUP($A490,#REF!,MATCH(#REF!,#REF!,0),0),0)</f>
        <v>0</v>
      </c>
      <c r="O490" s="7">
        <f t="shared" si="38"/>
        <v>0</v>
      </c>
      <c r="P490" s="10">
        <f>IFERROR(VLOOKUP($A490,[1]FINAL!$A$1:$BZ$1000,MATCH([1]FINAL!$BB$1,[1]FINAL!$A$1:$BZ$1,0),0),"")</f>
        <v>75</v>
      </c>
      <c r="Q490" s="18">
        <f t="shared" si="39"/>
        <v>0.75</v>
      </c>
    </row>
    <row r="491" spans="1:17" x14ac:dyDescent="0.25">
      <c r="A491" s="14" t="str">
        <f>[1]FINAL!$A436</f>
        <v>Kostas Tsimikas</v>
      </c>
      <c r="B491" s="20" t="str">
        <f>IFERROR(VLOOKUP($A491,[1]FINAL!$A$1:$Z$1000,MATCH([1]FINAL!$T$1,[1]FINAL!$A$1:$Z$1,0),0),"")</f>
        <v>DEF</v>
      </c>
      <c r="C491" s="3" t="str">
        <f>IFERROR(VLOOKUP($A491,[1]FINAL!$A$1:$Z$1000,MATCH([1]FINAL!$U$1,[1]FINAL!$A$1:$Z$1,0),0),"")</f>
        <v/>
      </c>
      <c r="D491" s="3" t="str">
        <f>IFERROR(VLOOKUP($A491,[1]FINAL!$A$1:$Z$1000,MATCH([1]FINAL!$V$1,[1]FINAL!$A$1:$Z$1,0),0),"")</f>
        <v>LIV</v>
      </c>
      <c r="E491" s="6">
        <f t="shared" si="35"/>
        <v>0</v>
      </c>
      <c r="F491" s="5">
        <f t="shared" si="36"/>
        <v>0</v>
      </c>
      <c r="G491" s="5">
        <f>IFERROR(IF(H491&lt;&gt;"",H491,VLOOKUP($A491,[1]FINAL!$A$1:$BZ$1000,MATCH([1]FINAL!$BL$1,[1]FINAL!$A$1:$BZ$1,0),0)),0)</f>
        <v>0</v>
      </c>
      <c r="I491" s="5">
        <f>IFERROR(IF(J491&lt;&gt;"",J491,(IF(VLOOKUP($A491,#REF!,MATCH(#REF!,#REF!,0),0)=0,G491,VLOOKUP($A491,#REF!,MATCH(#REF!,#REF!,0),0)))),G491)</f>
        <v>0</v>
      </c>
      <c r="K491" s="6">
        <f>IFERROR(VLOOKUP($A491,#REF!,MATCH(#REF!,#REF!,0),0),0)</f>
        <v>0</v>
      </c>
      <c r="L491" s="6">
        <f>IFERROR(VLOOKUP($A491,[1]FINAL!$A$1:$BZ$1000,MATCH([1]FINAL!$BF$1,[1]FINAL!$A$1:$BZ$1,0),0),0)</f>
        <v>0</v>
      </c>
      <c r="M491" s="7">
        <f t="shared" si="37"/>
        <v>0</v>
      </c>
      <c r="N491" s="6">
        <f>IFERROR(VLOOKUP($A491,#REF!,MATCH(#REF!,#REF!,0),0),0)</f>
        <v>0</v>
      </c>
      <c r="O491" s="7">
        <f t="shared" si="38"/>
        <v>0</v>
      </c>
      <c r="P491" s="10" t="str">
        <f>IFERROR(VLOOKUP($A491,[1]FINAL!$A$1:$BZ$1000,MATCH([1]FINAL!$BB$1,[1]FINAL!$A$1:$BZ$1,0),0),"")</f>
        <v/>
      </c>
      <c r="Q491" s="18">
        <f t="shared" si="39"/>
        <v>1</v>
      </c>
    </row>
    <row r="492" spans="1:17" x14ac:dyDescent="0.25">
      <c r="A492" s="14" t="str">
        <f>[1]FINAL!$A437</f>
        <v>Lewis Koumas</v>
      </c>
      <c r="B492" s="20" t="str">
        <f>IFERROR(VLOOKUP($A492,[1]FINAL!$A$1:$Z$1000,MATCH([1]FINAL!$T$1,[1]FINAL!$A$1:$Z$1,0),0),"")</f>
        <v>MID</v>
      </c>
      <c r="C492" s="3" t="str">
        <f>IFERROR(VLOOKUP($A492,[1]FINAL!$A$1:$Z$1000,MATCH([1]FINAL!$U$1,[1]FINAL!$A$1:$Z$1,0),0),"")</f>
        <v/>
      </c>
      <c r="D492" s="3" t="str">
        <f>IFERROR(VLOOKUP($A492,[1]FINAL!$A$1:$Z$1000,MATCH([1]FINAL!$V$1,[1]FINAL!$A$1:$Z$1,0),0),"")</f>
        <v>LIV</v>
      </c>
      <c r="E492" s="6">
        <f t="shared" si="35"/>
        <v>9444.4444444444434</v>
      </c>
      <c r="F492" s="5">
        <f t="shared" si="36"/>
        <v>0</v>
      </c>
      <c r="G492" s="5">
        <f>IFERROR(IF(H492&lt;&gt;"",H492,VLOOKUP($A492,[1]FINAL!$A$1:$BZ$1000,MATCH([1]FINAL!$BL$1,[1]FINAL!$A$1:$BZ$1,0),0)),0)</f>
        <v>0</v>
      </c>
      <c r="I492" s="5">
        <f>IFERROR(IF(J492&lt;&gt;"",J492,(IF(VLOOKUP($A492,#REF!,MATCH(#REF!,#REF!,0),0)=0,G492,VLOOKUP($A492,#REF!,MATCH(#REF!,#REF!,0),0)))),G492)</f>
        <v>0</v>
      </c>
      <c r="K492" s="6">
        <f>IFERROR(VLOOKUP($A492,#REF!,MATCH(#REF!,#REF!,0),0),0)</f>
        <v>0</v>
      </c>
      <c r="L492" s="6">
        <f>IFERROR(VLOOKUP($A492,[1]FINAL!$A$1:$BZ$1000,MATCH([1]FINAL!$BF$1,[1]FINAL!$A$1:$BZ$1,0),0),0)</f>
        <v>85</v>
      </c>
      <c r="M492" s="7">
        <f t="shared" si="37"/>
        <v>0.94444444444444442</v>
      </c>
      <c r="N492" s="6">
        <f>IFERROR(VLOOKUP($A492,#REF!,MATCH(#REF!,#REF!,0),0),0)</f>
        <v>0</v>
      </c>
      <c r="O492" s="7">
        <f t="shared" si="38"/>
        <v>0</v>
      </c>
      <c r="P492" s="10" t="str">
        <f>IFERROR(VLOOKUP($A492,[1]FINAL!$A$1:$BZ$1000,MATCH([1]FINAL!$BB$1,[1]FINAL!$A$1:$BZ$1,0),0),"")</f>
        <v/>
      </c>
      <c r="Q492" s="18">
        <f t="shared" si="39"/>
        <v>1</v>
      </c>
    </row>
    <row r="493" spans="1:17" x14ac:dyDescent="0.25">
      <c r="A493" s="14" t="str">
        <f>[1]FINAL!$A438</f>
        <v>Jayden Danns</v>
      </c>
      <c r="B493" s="20" t="str">
        <f>IFERROR(VLOOKUP($A493,[1]FINAL!$A$1:$Z$1000,MATCH([1]FINAL!$T$1,[1]FINAL!$A$1:$Z$1,0),0),"")</f>
        <v>FWD</v>
      </c>
      <c r="C493" s="3" t="str">
        <f>IFERROR(VLOOKUP($A493,[1]FINAL!$A$1:$Z$1000,MATCH([1]FINAL!$U$1,[1]FINAL!$A$1:$Z$1,0),0),"")</f>
        <v/>
      </c>
      <c r="D493" s="3" t="str">
        <f>IFERROR(VLOOKUP($A493,[1]FINAL!$A$1:$Z$1000,MATCH([1]FINAL!$V$1,[1]FINAL!$A$1:$Z$1,0),0),"")</f>
        <v>LIV</v>
      </c>
      <c r="E493" s="6">
        <f t="shared" si="35"/>
        <v>0</v>
      </c>
      <c r="F493" s="5">
        <f t="shared" si="36"/>
        <v>0</v>
      </c>
      <c r="G493" s="5">
        <f>IFERROR(IF(H493&lt;&gt;"",H493,VLOOKUP($A493,[1]FINAL!$A$1:$BZ$1000,MATCH([1]FINAL!$BL$1,[1]FINAL!$A$1:$BZ$1,0),0)),0)</f>
        <v>0</v>
      </c>
      <c r="I493" s="5">
        <f>IFERROR(IF(J493&lt;&gt;"",J493,(IF(VLOOKUP($A493,#REF!,MATCH(#REF!,#REF!,0),0)=0,G493,VLOOKUP($A493,#REF!,MATCH(#REF!,#REF!,0),0)))),G493)</f>
        <v>0</v>
      </c>
      <c r="K493" s="6">
        <f>IFERROR(VLOOKUP($A493,#REF!,MATCH(#REF!,#REF!,0),0),0)</f>
        <v>0</v>
      </c>
      <c r="L493" s="6">
        <f>IFERROR(VLOOKUP($A493,[1]FINAL!$A$1:$BZ$1000,MATCH([1]FINAL!$BF$1,[1]FINAL!$A$1:$BZ$1,0),0),0)</f>
        <v>0</v>
      </c>
      <c r="M493" s="7">
        <f t="shared" si="37"/>
        <v>0</v>
      </c>
      <c r="N493" s="6">
        <f>IFERROR(VLOOKUP($A493,#REF!,MATCH(#REF!,#REF!,0),0),0)</f>
        <v>0</v>
      </c>
      <c r="O493" s="7">
        <f t="shared" si="38"/>
        <v>0</v>
      </c>
      <c r="P493" s="10">
        <f>IFERROR(VLOOKUP($A493,[1]FINAL!$A$1:$BZ$1000,MATCH([1]FINAL!$BB$1,[1]FINAL!$A$1:$BZ$1,0),0),"")</f>
        <v>75</v>
      </c>
      <c r="Q493" s="18">
        <f t="shared" si="39"/>
        <v>0.75</v>
      </c>
    </row>
    <row r="494" spans="1:17" x14ac:dyDescent="0.25">
      <c r="A494" s="14" t="str">
        <f>[1]FINAL!$A439</f>
        <v>Giovanni Leoni</v>
      </c>
      <c r="B494" s="20" t="str">
        <f>IFERROR(VLOOKUP($A494,[1]FINAL!$A$1:$Z$1000,MATCH([1]FINAL!$T$1,[1]FINAL!$A$1:$Z$1,0),0),"")</f>
        <v>DEF</v>
      </c>
      <c r="C494" s="3" t="str">
        <f>IFERROR(VLOOKUP($A494,[1]FINAL!$A$1:$Z$1000,MATCH([1]FINAL!$U$1,[1]FINAL!$A$1:$Z$1,0),0),"")</f>
        <v>CB</v>
      </c>
      <c r="D494" s="3" t="str">
        <f>IFERROR(VLOOKUP($A494,[1]FINAL!$A$1:$Z$1000,MATCH([1]FINAL!$V$1,[1]FINAL!$A$1:$Z$1,0),0),"")</f>
        <v>LIV</v>
      </c>
      <c r="E494" s="6">
        <f t="shared" si="35"/>
        <v>0</v>
      </c>
      <c r="F494" s="5">
        <f t="shared" si="36"/>
        <v>0</v>
      </c>
      <c r="G494" s="5">
        <f>IFERROR(IF(H494&lt;&gt;"",H494,VLOOKUP($A494,[1]FINAL!$A$1:$BZ$1000,MATCH([1]FINAL!$BL$1,[1]FINAL!$A$1:$BZ$1,0),0)),0)</f>
        <v>0</v>
      </c>
      <c r="I494" s="5">
        <f>IFERROR(IF(J494&lt;&gt;"",J494,(IF(VLOOKUP($A494,#REF!,MATCH(#REF!,#REF!,0),0)=0,G494,VLOOKUP($A494,#REF!,MATCH(#REF!,#REF!,0),0)))),G494)</f>
        <v>0</v>
      </c>
      <c r="K494" s="6">
        <f>IFERROR(VLOOKUP($A494,#REF!,MATCH(#REF!,#REF!,0),0),0)</f>
        <v>0</v>
      </c>
      <c r="L494" s="6">
        <f>IFERROR(VLOOKUP($A494,[1]FINAL!$A$1:$BZ$1000,MATCH([1]FINAL!$BF$1,[1]FINAL!$A$1:$BZ$1,0),0),0)</f>
        <v>0</v>
      </c>
      <c r="M494" s="7">
        <f t="shared" si="37"/>
        <v>0</v>
      </c>
      <c r="N494" s="6">
        <f>IFERROR(VLOOKUP($A494,#REF!,MATCH(#REF!,#REF!,0),0),0)</f>
        <v>0</v>
      </c>
      <c r="O494" s="7">
        <f t="shared" si="38"/>
        <v>0</v>
      </c>
      <c r="P494" s="10">
        <f>IFERROR(VLOOKUP($A494,[1]FINAL!$A$1:$BZ$1000,MATCH([1]FINAL!$BB$1,[1]FINAL!$A$1:$BZ$1,0),0),"")</f>
        <v>0</v>
      </c>
      <c r="Q494" s="18">
        <f t="shared" si="39"/>
        <v>1E-4</v>
      </c>
    </row>
    <row r="495" spans="1:17" x14ac:dyDescent="0.25">
      <c r="A495" s="14" t="str">
        <f>[1]FINAL!$A440</f>
        <v>Calvin Ramsay</v>
      </c>
      <c r="B495" s="20" t="str">
        <f>IFERROR(VLOOKUP($A495,[1]FINAL!$A$1:$Z$1000,MATCH([1]FINAL!$T$1,[1]FINAL!$A$1:$Z$1,0),0),"")</f>
        <v>DEF</v>
      </c>
      <c r="C495" s="3" t="str">
        <f>IFERROR(VLOOKUP($A495,[1]FINAL!$A$1:$Z$1000,MATCH([1]FINAL!$U$1,[1]FINAL!$A$1:$Z$1,0),0),"")</f>
        <v>RB</v>
      </c>
      <c r="D495" s="3" t="str">
        <f>IFERROR(VLOOKUP($A495,[1]FINAL!$A$1:$Z$1000,MATCH([1]FINAL!$V$1,[1]FINAL!$A$1:$Z$1,0),0),"")</f>
        <v>LIV</v>
      </c>
      <c r="E495" s="6">
        <f t="shared" si="35"/>
        <v>0</v>
      </c>
      <c r="F495" s="5">
        <f t="shared" si="36"/>
        <v>0</v>
      </c>
      <c r="G495" s="5">
        <f>IFERROR(IF(H495&lt;&gt;"",H495,VLOOKUP($A495,[1]FINAL!$A$1:$BZ$1000,MATCH([1]FINAL!$BL$1,[1]FINAL!$A$1:$BZ$1,0),0)),0)</f>
        <v>0</v>
      </c>
      <c r="I495" s="5">
        <f>IFERROR(IF(J495&lt;&gt;"",J495,(IF(VLOOKUP($A495,#REF!,MATCH(#REF!,#REF!,0),0)=0,G495,VLOOKUP($A495,#REF!,MATCH(#REF!,#REF!,0),0)))),G495)</f>
        <v>0</v>
      </c>
      <c r="K495" s="6">
        <f>IFERROR(VLOOKUP($A495,#REF!,MATCH(#REF!,#REF!,0),0),0)</f>
        <v>0</v>
      </c>
      <c r="L495" s="6">
        <f>IFERROR(VLOOKUP($A495,[1]FINAL!$A$1:$BZ$1000,MATCH([1]FINAL!$BF$1,[1]FINAL!$A$1:$BZ$1,0),0),0)</f>
        <v>0</v>
      </c>
      <c r="M495" s="7">
        <f t="shared" si="37"/>
        <v>0</v>
      </c>
      <c r="N495" s="6">
        <f>IFERROR(VLOOKUP($A495,#REF!,MATCH(#REF!,#REF!,0),0),0)</f>
        <v>0</v>
      </c>
      <c r="O495" s="7">
        <f t="shared" si="38"/>
        <v>0</v>
      </c>
      <c r="P495" s="10" t="str">
        <f>IFERROR(VLOOKUP($A495,[1]FINAL!$A$1:$BZ$1000,MATCH([1]FINAL!$BB$1,[1]FINAL!$A$1:$BZ$1,0),0),"")</f>
        <v/>
      </c>
      <c r="Q495" s="18">
        <f t="shared" si="39"/>
        <v>1</v>
      </c>
    </row>
    <row r="496" spans="1:17" x14ac:dyDescent="0.25">
      <c r="A496" s="14" t="str">
        <f>[1]FINAL!$A441</f>
        <v>Wellity Lucky</v>
      </c>
      <c r="B496" s="20" t="str">
        <f>IFERROR(VLOOKUP($A496,[1]FINAL!$A$1:$Z$1000,MATCH([1]FINAL!$T$1,[1]FINAL!$A$1:$Z$1,0),0),"")</f>
        <v>DEF</v>
      </c>
      <c r="C496" s="3" t="str">
        <f>IFERROR(VLOOKUP($A496,[1]FINAL!$A$1:$Z$1000,MATCH([1]FINAL!$U$1,[1]FINAL!$A$1:$Z$1,0),0),"")</f>
        <v/>
      </c>
      <c r="D496" s="3" t="str">
        <f>IFERROR(VLOOKUP($A496,[1]FINAL!$A$1:$Z$1000,MATCH([1]FINAL!$V$1,[1]FINAL!$A$1:$Z$1,0),0),"")</f>
        <v>LIV</v>
      </c>
      <c r="E496" s="6">
        <f t="shared" si="35"/>
        <v>0</v>
      </c>
      <c r="F496" s="5">
        <f t="shared" si="36"/>
        <v>0</v>
      </c>
      <c r="G496" s="5">
        <f>IFERROR(IF(H496&lt;&gt;"",H496,VLOOKUP($A496,[1]FINAL!$A$1:$BZ$1000,MATCH([1]FINAL!$BL$1,[1]FINAL!$A$1:$BZ$1,0),0)),0)</f>
        <v>0</v>
      </c>
      <c r="I496" s="5">
        <f>IFERROR(IF(J496&lt;&gt;"",J496,(IF(VLOOKUP($A496,#REF!,MATCH(#REF!,#REF!,0),0)=0,G496,VLOOKUP($A496,#REF!,MATCH(#REF!,#REF!,0),0)))),G496)</f>
        <v>0</v>
      </c>
      <c r="K496" s="6">
        <f>IFERROR(VLOOKUP($A496,#REF!,MATCH(#REF!,#REF!,0),0),0)</f>
        <v>0</v>
      </c>
      <c r="L496" s="6">
        <f>IFERROR(VLOOKUP($A496,[1]FINAL!$A$1:$BZ$1000,MATCH([1]FINAL!$BF$1,[1]FINAL!$A$1:$BZ$1,0),0),0)</f>
        <v>0</v>
      </c>
      <c r="M496" s="7">
        <f t="shared" si="37"/>
        <v>0</v>
      </c>
      <c r="N496" s="6">
        <f>IFERROR(VLOOKUP($A496,#REF!,MATCH(#REF!,#REF!,0),0),0)</f>
        <v>0</v>
      </c>
      <c r="O496" s="7">
        <f t="shared" si="38"/>
        <v>0</v>
      </c>
      <c r="P496" s="10" t="str">
        <f>IFERROR(VLOOKUP($A496,[1]FINAL!$A$1:$BZ$1000,MATCH([1]FINAL!$BB$1,[1]FINAL!$A$1:$BZ$1,0),0),"")</f>
        <v/>
      </c>
      <c r="Q496" s="18">
        <f t="shared" si="39"/>
        <v>1</v>
      </c>
    </row>
    <row r="497" spans="1:17" x14ac:dyDescent="0.25">
      <c r="A497" s="14" t="str">
        <f>[1]FINAL!$A443</f>
        <v>Vitezslav Jaros</v>
      </c>
      <c r="B497" s="20" t="str">
        <f>IFERROR(VLOOKUP($A497,[1]FINAL!$A$1:$Z$1000,MATCH([1]FINAL!$T$1,[1]FINAL!$A$1:$Z$1,0),0),"")</f>
        <v>GK</v>
      </c>
      <c r="C497" s="3" t="str">
        <f>IFERROR(VLOOKUP($A497,[1]FINAL!$A$1:$Z$1000,MATCH([1]FINAL!$U$1,[1]FINAL!$A$1:$Z$1,0),0),"")</f>
        <v>GK</v>
      </c>
      <c r="D497" s="3" t="str">
        <f>IFERROR(VLOOKUP($A497,[1]FINAL!$A$1:$Z$1000,MATCH([1]FINAL!$V$1,[1]FINAL!$A$1:$Z$1,0),0),"")</f>
        <v>LIV</v>
      </c>
      <c r="E497" s="6">
        <f t="shared" si="35"/>
        <v>0</v>
      </c>
      <c r="F497" s="5">
        <f t="shared" si="36"/>
        <v>0</v>
      </c>
      <c r="G497" s="5">
        <f>IFERROR(IF(H497&lt;&gt;"",H497,VLOOKUP($A497,[1]FINAL!$A$1:$BZ$1000,MATCH([1]FINAL!$BL$1,[1]FINAL!$A$1:$BZ$1,0),0)),0)</f>
        <v>0</v>
      </c>
      <c r="I497" s="5">
        <f>IFERROR(IF(J497&lt;&gt;"",J497,(IF(VLOOKUP($A497,#REF!,MATCH(#REF!,#REF!,0),0)=0,G497,VLOOKUP($A497,#REF!,MATCH(#REF!,#REF!,0),0)))),G497)</f>
        <v>0</v>
      </c>
      <c r="K497" s="6">
        <f>IFERROR(VLOOKUP($A497,#REF!,MATCH(#REF!,#REF!,0),0),0)</f>
        <v>0</v>
      </c>
      <c r="L497" s="6">
        <f>IFERROR(VLOOKUP($A497,[1]FINAL!$A$1:$BZ$1000,MATCH([1]FINAL!$BF$1,[1]FINAL!$A$1:$BZ$1,0),0),0)</f>
        <v>0</v>
      </c>
      <c r="M497" s="7">
        <f t="shared" si="37"/>
        <v>0</v>
      </c>
      <c r="N497" s="6">
        <f>IFERROR(VLOOKUP($A497,#REF!,MATCH(#REF!,#REF!,0),0),0)</f>
        <v>0</v>
      </c>
      <c r="O497" s="7">
        <f t="shared" si="38"/>
        <v>0</v>
      </c>
      <c r="P497" s="10" t="str">
        <f>IFERROR(VLOOKUP($A497,[1]FINAL!$A$1:$BZ$1000,MATCH([1]FINAL!$BB$1,[1]FINAL!$A$1:$BZ$1,0),0),"")</f>
        <v/>
      </c>
      <c r="Q497" s="18">
        <f t="shared" si="39"/>
        <v>1</v>
      </c>
    </row>
    <row r="498" spans="1:17" x14ac:dyDescent="0.25">
      <c r="A498" s="14" t="str">
        <f>[1]FINAL!$A444</f>
        <v>Harvey Davies</v>
      </c>
      <c r="B498" s="20" t="str">
        <f>IFERROR(VLOOKUP($A498,[1]FINAL!$A$1:$Z$1000,MATCH([1]FINAL!$T$1,[1]FINAL!$A$1:$Z$1,0),0),"")</f>
        <v>GK</v>
      </c>
      <c r="C498" s="3" t="str">
        <f>IFERROR(VLOOKUP($A498,[1]FINAL!$A$1:$Z$1000,MATCH([1]FINAL!$U$1,[1]FINAL!$A$1:$Z$1,0),0),"")</f>
        <v>GK</v>
      </c>
      <c r="D498" s="3" t="str">
        <f>IFERROR(VLOOKUP($A498,[1]FINAL!$A$1:$Z$1000,MATCH([1]FINAL!$V$1,[1]FINAL!$A$1:$Z$1,0),0),"")</f>
        <v>LIV</v>
      </c>
      <c r="E498" s="6">
        <f t="shared" si="35"/>
        <v>0</v>
      </c>
      <c r="F498" s="5">
        <f t="shared" si="36"/>
        <v>0</v>
      </c>
      <c r="G498" s="5">
        <f>IFERROR(IF(H498&lt;&gt;"",H498,VLOOKUP($A498,[1]FINAL!$A$1:$BZ$1000,MATCH([1]FINAL!$BL$1,[1]FINAL!$A$1:$BZ$1,0),0)),0)</f>
        <v>0</v>
      </c>
      <c r="I498" s="5">
        <f>IFERROR(IF(J498&lt;&gt;"",J498,(IF(VLOOKUP($A498,#REF!,MATCH(#REF!,#REF!,0),0)=0,G498,VLOOKUP($A498,#REF!,MATCH(#REF!,#REF!,0),0)))),G498)</f>
        <v>0</v>
      </c>
      <c r="K498" s="6">
        <f>IFERROR(VLOOKUP($A498,#REF!,MATCH(#REF!,#REF!,0),0),0)</f>
        <v>0</v>
      </c>
      <c r="L498" s="6">
        <f>IFERROR(VLOOKUP($A498,[1]FINAL!$A$1:$BZ$1000,MATCH([1]FINAL!$BF$1,[1]FINAL!$A$1:$BZ$1,0),0),0)</f>
        <v>0</v>
      </c>
      <c r="M498" s="7">
        <f t="shared" si="37"/>
        <v>0</v>
      </c>
      <c r="N498" s="6">
        <f>IFERROR(VLOOKUP($A498,#REF!,MATCH(#REF!,#REF!,0),0),0)</f>
        <v>0</v>
      </c>
      <c r="O498" s="7">
        <f t="shared" si="38"/>
        <v>0</v>
      </c>
      <c r="P498" s="10" t="str">
        <f>IFERROR(VLOOKUP($A498,[1]FINAL!$A$1:$BZ$1000,MATCH([1]FINAL!$BB$1,[1]FINAL!$A$1:$BZ$1,0),0),"")</f>
        <v/>
      </c>
      <c r="Q498" s="18">
        <f t="shared" si="39"/>
        <v>1</v>
      </c>
    </row>
    <row r="499" spans="1:17" x14ac:dyDescent="0.25">
      <c r="A499" s="14" t="str">
        <f>[1]FINAL!$A445</f>
        <v>Tarik Muharemović</v>
      </c>
      <c r="B499" s="20" t="str">
        <f>IFERROR(VLOOKUP($A499,[1]FINAL!$A$1:$Z$1000,MATCH([1]FINAL!$T$1,[1]FINAL!$A$1:$Z$1,0),0),"")</f>
        <v>DEF</v>
      </c>
      <c r="C499" s="3" t="str">
        <f>IFERROR(VLOOKUP($A499,[1]FINAL!$A$1:$Z$1000,MATCH([1]FINAL!$U$1,[1]FINAL!$A$1:$Z$1,0),0),"")</f>
        <v>CB</v>
      </c>
      <c r="D499" s="3" t="str">
        <f>IFERROR(VLOOKUP($A499,[1]FINAL!$A$1:$Z$1000,MATCH([1]FINAL!$V$1,[1]FINAL!$A$1:$Z$1,0),0),"")</f>
        <v>LEE</v>
      </c>
      <c r="E499" s="6">
        <f t="shared" si="35"/>
        <v>0</v>
      </c>
      <c r="F499" s="5">
        <f t="shared" si="36"/>
        <v>0</v>
      </c>
      <c r="G499" s="5">
        <f>IFERROR(IF(H499&lt;&gt;"",H499,VLOOKUP($A499,[1]FINAL!$A$1:$BZ$1000,MATCH([1]FINAL!$BL$1,[1]FINAL!$A$1:$BZ$1,0),0)),0)</f>
        <v>0</v>
      </c>
      <c r="I499" s="5">
        <f>IFERROR(IF(J499&lt;&gt;"",J499,(IF(VLOOKUP($A499,#REF!,MATCH(#REF!,#REF!,0),0)=0,G499,VLOOKUP($A499,#REF!,MATCH(#REF!,#REF!,0),0)))),G499)</f>
        <v>0</v>
      </c>
      <c r="K499" s="6">
        <f>IFERROR(VLOOKUP($A499,#REF!,MATCH(#REF!,#REF!,0),0),0)</f>
        <v>0</v>
      </c>
      <c r="L499" s="6">
        <f>IFERROR(VLOOKUP($A499,[1]FINAL!$A$1:$BZ$1000,MATCH([1]FINAL!$BF$1,[1]FINAL!$A$1:$BZ$1,0),0),0)</f>
        <v>0</v>
      </c>
      <c r="M499" s="7">
        <f t="shared" si="37"/>
        <v>0</v>
      </c>
      <c r="N499" s="6">
        <f>IFERROR(VLOOKUP($A499,#REF!,MATCH(#REF!,#REF!,0),0),0)</f>
        <v>0</v>
      </c>
      <c r="O499" s="7">
        <f t="shared" si="38"/>
        <v>0</v>
      </c>
      <c r="P499" s="10" t="str">
        <f>IFERROR(VLOOKUP($A499,[1]FINAL!$A$1:$BZ$1000,MATCH([1]FINAL!$BB$1,[1]FINAL!$A$1:$BZ$1,0),0),"")</f>
        <v/>
      </c>
      <c r="Q499" s="18">
        <f t="shared" si="39"/>
        <v>1</v>
      </c>
    </row>
    <row r="500" spans="1:17" x14ac:dyDescent="0.25">
      <c r="A500" s="14" t="str">
        <f>[1]FINAL!$A452</f>
        <v>Marcelino Núñez</v>
      </c>
      <c r="B500" s="20" t="str">
        <f>IFERROR(VLOOKUP($A500,[1]FINAL!$A$1:$Z$1000,MATCH([1]FINAL!$T$1,[1]FINAL!$A$1:$Z$1,0),0),"")</f>
        <v>MID</v>
      </c>
      <c r="C500" s="3" t="str">
        <f>IFERROR(VLOOKUP($A500,[1]FINAL!$A$1:$Z$1000,MATCH([1]FINAL!$U$1,[1]FINAL!$A$1:$Z$1,0),0),"")</f>
        <v>CM</v>
      </c>
      <c r="D500" s="3" t="str">
        <f>IFERROR(VLOOKUP($A500,[1]FINAL!$A$1:$Z$1000,MATCH([1]FINAL!$V$1,[1]FINAL!$A$1:$Z$1,0),0),"")</f>
        <v>IPS</v>
      </c>
      <c r="E500" s="6">
        <f t="shared" si="35"/>
        <v>141999.99999999997</v>
      </c>
      <c r="F500" s="5">
        <f t="shared" si="36"/>
        <v>0.66666666666666663</v>
      </c>
      <c r="G500" s="5">
        <f>IFERROR(IF(H500&lt;&gt;"",H500,VLOOKUP($A500,[1]FINAL!$A$1:$BZ$1000,MATCH([1]FINAL!$BL$1,[1]FINAL!$A$1:$BZ$1,0),0)),0)</f>
        <v>0.66666666666666663</v>
      </c>
      <c r="I500" s="5">
        <f>IFERROR(IF(J500&lt;&gt;"",J500,(IF(VLOOKUP($A500,#REF!,MATCH(#REF!,#REF!,0),0)=0,G500,VLOOKUP($A500,#REF!,MATCH(#REF!,#REF!,0),0)))),G500)</f>
        <v>0.66666666666666663</v>
      </c>
      <c r="K500" s="6">
        <f>IFERROR(VLOOKUP($A500,#REF!,MATCH(#REF!,#REF!,0),0),0)</f>
        <v>0</v>
      </c>
      <c r="L500" s="6">
        <f>IFERROR(VLOOKUP($A500,[1]FINAL!$A$1:$BZ$1000,MATCH([1]FINAL!$BF$1,[1]FINAL!$A$1:$BZ$1,0),0),0)</f>
        <v>78</v>
      </c>
      <c r="M500" s="7">
        <f t="shared" si="37"/>
        <v>0.8666666666666667</v>
      </c>
      <c r="N500" s="6">
        <f>IFERROR(VLOOKUP($A500,#REF!,MATCH(#REF!,#REF!,0),0),0)</f>
        <v>0</v>
      </c>
      <c r="O500" s="7">
        <f t="shared" si="38"/>
        <v>0</v>
      </c>
      <c r="P500" s="10" t="str">
        <f>IFERROR(VLOOKUP($A500,[1]FINAL!$A$1:$BZ$1000,MATCH([1]FINAL!$BB$1,[1]FINAL!$A$1:$BZ$1,0),0),"")</f>
        <v/>
      </c>
      <c r="Q500" s="18">
        <f t="shared" si="39"/>
        <v>1</v>
      </c>
    </row>
    <row r="501" spans="1:17" x14ac:dyDescent="0.25">
      <c r="A501" s="14" t="str">
        <f>[1]FINAL!$A453</f>
        <v>Azor Matusiwa</v>
      </c>
      <c r="B501" s="20" t="str">
        <f>IFERROR(VLOOKUP($A501,[1]FINAL!$A$1:$Z$1000,MATCH([1]FINAL!$T$1,[1]FINAL!$A$1:$Z$1,0),0),"")</f>
        <v>MID</v>
      </c>
      <c r="C501" s="3" t="str">
        <f>IFERROR(VLOOKUP($A501,[1]FINAL!$A$1:$Z$1000,MATCH([1]FINAL!$U$1,[1]FINAL!$A$1:$Z$1,0),0),"")</f>
        <v>DM</v>
      </c>
      <c r="D501" s="3" t="str">
        <f>IFERROR(VLOOKUP($A501,[1]FINAL!$A$1:$Z$1000,MATCH([1]FINAL!$V$1,[1]FINAL!$A$1:$Z$1,0),0),"")</f>
        <v>IPS</v>
      </c>
      <c r="E501" s="6">
        <f t="shared" si="35"/>
        <v>209444.44444444444</v>
      </c>
      <c r="F501" s="5">
        <f t="shared" si="36"/>
        <v>1</v>
      </c>
      <c r="G501" s="5">
        <f>IFERROR(IF(H501&lt;&gt;"",H501,VLOOKUP($A501,[1]FINAL!$A$1:$BZ$1000,MATCH([1]FINAL!$BL$1,[1]FINAL!$A$1:$BZ$1,0),0)),0)</f>
        <v>1</v>
      </c>
      <c r="I501" s="5">
        <f>IFERROR(IF(J501&lt;&gt;"",J501,(IF(VLOOKUP($A501,#REF!,MATCH(#REF!,#REF!,0),0)=0,G501,VLOOKUP($A501,#REF!,MATCH(#REF!,#REF!,0),0)))),G501)</f>
        <v>1</v>
      </c>
      <c r="K501" s="6">
        <f>IFERROR(VLOOKUP($A501,#REF!,MATCH(#REF!,#REF!,0),0),0)</f>
        <v>0</v>
      </c>
      <c r="L501" s="6">
        <f>IFERROR(VLOOKUP($A501,[1]FINAL!$A$1:$BZ$1000,MATCH([1]FINAL!$BF$1,[1]FINAL!$A$1:$BZ$1,0),0),0)</f>
        <v>85</v>
      </c>
      <c r="M501" s="7">
        <f t="shared" si="37"/>
        <v>0.94444444444444442</v>
      </c>
      <c r="N501" s="6">
        <f>IFERROR(VLOOKUP($A501,#REF!,MATCH(#REF!,#REF!,0),0),0)</f>
        <v>0</v>
      </c>
      <c r="O501" s="7">
        <f t="shared" si="38"/>
        <v>0</v>
      </c>
      <c r="P501" s="10" t="str">
        <f>IFERROR(VLOOKUP($A501,[1]FINAL!$A$1:$BZ$1000,MATCH([1]FINAL!$BB$1,[1]FINAL!$A$1:$BZ$1,0),0),"")</f>
        <v/>
      </c>
      <c r="Q501" s="18">
        <f t="shared" si="39"/>
        <v>1</v>
      </c>
    </row>
    <row r="502" spans="1:17" x14ac:dyDescent="0.25">
      <c r="A502" s="14" t="str">
        <f>[1]FINAL!$A465</f>
        <v>Alex Palmer</v>
      </c>
      <c r="B502" s="20" t="str">
        <f>IFERROR(VLOOKUP($A502,[1]FINAL!$A$1:$Z$1000,MATCH([1]FINAL!$T$1,[1]FINAL!$A$1:$Z$1,0),0),"")</f>
        <v>GK</v>
      </c>
      <c r="C502" s="3" t="str">
        <f>IFERROR(VLOOKUP($A502,[1]FINAL!$A$1:$Z$1000,MATCH([1]FINAL!$U$1,[1]FINAL!$A$1:$Z$1,0),0),"")</f>
        <v>GK</v>
      </c>
      <c r="D502" s="3" t="str">
        <f>IFERROR(VLOOKUP($A502,[1]FINAL!$A$1:$Z$1000,MATCH([1]FINAL!$V$1,[1]FINAL!$A$1:$Z$1,0),0),"")</f>
        <v>IPS</v>
      </c>
      <c r="E502" s="6">
        <f t="shared" si="35"/>
        <v>63276.276276276287</v>
      </c>
      <c r="F502" s="5">
        <f t="shared" si="36"/>
        <v>0.27027027027027029</v>
      </c>
      <c r="G502" s="5">
        <f>IFERROR(IF(H502&lt;&gt;"",H502,VLOOKUP($A502,[1]FINAL!$A$1:$BZ$1000,MATCH([1]FINAL!$BL$1,[1]FINAL!$A$1:$BZ$1,0),0)),0)</f>
        <v>0.27027027027027029</v>
      </c>
      <c r="I502" s="5">
        <f>IFERROR(IF(J502&lt;&gt;"",J502,(IF(VLOOKUP($A502,#REF!,MATCH(#REF!,#REF!,0),0)=0,G502,VLOOKUP($A502,#REF!,MATCH(#REF!,#REF!,0),0)))),G502)</f>
        <v>0.27027027027027029</v>
      </c>
      <c r="K502" s="6">
        <f>IFERROR(VLOOKUP($A502,#REF!,MATCH(#REF!,#REF!,0),0),0)</f>
        <v>0</v>
      </c>
      <c r="L502" s="6">
        <f>IFERROR(VLOOKUP($A502,[1]FINAL!$A$1:$BZ$1000,MATCH([1]FINAL!$BF$1,[1]FINAL!$A$1:$BZ$1,0),0),0)</f>
        <v>83</v>
      </c>
      <c r="M502" s="7">
        <f t="shared" si="37"/>
        <v>0.92222222222222228</v>
      </c>
      <c r="N502" s="6">
        <f>IFERROR(VLOOKUP($A502,#REF!,MATCH(#REF!,#REF!,0),0),0)</f>
        <v>0</v>
      </c>
      <c r="O502" s="7">
        <f t="shared" si="38"/>
        <v>0</v>
      </c>
      <c r="P502" s="10" t="str">
        <f>IFERROR(VLOOKUP($A502,[1]FINAL!$A$1:$BZ$1000,MATCH([1]FINAL!$BB$1,[1]FINAL!$A$1:$BZ$1,0),0),"")</f>
        <v/>
      </c>
      <c r="Q502" s="18">
        <f t="shared" si="39"/>
        <v>1</v>
      </c>
    </row>
    <row r="503" spans="1:17" x14ac:dyDescent="0.25">
      <c r="A503" s="14" t="str">
        <f>[1]FINAL!$A469</f>
        <v>Leif Davis</v>
      </c>
      <c r="B503" s="20" t="str">
        <f>IFERROR(VLOOKUP($A503,[1]FINAL!$A$1:$Z$1000,MATCH([1]FINAL!$T$1,[1]FINAL!$A$1:$Z$1,0),0),"")</f>
        <v>DEF</v>
      </c>
      <c r="C503" s="3" t="str">
        <f>IFERROR(VLOOKUP($A503,[1]FINAL!$A$1:$Z$1000,MATCH([1]FINAL!$U$1,[1]FINAL!$A$1:$Z$1,0),0),"")</f>
        <v>LB</v>
      </c>
      <c r="D503" s="3" t="str">
        <f>IFERROR(VLOOKUP($A503,[1]FINAL!$A$1:$Z$1000,MATCH([1]FINAL!$V$1,[1]FINAL!$A$1:$Z$1,0),0),"")</f>
        <v>IPS</v>
      </c>
      <c r="E503" s="6">
        <f t="shared" si="35"/>
        <v>198966.96696696698</v>
      </c>
      <c r="F503" s="5">
        <f t="shared" si="36"/>
        <v>0.94594594594594594</v>
      </c>
      <c r="G503" s="5">
        <f>IFERROR(IF(H503&lt;&gt;"",H503,VLOOKUP($A503,[1]FINAL!$A$1:$BZ$1000,MATCH([1]FINAL!$BL$1,[1]FINAL!$A$1:$BZ$1,0),0)),0)</f>
        <v>0.94594594594594594</v>
      </c>
      <c r="I503" s="5">
        <f>IFERROR(IF(J503&lt;&gt;"",J503,(IF(VLOOKUP($A503,#REF!,MATCH(#REF!,#REF!,0),0)=0,G503,VLOOKUP($A503,#REF!,MATCH(#REF!,#REF!,0),0)))),G503)</f>
        <v>0.94594594594594594</v>
      </c>
      <c r="K503" s="6">
        <f>IFERROR(VLOOKUP($A503,#REF!,MATCH(#REF!,#REF!,0),0),0)</f>
        <v>0</v>
      </c>
      <c r="L503" s="6">
        <f>IFERROR(VLOOKUP($A503,[1]FINAL!$A$1:$BZ$1000,MATCH([1]FINAL!$BF$1,[1]FINAL!$A$1:$BZ$1,0),0),0)</f>
        <v>88</v>
      </c>
      <c r="M503" s="7">
        <f t="shared" si="37"/>
        <v>0.97777777777777775</v>
      </c>
      <c r="N503" s="6">
        <f>IFERROR(VLOOKUP($A503,#REF!,MATCH(#REF!,#REF!,0),0),0)</f>
        <v>0</v>
      </c>
      <c r="O503" s="7">
        <f t="shared" si="38"/>
        <v>0</v>
      </c>
      <c r="P503" s="10" t="str">
        <f>IFERROR(VLOOKUP($A503,[1]FINAL!$A$1:$BZ$1000,MATCH([1]FINAL!$BB$1,[1]FINAL!$A$1:$BZ$1,0),0),"")</f>
        <v/>
      </c>
      <c r="Q503" s="18">
        <f t="shared" si="39"/>
        <v>1</v>
      </c>
    </row>
    <row r="504" spans="1:17" x14ac:dyDescent="0.25">
      <c r="A504" s="14" t="str">
        <f>[1]FINAL!$A470</f>
        <v>Jacob Greaves</v>
      </c>
      <c r="B504" s="20" t="str">
        <f>IFERROR(VLOOKUP($A504,[1]FINAL!$A$1:$Z$1000,MATCH([1]FINAL!$T$1,[1]FINAL!$A$1:$Z$1,0),0),"")</f>
        <v>DEF</v>
      </c>
      <c r="C504" s="3" t="str">
        <f>IFERROR(VLOOKUP($A504,[1]FINAL!$A$1:$Z$1000,MATCH([1]FINAL!$U$1,[1]FINAL!$A$1:$Z$1,0),0),"")</f>
        <v>CB</v>
      </c>
      <c r="D504" s="3" t="str">
        <f>IFERROR(VLOOKUP($A504,[1]FINAL!$A$1:$Z$1000,MATCH([1]FINAL!$V$1,[1]FINAL!$A$1:$Z$1,0),0),"")</f>
        <v>IPS</v>
      </c>
      <c r="E504" s="6">
        <f t="shared" si="35"/>
        <v>112111.11111111111</v>
      </c>
      <c r="F504" s="5">
        <f t="shared" si="36"/>
        <v>0.51111111111111107</v>
      </c>
      <c r="G504" s="5">
        <f>IFERROR(IF(H504&lt;&gt;"",H504,VLOOKUP($A504,[1]FINAL!$A$1:$BZ$1000,MATCH([1]FINAL!$BL$1,[1]FINAL!$A$1:$BZ$1,0),0)),0)</f>
        <v>0.51111111111111107</v>
      </c>
      <c r="I504" s="5">
        <f>IFERROR(IF(J504&lt;&gt;"",J504,(IF(VLOOKUP($A504,#REF!,MATCH(#REF!,#REF!,0),0)=0,G504,VLOOKUP($A504,#REF!,MATCH(#REF!,#REF!,0),0)))),G504)</f>
        <v>0.51111111111111107</v>
      </c>
      <c r="K504" s="6">
        <f>IFERROR(VLOOKUP($A504,#REF!,MATCH(#REF!,#REF!,0),0),0)</f>
        <v>0</v>
      </c>
      <c r="L504" s="6">
        <f>IFERROR(VLOOKUP($A504,[1]FINAL!$A$1:$BZ$1000,MATCH([1]FINAL!$BF$1,[1]FINAL!$A$1:$BZ$1,0),0),0)</f>
        <v>89</v>
      </c>
      <c r="M504" s="7">
        <f t="shared" si="37"/>
        <v>0.98888888888888893</v>
      </c>
      <c r="N504" s="6">
        <f>IFERROR(VLOOKUP($A504,#REF!,MATCH(#REF!,#REF!,0),0),0)</f>
        <v>0</v>
      </c>
      <c r="O504" s="7">
        <f t="shared" si="38"/>
        <v>0</v>
      </c>
      <c r="P504" s="10" t="str">
        <f>IFERROR(VLOOKUP($A504,[1]FINAL!$A$1:$BZ$1000,MATCH([1]FINAL!$BB$1,[1]FINAL!$A$1:$BZ$1,0),0),"")</f>
        <v/>
      </c>
      <c r="Q504" s="18">
        <f t="shared" si="39"/>
        <v>1</v>
      </c>
    </row>
    <row r="505" spans="1:17" x14ac:dyDescent="0.25">
      <c r="A505" s="14" t="str">
        <f>[1]FINAL!$A471</f>
        <v>Ben Johnson</v>
      </c>
      <c r="B505" s="20" t="str">
        <f>IFERROR(VLOOKUP($A505,[1]FINAL!$A$1:$Z$1000,MATCH([1]FINAL!$T$1,[1]FINAL!$A$1:$Z$1,0),0),"")</f>
        <v>DEF</v>
      </c>
      <c r="C505" s="3" t="str">
        <f>IFERROR(VLOOKUP($A505,[1]FINAL!$A$1:$Z$1000,MATCH([1]FINAL!$U$1,[1]FINAL!$A$1:$Z$1,0),0),"")</f>
        <v>RB</v>
      </c>
      <c r="D505" s="3" t="str">
        <f>IFERROR(VLOOKUP($A505,[1]FINAL!$A$1:$Z$1000,MATCH([1]FINAL!$V$1,[1]FINAL!$A$1:$Z$1,0),0),"")</f>
        <v>IPS</v>
      </c>
      <c r="E505" s="6">
        <f t="shared" si="35"/>
        <v>57870.870870870873</v>
      </c>
      <c r="F505" s="5">
        <f t="shared" si="36"/>
        <v>0.24324324324324326</v>
      </c>
      <c r="G505" s="5">
        <f>IFERROR(IF(H505&lt;&gt;"",H505,VLOOKUP($A505,[1]FINAL!$A$1:$BZ$1000,MATCH([1]FINAL!$BL$1,[1]FINAL!$A$1:$BZ$1,0),0)),0)</f>
        <v>0.24324324324324326</v>
      </c>
      <c r="I505" s="5">
        <f>IFERROR(IF(J505&lt;&gt;"",J505,(IF(VLOOKUP($A505,#REF!,MATCH(#REF!,#REF!,0),0)=0,G505,VLOOKUP($A505,#REF!,MATCH(#REF!,#REF!,0),0)))),G505)</f>
        <v>0.24324324324324326</v>
      </c>
      <c r="K505" s="6">
        <f>IFERROR(VLOOKUP($A505,#REF!,MATCH(#REF!,#REF!,0),0),0)</f>
        <v>0</v>
      </c>
      <c r="L505" s="6">
        <f>IFERROR(VLOOKUP($A505,[1]FINAL!$A$1:$BZ$1000,MATCH([1]FINAL!$BF$1,[1]FINAL!$A$1:$BZ$1,0),0),0)</f>
        <v>83</v>
      </c>
      <c r="M505" s="7">
        <f t="shared" si="37"/>
        <v>0.92222222222222228</v>
      </c>
      <c r="N505" s="6">
        <f>IFERROR(VLOOKUP($A505,#REF!,MATCH(#REF!,#REF!,0),0),0)</f>
        <v>0</v>
      </c>
      <c r="O505" s="7">
        <f t="shared" si="38"/>
        <v>0</v>
      </c>
      <c r="P505" s="10" t="str">
        <f>IFERROR(VLOOKUP($A505,[1]FINAL!$A$1:$BZ$1000,MATCH([1]FINAL!$BB$1,[1]FINAL!$A$1:$BZ$1,0),0),"")</f>
        <v/>
      </c>
      <c r="Q505" s="18">
        <f t="shared" si="39"/>
        <v>1</v>
      </c>
    </row>
    <row r="506" spans="1:17" x14ac:dyDescent="0.25">
      <c r="A506" s="14" t="str">
        <f>[1]FINAL!$A472</f>
        <v>Darnell Furlong</v>
      </c>
      <c r="B506" s="20" t="str">
        <f>IFERROR(VLOOKUP($A506,[1]FINAL!$A$1:$Z$1000,MATCH([1]FINAL!$T$1,[1]FINAL!$A$1:$Z$1,0),0),"")</f>
        <v>DEF</v>
      </c>
      <c r="C506" s="3" t="str">
        <f>IFERROR(VLOOKUP($A506,[1]FINAL!$A$1:$Z$1000,MATCH([1]FINAL!$U$1,[1]FINAL!$A$1:$Z$1,0),0),"")</f>
        <v>RB</v>
      </c>
      <c r="D506" s="3" t="str">
        <f>IFERROR(VLOOKUP($A506,[1]FINAL!$A$1:$Z$1000,MATCH([1]FINAL!$V$1,[1]FINAL!$A$1:$Z$1,0),0),"")</f>
        <v>IPS</v>
      </c>
      <c r="E506" s="6">
        <f t="shared" si="35"/>
        <v>195824.28940568474</v>
      </c>
      <c r="F506" s="5">
        <f t="shared" si="36"/>
        <v>0.93023255813953487</v>
      </c>
      <c r="G506" s="5">
        <f>IFERROR(IF(H506&lt;&gt;"",H506,VLOOKUP($A506,[1]FINAL!$A$1:$BZ$1000,MATCH([1]FINAL!$BL$1,[1]FINAL!$A$1:$BZ$1,0),0)),0)</f>
        <v>0.93023255813953487</v>
      </c>
      <c r="I506" s="5">
        <f>IFERROR(IF(J506&lt;&gt;"",J506,(IF(VLOOKUP($A506,#REF!,MATCH(#REF!,#REF!,0),0)=0,G506,VLOOKUP($A506,#REF!,MATCH(#REF!,#REF!,0),0)))),G506)</f>
        <v>0.93023255813953487</v>
      </c>
      <c r="K506" s="6">
        <f>IFERROR(VLOOKUP($A506,#REF!,MATCH(#REF!,#REF!,0),0),0)</f>
        <v>0</v>
      </c>
      <c r="L506" s="6">
        <f>IFERROR(VLOOKUP($A506,[1]FINAL!$A$1:$BZ$1000,MATCH([1]FINAL!$BF$1,[1]FINAL!$A$1:$BZ$1,0),0),0)</f>
        <v>88</v>
      </c>
      <c r="M506" s="7">
        <f t="shared" si="37"/>
        <v>0.97777777777777775</v>
      </c>
      <c r="N506" s="6">
        <f>IFERROR(VLOOKUP($A506,#REF!,MATCH(#REF!,#REF!,0),0),0)</f>
        <v>0</v>
      </c>
      <c r="O506" s="7">
        <f t="shared" si="38"/>
        <v>0</v>
      </c>
      <c r="P506" s="10" t="str">
        <f>IFERROR(VLOOKUP($A506,[1]FINAL!$A$1:$BZ$1000,MATCH([1]FINAL!$BB$1,[1]FINAL!$A$1:$BZ$1,0),0),"")</f>
        <v/>
      </c>
      <c r="Q506" s="18">
        <f t="shared" si="39"/>
        <v>1</v>
      </c>
    </row>
    <row r="507" spans="1:17" x14ac:dyDescent="0.25">
      <c r="A507" s="14" t="str">
        <f>[1]FINAL!$A473</f>
        <v>Oli McBurnie</v>
      </c>
      <c r="B507" s="20" t="str">
        <f>IFERROR(VLOOKUP($A507,[1]FINAL!$A$1:$Z$1000,MATCH([1]FINAL!$T$1,[1]FINAL!$A$1:$Z$1,0),0),"")</f>
        <v>FWD</v>
      </c>
      <c r="C507" s="3" t="str">
        <f>IFERROR(VLOOKUP($A507,[1]FINAL!$A$1:$Z$1000,MATCH([1]FINAL!$U$1,[1]FINAL!$A$1:$Z$1,0),0),"")</f>
        <v>CF</v>
      </c>
      <c r="D507" s="3" t="str">
        <f>IFERROR(VLOOKUP($A507,[1]FINAL!$A$1:$Z$1000,MATCH([1]FINAL!$V$1,[1]FINAL!$A$1:$Z$1,0),0),"")</f>
        <v>HUL</v>
      </c>
      <c r="E507" s="6">
        <f t="shared" si="35"/>
        <v>178087.71929824559</v>
      </c>
      <c r="F507" s="5">
        <f t="shared" si="36"/>
        <v>0.84210526315789469</v>
      </c>
      <c r="G507" s="5">
        <f>IFERROR(IF(H507&lt;&gt;"",H507,VLOOKUP($A507,[1]FINAL!$A$1:$BZ$1000,MATCH([1]FINAL!$BL$1,[1]FINAL!$A$1:$BZ$1,0),0)),0)</f>
        <v>0.84210526315789469</v>
      </c>
      <c r="I507" s="5">
        <f>IFERROR(IF(J507&lt;&gt;"",J507,(IF(VLOOKUP($A507,#REF!,MATCH(#REF!,#REF!,0),0)=0,G507,VLOOKUP($A507,#REF!,MATCH(#REF!,#REF!,0),0)))),G507)</f>
        <v>0.84210526315789469</v>
      </c>
      <c r="K507" s="6">
        <f>IFERROR(VLOOKUP($A507,#REF!,MATCH(#REF!,#REF!,0),0),0)</f>
        <v>0</v>
      </c>
      <c r="L507" s="6">
        <f>IFERROR(VLOOKUP($A507,[1]FINAL!$A$1:$BZ$1000,MATCH([1]FINAL!$BF$1,[1]FINAL!$A$1:$BZ$1,0),0),0)</f>
        <v>87</v>
      </c>
      <c r="M507" s="7">
        <f t="shared" si="37"/>
        <v>0.96666666666666667</v>
      </c>
      <c r="N507" s="6">
        <f>IFERROR(VLOOKUP($A507,#REF!,MATCH(#REF!,#REF!,0),0),0)</f>
        <v>0</v>
      </c>
      <c r="O507" s="7">
        <f t="shared" si="38"/>
        <v>0</v>
      </c>
      <c r="P507" s="10" t="str">
        <f>IFERROR(VLOOKUP($A507,[1]FINAL!$A$1:$BZ$1000,MATCH([1]FINAL!$BB$1,[1]FINAL!$A$1:$BZ$1,0),0),"")</f>
        <v/>
      </c>
      <c r="Q507" s="18">
        <f t="shared" si="39"/>
        <v>1</v>
      </c>
    </row>
    <row r="508" spans="1:17" x14ac:dyDescent="0.25">
      <c r="A508" s="14" t="str">
        <f>[1]FINAL!$A474</f>
        <v>Mohamed Belloumi</v>
      </c>
      <c r="B508" s="20" t="str">
        <f>IFERROR(VLOOKUP($A508,[1]FINAL!$A$1:$Z$1000,MATCH([1]FINAL!$T$1,[1]FINAL!$A$1:$Z$1,0),0),"")</f>
        <v>MID</v>
      </c>
      <c r="C508" s="3" t="str">
        <f>IFERROR(VLOOKUP($A508,[1]FINAL!$A$1:$Z$1000,MATCH([1]FINAL!$U$1,[1]FINAL!$A$1:$Z$1,0),0),"")</f>
        <v>RW</v>
      </c>
      <c r="D508" s="3" t="str">
        <f>IFERROR(VLOOKUP($A508,[1]FINAL!$A$1:$Z$1000,MATCH([1]FINAL!$V$1,[1]FINAL!$A$1:$Z$1,0),0),"")</f>
        <v>HUL</v>
      </c>
      <c r="E508" s="6">
        <f t="shared" si="35"/>
        <v>0</v>
      </c>
      <c r="F508" s="5">
        <f t="shared" si="36"/>
        <v>0</v>
      </c>
      <c r="G508" s="5">
        <f>IFERROR(IF(H508&lt;&gt;"",H508,VLOOKUP($A508,[1]FINAL!$A$1:$BZ$1000,MATCH([1]FINAL!$BL$1,[1]FINAL!$A$1:$BZ$1,0),0)),0)</f>
        <v>0</v>
      </c>
      <c r="I508" s="5">
        <f>IFERROR(IF(J508&lt;&gt;"",J508,(IF(VLOOKUP($A508,#REF!,MATCH(#REF!,#REF!,0),0)=0,G508,VLOOKUP($A508,#REF!,MATCH(#REF!,#REF!,0),0)))),G508)</f>
        <v>0</v>
      </c>
      <c r="K508" s="6">
        <f>IFERROR(VLOOKUP($A508,#REF!,MATCH(#REF!,#REF!,0),0),0)</f>
        <v>0</v>
      </c>
      <c r="L508" s="6">
        <f>IFERROR(VLOOKUP($A508,[1]FINAL!$A$1:$BZ$1000,MATCH([1]FINAL!$BF$1,[1]FINAL!$A$1:$BZ$1,0),0),0)</f>
        <v>0</v>
      </c>
      <c r="M508" s="7">
        <f t="shared" si="37"/>
        <v>0</v>
      </c>
      <c r="N508" s="6">
        <f>IFERROR(VLOOKUP($A508,#REF!,MATCH(#REF!,#REF!,0),0),0)</f>
        <v>0</v>
      </c>
      <c r="O508" s="7">
        <f t="shared" si="38"/>
        <v>0</v>
      </c>
      <c r="P508" s="10" t="str">
        <f>IFERROR(VLOOKUP($A508,[1]FINAL!$A$1:$BZ$1000,MATCH([1]FINAL!$BB$1,[1]FINAL!$A$1:$BZ$1,0),0),"")</f>
        <v/>
      </c>
      <c r="Q508" s="18">
        <f t="shared" si="39"/>
        <v>1</v>
      </c>
    </row>
    <row r="509" spans="1:17" x14ac:dyDescent="0.25">
      <c r="A509" s="14" t="str">
        <f>[1]FINAL!$A475</f>
        <v>Liam Millar</v>
      </c>
      <c r="B509" s="20" t="str">
        <f>IFERROR(VLOOKUP($A509,[1]FINAL!$A$1:$Z$1000,MATCH([1]FINAL!$T$1,[1]FINAL!$A$1:$Z$1,0),0),"")</f>
        <v>MID</v>
      </c>
      <c r="C509" s="3" t="str">
        <f>IFERROR(VLOOKUP($A509,[1]FINAL!$A$1:$Z$1000,MATCH([1]FINAL!$U$1,[1]FINAL!$A$1:$Z$1,0),0),"")</f>
        <v>LW</v>
      </c>
      <c r="D509" s="3" t="str">
        <f>IFERROR(VLOOKUP($A509,[1]FINAL!$A$1:$Z$1000,MATCH([1]FINAL!$V$1,[1]FINAL!$A$1:$Z$1,0),0),"")</f>
        <v>HUL</v>
      </c>
      <c r="E509" s="6">
        <f t="shared" si="35"/>
        <v>137300.65359477125</v>
      </c>
      <c r="F509" s="5">
        <f t="shared" si="36"/>
        <v>0.6470588235294118</v>
      </c>
      <c r="G509" s="5">
        <f>IFERROR(IF(H509&lt;&gt;"",H509,VLOOKUP($A509,[1]FINAL!$A$1:$BZ$1000,MATCH([1]FINAL!$BL$1,[1]FINAL!$A$1:$BZ$1,0),0)),0)</f>
        <v>0.6470588235294118</v>
      </c>
      <c r="I509" s="5">
        <f>IFERROR(IF(J509&lt;&gt;"",J509,(IF(VLOOKUP($A509,#REF!,MATCH(#REF!,#REF!,0),0)=0,G509,VLOOKUP($A509,#REF!,MATCH(#REF!,#REF!,0),0)))),G509)</f>
        <v>0.6470588235294118</v>
      </c>
      <c r="K509" s="6">
        <f>IFERROR(VLOOKUP($A509,#REF!,MATCH(#REF!,#REF!,0),0),0)</f>
        <v>0</v>
      </c>
      <c r="L509" s="6">
        <f>IFERROR(VLOOKUP($A509,[1]FINAL!$A$1:$BZ$1000,MATCH([1]FINAL!$BF$1,[1]FINAL!$A$1:$BZ$1,0),0),0)</f>
        <v>71</v>
      </c>
      <c r="M509" s="7">
        <f t="shared" si="37"/>
        <v>0.78888888888888886</v>
      </c>
      <c r="N509" s="6">
        <f>IFERROR(VLOOKUP($A509,#REF!,MATCH(#REF!,#REF!,0),0),0)</f>
        <v>0</v>
      </c>
      <c r="O509" s="7">
        <f t="shared" si="38"/>
        <v>0</v>
      </c>
      <c r="P509" s="10" t="str">
        <f>IFERROR(VLOOKUP($A509,[1]FINAL!$A$1:$BZ$1000,MATCH([1]FINAL!$BB$1,[1]FINAL!$A$1:$BZ$1,0),0),"")</f>
        <v/>
      </c>
      <c r="Q509" s="18">
        <f t="shared" si="39"/>
        <v>1</v>
      </c>
    </row>
    <row r="510" spans="1:17" x14ac:dyDescent="0.25">
      <c r="A510" s="14" t="str">
        <f>[1]FINAL!$A476</f>
        <v>Abdülkadir Ömür</v>
      </c>
      <c r="B510" s="20" t="str">
        <f>IFERROR(VLOOKUP($A510,[1]FINAL!$A$1:$Z$1000,MATCH([1]FINAL!$T$1,[1]FINAL!$A$1:$Z$1,0),0),"")</f>
        <v>MID</v>
      </c>
      <c r="C510" s="3" t="str">
        <f>IFERROR(VLOOKUP($A510,[1]FINAL!$A$1:$Z$1000,MATCH([1]FINAL!$U$1,[1]FINAL!$A$1:$Z$1,0),0),"")</f>
        <v>RM</v>
      </c>
      <c r="D510" s="3" t="str">
        <f>IFERROR(VLOOKUP($A510,[1]FINAL!$A$1:$Z$1000,MATCH([1]FINAL!$V$1,[1]FINAL!$A$1:$Z$1,0),0),"")</f>
        <v>HUL</v>
      </c>
      <c r="E510" s="6">
        <f t="shared" si="35"/>
        <v>0</v>
      </c>
      <c r="F510" s="5">
        <f t="shared" si="36"/>
        <v>0</v>
      </c>
      <c r="G510" s="5">
        <f>IFERROR(IF(H510&lt;&gt;"",H510,VLOOKUP($A510,[1]FINAL!$A$1:$BZ$1000,MATCH([1]FINAL!$BL$1,[1]FINAL!$A$1:$BZ$1,0),0)),0)</f>
        <v>0</v>
      </c>
      <c r="I510" s="5">
        <f>IFERROR(IF(J510&lt;&gt;"",J510,(IF(VLOOKUP($A510,#REF!,MATCH(#REF!,#REF!,0),0)=0,G510,VLOOKUP($A510,#REF!,MATCH(#REF!,#REF!,0),0)))),G510)</f>
        <v>0</v>
      </c>
      <c r="K510" s="6">
        <f>IFERROR(VLOOKUP($A510,#REF!,MATCH(#REF!,#REF!,0),0),0)</f>
        <v>0</v>
      </c>
      <c r="L510" s="6">
        <f>IFERROR(VLOOKUP($A510,[1]FINAL!$A$1:$BZ$1000,MATCH([1]FINAL!$BF$1,[1]FINAL!$A$1:$BZ$1,0),0),0)</f>
        <v>0</v>
      </c>
      <c r="M510" s="7">
        <f t="shared" si="37"/>
        <v>0</v>
      </c>
      <c r="N510" s="6">
        <f>IFERROR(VLOOKUP($A510,#REF!,MATCH(#REF!,#REF!,0),0),0)</f>
        <v>0</v>
      </c>
      <c r="O510" s="7">
        <f t="shared" si="38"/>
        <v>0</v>
      </c>
      <c r="P510" s="10" t="str">
        <f>IFERROR(VLOOKUP($A510,[1]FINAL!$A$1:$BZ$1000,MATCH([1]FINAL!$BB$1,[1]FINAL!$A$1:$BZ$1,0),0),"")</f>
        <v/>
      </c>
      <c r="Q510" s="18">
        <f t="shared" si="39"/>
        <v>1</v>
      </c>
    </row>
    <row r="511" spans="1:17" x14ac:dyDescent="0.25">
      <c r="A511" s="14" t="str">
        <f>[1]FINAL!$A477</f>
        <v>Abu Kamara</v>
      </c>
      <c r="B511" s="20" t="str">
        <f>IFERROR(VLOOKUP($A511,[1]FINAL!$A$1:$Z$1000,MATCH([1]FINAL!$T$1,[1]FINAL!$A$1:$Z$1,0),0),"")</f>
        <v>MID</v>
      </c>
      <c r="C511" s="3" t="str">
        <f>IFERROR(VLOOKUP($A511,[1]FINAL!$A$1:$Z$1000,MATCH([1]FINAL!$U$1,[1]FINAL!$A$1:$Z$1,0),0),"")</f>
        <v>RW</v>
      </c>
      <c r="D511" s="3" t="str">
        <f>IFERROR(VLOOKUP($A511,[1]FINAL!$A$1:$Z$1000,MATCH([1]FINAL!$V$1,[1]FINAL!$A$1:$Z$1,0),0),"")</f>
        <v>HUL</v>
      </c>
      <c r="E511" s="6">
        <f t="shared" si="35"/>
        <v>8777.7777777777774</v>
      </c>
      <c r="F511" s="5">
        <f t="shared" si="36"/>
        <v>0</v>
      </c>
      <c r="G511" s="5">
        <f>IFERROR(IF(H511&lt;&gt;"",H511,VLOOKUP($A511,[1]FINAL!$A$1:$BZ$1000,MATCH([1]FINAL!$BL$1,[1]FINAL!$A$1:$BZ$1,0),0)),0)</f>
        <v>0</v>
      </c>
      <c r="I511" s="5">
        <f>IFERROR(IF(J511&lt;&gt;"",J511,(IF(VLOOKUP($A511,#REF!,MATCH(#REF!,#REF!,0),0)=0,G511,VLOOKUP($A511,#REF!,MATCH(#REF!,#REF!,0),0)))),G511)</f>
        <v>0</v>
      </c>
      <c r="K511" s="6">
        <f>IFERROR(VLOOKUP($A511,#REF!,MATCH(#REF!,#REF!,0),0),0)</f>
        <v>0</v>
      </c>
      <c r="L511" s="6">
        <f>IFERROR(VLOOKUP($A511,[1]FINAL!$A$1:$BZ$1000,MATCH([1]FINAL!$BF$1,[1]FINAL!$A$1:$BZ$1,0),0),0)</f>
        <v>79</v>
      </c>
      <c r="M511" s="7">
        <f t="shared" si="37"/>
        <v>0.87777777777777777</v>
      </c>
      <c r="N511" s="6">
        <f>IFERROR(VLOOKUP($A511,#REF!,MATCH(#REF!,#REF!,0),0),0)</f>
        <v>0</v>
      </c>
      <c r="O511" s="7">
        <f t="shared" si="38"/>
        <v>0</v>
      </c>
      <c r="P511" s="10" t="str">
        <f>IFERROR(VLOOKUP($A511,[1]FINAL!$A$1:$BZ$1000,MATCH([1]FINAL!$BB$1,[1]FINAL!$A$1:$BZ$1,0),0),"")</f>
        <v/>
      </c>
      <c r="Q511" s="18">
        <f t="shared" si="39"/>
        <v>1</v>
      </c>
    </row>
    <row r="512" spans="1:17" x14ac:dyDescent="0.25">
      <c r="A512" s="14" t="str">
        <f>[1]FINAL!$A478</f>
        <v>David Akintola</v>
      </c>
      <c r="B512" s="20" t="str">
        <f>IFERROR(VLOOKUP($A512,[1]FINAL!$A$1:$Z$1000,MATCH([1]FINAL!$T$1,[1]FINAL!$A$1:$Z$1,0),0),"")</f>
        <v>MID</v>
      </c>
      <c r="C512" s="3" t="str">
        <f>IFERROR(VLOOKUP($A512,[1]FINAL!$A$1:$Z$1000,MATCH([1]FINAL!$U$1,[1]FINAL!$A$1:$Z$1,0),0),"")</f>
        <v>RW</v>
      </c>
      <c r="D512" s="3" t="str">
        <f>IFERROR(VLOOKUP($A512,[1]FINAL!$A$1:$Z$1000,MATCH([1]FINAL!$V$1,[1]FINAL!$A$1:$Z$1,0),0),"")</f>
        <v>HUL</v>
      </c>
      <c r="E512" s="6">
        <f t="shared" si="35"/>
        <v>0</v>
      </c>
      <c r="F512" s="5">
        <f t="shared" si="36"/>
        <v>0</v>
      </c>
      <c r="G512" s="5">
        <f>IFERROR(IF(H512&lt;&gt;"",H512,VLOOKUP($A512,[1]FINAL!$A$1:$BZ$1000,MATCH([1]FINAL!$BL$1,[1]FINAL!$A$1:$BZ$1,0),0)),0)</f>
        <v>0</v>
      </c>
      <c r="I512" s="5">
        <f>IFERROR(IF(J512&lt;&gt;"",J512,(IF(VLOOKUP($A512,#REF!,MATCH(#REF!,#REF!,0),0)=0,G512,VLOOKUP($A512,#REF!,MATCH(#REF!,#REF!,0),0)))),G512)</f>
        <v>0</v>
      </c>
      <c r="K512" s="6">
        <f>IFERROR(VLOOKUP($A512,#REF!,MATCH(#REF!,#REF!,0),0),0)</f>
        <v>0</v>
      </c>
      <c r="L512" s="6">
        <f>IFERROR(VLOOKUP($A512,[1]FINAL!$A$1:$BZ$1000,MATCH([1]FINAL!$BF$1,[1]FINAL!$A$1:$BZ$1,0),0),0)</f>
        <v>0</v>
      </c>
      <c r="M512" s="7">
        <f t="shared" si="37"/>
        <v>0</v>
      </c>
      <c r="N512" s="6">
        <f>IFERROR(VLOOKUP($A512,#REF!,MATCH(#REF!,#REF!,0),0),0)</f>
        <v>0</v>
      </c>
      <c r="O512" s="7">
        <f t="shared" si="38"/>
        <v>0</v>
      </c>
      <c r="P512" s="10" t="str">
        <f>IFERROR(VLOOKUP($A512,[1]FINAL!$A$1:$BZ$1000,MATCH([1]FINAL!$BB$1,[1]FINAL!$A$1:$BZ$1,0),0),"")</f>
        <v/>
      </c>
      <c r="Q512" s="18">
        <f t="shared" si="39"/>
        <v>1</v>
      </c>
    </row>
    <row r="513" spans="1:17" x14ac:dyDescent="0.25">
      <c r="A513" s="14" t="str">
        <f>[1]FINAL!$A479</f>
        <v>Jack Butland</v>
      </c>
      <c r="B513" s="20" t="str">
        <f>IFERROR(VLOOKUP($A513,[1]FINAL!$A$1:$Z$1000,MATCH([1]FINAL!$T$1,[1]FINAL!$A$1:$Z$1,0),0),"")</f>
        <v>GK</v>
      </c>
      <c r="C513" s="3" t="str">
        <f>IFERROR(VLOOKUP($A513,[1]FINAL!$A$1:$Z$1000,MATCH([1]FINAL!$U$1,[1]FINAL!$A$1:$Z$1,0),0),"")</f>
        <v>GK</v>
      </c>
      <c r="D513" s="3" t="str">
        <f>IFERROR(VLOOKUP($A513,[1]FINAL!$A$1:$Z$1000,MATCH([1]FINAL!$V$1,[1]FINAL!$A$1:$Z$1,0),0),"")</f>
        <v>HUL</v>
      </c>
      <c r="E513" s="6">
        <f t="shared" si="35"/>
        <v>0</v>
      </c>
      <c r="F513" s="5">
        <f t="shared" si="36"/>
        <v>0</v>
      </c>
      <c r="G513" s="5">
        <f>IFERROR(IF(H513&lt;&gt;"",H513,VLOOKUP($A513,[1]FINAL!$A$1:$BZ$1000,MATCH([1]FINAL!$BL$1,[1]FINAL!$A$1:$BZ$1,0),0)),0)</f>
        <v>0</v>
      </c>
      <c r="I513" s="5">
        <f>IFERROR(IF(J513&lt;&gt;"",J513,(IF(VLOOKUP($A513,#REF!,MATCH(#REF!,#REF!,0),0)=0,G513,VLOOKUP($A513,#REF!,MATCH(#REF!,#REF!,0),0)))),G513)</f>
        <v>0</v>
      </c>
      <c r="K513" s="6">
        <f>IFERROR(VLOOKUP($A513,#REF!,MATCH(#REF!,#REF!,0),0),0)</f>
        <v>0</v>
      </c>
      <c r="L513" s="6">
        <f>IFERROR(VLOOKUP($A513,[1]FINAL!$A$1:$BZ$1000,MATCH([1]FINAL!$BF$1,[1]FINAL!$A$1:$BZ$1,0),0),0)</f>
        <v>0</v>
      </c>
      <c r="M513" s="7">
        <f t="shared" si="37"/>
        <v>0</v>
      </c>
      <c r="N513" s="6">
        <f>IFERROR(VLOOKUP($A513,#REF!,MATCH(#REF!,#REF!,0),0),0)</f>
        <v>0</v>
      </c>
      <c r="O513" s="7">
        <f t="shared" si="38"/>
        <v>0</v>
      </c>
      <c r="P513" s="10" t="str">
        <f>IFERROR(VLOOKUP($A513,[1]FINAL!$A$1:$BZ$1000,MATCH([1]FINAL!$BB$1,[1]FINAL!$A$1:$BZ$1,0),0),"")</f>
        <v/>
      </c>
      <c r="Q513" s="18">
        <f t="shared" si="39"/>
        <v>1</v>
      </c>
    </row>
    <row r="514" spans="1:17" x14ac:dyDescent="0.25">
      <c r="A514" s="14" t="str">
        <f>[1]FINAL!$A482</f>
        <v>Regan Slater</v>
      </c>
      <c r="B514" s="20" t="str">
        <f>IFERROR(VLOOKUP($A514,[1]FINAL!$A$1:$Z$1000,MATCH([1]FINAL!$T$1,[1]FINAL!$A$1:$Z$1,0),0),"")</f>
        <v>MID</v>
      </c>
      <c r="C514" s="3" t="str">
        <f>IFERROR(VLOOKUP($A514,[1]FINAL!$A$1:$Z$1000,MATCH([1]FINAL!$U$1,[1]FINAL!$A$1:$Z$1,0),0),"")</f>
        <v>DM</v>
      </c>
      <c r="D514" s="3" t="str">
        <f>IFERROR(VLOOKUP($A514,[1]FINAL!$A$1:$Z$1000,MATCH([1]FINAL!$V$1,[1]FINAL!$A$1:$Z$1,0),0),"")</f>
        <v>HUL</v>
      </c>
      <c r="E514" s="6">
        <f t="shared" ref="E514:E577" si="40">IF($Q$1="ON",((G514*100000)+(I514*100000)+(M514*10000)+(O514*10000)+(K514*10))*Q514,((G514*100000)+(I514*100000)+(M514*10000)+(O514*10000)+(K514*10)))</f>
        <v>176111.11111111112</v>
      </c>
      <c r="F514" s="5">
        <f t="shared" ref="F514:F577" si="41">IFERROR(IF($Q$1="ON",((G514*$W$1)+(I514*$U$1))*Q514,((G514*$W$1)+(I514*$U$1))),0)</f>
        <v>0.83333333333333337</v>
      </c>
      <c r="G514" s="5">
        <f>IFERROR(IF(H514&lt;&gt;"",H514,VLOOKUP($A514,[1]FINAL!$A$1:$BZ$1000,MATCH([1]FINAL!$BL$1,[1]FINAL!$A$1:$BZ$1,0),0)),0)</f>
        <v>0.83333333333333337</v>
      </c>
      <c r="I514" s="5">
        <f>IFERROR(IF(J514&lt;&gt;"",J514,(IF(VLOOKUP($A514,#REF!,MATCH(#REF!,#REF!,0),0)=0,G514,VLOOKUP($A514,#REF!,MATCH(#REF!,#REF!,0),0)))),G514)</f>
        <v>0.83333333333333337</v>
      </c>
      <c r="K514" s="6">
        <f>IFERROR(VLOOKUP($A514,#REF!,MATCH(#REF!,#REF!,0),0),0)</f>
        <v>0</v>
      </c>
      <c r="L514" s="6">
        <f>IFERROR(VLOOKUP($A514,[1]FINAL!$A$1:$BZ$1000,MATCH([1]FINAL!$BF$1,[1]FINAL!$A$1:$BZ$1,0),0),0)</f>
        <v>85</v>
      </c>
      <c r="M514" s="7">
        <f t="shared" ref="M514:M577" si="42">L514/90</f>
        <v>0.94444444444444442</v>
      </c>
      <c r="N514" s="6">
        <f>IFERROR(VLOOKUP($A514,#REF!,MATCH(#REF!,#REF!,0),0),0)</f>
        <v>0</v>
      </c>
      <c r="O514" s="7">
        <f t="shared" ref="O514:O577" si="43">N514/90</f>
        <v>0</v>
      </c>
      <c r="P514" s="10" t="str">
        <f>IFERROR(VLOOKUP($A514,[1]FINAL!$A$1:$BZ$1000,MATCH([1]FINAL!$BB$1,[1]FINAL!$A$1:$BZ$1,0),0),"")</f>
        <v/>
      </c>
      <c r="Q514" s="18">
        <f t="shared" ref="Q514:Q577" si="44">IF(P514="",1,IF(P514=0,0.0001,P514/100))</f>
        <v>1</v>
      </c>
    </row>
    <row r="515" spans="1:17" x14ac:dyDescent="0.25">
      <c r="A515" s="14" t="str">
        <f>[1]FINAL!$A483</f>
        <v>Eliot Matazo</v>
      </c>
      <c r="B515" s="20" t="str">
        <f>IFERROR(VLOOKUP($A515,[1]FINAL!$A$1:$Z$1000,MATCH([1]FINAL!$T$1,[1]FINAL!$A$1:$Z$1,0),0),"")</f>
        <v>MID</v>
      </c>
      <c r="C515" s="3" t="str">
        <f>IFERROR(VLOOKUP($A515,[1]FINAL!$A$1:$Z$1000,MATCH([1]FINAL!$U$1,[1]FINAL!$A$1:$Z$1,0),0),"")</f>
        <v>CM</v>
      </c>
      <c r="D515" s="3" t="str">
        <f>IFERROR(VLOOKUP($A515,[1]FINAL!$A$1:$Z$1000,MATCH([1]FINAL!$V$1,[1]FINAL!$A$1:$Z$1,0),0),"")</f>
        <v>HUL</v>
      </c>
      <c r="E515" s="6">
        <f t="shared" si="40"/>
        <v>0.11111111111111112</v>
      </c>
      <c r="F515" s="5">
        <f t="shared" si="41"/>
        <v>0</v>
      </c>
      <c r="G515" s="5">
        <f>IFERROR(IF(H515&lt;&gt;"",H515,VLOOKUP($A515,[1]FINAL!$A$1:$BZ$1000,MATCH([1]FINAL!$BL$1,[1]FINAL!$A$1:$BZ$1,0),0)),0)</f>
        <v>0</v>
      </c>
      <c r="I515" s="5">
        <f>IFERROR(IF(J515&lt;&gt;"",J515,(IF(VLOOKUP($A515,#REF!,MATCH(#REF!,#REF!,0),0)=0,G515,VLOOKUP($A515,#REF!,MATCH(#REF!,#REF!,0),0)))),G515)</f>
        <v>0</v>
      </c>
      <c r="K515" s="6">
        <f>IFERROR(VLOOKUP($A515,#REF!,MATCH(#REF!,#REF!,0),0),0)</f>
        <v>0</v>
      </c>
      <c r="L515" s="6">
        <f>IFERROR(VLOOKUP($A515,[1]FINAL!$A$1:$BZ$1000,MATCH([1]FINAL!$BF$1,[1]FINAL!$A$1:$BZ$1,0),0),0)</f>
        <v>10</v>
      </c>
      <c r="M515" s="7">
        <f t="shared" si="42"/>
        <v>0.1111111111111111</v>
      </c>
      <c r="N515" s="6">
        <f>IFERROR(VLOOKUP($A515,#REF!,MATCH(#REF!,#REF!,0),0),0)</f>
        <v>0</v>
      </c>
      <c r="O515" s="7">
        <f t="shared" si="43"/>
        <v>0</v>
      </c>
      <c r="P515" s="10">
        <f>IFERROR(VLOOKUP($A515,[1]FINAL!$A$1:$BZ$1000,MATCH([1]FINAL!$BB$1,[1]FINAL!$A$1:$BZ$1,0),0),"")</f>
        <v>0</v>
      </c>
      <c r="Q515" s="18">
        <f t="shared" si="44"/>
        <v>1E-4</v>
      </c>
    </row>
    <row r="516" spans="1:17" x14ac:dyDescent="0.25">
      <c r="A516" s="14" t="str">
        <f>[1]FINAL!$A484</f>
        <v>Óscar Zambrano</v>
      </c>
      <c r="B516" s="20" t="str">
        <f>IFERROR(VLOOKUP($A516,[1]FINAL!$A$1:$Z$1000,MATCH([1]FINAL!$T$1,[1]FINAL!$A$1:$Z$1,0),0),"")</f>
        <v>MID</v>
      </c>
      <c r="C516" s="3" t="str">
        <f>IFERROR(VLOOKUP($A516,[1]FINAL!$A$1:$Z$1000,MATCH([1]FINAL!$U$1,[1]FINAL!$A$1:$Z$1,0),0),"")</f>
        <v>DM</v>
      </c>
      <c r="D516" s="3" t="str">
        <f>IFERROR(VLOOKUP($A516,[1]FINAL!$A$1:$Z$1000,MATCH([1]FINAL!$V$1,[1]FINAL!$A$1:$Z$1,0),0),"")</f>
        <v>HUL</v>
      </c>
      <c r="E516" s="6">
        <f t="shared" si="40"/>
        <v>0</v>
      </c>
      <c r="F516" s="5">
        <f t="shared" si="41"/>
        <v>0</v>
      </c>
      <c r="G516" s="5">
        <f>IFERROR(IF(H516&lt;&gt;"",H516,VLOOKUP($A516,[1]FINAL!$A$1:$BZ$1000,MATCH([1]FINAL!$BL$1,[1]FINAL!$A$1:$BZ$1,0),0)),0)</f>
        <v>0</v>
      </c>
      <c r="I516" s="5">
        <f>IFERROR(IF(J516&lt;&gt;"",J516,(IF(VLOOKUP($A516,#REF!,MATCH(#REF!,#REF!,0),0)=0,G516,VLOOKUP($A516,#REF!,MATCH(#REF!,#REF!,0),0)))),G516)</f>
        <v>0</v>
      </c>
      <c r="K516" s="6">
        <f>IFERROR(VLOOKUP($A516,#REF!,MATCH(#REF!,#REF!,0),0),0)</f>
        <v>0</v>
      </c>
      <c r="L516" s="6">
        <f>IFERROR(VLOOKUP($A516,[1]FINAL!$A$1:$BZ$1000,MATCH([1]FINAL!$BF$1,[1]FINAL!$A$1:$BZ$1,0),0),0)</f>
        <v>0</v>
      </c>
      <c r="M516" s="7">
        <f t="shared" si="42"/>
        <v>0</v>
      </c>
      <c r="N516" s="6">
        <f>IFERROR(VLOOKUP($A516,#REF!,MATCH(#REF!,#REF!,0),0),0)</f>
        <v>0</v>
      </c>
      <c r="O516" s="7">
        <f t="shared" si="43"/>
        <v>0</v>
      </c>
      <c r="P516" s="10" t="str">
        <f>IFERROR(VLOOKUP($A516,[1]FINAL!$A$1:$BZ$1000,MATCH([1]FINAL!$BB$1,[1]FINAL!$A$1:$BZ$1,0),0),"")</f>
        <v/>
      </c>
      <c r="Q516" s="18">
        <f t="shared" si="44"/>
        <v>1</v>
      </c>
    </row>
    <row r="517" spans="1:17" x14ac:dyDescent="0.25">
      <c r="A517" s="14" t="str">
        <f>[1]FINAL!$A485</f>
        <v>Enis Destan</v>
      </c>
      <c r="B517" s="20" t="str">
        <f>IFERROR(VLOOKUP($A517,[1]FINAL!$A$1:$Z$1000,MATCH([1]FINAL!$T$1,[1]FINAL!$A$1:$Z$1,0),0),"")</f>
        <v>FWD</v>
      </c>
      <c r="C517" s="3" t="str">
        <f>IFERROR(VLOOKUP($A517,[1]FINAL!$A$1:$Z$1000,MATCH([1]FINAL!$U$1,[1]FINAL!$A$1:$Z$1,0),0),"")</f>
        <v>CF</v>
      </c>
      <c r="D517" s="3" t="str">
        <f>IFERROR(VLOOKUP($A517,[1]FINAL!$A$1:$Z$1000,MATCH([1]FINAL!$V$1,[1]FINAL!$A$1:$Z$1,0),0),"")</f>
        <v>HUL</v>
      </c>
      <c r="E517" s="6">
        <f t="shared" si="40"/>
        <v>7777.7777777777783</v>
      </c>
      <c r="F517" s="5">
        <f t="shared" si="41"/>
        <v>0</v>
      </c>
      <c r="G517" s="5">
        <f>IFERROR(IF(H517&lt;&gt;"",H517,VLOOKUP($A517,[1]FINAL!$A$1:$BZ$1000,MATCH([1]FINAL!$BL$1,[1]FINAL!$A$1:$BZ$1,0),0)),0)</f>
        <v>0</v>
      </c>
      <c r="I517" s="5">
        <f>IFERROR(IF(J517&lt;&gt;"",J517,(IF(VLOOKUP($A517,#REF!,MATCH(#REF!,#REF!,0),0)=0,G517,VLOOKUP($A517,#REF!,MATCH(#REF!,#REF!,0),0)))),G517)</f>
        <v>0</v>
      </c>
      <c r="K517" s="6">
        <f>IFERROR(VLOOKUP($A517,#REF!,MATCH(#REF!,#REF!,0),0),0)</f>
        <v>0</v>
      </c>
      <c r="L517" s="6">
        <f>IFERROR(VLOOKUP($A517,[1]FINAL!$A$1:$BZ$1000,MATCH([1]FINAL!$BF$1,[1]FINAL!$A$1:$BZ$1,0),0),0)</f>
        <v>70</v>
      </c>
      <c r="M517" s="7">
        <f t="shared" si="42"/>
        <v>0.77777777777777779</v>
      </c>
      <c r="N517" s="6">
        <f>IFERROR(VLOOKUP($A517,#REF!,MATCH(#REF!,#REF!,0),0),0)</f>
        <v>0</v>
      </c>
      <c r="O517" s="7">
        <f t="shared" si="43"/>
        <v>0</v>
      </c>
      <c r="P517" s="10" t="str">
        <f>IFERROR(VLOOKUP($A517,[1]FINAL!$A$1:$BZ$1000,MATCH([1]FINAL!$BB$1,[1]FINAL!$A$1:$BZ$1,0),0),"")</f>
        <v/>
      </c>
      <c r="Q517" s="18">
        <f t="shared" si="44"/>
        <v>1</v>
      </c>
    </row>
    <row r="518" spans="1:17" x14ac:dyDescent="0.25">
      <c r="A518" s="14" t="str">
        <f>[1]FINAL!$A488</f>
        <v>Harvey Cartwright</v>
      </c>
      <c r="B518" s="20" t="str">
        <f>IFERROR(VLOOKUP($A518,[1]FINAL!$A$1:$Z$1000,MATCH([1]FINAL!$T$1,[1]FINAL!$A$1:$Z$1,0),0),"")</f>
        <v>GK</v>
      </c>
      <c r="C518" s="3" t="str">
        <f>IFERROR(VLOOKUP($A518,[1]FINAL!$A$1:$Z$1000,MATCH([1]FINAL!$U$1,[1]FINAL!$A$1:$Z$1,0),0),"")</f>
        <v/>
      </c>
      <c r="D518" s="3" t="str">
        <f>IFERROR(VLOOKUP($A518,[1]FINAL!$A$1:$Z$1000,MATCH([1]FINAL!$V$1,[1]FINAL!$A$1:$Z$1,0),0),"")</f>
        <v>HUL</v>
      </c>
      <c r="E518" s="6">
        <f t="shared" si="40"/>
        <v>0</v>
      </c>
      <c r="F518" s="5">
        <f t="shared" si="41"/>
        <v>0</v>
      </c>
      <c r="G518" s="5">
        <f>IFERROR(IF(H518&lt;&gt;"",H518,VLOOKUP($A518,[1]FINAL!$A$1:$BZ$1000,MATCH([1]FINAL!$BL$1,[1]FINAL!$A$1:$BZ$1,0),0)),0)</f>
        <v>0</v>
      </c>
      <c r="I518" s="5">
        <f>IFERROR(IF(J518&lt;&gt;"",J518,(IF(VLOOKUP($A518,#REF!,MATCH(#REF!,#REF!,0),0)=0,G518,VLOOKUP($A518,#REF!,MATCH(#REF!,#REF!,0),0)))),G518)</f>
        <v>0</v>
      </c>
      <c r="K518" s="6">
        <f>IFERROR(VLOOKUP($A518,#REF!,MATCH(#REF!,#REF!,0),0),0)</f>
        <v>0</v>
      </c>
      <c r="L518" s="6">
        <f>IFERROR(VLOOKUP($A518,[1]FINAL!$A$1:$BZ$1000,MATCH([1]FINAL!$BF$1,[1]FINAL!$A$1:$BZ$1,0),0),0)</f>
        <v>0</v>
      </c>
      <c r="M518" s="7">
        <f t="shared" si="42"/>
        <v>0</v>
      </c>
      <c r="N518" s="6">
        <f>IFERROR(VLOOKUP($A518,#REF!,MATCH(#REF!,#REF!,0),0),0)</f>
        <v>0</v>
      </c>
      <c r="O518" s="7">
        <f t="shared" si="43"/>
        <v>0</v>
      </c>
      <c r="P518" s="10" t="str">
        <f>IFERROR(VLOOKUP($A518,[1]FINAL!$A$1:$BZ$1000,MATCH([1]FINAL!$BB$1,[1]FINAL!$A$1:$BZ$1,0),0),"")</f>
        <v/>
      </c>
      <c r="Q518" s="18">
        <f t="shared" si="44"/>
        <v>1</v>
      </c>
    </row>
    <row r="519" spans="1:17" x14ac:dyDescent="0.25">
      <c r="A519" s="14" t="str">
        <f>[1]FINAL!$A490</f>
        <v>John Egan</v>
      </c>
      <c r="B519" s="20" t="str">
        <f>IFERROR(VLOOKUP($A519,[1]FINAL!$A$1:$Z$1000,MATCH([1]FINAL!$T$1,[1]FINAL!$A$1:$Z$1,0),0),"")</f>
        <v>DEF</v>
      </c>
      <c r="C519" s="3" t="str">
        <f>IFERROR(VLOOKUP($A519,[1]FINAL!$A$1:$Z$1000,MATCH([1]FINAL!$U$1,[1]FINAL!$A$1:$Z$1,0),0),"")</f>
        <v>CB</v>
      </c>
      <c r="D519" s="3" t="str">
        <f>IFERROR(VLOOKUP($A519,[1]FINAL!$A$1:$Z$1000,MATCH([1]FINAL!$V$1,[1]FINAL!$A$1:$Z$1,0),0),"")</f>
        <v>HUL</v>
      </c>
      <c r="E519" s="6">
        <f t="shared" si="40"/>
        <v>179120.77294685991</v>
      </c>
      <c r="F519" s="5">
        <f t="shared" si="41"/>
        <v>0.84782608695652173</v>
      </c>
      <c r="G519" s="5">
        <f>IFERROR(IF(H519&lt;&gt;"",H519,VLOOKUP($A519,[1]FINAL!$A$1:$BZ$1000,MATCH([1]FINAL!$BL$1,[1]FINAL!$A$1:$BZ$1,0),0)),0)</f>
        <v>0.84782608695652173</v>
      </c>
      <c r="I519" s="5">
        <f>IFERROR(IF(J519&lt;&gt;"",J519,(IF(VLOOKUP($A519,#REF!,MATCH(#REF!,#REF!,0),0)=0,G519,VLOOKUP($A519,#REF!,MATCH(#REF!,#REF!,0),0)))),G519)</f>
        <v>0.84782608695652173</v>
      </c>
      <c r="K519" s="6">
        <f>IFERROR(VLOOKUP($A519,#REF!,MATCH(#REF!,#REF!,0),0),0)</f>
        <v>0</v>
      </c>
      <c r="L519" s="6">
        <f>IFERROR(VLOOKUP($A519,[1]FINAL!$A$1:$BZ$1000,MATCH([1]FINAL!$BF$1,[1]FINAL!$A$1:$BZ$1,0),0),0)</f>
        <v>86</v>
      </c>
      <c r="M519" s="7">
        <f t="shared" si="42"/>
        <v>0.9555555555555556</v>
      </c>
      <c r="N519" s="6">
        <f>IFERROR(VLOOKUP($A519,#REF!,MATCH(#REF!,#REF!,0),0),0)</f>
        <v>0</v>
      </c>
      <c r="O519" s="7">
        <f t="shared" si="43"/>
        <v>0</v>
      </c>
      <c r="P519" s="10" t="str">
        <f>IFERROR(VLOOKUP($A519,[1]FINAL!$A$1:$BZ$1000,MATCH([1]FINAL!$BB$1,[1]FINAL!$A$1:$BZ$1,0),0),"")</f>
        <v/>
      </c>
      <c r="Q519" s="18">
        <f t="shared" si="44"/>
        <v>1</v>
      </c>
    </row>
    <row r="520" spans="1:17" x14ac:dyDescent="0.25">
      <c r="A520" s="14" t="str">
        <f>[1]FINAL!$A491</f>
        <v>Charlie Hughes</v>
      </c>
      <c r="B520" s="20" t="str">
        <f>IFERROR(VLOOKUP($A520,[1]FINAL!$A$1:$Z$1000,MATCH([1]FINAL!$T$1,[1]FINAL!$A$1:$Z$1,0),0),"")</f>
        <v>DEF</v>
      </c>
      <c r="C520" s="3" t="str">
        <f>IFERROR(VLOOKUP($A520,[1]FINAL!$A$1:$Z$1000,MATCH([1]FINAL!$U$1,[1]FINAL!$A$1:$Z$1,0),0),"")</f>
        <v>CB</v>
      </c>
      <c r="D520" s="3" t="str">
        <f>IFERROR(VLOOKUP($A520,[1]FINAL!$A$1:$Z$1000,MATCH([1]FINAL!$V$1,[1]FINAL!$A$1:$Z$1,0),0),"")</f>
        <v>HUL</v>
      </c>
      <c r="E520" s="6">
        <f t="shared" si="40"/>
        <v>173303.0303030303</v>
      </c>
      <c r="F520" s="5">
        <f t="shared" si="41"/>
        <v>0.81818181818181823</v>
      </c>
      <c r="G520" s="5">
        <f>IFERROR(IF(H520&lt;&gt;"",H520,VLOOKUP($A520,[1]FINAL!$A$1:$BZ$1000,MATCH([1]FINAL!$BL$1,[1]FINAL!$A$1:$BZ$1,0),0)),0)</f>
        <v>0.81818181818181823</v>
      </c>
      <c r="I520" s="5">
        <f>IFERROR(IF(J520&lt;&gt;"",J520,(IF(VLOOKUP($A520,#REF!,MATCH(#REF!,#REF!,0),0)=0,G520,VLOOKUP($A520,#REF!,MATCH(#REF!,#REF!,0),0)))),G520)</f>
        <v>0.81818181818181823</v>
      </c>
      <c r="K520" s="6">
        <f>IFERROR(VLOOKUP($A520,#REF!,MATCH(#REF!,#REF!,0),0),0)</f>
        <v>0</v>
      </c>
      <c r="L520" s="6">
        <f>IFERROR(VLOOKUP($A520,[1]FINAL!$A$1:$BZ$1000,MATCH([1]FINAL!$BF$1,[1]FINAL!$A$1:$BZ$1,0),0),0)</f>
        <v>87</v>
      </c>
      <c r="M520" s="7">
        <f t="shared" si="42"/>
        <v>0.96666666666666667</v>
      </c>
      <c r="N520" s="6">
        <f>IFERROR(VLOOKUP($A520,#REF!,MATCH(#REF!,#REF!,0),0),0)</f>
        <v>0</v>
      </c>
      <c r="O520" s="7">
        <f t="shared" si="43"/>
        <v>0</v>
      </c>
      <c r="P520" s="10" t="str">
        <f>IFERROR(VLOOKUP($A520,[1]FINAL!$A$1:$BZ$1000,MATCH([1]FINAL!$BB$1,[1]FINAL!$A$1:$BZ$1,0),0),"")</f>
        <v/>
      </c>
      <c r="Q520" s="18">
        <f t="shared" si="44"/>
        <v>1</v>
      </c>
    </row>
    <row r="521" spans="1:17" x14ac:dyDescent="0.25">
      <c r="A521" s="14" t="str">
        <f>[1]FINAL!$A492</f>
        <v>Semi Ajayi</v>
      </c>
      <c r="B521" s="20" t="str">
        <f>IFERROR(VLOOKUP($A521,[1]FINAL!$A$1:$Z$1000,MATCH([1]FINAL!$T$1,[1]FINAL!$A$1:$Z$1,0),0),"")</f>
        <v>DEF</v>
      </c>
      <c r="C521" s="3" t="str">
        <f>IFERROR(VLOOKUP($A521,[1]FINAL!$A$1:$Z$1000,MATCH([1]FINAL!$U$1,[1]FINAL!$A$1:$Z$1,0),0),"")</f>
        <v>CB</v>
      </c>
      <c r="D521" s="3" t="str">
        <f>IFERROR(VLOOKUP($A521,[1]FINAL!$A$1:$Z$1000,MATCH([1]FINAL!$V$1,[1]FINAL!$A$1:$Z$1,0),0),"")</f>
        <v>HUL</v>
      </c>
      <c r="E521" s="6">
        <f t="shared" si="40"/>
        <v>173414.14141414143</v>
      </c>
      <c r="F521" s="5">
        <f t="shared" si="41"/>
        <v>0.81818181818181823</v>
      </c>
      <c r="G521" s="5">
        <f>IFERROR(IF(H521&lt;&gt;"",H521,VLOOKUP($A521,[1]FINAL!$A$1:$BZ$1000,MATCH([1]FINAL!$BL$1,[1]FINAL!$A$1:$BZ$1,0),0)),0)</f>
        <v>0.81818181818181823</v>
      </c>
      <c r="I521" s="5">
        <f>IFERROR(IF(J521&lt;&gt;"",J521,(IF(VLOOKUP($A521,#REF!,MATCH(#REF!,#REF!,0),0)=0,G521,VLOOKUP($A521,#REF!,MATCH(#REF!,#REF!,0),0)))),G521)</f>
        <v>0.81818181818181823</v>
      </c>
      <c r="K521" s="6">
        <f>IFERROR(VLOOKUP($A521,#REF!,MATCH(#REF!,#REF!,0),0),0)</f>
        <v>0</v>
      </c>
      <c r="L521" s="6">
        <f>IFERROR(VLOOKUP($A521,[1]FINAL!$A$1:$BZ$1000,MATCH([1]FINAL!$BF$1,[1]FINAL!$A$1:$BZ$1,0),0),0)</f>
        <v>88</v>
      </c>
      <c r="M521" s="7">
        <f t="shared" si="42"/>
        <v>0.97777777777777775</v>
      </c>
      <c r="N521" s="6">
        <f>IFERROR(VLOOKUP($A521,#REF!,MATCH(#REF!,#REF!,0),0),0)</f>
        <v>0</v>
      </c>
      <c r="O521" s="7">
        <f t="shared" si="43"/>
        <v>0</v>
      </c>
      <c r="P521" s="10" t="str">
        <f>IFERROR(VLOOKUP($A521,[1]FINAL!$A$1:$BZ$1000,MATCH([1]FINAL!$BB$1,[1]FINAL!$A$1:$BZ$1,0),0),"")</f>
        <v/>
      </c>
      <c r="Q521" s="18">
        <f t="shared" si="44"/>
        <v>1</v>
      </c>
    </row>
    <row r="522" spans="1:17" x14ac:dyDescent="0.25">
      <c r="A522" s="14" t="str">
        <f>[1]FINAL!$A494</f>
        <v>Cody Drameh</v>
      </c>
      <c r="B522" s="20" t="str">
        <f>IFERROR(VLOOKUP($A522,[1]FINAL!$A$1:$Z$1000,MATCH([1]FINAL!$T$1,[1]FINAL!$A$1:$Z$1,0),0),"")</f>
        <v>DEF</v>
      </c>
      <c r="C522" s="3" t="str">
        <f>IFERROR(VLOOKUP($A522,[1]FINAL!$A$1:$Z$1000,MATCH([1]FINAL!$U$1,[1]FINAL!$A$1:$Z$1,0),0),"")</f>
        <v>RB</v>
      </c>
      <c r="D522" s="3" t="str">
        <f>IFERROR(VLOOKUP($A522,[1]FINAL!$A$1:$Z$1000,MATCH([1]FINAL!$V$1,[1]FINAL!$A$1:$Z$1,0),0),"")</f>
        <v>HUL</v>
      </c>
      <c r="E522" s="6">
        <f t="shared" si="40"/>
        <v>8777.7777777777774</v>
      </c>
      <c r="F522" s="5">
        <f t="shared" si="41"/>
        <v>0</v>
      </c>
      <c r="G522" s="5">
        <f>IFERROR(IF(H522&lt;&gt;"",H522,VLOOKUP($A522,[1]FINAL!$A$1:$BZ$1000,MATCH([1]FINAL!$BL$1,[1]FINAL!$A$1:$BZ$1,0),0)),0)</f>
        <v>0</v>
      </c>
      <c r="I522" s="5">
        <f>IFERROR(IF(J522&lt;&gt;"",J522,(IF(VLOOKUP($A522,#REF!,MATCH(#REF!,#REF!,0),0)=0,G522,VLOOKUP($A522,#REF!,MATCH(#REF!,#REF!,0),0)))),G522)</f>
        <v>0</v>
      </c>
      <c r="K522" s="6">
        <f>IFERROR(VLOOKUP($A522,#REF!,MATCH(#REF!,#REF!,0),0),0)</f>
        <v>0</v>
      </c>
      <c r="L522" s="6">
        <f>IFERROR(VLOOKUP($A522,[1]FINAL!$A$1:$BZ$1000,MATCH([1]FINAL!$BF$1,[1]FINAL!$A$1:$BZ$1,0),0),0)</f>
        <v>79</v>
      </c>
      <c r="M522" s="7">
        <f t="shared" si="42"/>
        <v>0.87777777777777777</v>
      </c>
      <c r="N522" s="6">
        <f>IFERROR(VLOOKUP($A522,#REF!,MATCH(#REF!,#REF!,0),0),0)</f>
        <v>0</v>
      </c>
      <c r="O522" s="7">
        <f t="shared" si="43"/>
        <v>0</v>
      </c>
      <c r="P522" s="10" t="str">
        <f>IFERROR(VLOOKUP($A522,[1]FINAL!$A$1:$BZ$1000,MATCH([1]FINAL!$BB$1,[1]FINAL!$A$1:$BZ$1,0),0),"")</f>
        <v/>
      </c>
      <c r="Q522" s="18">
        <f t="shared" si="44"/>
        <v>1</v>
      </c>
    </row>
    <row r="523" spans="1:17" x14ac:dyDescent="0.25">
      <c r="A523" s="14" t="str">
        <f>[1]FINAL!$A497</f>
        <v>Cathal McCarthy</v>
      </c>
      <c r="B523" s="20" t="str">
        <f>IFERROR(VLOOKUP($A523,[1]FINAL!$A$1:$Z$1000,MATCH([1]FINAL!$T$1,[1]FINAL!$A$1:$Z$1,0),0),"")</f>
        <v>DEF</v>
      </c>
      <c r="C523" s="3" t="str">
        <f>IFERROR(VLOOKUP($A523,[1]FINAL!$A$1:$Z$1000,MATCH([1]FINAL!$U$1,[1]FINAL!$A$1:$Z$1,0),0),"")</f>
        <v/>
      </c>
      <c r="D523" s="3" t="str">
        <f>IFERROR(VLOOKUP($A523,[1]FINAL!$A$1:$Z$1000,MATCH([1]FINAL!$V$1,[1]FINAL!$A$1:$Z$1,0),0),"")</f>
        <v>HUL</v>
      </c>
      <c r="E523" s="6">
        <f t="shared" si="40"/>
        <v>10000</v>
      </c>
      <c r="F523" s="5">
        <f t="shared" si="41"/>
        <v>0</v>
      </c>
      <c r="G523" s="5">
        <f>IFERROR(IF(H523&lt;&gt;"",H523,VLOOKUP($A523,[1]FINAL!$A$1:$BZ$1000,MATCH([1]FINAL!$BL$1,[1]FINAL!$A$1:$BZ$1,0),0)),0)</f>
        <v>0</v>
      </c>
      <c r="I523" s="5">
        <f>IFERROR(IF(J523&lt;&gt;"",J523,(IF(VLOOKUP($A523,#REF!,MATCH(#REF!,#REF!,0),0)=0,G523,VLOOKUP($A523,#REF!,MATCH(#REF!,#REF!,0),0)))),G523)</f>
        <v>0</v>
      </c>
      <c r="K523" s="6">
        <f>IFERROR(VLOOKUP($A523,#REF!,MATCH(#REF!,#REF!,0),0),0)</f>
        <v>0</v>
      </c>
      <c r="L523" s="6">
        <f>IFERROR(VLOOKUP($A523,[1]FINAL!$A$1:$BZ$1000,MATCH([1]FINAL!$BF$1,[1]FINAL!$A$1:$BZ$1,0),0),0)</f>
        <v>90</v>
      </c>
      <c r="M523" s="7">
        <f t="shared" si="42"/>
        <v>1</v>
      </c>
      <c r="N523" s="6">
        <f>IFERROR(VLOOKUP($A523,#REF!,MATCH(#REF!,#REF!,0),0),0)</f>
        <v>0</v>
      </c>
      <c r="O523" s="7">
        <f t="shared" si="43"/>
        <v>0</v>
      </c>
      <c r="P523" s="10" t="str">
        <f>IFERROR(VLOOKUP($A523,[1]FINAL!$A$1:$BZ$1000,MATCH([1]FINAL!$BB$1,[1]FINAL!$A$1:$BZ$1,0),0),"")</f>
        <v/>
      </c>
      <c r="Q523" s="18">
        <f t="shared" si="44"/>
        <v>1</v>
      </c>
    </row>
    <row r="524" spans="1:17" x14ac:dyDescent="0.25">
      <c r="A524" s="14" t="str">
        <f>[1]FINAL!$A498</f>
        <v>Paddy McNair</v>
      </c>
      <c r="B524" s="20" t="str">
        <f>IFERROR(VLOOKUP($A524,[1]FINAL!$A$1:$Z$1000,MATCH([1]FINAL!$T$1,[1]FINAL!$A$1:$Z$1,0),0),"")</f>
        <v>DEF</v>
      </c>
      <c r="C524" s="3" t="str">
        <f>IFERROR(VLOOKUP($A524,[1]FINAL!$A$1:$Z$1000,MATCH([1]FINAL!$U$1,[1]FINAL!$A$1:$Z$1,0),0),"")</f>
        <v>CB</v>
      </c>
      <c r="D524" s="3" t="str">
        <f>IFERROR(VLOOKUP($A524,[1]FINAL!$A$1:$Z$1000,MATCH([1]FINAL!$V$1,[1]FINAL!$A$1:$Z$1,0),0),"")</f>
        <v>HUL</v>
      </c>
      <c r="E524" s="6">
        <f t="shared" si="40"/>
        <v>9222.2222222222226</v>
      </c>
      <c r="F524" s="5">
        <f t="shared" si="41"/>
        <v>0</v>
      </c>
      <c r="G524" s="5">
        <f>IFERROR(IF(H524&lt;&gt;"",H524,VLOOKUP($A524,[1]FINAL!$A$1:$BZ$1000,MATCH([1]FINAL!$BL$1,[1]FINAL!$A$1:$BZ$1,0),0)),0)</f>
        <v>0</v>
      </c>
      <c r="I524" s="5">
        <f>IFERROR(IF(J524&lt;&gt;"",J524,(IF(VLOOKUP($A524,#REF!,MATCH(#REF!,#REF!,0),0)=0,G524,VLOOKUP($A524,#REF!,MATCH(#REF!,#REF!,0),0)))),G524)</f>
        <v>0</v>
      </c>
      <c r="K524" s="6">
        <f>IFERROR(VLOOKUP($A524,#REF!,MATCH(#REF!,#REF!,0),0),0)</f>
        <v>0</v>
      </c>
      <c r="L524" s="6">
        <f>IFERROR(VLOOKUP($A524,[1]FINAL!$A$1:$BZ$1000,MATCH([1]FINAL!$BF$1,[1]FINAL!$A$1:$BZ$1,0),0),0)</f>
        <v>83</v>
      </c>
      <c r="M524" s="7">
        <f t="shared" si="42"/>
        <v>0.92222222222222228</v>
      </c>
      <c r="N524" s="6">
        <f>IFERROR(VLOOKUP($A524,#REF!,MATCH(#REF!,#REF!,0),0),0)</f>
        <v>0</v>
      </c>
      <c r="O524" s="7">
        <f t="shared" si="43"/>
        <v>0</v>
      </c>
      <c r="P524" s="10" t="str">
        <f>IFERROR(VLOOKUP($A524,[1]FINAL!$A$1:$BZ$1000,MATCH([1]FINAL!$BB$1,[1]FINAL!$A$1:$BZ$1,0),0),"")</f>
        <v/>
      </c>
      <c r="Q524" s="18">
        <f t="shared" si="44"/>
        <v>1</v>
      </c>
    </row>
    <row r="525" spans="1:17" x14ac:dyDescent="0.25">
      <c r="A525" s="14" t="str">
        <f>[1]FINAL!$A499</f>
        <v>Benjamin Lecomte</v>
      </c>
      <c r="B525" s="20" t="str">
        <f>IFERROR(VLOOKUP($A525,[1]FINAL!$A$1:$Z$1000,MATCH([1]FINAL!$T$1,[1]FINAL!$A$1:$Z$1,0),0),"")</f>
        <v>GK</v>
      </c>
      <c r="C525" s="3" t="str">
        <f>IFERROR(VLOOKUP($A525,[1]FINAL!$A$1:$Z$1000,MATCH([1]FINAL!$U$1,[1]FINAL!$A$1:$Z$1,0),0),"")</f>
        <v>GK</v>
      </c>
      <c r="D525" s="3" t="str">
        <f>IFERROR(VLOOKUP($A525,[1]FINAL!$A$1:$Z$1000,MATCH([1]FINAL!$V$1,[1]FINAL!$A$1:$Z$1,0),0),"")</f>
        <v>FUL</v>
      </c>
      <c r="E525" s="6">
        <f t="shared" si="40"/>
        <v>0</v>
      </c>
      <c r="F525" s="5">
        <f t="shared" si="41"/>
        <v>0</v>
      </c>
      <c r="G525" s="5">
        <f>IFERROR(IF(H525&lt;&gt;"",H525,VLOOKUP($A525,[1]FINAL!$A$1:$BZ$1000,MATCH([1]FINAL!$BL$1,[1]FINAL!$A$1:$BZ$1,0),0)),0)</f>
        <v>0</v>
      </c>
      <c r="I525" s="5">
        <f>IFERROR(IF(J525&lt;&gt;"",J525,(IF(VLOOKUP($A525,#REF!,MATCH(#REF!,#REF!,0),0)=0,G525,VLOOKUP($A525,#REF!,MATCH(#REF!,#REF!,0),0)))),G525)</f>
        <v>0</v>
      </c>
      <c r="K525" s="6">
        <f>IFERROR(VLOOKUP($A525,#REF!,MATCH(#REF!,#REF!,0),0),0)</f>
        <v>0</v>
      </c>
      <c r="L525" s="6">
        <f>IFERROR(VLOOKUP($A525,[1]FINAL!$A$1:$BZ$1000,MATCH([1]FINAL!$BF$1,[1]FINAL!$A$1:$BZ$1,0),0),0)</f>
        <v>0</v>
      </c>
      <c r="M525" s="7">
        <f t="shared" si="42"/>
        <v>0</v>
      </c>
      <c r="N525" s="6">
        <f>IFERROR(VLOOKUP($A525,#REF!,MATCH(#REF!,#REF!,0),0),0)</f>
        <v>0</v>
      </c>
      <c r="O525" s="7">
        <f t="shared" si="43"/>
        <v>0</v>
      </c>
      <c r="P525" s="10" t="str">
        <f>IFERROR(VLOOKUP($A525,[1]FINAL!$A$1:$BZ$1000,MATCH([1]FINAL!$BB$1,[1]FINAL!$A$1:$BZ$1,0),0),"")</f>
        <v/>
      </c>
      <c r="Q525" s="18">
        <f t="shared" si="44"/>
        <v>1</v>
      </c>
    </row>
    <row r="526" spans="1:17" x14ac:dyDescent="0.25">
      <c r="A526" s="14" t="str">
        <f>[1]FINAL!$A501</f>
        <v>Hayden Hackney</v>
      </c>
      <c r="B526" s="20" t="str">
        <f>IFERROR(VLOOKUP($A526,[1]FINAL!$A$1:$Z$1000,MATCH([1]FINAL!$T$1,[1]FINAL!$A$1:$Z$1,0),0),"")</f>
        <v>MID</v>
      </c>
      <c r="C526" s="3" t="str">
        <f>IFERROR(VLOOKUP($A526,[1]FINAL!$A$1:$Z$1000,MATCH([1]FINAL!$U$1,[1]FINAL!$A$1:$Z$1,0),0),"")</f>
        <v>DM</v>
      </c>
      <c r="D526" s="3" t="str">
        <f>IFERROR(VLOOKUP($A526,[1]FINAL!$A$1:$Z$1000,MATCH([1]FINAL!$V$1,[1]FINAL!$A$1:$Z$1,0),0),"")</f>
        <v>EVE</v>
      </c>
      <c r="E526" s="6">
        <f t="shared" si="40"/>
        <v>0</v>
      </c>
      <c r="F526" s="5">
        <f t="shared" si="41"/>
        <v>0</v>
      </c>
      <c r="G526" s="5">
        <f>IFERROR(IF(H526&lt;&gt;"",H526,VLOOKUP($A526,[1]FINAL!$A$1:$BZ$1000,MATCH([1]FINAL!$BL$1,[1]FINAL!$A$1:$BZ$1,0),0)),0)</f>
        <v>0</v>
      </c>
      <c r="I526" s="5">
        <f>IFERROR(IF(J526&lt;&gt;"",J526,(IF(VLOOKUP($A526,#REF!,MATCH(#REF!,#REF!,0),0)=0,G526,VLOOKUP($A526,#REF!,MATCH(#REF!,#REF!,0),0)))),G526)</f>
        <v>0</v>
      </c>
      <c r="K526" s="6">
        <f>IFERROR(VLOOKUP($A526,#REF!,MATCH(#REF!,#REF!,0),0),0)</f>
        <v>0</v>
      </c>
      <c r="L526" s="6">
        <f>IFERROR(VLOOKUP($A526,[1]FINAL!$A$1:$BZ$1000,MATCH([1]FINAL!$BF$1,[1]FINAL!$A$1:$BZ$1,0),0),0)</f>
        <v>0</v>
      </c>
      <c r="M526" s="7">
        <f t="shared" si="42"/>
        <v>0</v>
      </c>
      <c r="N526" s="6">
        <f>IFERROR(VLOOKUP($A526,#REF!,MATCH(#REF!,#REF!,0),0),0)</f>
        <v>0</v>
      </c>
      <c r="O526" s="7">
        <f t="shared" si="43"/>
        <v>0</v>
      </c>
      <c r="P526" s="10" t="str">
        <f>IFERROR(VLOOKUP($A526,[1]FINAL!$A$1:$BZ$1000,MATCH([1]FINAL!$BB$1,[1]FINAL!$A$1:$BZ$1,0),0),"")</f>
        <v/>
      </c>
      <c r="Q526" s="18">
        <f t="shared" si="44"/>
        <v>1</v>
      </c>
    </row>
    <row r="527" spans="1:17" x14ac:dyDescent="0.25">
      <c r="A527" s="14" t="str">
        <f>[1]FINAL!$A502</f>
        <v>Adam Aznou</v>
      </c>
      <c r="B527" s="20" t="str">
        <f>IFERROR(VLOOKUP($A527,[1]FINAL!$A$1:$Z$1000,MATCH([1]FINAL!$T$1,[1]FINAL!$A$1:$Z$1,0),0),"")</f>
        <v>DEF</v>
      </c>
      <c r="C527" s="3" t="str">
        <f>IFERROR(VLOOKUP($A527,[1]FINAL!$A$1:$Z$1000,MATCH([1]FINAL!$U$1,[1]FINAL!$A$1:$Z$1,0),0),"")</f>
        <v>LB</v>
      </c>
      <c r="D527" s="3" t="str">
        <f>IFERROR(VLOOKUP($A527,[1]FINAL!$A$1:$Z$1000,MATCH([1]FINAL!$V$1,[1]FINAL!$A$1:$Z$1,0),0),"")</f>
        <v>EVE</v>
      </c>
      <c r="E527" s="6">
        <f t="shared" si="40"/>
        <v>0</v>
      </c>
      <c r="F527" s="5">
        <f t="shared" si="41"/>
        <v>0</v>
      </c>
      <c r="G527" s="5">
        <f>IFERROR(IF(H527&lt;&gt;"",H527,VLOOKUP($A527,[1]FINAL!$A$1:$BZ$1000,MATCH([1]FINAL!$BL$1,[1]FINAL!$A$1:$BZ$1,0),0)),0)</f>
        <v>0</v>
      </c>
      <c r="I527" s="5">
        <f>IFERROR(IF(J527&lt;&gt;"",J527,(IF(VLOOKUP($A527,#REF!,MATCH(#REF!,#REF!,0),0)=0,G527,VLOOKUP($A527,#REF!,MATCH(#REF!,#REF!,0),0)))),G527)</f>
        <v>0</v>
      </c>
      <c r="K527" s="6">
        <f>IFERROR(VLOOKUP($A527,#REF!,MATCH(#REF!,#REF!,0),0),0)</f>
        <v>0</v>
      </c>
      <c r="L527" s="6">
        <f>IFERROR(VLOOKUP($A527,[1]FINAL!$A$1:$BZ$1000,MATCH([1]FINAL!$BF$1,[1]FINAL!$A$1:$BZ$1,0),0),0)</f>
        <v>0</v>
      </c>
      <c r="M527" s="7">
        <f t="shared" si="42"/>
        <v>0</v>
      </c>
      <c r="N527" s="6">
        <f>IFERROR(VLOOKUP($A527,#REF!,MATCH(#REF!,#REF!,0),0),0)</f>
        <v>0</v>
      </c>
      <c r="O527" s="7">
        <f t="shared" si="43"/>
        <v>0</v>
      </c>
      <c r="P527" s="10" t="str">
        <f>IFERROR(VLOOKUP($A527,[1]FINAL!$A$1:$BZ$1000,MATCH([1]FINAL!$BB$1,[1]FINAL!$A$1:$BZ$1,0),0),"")</f>
        <v/>
      </c>
      <c r="Q527" s="18">
        <f t="shared" si="44"/>
        <v>1</v>
      </c>
    </row>
    <row r="528" spans="1:17" x14ac:dyDescent="0.25">
      <c r="A528" s="14" t="str">
        <f>[1]FINAL!$A503</f>
        <v>Joél Drakes-Thomas</v>
      </c>
      <c r="B528" s="20" t="str">
        <f>IFERROR(VLOOKUP($A528,[1]FINAL!$A$1:$Z$1000,MATCH([1]FINAL!$T$1,[1]FINAL!$A$1:$Z$1,0),0),"")</f>
        <v>MID</v>
      </c>
      <c r="C528" s="3" t="str">
        <f>IFERROR(VLOOKUP($A528,[1]FINAL!$A$1:$Z$1000,MATCH([1]FINAL!$U$1,[1]FINAL!$A$1:$Z$1,0),0),"")</f>
        <v/>
      </c>
      <c r="D528" s="3" t="str">
        <f>IFERROR(VLOOKUP($A528,[1]FINAL!$A$1:$Z$1000,MATCH([1]FINAL!$V$1,[1]FINAL!$A$1:$Z$1,0),0),"")</f>
        <v>CRY</v>
      </c>
      <c r="E528" s="6">
        <f t="shared" si="40"/>
        <v>0</v>
      </c>
      <c r="F528" s="5">
        <f t="shared" si="41"/>
        <v>0</v>
      </c>
      <c r="G528" s="5">
        <f>IFERROR(IF(H528&lt;&gt;"",H528,VLOOKUP($A528,[1]FINAL!$A$1:$BZ$1000,MATCH([1]FINAL!$BL$1,[1]FINAL!$A$1:$BZ$1,0),0)),0)</f>
        <v>0</v>
      </c>
      <c r="I528" s="5">
        <f>IFERROR(IF(J528&lt;&gt;"",J528,(IF(VLOOKUP($A528,#REF!,MATCH(#REF!,#REF!,0),0)=0,G528,VLOOKUP($A528,#REF!,MATCH(#REF!,#REF!,0),0)))),G528)</f>
        <v>0</v>
      </c>
      <c r="K528" s="6">
        <f>IFERROR(VLOOKUP($A528,#REF!,MATCH(#REF!,#REF!,0),0),0)</f>
        <v>0</v>
      </c>
      <c r="L528" s="6">
        <f>IFERROR(VLOOKUP($A528,[1]FINAL!$A$1:$BZ$1000,MATCH([1]FINAL!$BF$1,[1]FINAL!$A$1:$BZ$1,0),0),0)</f>
        <v>0</v>
      </c>
      <c r="M528" s="7">
        <f t="shared" si="42"/>
        <v>0</v>
      </c>
      <c r="N528" s="6">
        <f>IFERROR(VLOOKUP($A528,#REF!,MATCH(#REF!,#REF!,0),0),0)</f>
        <v>0</v>
      </c>
      <c r="O528" s="7">
        <f t="shared" si="43"/>
        <v>0</v>
      </c>
      <c r="P528" s="10" t="str">
        <f>IFERROR(VLOOKUP($A528,[1]FINAL!$A$1:$BZ$1000,MATCH([1]FINAL!$BB$1,[1]FINAL!$A$1:$BZ$1,0),0),"")</f>
        <v/>
      </c>
      <c r="Q528" s="18">
        <f t="shared" si="44"/>
        <v>1</v>
      </c>
    </row>
    <row r="529" spans="1:17" x14ac:dyDescent="0.25">
      <c r="A529" s="14" t="str">
        <f>[1]FINAL!$A504</f>
        <v>Walter Benítez</v>
      </c>
      <c r="B529" s="20" t="str">
        <f>IFERROR(VLOOKUP($A529,[1]FINAL!$A$1:$Z$1000,MATCH([1]FINAL!$T$1,[1]FINAL!$A$1:$Z$1,0),0),"")</f>
        <v>GK</v>
      </c>
      <c r="C529" s="3" t="str">
        <f>IFERROR(VLOOKUP($A529,[1]FINAL!$A$1:$Z$1000,MATCH([1]FINAL!$U$1,[1]FINAL!$A$1:$Z$1,0),0),"")</f>
        <v>GK</v>
      </c>
      <c r="D529" s="3" t="str">
        <f>IFERROR(VLOOKUP($A529,[1]FINAL!$A$1:$Z$1000,MATCH([1]FINAL!$V$1,[1]FINAL!$A$1:$Z$1,0),0),"")</f>
        <v>CRY</v>
      </c>
      <c r="E529" s="6">
        <f t="shared" si="40"/>
        <v>15555.555555555555</v>
      </c>
      <c r="F529" s="5">
        <f t="shared" si="41"/>
        <v>2.7777777777777776E-2</v>
      </c>
      <c r="G529" s="5">
        <f>IFERROR(IF(H529&lt;&gt;"",H529,VLOOKUP($A529,[1]FINAL!$A$1:$BZ$1000,MATCH([1]FINAL!$BL$1,[1]FINAL!$A$1:$BZ$1,0),0)),0)</f>
        <v>2.7777777777777776E-2</v>
      </c>
      <c r="I529" s="5">
        <f>IFERROR(IF(J529&lt;&gt;"",J529,(IF(VLOOKUP($A529,#REF!,MATCH(#REF!,#REF!,0),0)=0,G529,VLOOKUP($A529,#REF!,MATCH(#REF!,#REF!,0),0)))),G529)</f>
        <v>2.7777777777777776E-2</v>
      </c>
      <c r="K529" s="6">
        <f>IFERROR(VLOOKUP($A529,#REF!,MATCH(#REF!,#REF!,0),0),0)</f>
        <v>0</v>
      </c>
      <c r="L529" s="6">
        <f>IFERROR(VLOOKUP($A529,[1]FINAL!$A$1:$BZ$1000,MATCH([1]FINAL!$BF$1,[1]FINAL!$A$1:$BZ$1,0),0),0)</f>
        <v>90</v>
      </c>
      <c r="M529" s="7">
        <f t="shared" si="42"/>
        <v>1</v>
      </c>
      <c r="N529" s="6">
        <f>IFERROR(VLOOKUP($A529,#REF!,MATCH(#REF!,#REF!,0),0),0)</f>
        <v>0</v>
      </c>
      <c r="O529" s="7">
        <f t="shared" si="43"/>
        <v>0</v>
      </c>
      <c r="P529" s="10" t="str">
        <f>IFERROR(VLOOKUP($A529,[1]FINAL!$A$1:$BZ$1000,MATCH([1]FINAL!$BB$1,[1]FINAL!$A$1:$BZ$1,0),0),"")</f>
        <v/>
      </c>
      <c r="Q529" s="18">
        <f t="shared" si="44"/>
        <v>1</v>
      </c>
    </row>
    <row r="530" spans="1:17" x14ac:dyDescent="0.25">
      <c r="A530" s="14" t="str">
        <f>[1]FINAL!$A505</f>
        <v>Oscar Mingueza</v>
      </c>
      <c r="B530" s="20" t="str">
        <f>IFERROR(VLOOKUP($A530,[1]FINAL!$A$1:$Z$1000,MATCH([1]FINAL!$T$1,[1]FINAL!$A$1:$Z$1,0),0),"")</f>
        <v>DEF</v>
      </c>
      <c r="C530" s="3" t="str">
        <f>IFERROR(VLOOKUP($A530,[1]FINAL!$A$1:$Z$1000,MATCH([1]FINAL!$U$1,[1]FINAL!$A$1:$Z$1,0),0),"")</f>
        <v/>
      </c>
      <c r="D530" s="3" t="str">
        <f>IFERROR(VLOOKUP($A530,[1]FINAL!$A$1:$Z$1000,MATCH([1]FINAL!$V$1,[1]FINAL!$A$1:$Z$1,0),0),"")</f>
        <v>CRY</v>
      </c>
      <c r="E530" s="6">
        <f t="shared" si="40"/>
        <v>0</v>
      </c>
      <c r="F530" s="5">
        <f t="shared" si="41"/>
        <v>0</v>
      </c>
      <c r="G530" s="5">
        <f>IFERROR(IF(H530&lt;&gt;"",H530,VLOOKUP($A530,[1]FINAL!$A$1:$BZ$1000,MATCH([1]FINAL!$BL$1,[1]FINAL!$A$1:$BZ$1,0),0)),0)</f>
        <v>0</v>
      </c>
      <c r="I530" s="5">
        <f>IFERROR(IF(J530&lt;&gt;"",J530,(IF(VLOOKUP($A530,#REF!,MATCH(#REF!,#REF!,0),0)=0,G530,VLOOKUP($A530,#REF!,MATCH(#REF!,#REF!,0),0)))),G530)</f>
        <v>0</v>
      </c>
      <c r="K530" s="6">
        <f>IFERROR(VLOOKUP($A530,#REF!,MATCH(#REF!,#REF!,0),0),0)</f>
        <v>0</v>
      </c>
      <c r="L530" s="6">
        <f>IFERROR(VLOOKUP($A530,[1]FINAL!$A$1:$BZ$1000,MATCH([1]FINAL!$BF$1,[1]FINAL!$A$1:$BZ$1,0),0),0)</f>
        <v>0</v>
      </c>
      <c r="M530" s="7">
        <f t="shared" si="42"/>
        <v>0</v>
      </c>
      <c r="N530" s="6">
        <f>IFERROR(VLOOKUP($A530,#REF!,MATCH(#REF!,#REF!,0),0),0)</f>
        <v>0</v>
      </c>
      <c r="O530" s="7">
        <f t="shared" si="43"/>
        <v>0</v>
      </c>
      <c r="P530" s="10" t="str">
        <f>IFERROR(VLOOKUP($A530,[1]FINAL!$A$1:$BZ$1000,MATCH([1]FINAL!$BB$1,[1]FINAL!$A$1:$BZ$1,0),0),"")</f>
        <v/>
      </c>
      <c r="Q530" s="18">
        <f t="shared" si="44"/>
        <v>1</v>
      </c>
    </row>
    <row r="531" spans="1:17" x14ac:dyDescent="0.25">
      <c r="A531" s="14" t="str">
        <f>[1]FINAL!$A506</f>
        <v>Ephron Mason-Clark</v>
      </c>
      <c r="B531" s="20" t="str">
        <f>IFERROR(VLOOKUP($A531,[1]FINAL!$A$1:$Z$1000,MATCH([1]FINAL!$T$1,[1]FINAL!$A$1:$Z$1,0),0),"")</f>
        <v>MID</v>
      </c>
      <c r="C531" s="3" t="str">
        <f>IFERROR(VLOOKUP($A531,[1]FINAL!$A$1:$Z$1000,MATCH([1]FINAL!$U$1,[1]FINAL!$A$1:$Z$1,0),0),"")</f>
        <v>LM</v>
      </c>
      <c r="D531" s="3" t="str">
        <f>IFERROR(VLOOKUP($A531,[1]FINAL!$A$1:$Z$1000,MATCH([1]FINAL!$V$1,[1]FINAL!$A$1:$Z$1,0),0),"")</f>
        <v>COV</v>
      </c>
      <c r="E531" s="6">
        <f t="shared" si="40"/>
        <v>175997.41602067184</v>
      </c>
      <c r="F531" s="5">
        <f t="shared" si="41"/>
        <v>0.83720930232558144</v>
      </c>
      <c r="G531" s="5">
        <f>IFERROR(IF(H531&lt;&gt;"",H531,VLOOKUP($A531,[1]FINAL!$A$1:$BZ$1000,MATCH([1]FINAL!$BL$1,[1]FINAL!$A$1:$BZ$1,0),0)),0)</f>
        <v>0.83720930232558144</v>
      </c>
      <c r="I531" s="5">
        <f>IFERROR(IF(J531&lt;&gt;"",J531,(IF(VLOOKUP($A531,#REF!,MATCH(#REF!,#REF!,0),0)=0,G531,VLOOKUP($A531,#REF!,MATCH(#REF!,#REF!,0),0)))),G531)</f>
        <v>0.83720930232558144</v>
      </c>
      <c r="K531" s="6">
        <f>IFERROR(VLOOKUP($A531,#REF!,MATCH(#REF!,#REF!,0),0),0)</f>
        <v>0</v>
      </c>
      <c r="L531" s="6">
        <f>IFERROR(VLOOKUP($A531,[1]FINAL!$A$1:$BZ$1000,MATCH([1]FINAL!$BF$1,[1]FINAL!$A$1:$BZ$1,0),0),0)</f>
        <v>77</v>
      </c>
      <c r="M531" s="7">
        <f t="shared" si="42"/>
        <v>0.85555555555555551</v>
      </c>
      <c r="N531" s="6">
        <f>IFERROR(VLOOKUP($A531,#REF!,MATCH(#REF!,#REF!,0),0),0)</f>
        <v>0</v>
      </c>
      <c r="O531" s="7">
        <f t="shared" si="43"/>
        <v>0</v>
      </c>
      <c r="P531" s="10" t="str">
        <f>IFERROR(VLOOKUP($A531,[1]FINAL!$A$1:$BZ$1000,MATCH([1]FINAL!$BB$1,[1]FINAL!$A$1:$BZ$1,0),0),"")</f>
        <v/>
      </c>
      <c r="Q531" s="18">
        <f t="shared" si="44"/>
        <v>1</v>
      </c>
    </row>
    <row r="532" spans="1:17" x14ac:dyDescent="0.25">
      <c r="A532" s="14" t="str">
        <f>[1]FINAL!$A508</f>
        <v>Haji Wright</v>
      </c>
      <c r="B532" s="20" t="str">
        <f>IFERROR(VLOOKUP($A532,[1]FINAL!$A$1:$Z$1000,MATCH([1]FINAL!$T$1,[1]FINAL!$A$1:$Z$1,0),0),"")</f>
        <v>FWD</v>
      </c>
      <c r="C532" s="3" t="str">
        <f>IFERROR(VLOOKUP($A532,[1]FINAL!$A$1:$Z$1000,MATCH([1]FINAL!$U$1,[1]FINAL!$A$1:$Z$1,0),0),"")</f>
        <v>CF</v>
      </c>
      <c r="D532" s="3" t="str">
        <f>IFERROR(VLOOKUP($A532,[1]FINAL!$A$1:$Z$1000,MATCH([1]FINAL!$V$1,[1]FINAL!$A$1:$Z$1,0),0),"")</f>
        <v>COV</v>
      </c>
      <c r="E532" s="6">
        <f t="shared" si="40"/>
        <v>156174.60317460319</v>
      </c>
      <c r="F532" s="5">
        <f t="shared" si="41"/>
        <v>0.73809523809523814</v>
      </c>
      <c r="G532" s="5">
        <f>IFERROR(IF(H532&lt;&gt;"",H532,VLOOKUP($A532,[1]FINAL!$A$1:$BZ$1000,MATCH([1]FINAL!$BL$1,[1]FINAL!$A$1:$BZ$1,0),0)),0)</f>
        <v>0.73809523809523814</v>
      </c>
      <c r="I532" s="5">
        <f>IFERROR(IF(J532&lt;&gt;"",J532,(IF(VLOOKUP($A532,#REF!,MATCH(#REF!,#REF!,0),0)=0,G532,VLOOKUP($A532,#REF!,MATCH(#REF!,#REF!,0),0)))),G532)</f>
        <v>0.73809523809523814</v>
      </c>
      <c r="K532" s="6">
        <f>IFERROR(VLOOKUP($A532,#REF!,MATCH(#REF!,#REF!,0),0),0)</f>
        <v>0</v>
      </c>
      <c r="L532" s="6">
        <f>IFERROR(VLOOKUP($A532,[1]FINAL!$A$1:$BZ$1000,MATCH([1]FINAL!$BF$1,[1]FINAL!$A$1:$BZ$1,0),0),0)</f>
        <v>77</v>
      </c>
      <c r="M532" s="7">
        <f t="shared" si="42"/>
        <v>0.85555555555555551</v>
      </c>
      <c r="N532" s="6">
        <f>IFERROR(VLOOKUP($A532,#REF!,MATCH(#REF!,#REF!,0),0),0)</f>
        <v>0</v>
      </c>
      <c r="O532" s="7">
        <f t="shared" si="43"/>
        <v>0</v>
      </c>
      <c r="P532" s="10" t="str">
        <f>IFERROR(VLOOKUP($A532,[1]FINAL!$A$1:$BZ$1000,MATCH([1]FINAL!$BB$1,[1]FINAL!$A$1:$BZ$1,0),0),"")</f>
        <v/>
      </c>
      <c r="Q532" s="18">
        <f t="shared" si="44"/>
        <v>1</v>
      </c>
    </row>
    <row r="533" spans="1:17" x14ac:dyDescent="0.25">
      <c r="A533" s="14" t="str">
        <f>[1]FINAL!$A509</f>
        <v>Jack Rudoni</v>
      </c>
      <c r="B533" s="20" t="str">
        <f>IFERROR(VLOOKUP($A533,[1]FINAL!$A$1:$Z$1000,MATCH([1]FINAL!$T$1,[1]FINAL!$A$1:$Z$1,0),0),"")</f>
        <v>MID</v>
      </c>
      <c r="C533" s="3" t="str">
        <f>IFERROR(VLOOKUP($A533,[1]FINAL!$A$1:$Z$1000,MATCH([1]FINAL!$U$1,[1]FINAL!$A$1:$Z$1,0),0),"")</f>
        <v>AM</v>
      </c>
      <c r="D533" s="3" t="str">
        <f>IFERROR(VLOOKUP($A533,[1]FINAL!$A$1:$Z$1000,MATCH([1]FINAL!$V$1,[1]FINAL!$A$1:$Z$1,0),0),"")</f>
        <v>COV</v>
      </c>
      <c r="E533" s="6">
        <f t="shared" si="40"/>
        <v>126833.33333333334</v>
      </c>
      <c r="F533" s="5">
        <f t="shared" si="41"/>
        <v>0.60000000000000009</v>
      </c>
      <c r="G533" s="5">
        <f>IFERROR(IF(H533&lt;&gt;"",H533,VLOOKUP($A533,[1]FINAL!$A$1:$BZ$1000,MATCH([1]FINAL!$BL$1,[1]FINAL!$A$1:$BZ$1,0),0)),0)</f>
        <v>0.8</v>
      </c>
      <c r="I533" s="5">
        <f>IFERROR(IF(J533&lt;&gt;"",J533,(IF(VLOOKUP($A533,#REF!,MATCH(#REF!,#REF!,0),0)=0,G533,VLOOKUP($A533,#REF!,MATCH(#REF!,#REF!,0),0)))),G533)</f>
        <v>0.8</v>
      </c>
      <c r="K533" s="6">
        <f>IFERROR(VLOOKUP($A533,#REF!,MATCH(#REF!,#REF!,0),0),0)</f>
        <v>0</v>
      </c>
      <c r="L533" s="6">
        <f>IFERROR(VLOOKUP($A533,[1]FINAL!$A$1:$BZ$1000,MATCH([1]FINAL!$BF$1,[1]FINAL!$A$1:$BZ$1,0),0),0)</f>
        <v>82</v>
      </c>
      <c r="M533" s="7">
        <f t="shared" si="42"/>
        <v>0.91111111111111109</v>
      </c>
      <c r="N533" s="6">
        <f>IFERROR(VLOOKUP($A533,#REF!,MATCH(#REF!,#REF!,0),0),0)</f>
        <v>0</v>
      </c>
      <c r="O533" s="7">
        <f t="shared" si="43"/>
        <v>0</v>
      </c>
      <c r="P533" s="10">
        <f>IFERROR(VLOOKUP($A533,[1]FINAL!$A$1:$BZ$1000,MATCH([1]FINAL!$BB$1,[1]FINAL!$A$1:$BZ$1,0),0),"")</f>
        <v>75</v>
      </c>
      <c r="Q533" s="18">
        <f t="shared" si="44"/>
        <v>0.75</v>
      </c>
    </row>
    <row r="534" spans="1:17" x14ac:dyDescent="0.25">
      <c r="A534" s="14" t="str">
        <f>[1]FINAL!$A510</f>
        <v>Matt Grimes</v>
      </c>
      <c r="B534" s="20" t="str">
        <f>IFERROR(VLOOKUP($A534,[1]FINAL!$A$1:$Z$1000,MATCH([1]FINAL!$T$1,[1]FINAL!$A$1:$Z$1,0),0),"")</f>
        <v>MID</v>
      </c>
      <c r="C534" s="3" t="str">
        <f>IFERROR(VLOOKUP($A534,[1]FINAL!$A$1:$Z$1000,MATCH([1]FINAL!$U$1,[1]FINAL!$A$1:$Z$1,0),0),"")</f>
        <v>DM</v>
      </c>
      <c r="D534" s="3" t="str">
        <f>IFERROR(VLOOKUP($A534,[1]FINAL!$A$1:$Z$1000,MATCH([1]FINAL!$V$1,[1]FINAL!$A$1:$Z$1,0),0),"")</f>
        <v>COV</v>
      </c>
      <c r="E534" s="6">
        <f t="shared" si="40"/>
        <v>210000</v>
      </c>
      <c r="F534" s="5">
        <f t="shared" si="41"/>
        <v>1</v>
      </c>
      <c r="G534" s="5">
        <f>IFERROR(IF(H534&lt;&gt;"",H534,VLOOKUP($A534,[1]FINAL!$A$1:$BZ$1000,MATCH([1]FINAL!$BL$1,[1]FINAL!$A$1:$BZ$1,0),0)),0)</f>
        <v>1</v>
      </c>
      <c r="I534" s="5">
        <f>IFERROR(IF(J534&lt;&gt;"",J534,(IF(VLOOKUP($A534,#REF!,MATCH(#REF!,#REF!,0),0)=0,G534,VLOOKUP($A534,#REF!,MATCH(#REF!,#REF!,0),0)))),G534)</f>
        <v>1</v>
      </c>
      <c r="K534" s="6">
        <f>IFERROR(VLOOKUP($A534,#REF!,MATCH(#REF!,#REF!,0),0),0)</f>
        <v>0</v>
      </c>
      <c r="L534" s="6">
        <f>IFERROR(VLOOKUP($A534,[1]FINAL!$A$1:$BZ$1000,MATCH([1]FINAL!$BF$1,[1]FINAL!$A$1:$BZ$1,0),0),0)</f>
        <v>90</v>
      </c>
      <c r="M534" s="7">
        <f t="shared" si="42"/>
        <v>1</v>
      </c>
      <c r="N534" s="6">
        <f>IFERROR(VLOOKUP($A534,#REF!,MATCH(#REF!,#REF!,0),0),0)</f>
        <v>0</v>
      </c>
      <c r="O534" s="7">
        <f t="shared" si="43"/>
        <v>0</v>
      </c>
      <c r="P534" s="10" t="str">
        <f>IFERROR(VLOOKUP($A534,[1]FINAL!$A$1:$BZ$1000,MATCH([1]FINAL!$BB$1,[1]FINAL!$A$1:$BZ$1,0),0),"")</f>
        <v/>
      </c>
      <c r="Q534" s="18">
        <f t="shared" si="44"/>
        <v>1</v>
      </c>
    </row>
    <row r="535" spans="1:17" x14ac:dyDescent="0.25">
      <c r="A535" s="14" t="str">
        <f>[1]FINAL!$A511</f>
        <v>Tatsuhiro Sakamoto</v>
      </c>
      <c r="B535" s="20" t="str">
        <f>IFERROR(VLOOKUP($A535,[1]FINAL!$A$1:$Z$1000,MATCH([1]FINAL!$T$1,[1]FINAL!$A$1:$Z$1,0),0),"")</f>
        <v>MID</v>
      </c>
      <c r="C535" s="3" t="str">
        <f>IFERROR(VLOOKUP($A535,[1]FINAL!$A$1:$Z$1000,MATCH([1]FINAL!$U$1,[1]FINAL!$A$1:$Z$1,0),0),"")</f>
        <v>RW</v>
      </c>
      <c r="D535" s="3" t="str">
        <f>IFERROR(VLOOKUP($A535,[1]FINAL!$A$1:$Z$1000,MATCH([1]FINAL!$V$1,[1]FINAL!$A$1:$Z$1,0),0),"")</f>
        <v>COV</v>
      </c>
      <c r="E535" s="6">
        <f t="shared" si="40"/>
        <v>170111.11111111112</v>
      </c>
      <c r="F535" s="5">
        <f t="shared" si="41"/>
        <v>0.80555555555555558</v>
      </c>
      <c r="G535" s="5">
        <f>IFERROR(IF(H535&lt;&gt;"",H535,VLOOKUP($A535,[1]FINAL!$A$1:$BZ$1000,MATCH([1]FINAL!$BL$1,[1]FINAL!$A$1:$BZ$1,0),0)),0)</f>
        <v>0.80555555555555558</v>
      </c>
      <c r="I535" s="5">
        <f>IFERROR(IF(J535&lt;&gt;"",J535,(IF(VLOOKUP($A535,#REF!,MATCH(#REF!,#REF!,0),0)=0,G535,VLOOKUP($A535,#REF!,MATCH(#REF!,#REF!,0),0)))),G535)</f>
        <v>0.80555555555555558</v>
      </c>
      <c r="K535" s="6">
        <f>IFERROR(VLOOKUP($A535,#REF!,MATCH(#REF!,#REF!,0),0),0)</f>
        <v>0</v>
      </c>
      <c r="L535" s="6">
        <f>IFERROR(VLOOKUP($A535,[1]FINAL!$A$1:$BZ$1000,MATCH([1]FINAL!$BF$1,[1]FINAL!$A$1:$BZ$1,0),0),0)</f>
        <v>81</v>
      </c>
      <c r="M535" s="7">
        <f t="shared" si="42"/>
        <v>0.9</v>
      </c>
      <c r="N535" s="6">
        <f>IFERROR(VLOOKUP($A535,#REF!,MATCH(#REF!,#REF!,0),0),0)</f>
        <v>0</v>
      </c>
      <c r="O535" s="7">
        <f t="shared" si="43"/>
        <v>0</v>
      </c>
      <c r="P535" s="10" t="str">
        <f>IFERROR(VLOOKUP($A535,[1]FINAL!$A$1:$BZ$1000,MATCH([1]FINAL!$BB$1,[1]FINAL!$A$1:$BZ$1,0),0),"")</f>
        <v/>
      </c>
      <c r="Q535" s="18">
        <f t="shared" si="44"/>
        <v>1</v>
      </c>
    </row>
    <row r="536" spans="1:17" x14ac:dyDescent="0.25">
      <c r="A536" s="14" t="str">
        <f>[1]FINAL!$A512</f>
        <v>Josh Eccles</v>
      </c>
      <c r="B536" s="20" t="str">
        <f>IFERROR(VLOOKUP($A536,[1]FINAL!$A$1:$Z$1000,MATCH([1]FINAL!$T$1,[1]FINAL!$A$1:$Z$1,0),0),"")</f>
        <v>MID</v>
      </c>
      <c r="C536" s="3" t="str">
        <f>IFERROR(VLOOKUP($A536,[1]FINAL!$A$1:$Z$1000,MATCH([1]FINAL!$U$1,[1]FINAL!$A$1:$Z$1,0),0),"")</f>
        <v>CM</v>
      </c>
      <c r="D536" s="3" t="str">
        <f>IFERROR(VLOOKUP($A536,[1]FINAL!$A$1:$Z$1000,MATCH([1]FINAL!$V$1,[1]FINAL!$A$1:$Z$1,0),0),"")</f>
        <v>COV</v>
      </c>
      <c r="E536" s="6">
        <f t="shared" si="40"/>
        <v>102333.33333333333</v>
      </c>
      <c r="F536" s="5">
        <f t="shared" si="41"/>
        <v>0.47499999999999998</v>
      </c>
      <c r="G536" s="5">
        <f>IFERROR(IF(H536&lt;&gt;"",H536,VLOOKUP($A536,[1]FINAL!$A$1:$BZ$1000,MATCH([1]FINAL!$BL$1,[1]FINAL!$A$1:$BZ$1,0),0)),0)</f>
        <v>0.47499999999999998</v>
      </c>
      <c r="I536" s="5">
        <f>IFERROR(IF(J536&lt;&gt;"",J536,(IF(VLOOKUP($A536,#REF!,MATCH(#REF!,#REF!,0),0)=0,G536,VLOOKUP($A536,#REF!,MATCH(#REF!,#REF!,0),0)))),G536)</f>
        <v>0.47499999999999998</v>
      </c>
      <c r="K536" s="6">
        <f>IFERROR(VLOOKUP($A536,#REF!,MATCH(#REF!,#REF!,0),0),0)</f>
        <v>0</v>
      </c>
      <c r="L536" s="6">
        <f>IFERROR(VLOOKUP($A536,[1]FINAL!$A$1:$BZ$1000,MATCH([1]FINAL!$BF$1,[1]FINAL!$A$1:$BZ$1,0),0),0)</f>
        <v>66</v>
      </c>
      <c r="M536" s="7">
        <f t="shared" si="42"/>
        <v>0.73333333333333328</v>
      </c>
      <c r="N536" s="6">
        <f>IFERROR(VLOOKUP($A536,#REF!,MATCH(#REF!,#REF!,0),0),0)</f>
        <v>0</v>
      </c>
      <c r="O536" s="7">
        <f t="shared" si="43"/>
        <v>0</v>
      </c>
      <c r="P536" s="10" t="str">
        <f>IFERROR(VLOOKUP($A536,[1]FINAL!$A$1:$BZ$1000,MATCH([1]FINAL!$BB$1,[1]FINAL!$A$1:$BZ$1,0),0),"")</f>
        <v/>
      </c>
      <c r="Q536" s="18">
        <f t="shared" si="44"/>
        <v>1</v>
      </c>
    </row>
    <row r="537" spans="1:17" x14ac:dyDescent="0.25">
      <c r="A537" s="14" t="str">
        <f>[1]FINAL!$A514</f>
        <v>Ellis Simms</v>
      </c>
      <c r="B537" s="20" t="str">
        <f>IFERROR(VLOOKUP($A537,[1]FINAL!$A$1:$Z$1000,MATCH([1]FINAL!$T$1,[1]FINAL!$A$1:$Z$1,0),0),"")</f>
        <v>FWD</v>
      </c>
      <c r="C537" s="3" t="str">
        <f>IFERROR(VLOOKUP($A537,[1]FINAL!$A$1:$Z$1000,MATCH([1]FINAL!$U$1,[1]FINAL!$A$1:$Z$1,0),0),"")</f>
        <v>CF</v>
      </c>
      <c r="D537" s="3" t="str">
        <f>IFERROR(VLOOKUP($A537,[1]FINAL!$A$1:$Z$1000,MATCH([1]FINAL!$V$1,[1]FINAL!$A$1:$Z$1,0),0),"")</f>
        <v>COV</v>
      </c>
      <c r="E537" s="6">
        <f t="shared" si="40"/>
        <v>74106.280193236715</v>
      </c>
      <c r="F537" s="5">
        <f t="shared" si="41"/>
        <v>0.32608695652173914</v>
      </c>
      <c r="G537" s="5">
        <f>IFERROR(IF(H537&lt;&gt;"",H537,VLOOKUP($A537,[1]FINAL!$A$1:$BZ$1000,MATCH([1]FINAL!$BL$1,[1]FINAL!$A$1:$BZ$1,0),0)),0)</f>
        <v>0.32608695652173914</v>
      </c>
      <c r="I537" s="5">
        <f>IFERROR(IF(J537&lt;&gt;"",J537,(IF(VLOOKUP($A537,#REF!,MATCH(#REF!,#REF!,0),0)=0,G537,VLOOKUP($A537,#REF!,MATCH(#REF!,#REF!,0),0)))),G537)</f>
        <v>0.32608695652173914</v>
      </c>
      <c r="K537" s="6">
        <f>IFERROR(VLOOKUP($A537,#REF!,MATCH(#REF!,#REF!,0),0),0)</f>
        <v>0</v>
      </c>
      <c r="L537" s="6">
        <f>IFERROR(VLOOKUP($A537,[1]FINAL!$A$1:$BZ$1000,MATCH([1]FINAL!$BF$1,[1]FINAL!$A$1:$BZ$1,0),0),0)</f>
        <v>80</v>
      </c>
      <c r="M537" s="7">
        <f t="shared" si="42"/>
        <v>0.88888888888888884</v>
      </c>
      <c r="N537" s="6">
        <f>IFERROR(VLOOKUP($A537,#REF!,MATCH(#REF!,#REF!,0),0),0)</f>
        <v>0</v>
      </c>
      <c r="O537" s="7">
        <f t="shared" si="43"/>
        <v>0</v>
      </c>
      <c r="P537" s="10" t="str">
        <f>IFERROR(VLOOKUP($A537,[1]FINAL!$A$1:$BZ$1000,MATCH([1]FINAL!$BB$1,[1]FINAL!$A$1:$BZ$1,0),0),"")</f>
        <v/>
      </c>
      <c r="Q537" s="18">
        <f t="shared" si="44"/>
        <v>1</v>
      </c>
    </row>
    <row r="538" spans="1:17" x14ac:dyDescent="0.25">
      <c r="A538" s="14" t="str">
        <f>[1]FINAL!$A515</f>
        <v>Jahnoah Markelo</v>
      </c>
      <c r="B538" s="20" t="str">
        <f>IFERROR(VLOOKUP($A538,[1]FINAL!$A$1:$Z$1000,MATCH([1]FINAL!$T$1,[1]FINAL!$A$1:$Z$1,0),0),"")</f>
        <v>FWD</v>
      </c>
      <c r="C538" s="3" t="str">
        <f>IFERROR(VLOOKUP($A538,[1]FINAL!$A$1:$Z$1000,MATCH([1]FINAL!$U$1,[1]FINAL!$A$1:$Z$1,0),0),"")</f>
        <v>RW</v>
      </c>
      <c r="D538" s="3" t="str">
        <f>IFERROR(VLOOKUP($A538,[1]FINAL!$A$1:$Z$1000,MATCH([1]FINAL!$V$1,[1]FINAL!$A$1:$Z$1,0),0),"")</f>
        <v>COV</v>
      </c>
      <c r="E538" s="6">
        <f t="shared" si="40"/>
        <v>0</v>
      </c>
      <c r="F538" s="5">
        <f t="shared" si="41"/>
        <v>0</v>
      </c>
      <c r="G538" s="5">
        <f>IFERROR(IF(H538&lt;&gt;"",H538,VLOOKUP($A538,[1]FINAL!$A$1:$BZ$1000,MATCH([1]FINAL!$BL$1,[1]FINAL!$A$1:$BZ$1,0),0)),0)</f>
        <v>0</v>
      </c>
      <c r="I538" s="5">
        <f>IFERROR(IF(J538&lt;&gt;"",J538,(IF(VLOOKUP($A538,#REF!,MATCH(#REF!,#REF!,0),0)=0,G538,VLOOKUP($A538,#REF!,MATCH(#REF!,#REF!,0),0)))),G538)</f>
        <v>0</v>
      </c>
      <c r="K538" s="6">
        <f>IFERROR(VLOOKUP($A538,#REF!,MATCH(#REF!,#REF!,0),0),0)</f>
        <v>0</v>
      </c>
      <c r="L538" s="6">
        <f>IFERROR(VLOOKUP($A538,[1]FINAL!$A$1:$BZ$1000,MATCH([1]FINAL!$BF$1,[1]FINAL!$A$1:$BZ$1,0),0),0)</f>
        <v>0</v>
      </c>
      <c r="M538" s="7">
        <f t="shared" si="42"/>
        <v>0</v>
      </c>
      <c r="N538" s="6">
        <f>IFERROR(VLOOKUP($A538,#REF!,MATCH(#REF!,#REF!,0),0),0)</f>
        <v>0</v>
      </c>
      <c r="O538" s="7">
        <f t="shared" si="43"/>
        <v>0</v>
      </c>
      <c r="P538" s="10" t="str">
        <f>IFERROR(VLOOKUP($A538,[1]FINAL!$A$1:$BZ$1000,MATCH([1]FINAL!$BB$1,[1]FINAL!$A$1:$BZ$1,0),0),"")</f>
        <v/>
      </c>
      <c r="Q538" s="18">
        <f t="shared" si="44"/>
        <v>1</v>
      </c>
    </row>
    <row r="539" spans="1:17" x14ac:dyDescent="0.25">
      <c r="A539" s="14" t="str">
        <f>[1]FINAL!$A517</f>
        <v>George Shepherd</v>
      </c>
      <c r="B539" s="20" t="str">
        <f>IFERROR(VLOOKUP($A539,[1]FINAL!$A$1:$Z$1000,MATCH([1]FINAL!$T$1,[1]FINAL!$A$1:$Z$1,0),0),"")</f>
        <v>MID</v>
      </c>
      <c r="C539" s="3" t="str">
        <f>IFERROR(VLOOKUP($A539,[1]FINAL!$A$1:$Z$1000,MATCH([1]FINAL!$U$1,[1]FINAL!$A$1:$Z$1,0),0),"")</f>
        <v/>
      </c>
      <c r="D539" s="3" t="str">
        <f>IFERROR(VLOOKUP($A539,[1]FINAL!$A$1:$Z$1000,MATCH([1]FINAL!$V$1,[1]FINAL!$A$1:$Z$1,0),0),"")</f>
        <v>COV</v>
      </c>
      <c r="E539" s="6">
        <f t="shared" si="40"/>
        <v>0</v>
      </c>
      <c r="F539" s="5">
        <f t="shared" si="41"/>
        <v>0</v>
      </c>
      <c r="G539" s="5">
        <f>IFERROR(IF(H539&lt;&gt;"",H539,VLOOKUP($A539,[1]FINAL!$A$1:$BZ$1000,MATCH([1]FINAL!$BL$1,[1]FINAL!$A$1:$BZ$1,0),0)),0)</f>
        <v>0</v>
      </c>
      <c r="I539" s="5">
        <f>IFERROR(IF(J539&lt;&gt;"",J539,(IF(VLOOKUP($A539,#REF!,MATCH(#REF!,#REF!,0),0)=0,G539,VLOOKUP($A539,#REF!,MATCH(#REF!,#REF!,0),0)))),G539)</f>
        <v>0</v>
      </c>
      <c r="K539" s="6">
        <f>IFERROR(VLOOKUP($A539,#REF!,MATCH(#REF!,#REF!,0),0),0)</f>
        <v>0</v>
      </c>
      <c r="L539" s="6">
        <f>IFERROR(VLOOKUP($A539,[1]FINAL!$A$1:$BZ$1000,MATCH([1]FINAL!$BF$1,[1]FINAL!$A$1:$BZ$1,0),0),0)</f>
        <v>0</v>
      </c>
      <c r="M539" s="7">
        <f t="shared" si="42"/>
        <v>0</v>
      </c>
      <c r="N539" s="6">
        <f>IFERROR(VLOOKUP($A539,#REF!,MATCH(#REF!,#REF!,0),0),0)</f>
        <v>0</v>
      </c>
      <c r="O539" s="7">
        <f t="shared" si="43"/>
        <v>0</v>
      </c>
      <c r="P539" s="10" t="str">
        <f>IFERROR(VLOOKUP($A539,[1]FINAL!$A$1:$BZ$1000,MATCH([1]FINAL!$BB$1,[1]FINAL!$A$1:$BZ$1,0),0),"")</f>
        <v/>
      </c>
      <c r="Q539" s="18">
        <f t="shared" si="44"/>
        <v>1</v>
      </c>
    </row>
    <row r="540" spans="1:17" x14ac:dyDescent="0.25">
      <c r="A540" s="14" t="str">
        <f>[1]FINAL!$A518</f>
        <v>Raphael Borges Rodrigues</v>
      </c>
      <c r="B540" s="20" t="str">
        <f>IFERROR(VLOOKUP($A540,[1]FINAL!$A$1:$Z$1000,MATCH([1]FINAL!$T$1,[1]FINAL!$A$1:$Z$1,0),0),"")</f>
        <v>MID</v>
      </c>
      <c r="C540" s="3" t="str">
        <f>IFERROR(VLOOKUP($A540,[1]FINAL!$A$1:$Z$1000,MATCH([1]FINAL!$U$1,[1]FINAL!$A$1:$Z$1,0),0),"")</f>
        <v>LW</v>
      </c>
      <c r="D540" s="3" t="str">
        <f>IFERROR(VLOOKUP($A540,[1]FINAL!$A$1:$Z$1000,MATCH([1]FINAL!$V$1,[1]FINAL!$A$1:$Z$1,0),0),"")</f>
        <v>COV</v>
      </c>
      <c r="E540" s="6">
        <f t="shared" si="40"/>
        <v>0</v>
      </c>
      <c r="F540" s="5">
        <f t="shared" si="41"/>
        <v>0</v>
      </c>
      <c r="G540" s="5">
        <f>IFERROR(IF(H540&lt;&gt;"",H540,VLOOKUP($A540,[1]FINAL!$A$1:$BZ$1000,MATCH([1]FINAL!$BL$1,[1]FINAL!$A$1:$BZ$1,0),0)),0)</f>
        <v>0</v>
      </c>
      <c r="I540" s="5">
        <f>IFERROR(IF(J540&lt;&gt;"",J540,(IF(VLOOKUP($A540,#REF!,MATCH(#REF!,#REF!,0),0)=0,G540,VLOOKUP($A540,#REF!,MATCH(#REF!,#REF!,0),0)))),G540)</f>
        <v>0</v>
      </c>
      <c r="K540" s="6">
        <f>IFERROR(VLOOKUP($A540,#REF!,MATCH(#REF!,#REF!,0),0),0)</f>
        <v>0</v>
      </c>
      <c r="L540" s="6">
        <f>IFERROR(VLOOKUP($A540,[1]FINAL!$A$1:$BZ$1000,MATCH([1]FINAL!$BF$1,[1]FINAL!$A$1:$BZ$1,0),0),0)</f>
        <v>0</v>
      </c>
      <c r="M540" s="7">
        <f t="shared" si="42"/>
        <v>0</v>
      </c>
      <c r="N540" s="6">
        <f>IFERROR(VLOOKUP($A540,#REF!,MATCH(#REF!,#REF!,0),0),0)</f>
        <v>0</v>
      </c>
      <c r="O540" s="7">
        <f t="shared" si="43"/>
        <v>0</v>
      </c>
      <c r="P540" s="10" t="str">
        <f>IFERROR(VLOOKUP($A540,[1]FINAL!$A$1:$BZ$1000,MATCH([1]FINAL!$BB$1,[1]FINAL!$A$1:$BZ$1,0),0),"")</f>
        <v/>
      </c>
      <c r="Q540" s="18">
        <f t="shared" si="44"/>
        <v>1</v>
      </c>
    </row>
    <row r="541" spans="1:17" x14ac:dyDescent="0.25">
      <c r="A541" s="14" t="str">
        <f>[1]FINAL!$A519</f>
        <v>Kaine Andrews</v>
      </c>
      <c r="B541" s="20" t="str">
        <f>IFERROR(VLOOKUP($A541,[1]FINAL!$A$1:$Z$1000,MATCH([1]FINAL!$T$1,[1]FINAL!$A$1:$Z$1,0),0),"")</f>
        <v>MID</v>
      </c>
      <c r="C541" s="3" t="str">
        <f>IFERROR(VLOOKUP($A541,[1]FINAL!$A$1:$Z$1000,MATCH([1]FINAL!$U$1,[1]FINAL!$A$1:$Z$1,0),0),"")</f>
        <v/>
      </c>
      <c r="D541" s="3" t="str">
        <f>IFERROR(VLOOKUP($A541,[1]FINAL!$A$1:$Z$1000,MATCH([1]FINAL!$V$1,[1]FINAL!$A$1:$Z$1,0),0),"")</f>
        <v>COV</v>
      </c>
      <c r="E541" s="6">
        <f t="shared" si="40"/>
        <v>0</v>
      </c>
      <c r="F541" s="5">
        <f t="shared" si="41"/>
        <v>0</v>
      </c>
      <c r="G541" s="5">
        <f>IFERROR(IF(H541&lt;&gt;"",H541,VLOOKUP($A541,[1]FINAL!$A$1:$BZ$1000,MATCH([1]FINAL!$BL$1,[1]FINAL!$A$1:$BZ$1,0),0)),0)</f>
        <v>0</v>
      </c>
      <c r="I541" s="5">
        <f>IFERROR(IF(J541&lt;&gt;"",J541,(IF(VLOOKUP($A541,#REF!,MATCH(#REF!,#REF!,0),0)=0,G541,VLOOKUP($A541,#REF!,MATCH(#REF!,#REF!,0),0)))),G541)</f>
        <v>0</v>
      </c>
      <c r="K541" s="6">
        <f>IFERROR(VLOOKUP($A541,#REF!,MATCH(#REF!,#REF!,0),0),0)</f>
        <v>0</v>
      </c>
      <c r="L541" s="6">
        <f>IFERROR(VLOOKUP($A541,[1]FINAL!$A$1:$BZ$1000,MATCH([1]FINAL!$BF$1,[1]FINAL!$A$1:$BZ$1,0),0),0)</f>
        <v>0</v>
      </c>
      <c r="M541" s="7">
        <f t="shared" si="42"/>
        <v>0</v>
      </c>
      <c r="N541" s="6">
        <f>IFERROR(VLOOKUP($A541,#REF!,MATCH(#REF!,#REF!,0),0),0)</f>
        <v>0</v>
      </c>
      <c r="O541" s="7">
        <f t="shared" si="43"/>
        <v>0</v>
      </c>
      <c r="P541" s="10" t="str">
        <f>IFERROR(VLOOKUP($A541,[1]FINAL!$A$1:$BZ$1000,MATCH([1]FINAL!$BB$1,[1]FINAL!$A$1:$BZ$1,0),0),"")</f>
        <v/>
      </c>
      <c r="Q541" s="18">
        <f t="shared" si="44"/>
        <v>1</v>
      </c>
    </row>
    <row r="542" spans="1:17" x14ac:dyDescent="0.25">
      <c r="A542" s="14" t="str">
        <f>[1]FINAL!$A520</f>
        <v>Norman Bassette</v>
      </c>
      <c r="B542" s="20" t="str">
        <f>IFERROR(VLOOKUP($A542,[1]FINAL!$A$1:$Z$1000,MATCH([1]FINAL!$T$1,[1]FINAL!$A$1:$Z$1,0),0),"")</f>
        <v>FWD</v>
      </c>
      <c r="C542" s="3" t="str">
        <f>IFERROR(VLOOKUP($A542,[1]FINAL!$A$1:$Z$1000,MATCH([1]FINAL!$U$1,[1]FINAL!$A$1:$Z$1,0),0),"")</f>
        <v/>
      </c>
      <c r="D542" s="3" t="str">
        <f>IFERROR(VLOOKUP($A542,[1]FINAL!$A$1:$Z$1000,MATCH([1]FINAL!$V$1,[1]FINAL!$A$1:$Z$1,0),0),"")</f>
        <v>COV</v>
      </c>
      <c r="E542" s="6">
        <f t="shared" si="40"/>
        <v>0</v>
      </c>
      <c r="F542" s="5">
        <f t="shared" si="41"/>
        <v>0</v>
      </c>
      <c r="G542" s="5">
        <f>IFERROR(IF(H542&lt;&gt;"",H542,VLOOKUP($A542,[1]FINAL!$A$1:$BZ$1000,MATCH([1]FINAL!$BL$1,[1]FINAL!$A$1:$BZ$1,0),0)),0)</f>
        <v>0</v>
      </c>
      <c r="I542" s="5">
        <f>IFERROR(IF(J542&lt;&gt;"",J542,(IF(VLOOKUP($A542,#REF!,MATCH(#REF!,#REF!,0),0)=0,G542,VLOOKUP($A542,#REF!,MATCH(#REF!,#REF!,0),0)))),G542)</f>
        <v>0</v>
      </c>
      <c r="K542" s="6">
        <f>IFERROR(VLOOKUP($A542,#REF!,MATCH(#REF!,#REF!,0),0),0)</f>
        <v>0</v>
      </c>
      <c r="L542" s="6">
        <f>IFERROR(VLOOKUP($A542,[1]FINAL!$A$1:$BZ$1000,MATCH([1]FINAL!$BF$1,[1]FINAL!$A$1:$BZ$1,0),0),0)</f>
        <v>0</v>
      </c>
      <c r="M542" s="7">
        <f t="shared" si="42"/>
        <v>0</v>
      </c>
      <c r="N542" s="6">
        <f>IFERROR(VLOOKUP($A542,#REF!,MATCH(#REF!,#REF!,0),0),0)</f>
        <v>0</v>
      </c>
      <c r="O542" s="7">
        <f t="shared" si="43"/>
        <v>0</v>
      </c>
      <c r="P542" s="10" t="str">
        <f>IFERROR(VLOOKUP($A542,[1]FINAL!$A$1:$BZ$1000,MATCH([1]FINAL!$BB$1,[1]FINAL!$A$1:$BZ$1,0),0),"")</f>
        <v/>
      </c>
      <c r="Q542" s="18">
        <f t="shared" si="44"/>
        <v>1</v>
      </c>
    </row>
    <row r="543" spans="1:17" x14ac:dyDescent="0.25">
      <c r="A543" s="14" t="str">
        <f>[1]FINAL!$A521</f>
        <v>Oliver Dovin</v>
      </c>
      <c r="B543" s="20" t="str">
        <f>IFERROR(VLOOKUP($A543,[1]FINAL!$A$1:$Z$1000,MATCH([1]FINAL!$T$1,[1]FINAL!$A$1:$Z$1,0),0),"")</f>
        <v>GK</v>
      </c>
      <c r="C543" s="3" t="str">
        <f>IFERROR(VLOOKUP($A543,[1]FINAL!$A$1:$Z$1000,MATCH([1]FINAL!$U$1,[1]FINAL!$A$1:$Z$1,0),0),"")</f>
        <v>GK</v>
      </c>
      <c r="D543" s="3" t="str">
        <f>IFERROR(VLOOKUP($A543,[1]FINAL!$A$1:$Z$1000,MATCH([1]FINAL!$V$1,[1]FINAL!$A$1:$Z$1,0),0),"")</f>
        <v>COV</v>
      </c>
      <c r="E543" s="6">
        <f t="shared" si="40"/>
        <v>0</v>
      </c>
      <c r="F543" s="5">
        <f t="shared" si="41"/>
        <v>0</v>
      </c>
      <c r="G543" s="5">
        <f>IFERROR(IF(H543&lt;&gt;"",H543,VLOOKUP($A543,[1]FINAL!$A$1:$BZ$1000,MATCH([1]FINAL!$BL$1,[1]FINAL!$A$1:$BZ$1,0),0)),0)</f>
        <v>0</v>
      </c>
      <c r="I543" s="5">
        <f>IFERROR(IF(J543&lt;&gt;"",J543,(IF(VLOOKUP($A543,#REF!,MATCH(#REF!,#REF!,0),0)=0,G543,VLOOKUP($A543,#REF!,MATCH(#REF!,#REF!,0),0)))),G543)</f>
        <v>0</v>
      </c>
      <c r="K543" s="6">
        <f>IFERROR(VLOOKUP($A543,#REF!,MATCH(#REF!,#REF!,0),0),0)</f>
        <v>0</v>
      </c>
      <c r="L543" s="6">
        <f>IFERROR(VLOOKUP($A543,[1]FINAL!$A$1:$BZ$1000,MATCH([1]FINAL!$BF$1,[1]FINAL!$A$1:$BZ$1,0),0),0)</f>
        <v>0</v>
      </c>
      <c r="M543" s="7">
        <f t="shared" si="42"/>
        <v>0</v>
      </c>
      <c r="N543" s="6">
        <f>IFERROR(VLOOKUP($A543,#REF!,MATCH(#REF!,#REF!,0),0),0)</f>
        <v>0</v>
      </c>
      <c r="O543" s="7">
        <f t="shared" si="43"/>
        <v>0</v>
      </c>
      <c r="P543" s="10" t="str">
        <f>IFERROR(VLOOKUP($A543,[1]FINAL!$A$1:$BZ$1000,MATCH([1]FINAL!$BB$1,[1]FINAL!$A$1:$BZ$1,0),0),"")</f>
        <v/>
      </c>
      <c r="Q543" s="18">
        <f t="shared" si="44"/>
        <v>1</v>
      </c>
    </row>
    <row r="544" spans="1:17" x14ac:dyDescent="0.25">
      <c r="A544" s="14" t="str">
        <f>[1]FINAL!$A523</f>
        <v>Liam Kitching</v>
      </c>
      <c r="B544" s="20" t="str">
        <f>IFERROR(VLOOKUP($A544,[1]FINAL!$A$1:$Z$1000,MATCH([1]FINAL!$T$1,[1]FINAL!$A$1:$Z$1,0),0),"")</f>
        <v>DEF</v>
      </c>
      <c r="C544" s="3" t="str">
        <f>IFERROR(VLOOKUP($A544,[1]FINAL!$A$1:$Z$1000,MATCH([1]FINAL!$U$1,[1]FINAL!$A$1:$Z$1,0),0),"")</f>
        <v>CB</v>
      </c>
      <c r="D544" s="3" t="str">
        <f>IFERROR(VLOOKUP($A544,[1]FINAL!$A$1:$Z$1000,MATCH([1]FINAL!$V$1,[1]FINAL!$A$1:$Z$1,0),0),"")</f>
        <v>COV</v>
      </c>
      <c r="E544" s="6">
        <f t="shared" si="40"/>
        <v>174333.33333333331</v>
      </c>
      <c r="F544" s="5">
        <f t="shared" si="41"/>
        <v>0.82222222222222219</v>
      </c>
      <c r="G544" s="5">
        <f>IFERROR(IF(H544&lt;&gt;"",H544,VLOOKUP($A544,[1]FINAL!$A$1:$BZ$1000,MATCH([1]FINAL!$BL$1,[1]FINAL!$A$1:$BZ$1,0),0)),0)</f>
        <v>0.82222222222222219</v>
      </c>
      <c r="I544" s="5">
        <f>IFERROR(IF(J544&lt;&gt;"",J544,(IF(VLOOKUP($A544,#REF!,MATCH(#REF!,#REF!,0),0)=0,G544,VLOOKUP($A544,#REF!,MATCH(#REF!,#REF!,0),0)))),G544)</f>
        <v>0.82222222222222219</v>
      </c>
      <c r="K544" s="6">
        <f>IFERROR(VLOOKUP($A544,#REF!,MATCH(#REF!,#REF!,0),0),0)</f>
        <v>0</v>
      </c>
      <c r="L544" s="6">
        <f>IFERROR(VLOOKUP($A544,[1]FINAL!$A$1:$BZ$1000,MATCH([1]FINAL!$BF$1,[1]FINAL!$A$1:$BZ$1,0),0),0)</f>
        <v>89</v>
      </c>
      <c r="M544" s="7">
        <f t="shared" si="42"/>
        <v>0.98888888888888893</v>
      </c>
      <c r="N544" s="6">
        <f>IFERROR(VLOOKUP($A544,#REF!,MATCH(#REF!,#REF!,0),0),0)</f>
        <v>0</v>
      </c>
      <c r="O544" s="7">
        <f t="shared" si="43"/>
        <v>0</v>
      </c>
      <c r="P544" s="10" t="str">
        <f>IFERROR(VLOOKUP($A544,[1]FINAL!$A$1:$BZ$1000,MATCH([1]FINAL!$BB$1,[1]FINAL!$A$1:$BZ$1,0),0),"")</f>
        <v/>
      </c>
      <c r="Q544" s="18">
        <f t="shared" si="44"/>
        <v>1</v>
      </c>
    </row>
    <row r="545" spans="1:17" x14ac:dyDescent="0.25">
      <c r="A545" s="14" t="str">
        <f>[1]FINAL!$A524</f>
        <v>Milan van Ewijk</v>
      </c>
      <c r="B545" s="20" t="str">
        <f>IFERROR(VLOOKUP($A545,[1]FINAL!$A$1:$Z$1000,MATCH([1]FINAL!$T$1,[1]FINAL!$A$1:$Z$1,0),0),"")</f>
        <v>DEF</v>
      </c>
      <c r="C545" s="3" t="str">
        <f>IFERROR(VLOOKUP($A545,[1]FINAL!$A$1:$Z$1000,MATCH([1]FINAL!$U$1,[1]FINAL!$A$1:$Z$1,0),0),"")</f>
        <v>RB</v>
      </c>
      <c r="D545" s="3" t="str">
        <f>IFERROR(VLOOKUP($A545,[1]FINAL!$A$1:$Z$1000,MATCH([1]FINAL!$V$1,[1]FINAL!$A$1:$Z$1,0),0),"")</f>
        <v>COV</v>
      </c>
      <c r="E545" s="6">
        <f t="shared" si="40"/>
        <v>205121.21212121213</v>
      </c>
      <c r="F545" s="5">
        <f t="shared" si="41"/>
        <v>0.97727272727272729</v>
      </c>
      <c r="G545" s="5">
        <f>IFERROR(IF(H545&lt;&gt;"",H545,VLOOKUP($A545,[1]FINAL!$A$1:$BZ$1000,MATCH([1]FINAL!$BL$1,[1]FINAL!$A$1:$BZ$1,0),0)),0)</f>
        <v>0.97727272727272729</v>
      </c>
      <c r="I545" s="5">
        <f>IFERROR(IF(J545&lt;&gt;"",J545,(IF(VLOOKUP($A545,#REF!,MATCH(#REF!,#REF!,0),0)=0,G545,VLOOKUP($A545,#REF!,MATCH(#REF!,#REF!,0),0)))),G545)</f>
        <v>0.97727272727272729</v>
      </c>
      <c r="K545" s="6">
        <f>IFERROR(VLOOKUP($A545,#REF!,MATCH(#REF!,#REF!,0),0),0)</f>
        <v>0</v>
      </c>
      <c r="L545" s="6">
        <f>IFERROR(VLOOKUP($A545,[1]FINAL!$A$1:$BZ$1000,MATCH([1]FINAL!$BF$1,[1]FINAL!$A$1:$BZ$1,0),0),0)</f>
        <v>87</v>
      </c>
      <c r="M545" s="7">
        <f t="shared" si="42"/>
        <v>0.96666666666666667</v>
      </c>
      <c r="N545" s="6">
        <f>IFERROR(VLOOKUP($A545,#REF!,MATCH(#REF!,#REF!,0),0),0)</f>
        <v>0</v>
      </c>
      <c r="O545" s="7">
        <f t="shared" si="43"/>
        <v>0</v>
      </c>
      <c r="P545" s="10" t="str">
        <f>IFERROR(VLOOKUP($A545,[1]FINAL!$A$1:$BZ$1000,MATCH([1]FINAL!$BB$1,[1]FINAL!$A$1:$BZ$1,0),0),"")</f>
        <v/>
      </c>
      <c r="Q545" s="18">
        <f t="shared" si="44"/>
        <v>1</v>
      </c>
    </row>
    <row r="546" spans="1:17" x14ac:dyDescent="0.25">
      <c r="A546" s="14" t="str">
        <f>[1]FINAL!$A531</f>
        <v>Aurèle Amenda</v>
      </c>
      <c r="B546" s="20" t="str">
        <f>IFERROR(VLOOKUP($A546,[1]FINAL!$A$1:$Z$1000,MATCH([1]FINAL!$T$1,[1]FINAL!$A$1:$Z$1,0),0),"")</f>
        <v>DEF</v>
      </c>
      <c r="C546" s="3" t="str">
        <f>IFERROR(VLOOKUP($A546,[1]FINAL!$A$1:$Z$1000,MATCH([1]FINAL!$U$1,[1]FINAL!$A$1:$Z$1,0),0),"")</f>
        <v>CB</v>
      </c>
      <c r="D546" s="3" t="str">
        <f>IFERROR(VLOOKUP($A546,[1]FINAL!$A$1:$Z$1000,MATCH([1]FINAL!$V$1,[1]FINAL!$A$1:$Z$1,0),0),"")</f>
        <v>COV</v>
      </c>
      <c r="E546" s="6">
        <f t="shared" si="40"/>
        <v>0</v>
      </c>
      <c r="F546" s="5">
        <f t="shared" si="41"/>
        <v>0</v>
      </c>
      <c r="G546" s="5">
        <f>IFERROR(IF(H546&lt;&gt;"",H546,VLOOKUP($A546,[1]FINAL!$A$1:$BZ$1000,MATCH([1]FINAL!$BL$1,[1]FINAL!$A$1:$BZ$1,0),0)),0)</f>
        <v>0</v>
      </c>
      <c r="I546" s="5">
        <f>IFERROR(IF(J546&lt;&gt;"",J546,(IF(VLOOKUP($A546,#REF!,MATCH(#REF!,#REF!,0),0)=0,G546,VLOOKUP($A546,#REF!,MATCH(#REF!,#REF!,0),0)))),G546)</f>
        <v>0</v>
      </c>
      <c r="K546" s="6">
        <f>IFERROR(VLOOKUP($A546,#REF!,MATCH(#REF!,#REF!,0),0),0)</f>
        <v>0</v>
      </c>
      <c r="L546" s="6">
        <f>IFERROR(VLOOKUP($A546,[1]FINAL!$A$1:$BZ$1000,MATCH([1]FINAL!$BF$1,[1]FINAL!$A$1:$BZ$1,0),0),0)</f>
        <v>0</v>
      </c>
      <c r="M546" s="7">
        <f t="shared" si="42"/>
        <v>0</v>
      </c>
      <c r="N546" s="6">
        <f>IFERROR(VLOOKUP($A546,#REF!,MATCH(#REF!,#REF!,0),0),0)</f>
        <v>0</v>
      </c>
      <c r="O546" s="7">
        <f t="shared" si="43"/>
        <v>0</v>
      </c>
      <c r="P546" s="10" t="str">
        <f>IFERROR(VLOOKUP($A546,[1]FINAL!$A$1:$BZ$1000,MATCH([1]FINAL!$BB$1,[1]FINAL!$A$1:$BZ$1,0),0),"")</f>
        <v/>
      </c>
      <c r="Q546" s="18">
        <f t="shared" si="44"/>
        <v>1</v>
      </c>
    </row>
    <row r="547" spans="1:17" x14ac:dyDescent="0.25">
      <c r="A547" s="14" t="str">
        <f>[1]FINAL!$A532</f>
        <v>Nicolas Jackson</v>
      </c>
      <c r="B547" s="20" t="str">
        <f>IFERROR(VLOOKUP($A547,[1]FINAL!$A$1:$Z$1000,MATCH([1]FINAL!$T$1,[1]FINAL!$A$1:$Z$1,0),0),"")</f>
        <v>FWD</v>
      </c>
      <c r="C547" s="3" t="str">
        <f>IFERROR(VLOOKUP($A547,[1]FINAL!$A$1:$Z$1000,MATCH([1]FINAL!$U$1,[1]FINAL!$A$1:$Z$1,0),0),"")</f>
        <v>CF</v>
      </c>
      <c r="D547" s="3" t="str">
        <f>IFERROR(VLOOKUP($A547,[1]FINAL!$A$1:$Z$1000,MATCH([1]FINAL!$V$1,[1]FINAL!$A$1:$Z$1,0),0),"")</f>
        <v>CHE</v>
      </c>
      <c r="E547" s="6">
        <f t="shared" si="40"/>
        <v>0</v>
      </c>
      <c r="F547" s="5">
        <f t="shared" si="41"/>
        <v>0</v>
      </c>
      <c r="G547" s="5">
        <f>IFERROR(IF(H547&lt;&gt;"",H547,VLOOKUP($A547,[1]FINAL!$A$1:$BZ$1000,MATCH([1]FINAL!$BL$1,[1]FINAL!$A$1:$BZ$1,0),0)),0)</f>
        <v>0</v>
      </c>
      <c r="I547" s="5">
        <f>IFERROR(IF(J547&lt;&gt;"",J547,(IF(VLOOKUP($A547,#REF!,MATCH(#REF!,#REF!,0),0)=0,G547,VLOOKUP($A547,#REF!,MATCH(#REF!,#REF!,0),0)))),G547)</f>
        <v>0</v>
      </c>
      <c r="K547" s="6">
        <f>IFERROR(VLOOKUP($A547,#REF!,MATCH(#REF!,#REF!,0),0),0)</f>
        <v>0</v>
      </c>
      <c r="L547" s="6">
        <f>IFERROR(VLOOKUP($A547,[1]FINAL!$A$1:$BZ$1000,MATCH([1]FINAL!$BF$1,[1]FINAL!$A$1:$BZ$1,0),0),0)</f>
        <v>0</v>
      </c>
      <c r="M547" s="7">
        <f t="shared" si="42"/>
        <v>0</v>
      </c>
      <c r="N547" s="6">
        <f>IFERROR(VLOOKUP($A547,#REF!,MATCH(#REF!,#REF!,0),0),0)</f>
        <v>0</v>
      </c>
      <c r="O547" s="7">
        <f t="shared" si="43"/>
        <v>0</v>
      </c>
      <c r="P547" s="10" t="str">
        <f>IFERROR(VLOOKUP($A547,[1]FINAL!$A$1:$BZ$1000,MATCH([1]FINAL!$BB$1,[1]FINAL!$A$1:$BZ$1,0),0),"")</f>
        <v/>
      </c>
      <c r="Q547" s="18">
        <f t="shared" si="44"/>
        <v>1</v>
      </c>
    </row>
    <row r="548" spans="1:17" x14ac:dyDescent="0.25">
      <c r="A548" s="14" t="str">
        <f>[1]FINAL!$A534</f>
        <v>Geovany Quenda</v>
      </c>
      <c r="B548" s="20" t="str">
        <f>IFERROR(VLOOKUP($A548,[1]FINAL!$A$1:$Z$1000,MATCH([1]FINAL!$T$1,[1]FINAL!$A$1:$Z$1,0),0),"")</f>
        <v>MID</v>
      </c>
      <c r="C548" s="3" t="str">
        <f>IFERROR(VLOOKUP($A548,[1]FINAL!$A$1:$Z$1000,MATCH([1]FINAL!$U$1,[1]FINAL!$A$1:$Z$1,0),0),"")</f>
        <v>RW</v>
      </c>
      <c r="D548" s="3" t="str">
        <f>IFERROR(VLOOKUP($A548,[1]FINAL!$A$1:$Z$1000,MATCH([1]FINAL!$V$1,[1]FINAL!$A$1:$Z$1,0),0),"")</f>
        <v>CHE</v>
      </c>
      <c r="E548" s="6">
        <f t="shared" si="40"/>
        <v>0</v>
      </c>
      <c r="F548" s="5">
        <f t="shared" si="41"/>
        <v>0</v>
      </c>
      <c r="G548" s="5">
        <f>IFERROR(IF(H548&lt;&gt;"",H548,VLOOKUP($A548,[1]FINAL!$A$1:$BZ$1000,MATCH([1]FINAL!$BL$1,[1]FINAL!$A$1:$BZ$1,0),0)),0)</f>
        <v>0</v>
      </c>
      <c r="I548" s="5">
        <f>IFERROR(IF(J548&lt;&gt;"",J548,(IF(VLOOKUP($A548,#REF!,MATCH(#REF!,#REF!,0),0)=0,G548,VLOOKUP($A548,#REF!,MATCH(#REF!,#REF!,0),0)))),G548)</f>
        <v>0</v>
      </c>
      <c r="K548" s="6">
        <f>IFERROR(VLOOKUP($A548,#REF!,MATCH(#REF!,#REF!,0),0),0)</f>
        <v>0</v>
      </c>
      <c r="L548" s="6">
        <f>IFERROR(VLOOKUP($A548,[1]FINAL!$A$1:$BZ$1000,MATCH([1]FINAL!$BF$1,[1]FINAL!$A$1:$BZ$1,0),0),0)</f>
        <v>0</v>
      </c>
      <c r="M548" s="7">
        <f t="shared" si="42"/>
        <v>0</v>
      </c>
      <c r="N548" s="6">
        <f>IFERROR(VLOOKUP($A548,#REF!,MATCH(#REF!,#REF!,0),0),0)</f>
        <v>0</v>
      </c>
      <c r="O548" s="7">
        <f t="shared" si="43"/>
        <v>0</v>
      </c>
      <c r="P548" s="10" t="str">
        <f>IFERROR(VLOOKUP($A548,[1]FINAL!$A$1:$BZ$1000,MATCH([1]FINAL!$BB$1,[1]FINAL!$A$1:$BZ$1,0),0),"")</f>
        <v/>
      </c>
      <c r="Q548" s="18">
        <f t="shared" si="44"/>
        <v>1</v>
      </c>
    </row>
    <row r="549" spans="1:17" x14ac:dyDescent="0.25">
      <c r="A549" s="14" t="str">
        <f>[1]FINAL!$A535</f>
        <v>Emmanuel Emegha</v>
      </c>
      <c r="B549" s="20" t="str">
        <f>IFERROR(VLOOKUP($A549,[1]FINAL!$A$1:$Z$1000,MATCH([1]FINAL!$T$1,[1]FINAL!$A$1:$Z$1,0),0),"")</f>
        <v>FWD</v>
      </c>
      <c r="C549" s="3" t="str">
        <f>IFERROR(VLOOKUP($A549,[1]FINAL!$A$1:$Z$1000,MATCH([1]FINAL!$U$1,[1]FINAL!$A$1:$Z$1,0),0),"")</f>
        <v>CF</v>
      </c>
      <c r="D549" s="3" t="str">
        <f>IFERROR(VLOOKUP($A549,[1]FINAL!$A$1:$Z$1000,MATCH([1]FINAL!$V$1,[1]FINAL!$A$1:$Z$1,0),0),"")</f>
        <v>CHE</v>
      </c>
      <c r="E549" s="6">
        <f t="shared" si="40"/>
        <v>0</v>
      </c>
      <c r="F549" s="5">
        <f t="shared" si="41"/>
        <v>0</v>
      </c>
      <c r="G549" s="5">
        <f>IFERROR(IF(H549&lt;&gt;"",H549,VLOOKUP($A549,[1]FINAL!$A$1:$BZ$1000,MATCH([1]FINAL!$BL$1,[1]FINAL!$A$1:$BZ$1,0),0)),0)</f>
        <v>0</v>
      </c>
      <c r="I549" s="5">
        <f>IFERROR(IF(J549&lt;&gt;"",J549,(IF(VLOOKUP($A549,#REF!,MATCH(#REF!,#REF!,0),0)=0,G549,VLOOKUP($A549,#REF!,MATCH(#REF!,#REF!,0),0)))),G549)</f>
        <v>0</v>
      </c>
      <c r="K549" s="6">
        <f>IFERROR(VLOOKUP($A549,#REF!,MATCH(#REF!,#REF!,0),0),0)</f>
        <v>0</v>
      </c>
      <c r="L549" s="6">
        <f>IFERROR(VLOOKUP($A549,[1]FINAL!$A$1:$BZ$1000,MATCH([1]FINAL!$BF$1,[1]FINAL!$A$1:$BZ$1,0),0),0)</f>
        <v>0</v>
      </c>
      <c r="M549" s="7">
        <f t="shared" si="42"/>
        <v>0</v>
      </c>
      <c r="N549" s="6">
        <f>IFERROR(VLOOKUP($A549,#REF!,MATCH(#REF!,#REF!,0),0),0)</f>
        <v>0</v>
      </c>
      <c r="O549" s="7">
        <f t="shared" si="43"/>
        <v>0</v>
      </c>
      <c r="P549" s="10" t="str">
        <f>IFERROR(VLOOKUP($A549,[1]FINAL!$A$1:$BZ$1000,MATCH([1]FINAL!$BB$1,[1]FINAL!$A$1:$BZ$1,0),0),"")</f>
        <v/>
      </c>
      <c r="Q549" s="18">
        <f t="shared" si="44"/>
        <v>1</v>
      </c>
    </row>
    <row r="550" spans="1:17" x14ac:dyDescent="0.25">
      <c r="A550" s="14" t="str">
        <f>[1]FINAL!$A536</f>
        <v>Dário Luís Essugo</v>
      </c>
      <c r="B550" s="20" t="str">
        <f>IFERROR(VLOOKUP($A550,[1]FINAL!$A$1:$Z$1000,MATCH([1]FINAL!$T$1,[1]FINAL!$A$1:$Z$1,0),0),"")</f>
        <v>MID</v>
      </c>
      <c r="C550" s="3" t="str">
        <f>IFERROR(VLOOKUP($A550,[1]FINAL!$A$1:$Z$1000,MATCH([1]FINAL!$U$1,[1]FINAL!$A$1:$Z$1,0),0),"")</f>
        <v/>
      </c>
      <c r="D550" s="3" t="str">
        <f>IFERROR(VLOOKUP($A550,[1]FINAL!$A$1:$Z$1000,MATCH([1]FINAL!$V$1,[1]FINAL!$A$1:$Z$1,0),0),"")</f>
        <v>CHE</v>
      </c>
      <c r="E550" s="6">
        <f t="shared" si="40"/>
        <v>0</v>
      </c>
      <c r="F550" s="5">
        <f t="shared" si="41"/>
        <v>0</v>
      </c>
      <c r="G550" s="5">
        <f>IFERROR(IF(H550&lt;&gt;"",H550,VLOOKUP($A550,[1]FINAL!$A$1:$BZ$1000,MATCH([1]FINAL!$BL$1,[1]FINAL!$A$1:$BZ$1,0),0)),0)</f>
        <v>0</v>
      </c>
      <c r="I550" s="5">
        <f>IFERROR(IF(J550&lt;&gt;"",J550,(IF(VLOOKUP($A550,#REF!,MATCH(#REF!,#REF!,0),0)=0,G550,VLOOKUP($A550,#REF!,MATCH(#REF!,#REF!,0),0)))),G550)</f>
        <v>0</v>
      </c>
      <c r="K550" s="6">
        <f>IFERROR(VLOOKUP($A550,#REF!,MATCH(#REF!,#REF!,0),0),0)</f>
        <v>0</v>
      </c>
      <c r="L550" s="6">
        <f>IFERROR(VLOOKUP($A550,[1]FINAL!$A$1:$BZ$1000,MATCH([1]FINAL!$BF$1,[1]FINAL!$A$1:$BZ$1,0),0),0)</f>
        <v>0</v>
      </c>
      <c r="M550" s="7">
        <f t="shared" si="42"/>
        <v>0</v>
      </c>
      <c r="N550" s="6">
        <f>IFERROR(VLOOKUP($A550,#REF!,MATCH(#REF!,#REF!,0),0),0)</f>
        <v>0</v>
      </c>
      <c r="O550" s="7">
        <f t="shared" si="43"/>
        <v>0</v>
      </c>
      <c r="P550" s="10" t="str">
        <f>IFERROR(VLOOKUP($A550,[1]FINAL!$A$1:$BZ$1000,MATCH([1]FINAL!$BB$1,[1]FINAL!$A$1:$BZ$1,0),0),"")</f>
        <v/>
      </c>
      <c r="Q550" s="18">
        <f t="shared" si="44"/>
        <v>1</v>
      </c>
    </row>
    <row r="551" spans="1:17" x14ac:dyDescent="0.25">
      <c r="A551" s="14" t="str">
        <f>[1]FINAL!$A537</f>
        <v>Shumaira Mheuka</v>
      </c>
      <c r="B551" s="20" t="str">
        <f>IFERROR(VLOOKUP($A551,[1]FINAL!$A$1:$Z$1000,MATCH([1]FINAL!$T$1,[1]FINAL!$A$1:$Z$1,0),0),"")</f>
        <v>FWD</v>
      </c>
      <c r="C551" s="3" t="str">
        <f>IFERROR(VLOOKUP($A551,[1]FINAL!$A$1:$Z$1000,MATCH([1]FINAL!$U$1,[1]FINAL!$A$1:$Z$1,0),0),"")</f>
        <v/>
      </c>
      <c r="D551" s="3" t="str">
        <f>IFERROR(VLOOKUP($A551,[1]FINAL!$A$1:$Z$1000,MATCH([1]FINAL!$V$1,[1]FINAL!$A$1:$Z$1,0),0),"")</f>
        <v>CHE</v>
      </c>
      <c r="E551" s="6">
        <f t="shared" si="40"/>
        <v>0</v>
      </c>
      <c r="F551" s="5">
        <f t="shared" si="41"/>
        <v>0</v>
      </c>
      <c r="G551" s="5">
        <f>IFERROR(IF(H551&lt;&gt;"",H551,VLOOKUP($A551,[1]FINAL!$A$1:$BZ$1000,MATCH([1]FINAL!$BL$1,[1]FINAL!$A$1:$BZ$1,0),0)),0)</f>
        <v>0</v>
      </c>
      <c r="I551" s="5">
        <f>IFERROR(IF(J551&lt;&gt;"",J551,(IF(VLOOKUP($A551,#REF!,MATCH(#REF!,#REF!,0),0)=0,G551,VLOOKUP($A551,#REF!,MATCH(#REF!,#REF!,0),0)))),G551)</f>
        <v>0</v>
      </c>
      <c r="K551" s="6">
        <f>IFERROR(VLOOKUP($A551,#REF!,MATCH(#REF!,#REF!,0),0),0)</f>
        <v>0</v>
      </c>
      <c r="L551" s="6">
        <f>IFERROR(VLOOKUP($A551,[1]FINAL!$A$1:$BZ$1000,MATCH([1]FINAL!$BF$1,[1]FINAL!$A$1:$BZ$1,0),0),0)</f>
        <v>0</v>
      </c>
      <c r="M551" s="7">
        <f t="shared" si="42"/>
        <v>0</v>
      </c>
      <c r="N551" s="6">
        <f>IFERROR(VLOOKUP($A551,#REF!,MATCH(#REF!,#REF!,0),0),0)</f>
        <v>0</v>
      </c>
      <c r="O551" s="7">
        <f t="shared" si="43"/>
        <v>0</v>
      </c>
      <c r="P551" s="10" t="str">
        <f>IFERROR(VLOOKUP($A551,[1]FINAL!$A$1:$BZ$1000,MATCH([1]FINAL!$BB$1,[1]FINAL!$A$1:$BZ$1,0),0),"")</f>
        <v/>
      </c>
      <c r="Q551" s="18">
        <f t="shared" si="44"/>
        <v>1</v>
      </c>
    </row>
    <row r="552" spans="1:17" x14ac:dyDescent="0.25">
      <c r="A552" s="14" t="str">
        <f>[1]FINAL!$A542</f>
        <v>Fraser Forster</v>
      </c>
      <c r="B552" s="20" t="str">
        <f>IFERROR(VLOOKUP($A552,[1]FINAL!$A$1:$Z$1000,MATCH([1]FINAL!$T$1,[1]FINAL!$A$1:$Z$1,0),0),"")</f>
        <v>GK</v>
      </c>
      <c r="C552" s="3" t="str">
        <f>IFERROR(VLOOKUP($A552,[1]FINAL!$A$1:$Z$1000,MATCH([1]FINAL!$U$1,[1]FINAL!$A$1:$Z$1,0),0),"")</f>
        <v>GK</v>
      </c>
      <c r="D552" s="3" t="str">
        <f>IFERROR(VLOOKUP($A552,[1]FINAL!$A$1:$Z$1000,MATCH([1]FINAL!$V$1,[1]FINAL!$A$1:$Z$1,0),0),"")</f>
        <v>BOU</v>
      </c>
      <c r="E552" s="6">
        <f t="shared" si="40"/>
        <v>0</v>
      </c>
      <c r="F552" s="5">
        <f t="shared" si="41"/>
        <v>0</v>
      </c>
      <c r="G552" s="5">
        <f>IFERROR(IF(H552&lt;&gt;"",H552,VLOOKUP($A552,[1]FINAL!$A$1:$BZ$1000,MATCH([1]FINAL!$BL$1,[1]FINAL!$A$1:$BZ$1,0),0)),0)</f>
        <v>0</v>
      </c>
      <c r="I552" s="5">
        <f>IFERROR(IF(J552&lt;&gt;"",J552,(IF(VLOOKUP($A552,#REF!,MATCH(#REF!,#REF!,0),0)=0,G552,VLOOKUP($A552,#REF!,MATCH(#REF!,#REF!,0),0)))),G552)</f>
        <v>0</v>
      </c>
      <c r="K552" s="6">
        <f>IFERROR(VLOOKUP($A552,#REF!,MATCH(#REF!,#REF!,0),0),0)</f>
        <v>0</v>
      </c>
      <c r="L552" s="6">
        <f>IFERROR(VLOOKUP($A552,[1]FINAL!$A$1:$BZ$1000,MATCH([1]FINAL!$BF$1,[1]FINAL!$A$1:$BZ$1,0),0),0)</f>
        <v>0</v>
      </c>
      <c r="M552" s="7">
        <f t="shared" si="42"/>
        <v>0</v>
      </c>
      <c r="N552" s="6">
        <f>IFERROR(VLOOKUP($A552,#REF!,MATCH(#REF!,#REF!,0),0),0)</f>
        <v>0</v>
      </c>
      <c r="O552" s="7">
        <f t="shared" si="43"/>
        <v>0</v>
      </c>
      <c r="P552" s="10" t="str">
        <f>IFERROR(VLOOKUP($A552,[1]FINAL!$A$1:$BZ$1000,MATCH([1]FINAL!$BB$1,[1]FINAL!$A$1:$BZ$1,0),0),"")</f>
        <v/>
      </c>
      <c r="Q552" s="18">
        <f t="shared" si="44"/>
        <v>1</v>
      </c>
    </row>
    <row r="553" spans="1:17" x14ac:dyDescent="0.25">
      <c r="A553" s="14" t="str">
        <f>[1]FINAL!$A544</f>
        <v>Tom Watson</v>
      </c>
      <c r="B553" s="20" t="str">
        <f>IFERROR(VLOOKUP($A553,[1]FINAL!$A$1:$Z$1000,MATCH([1]FINAL!$T$1,[1]FINAL!$A$1:$Z$1,0),0),"")</f>
        <v>MID</v>
      </c>
      <c r="C553" s="3" t="str">
        <f>IFERROR(VLOOKUP($A553,[1]FINAL!$A$1:$Z$1000,MATCH([1]FINAL!$U$1,[1]FINAL!$A$1:$Z$1,0),0),"")</f>
        <v>LW</v>
      </c>
      <c r="D553" s="3" t="str">
        <f>IFERROR(VLOOKUP($A553,[1]FINAL!$A$1:$Z$1000,MATCH([1]FINAL!$V$1,[1]FINAL!$A$1:$Z$1,0),0),"")</f>
        <v>BHA</v>
      </c>
      <c r="E553" s="6">
        <f t="shared" si="40"/>
        <v>0</v>
      </c>
      <c r="F553" s="5">
        <f t="shared" si="41"/>
        <v>0</v>
      </c>
      <c r="G553" s="5">
        <f>IFERROR(IF(H553&lt;&gt;"",H553,VLOOKUP($A553,[1]FINAL!$A$1:$BZ$1000,MATCH([1]FINAL!$BL$1,[1]FINAL!$A$1:$BZ$1,0),0)),0)</f>
        <v>0</v>
      </c>
      <c r="I553" s="5">
        <f>IFERROR(IF(J553&lt;&gt;"",J553,(IF(VLOOKUP($A553,#REF!,MATCH(#REF!,#REF!,0),0)=0,G553,VLOOKUP($A553,#REF!,MATCH(#REF!,#REF!,0),0)))),G553)</f>
        <v>0</v>
      </c>
      <c r="K553" s="6">
        <f>IFERROR(VLOOKUP($A553,#REF!,MATCH(#REF!,#REF!,0),0),0)</f>
        <v>0</v>
      </c>
      <c r="L553" s="6">
        <f>IFERROR(VLOOKUP($A553,[1]FINAL!$A$1:$BZ$1000,MATCH([1]FINAL!$BF$1,[1]FINAL!$A$1:$BZ$1,0),0),0)</f>
        <v>0</v>
      </c>
      <c r="M553" s="7">
        <f t="shared" si="42"/>
        <v>0</v>
      </c>
      <c r="N553" s="6">
        <f>IFERROR(VLOOKUP($A553,#REF!,MATCH(#REF!,#REF!,0),0),0)</f>
        <v>0</v>
      </c>
      <c r="O553" s="7">
        <f t="shared" si="43"/>
        <v>0</v>
      </c>
      <c r="P553" s="10" t="str">
        <f>IFERROR(VLOOKUP($A553,[1]FINAL!$A$1:$BZ$1000,MATCH([1]FINAL!$BB$1,[1]FINAL!$A$1:$BZ$1,0),0),"")</f>
        <v/>
      </c>
      <c r="Q553" s="18">
        <f t="shared" si="44"/>
        <v>1</v>
      </c>
    </row>
    <row r="554" spans="1:17" x14ac:dyDescent="0.25">
      <c r="A554" s="14" t="str">
        <f>[1]FINAL!$A545</f>
        <v>Luka Vušković</v>
      </c>
      <c r="B554" s="20" t="str">
        <f>IFERROR(VLOOKUP($A554,[1]FINAL!$A$1:$Z$1000,MATCH([1]FINAL!$T$1,[1]FINAL!$A$1:$Z$1,0),0),"")</f>
        <v>DEF</v>
      </c>
      <c r="C554" s="3" t="str">
        <f>IFERROR(VLOOKUP($A554,[1]FINAL!$A$1:$Z$1000,MATCH([1]FINAL!$U$1,[1]FINAL!$A$1:$Z$1,0),0),"")</f>
        <v/>
      </c>
      <c r="D554" s="3" t="str">
        <f>IFERROR(VLOOKUP($A554,[1]FINAL!$A$1:$Z$1000,MATCH([1]FINAL!$V$1,[1]FINAL!$A$1:$Z$1,0),0),"")</f>
        <v>BHA</v>
      </c>
      <c r="E554" s="6">
        <f t="shared" si="40"/>
        <v>0</v>
      </c>
      <c r="F554" s="5">
        <f t="shared" si="41"/>
        <v>0</v>
      </c>
      <c r="G554" s="5">
        <f>IFERROR(IF(H554&lt;&gt;"",H554,VLOOKUP($A554,[1]FINAL!$A$1:$BZ$1000,MATCH([1]FINAL!$BL$1,[1]FINAL!$A$1:$BZ$1,0),0)),0)</f>
        <v>0</v>
      </c>
      <c r="I554" s="5">
        <f>IFERROR(IF(J554&lt;&gt;"",J554,(IF(VLOOKUP($A554,#REF!,MATCH(#REF!,#REF!,0),0)=0,G554,VLOOKUP($A554,#REF!,MATCH(#REF!,#REF!,0),0)))),G554)</f>
        <v>0</v>
      </c>
      <c r="K554" s="6">
        <f>IFERROR(VLOOKUP($A554,#REF!,MATCH(#REF!,#REF!,0),0),0)</f>
        <v>0</v>
      </c>
      <c r="L554" s="6">
        <f>IFERROR(VLOOKUP($A554,[1]FINAL!$A$1:$BZ$1000,MATCH([1]FINAL!$BF$1,[1]FINAL!$A$1:$BZ$1,0),0),0)</f>
        <v>0</v>
      </c>
      <c r="M554" s="7">
        <f t="shared" si="42"/>
        <v>0</v>
      </c>
      <c r="N554" s="6">
        <f>IFERROR(VLOOKUP($A554,#REF!,MATCH(#REF!,#REF!,0),0),0)</f>
        <v>0</v>
      </c>
      <c r="O554" s="7">
        <f t="shared" si="43"/>
        <v>0</v>
      </c>
      <c r="P554" s="10" t="str">
        <f>IFERROR(VLOOKUP($A554,[1]FINAL!$A$1:$BZ$1000,MATCH([1]FINAL!$BB$1,[1]FINAL!$A$1:$BZ$1,0),0),"")</f>
        <v/>
      </c>
      <c r="Q554" s="18">
        <f t="shared" si="44"/>
        <v>1</v>
      </c>
    </row>
    <row r="555" spans="1:17" x14ac:dyDescent="0.25">
      <c r="A555" s="14" t="str">
        <f>[1]FINAL!$A546</f>
        <v>Michael Svoboda</v>
      </c>
      <c r="B555" s="20" t="str">
        <f>IFERROR(VLOOKUP($A555,[1]FINAL!$A$1:$Z$1000,MATCH([1]FINAL!$T$1,[1]FINAL!$A$1:$Z$1,0),0),"")</f>
        <v>DEF</v>
      </c>
      <c r="C555" s="3" t="str">
        <f>IFERROR(VLOOKUP($A555,[1]FINAL!$A$1:$Z$1000,MATCH([1]FINAL!$U$1,[1]FINAL!$A$1:$Z$1,0),0),"")</f>
        <v>CB</v>
      </c>
      <c r="D555" s="3" t="str">
        <f>IFERROR(VLOOKUP($A555,[1]FINAL!$A$1:$Z$1000,MATCH([1]FINAL!$V$1,[1]FINAL!$A$1:$Z$1,0),0),"")</f>
        <v>BHA</v>
      </c>
      <c r="E555" s="6">
        <f t="shared" si="40"/>
        <v>0</v>
      </c>
      <c r="F555" s="5">
        <f t="shared" si="41"/>
        <v>0</v>
      </c>
      <c r="G555" s="5">
        <f>IFERROR(IF(H555&lt;&gt;"",H555,VLOOKUP($A555,[1]FINAL!$A$1:$BZ$1000,MATCH([1]FINAL!$BL$1,[1]FINAL!$A$1:$BZ$1,0),0)),0)</f>
        <v>0</v>
      </c>
      <c r="I555" s="5">
        <f>IFERROR(IF(J555&lt;&gt;"",J555,(IF(VLOOKUP($A555,#REF!,MATCH(#REF!,#REF!,0),0)=0,G555,VLOOKUP($A555,#REF!,MATCH(#REF!,#REF!,0),0)))),G555)</f>
        <v>0</v>
      </c>
      <c r="K555" s="6">
        <f>IFERROR(VLOOKUP($A555,#REF!,MATCH(#REF!,#REF!,0),0),0)</f>
        <v>0</v>
      </c>
      <c r="L555" s="6">
        <f>IFERROR(VLOOKUP($A555,[1]FINAL!$A$1:$BZ$1000,MATCH([1]FINAL!$BF$1,[1]FINAL!$A$1:$BZ$1,0),0),0)</f>
        <v>0</v>
      </c>
      <c r="M555" s="7">
        <f t="shared" si="42"/>
        <v>0</v>
      </c>
      <c r="N555" s="6">
        <f>IFERROR(VLOOKUP($A555,#REF!,MATCH(#REF!,#REF!,0),0),0)</f>
        <v>0</v>
      </c>
      <c r="O555" s="7">
        <f t="shared" si="43"/>
        <v>0</v>
      </c>
      <c r="P555" s="10" t="str">
        <f>IFERROR(VLOOKUP($A555,[1]FINAL!$A$1:$BZ$1000,MATCH([1]FINAL!$BB$1,[1]FINAL!$A$1:$BZ$1,0),0),"")</f>
        <v/>
      </c>
      <c r="Q555" s="18">
        <f t="shared" si="44"/>
        <v>1</v>
      </c>
    </row>
    <row r="556" spans="1:17" x14ac:dyDescent="0.25">
      <c r="A556" s="14" t="str">
        <f>[1]FINAL!$A548</f>
        <v>Nehemiah Oriola</v>
      </c>
      <c r="B556" s="20" t="str">
        <f>IFERROR(VLOOKUP($A556,[1]FINAL!$A$1:$Z$1000,MATCH([1]FINAL!$T$1,[1]FINAL!$A$1:$Z$1,0),0),"")</f>
        <v>MID</v>
      </c>
      <c r="C556" s="3" t="str">
        <f>IFERROR(VLOOKUP($A556,[1]FINAL!$A$1:$Z$1000,MATCH([1]FINAL!$U$1,[1]FINAL!$A$1:$Z$1,0),0),"")</f>
        <v/>
      </c>
      <c r="D556" s="3" t="str">
        <f>IFERROR(VLOOKUP($A556,[1]FINAL!$A$1:$Z$1000,MATCH([1]FINAL!$V$1,[1]FINAL!$A$1:$Z$1,0),0),"")</f>
        <v>BHA</v>
      </c>
      <c r="E556" s="6">
        <f t="shared" si="40"/>
        <v>0</v>
      </c>
      <c r="F556" s="5">
        <f t="shared" si="41"/>
        <v>0</v>
      </c>
      <c r="G556" s="5">
        <f>IFERROR(IF(H556&lt;&gt;"",H556,VLOOKUP($A556,[1]FINAL!$A$1:$BZ$1000,MATCH([1]FINAL!$BL$1,[1]FINAL!$A$1:$BZ$1,0),0)),0)</f>
        <v>0</v>
      </c>
      <c r="I556" s="5">
        <f>IFERROR(IF(J556&lt;&gt;"",J556,(IF(VLOOKUP($A556,#REF!,MATCH(#REF!,#REF!,0),0)=0,G556,VLOOKUP($A556,#REF!,MATCH(#REF!,#REF!,0),0)))),G556)</f>
        <v>0</v>
      </c>
      <c r="K556" s="6">
        <f>IFERROR(VLOOKUP($A556,#REF!,MATCH(#REF!,#REF!,0),0),0)</f>
        <v>0</v>
      </c>
      <c r="L556" s="6">
        <f>IFERROR(VLOOKUP($A556,[1]FINAL!$A$1:$BZ$1000,MATCH([1]FINAL!$BF$1,[1]FINAL!$A$1:$BZ$1,0),0),0)</f>
        <v>0</v>
      </c>
      <c r="M556" s="7">
        <f t="shared" si="42"/>
        <v>0</v>
      </c>
      <c r="N556" s="6">
        <f>IFERROR(VLOOKUP($A556,#REF!,MATCH(#REF!,#REF!,0),0),0)</f>
        <v>0</v>
      </c>
      <c r="O556" s="7">
        <f t="shared" si="43"/>
        <v>0</v>
      </c>
      <c r="P556" s="10" t="str">
        <f>IFERROR(VLOOKUP($A556,[1]FINAL!$A$1:$BZ$1000,MATCH([1]FINAL!$BB$1,[1]FINAL!$A$1:$BZ$1,0),0),"")</f>
        <v/>
      </c>
      <c r="Q556" s="18">
        <f t="shared" si="44"/>
        <v>1</v>
      </c>
    </row>
    <row r="557" spans="1:17" x14ac:dyDescent="0.25">
      <c r="A557" s="14" t="str">
        <f>[1]FINAL!$A555</f>
        <v>Kosta Nedeljkovic</v>
      </c>
      <c r="B557" s="20" t="str">
        <f>IFERROR(VLOOKUP($A557,[1]FINAL!$A$1:$Z$1000,MATCH([1]FINAL!$T$1,[1]FINAL!$A$1:$Z$1,0),0),"")</f>
        <v>DEF</v>
      </c>
      <c r="C557" s="3" t="str">
        <f>IFERROR(VLOOKUP($A557,[1]FINAL!$A$1:$Z$1000,MATCH([1]FINAL!$U$1,[1]FINAL!$A$1:$Z$1,0),0),"")</f>
        <v>RB</v>
      </c>
      <c r="D557" s="3" t="str">
        <f>IFERROR(VLOOKUP($A557,[1]FINAL!$A$1:$Z$1000,MATCH([1]FINAL!$V$1,[1]FINAL!$A$1:$Z$1,0),0),"")</f>
        <v>AVL</v>
      </c>
      <c r="E557" s="6">
        <f t="shared" si="40"/>
        <v>0</v>
      </c>
      <c r="F557" s="5">
        <f t="shared" si="41"/>
        <v>0</v>
      </c>
      <c r="G557" s="5">
        <f>IFERROR(IF(H557&lt;&gt;"",H557,VLOOKUP($A557,[1]FINAL!$A$1:$BZ$1000,MATCH([1]FINAL!$BL$1,[1]FINAL!$A$1:$BZ$1,0),0)),0)</f>
        <v>0</v>
      </c>
      <c r="I557" s="5">
        <f>IFERROR(IF(J557&lt;&gt;"",J557,(IF(VLOOKUP($A557,#REF!,MATCH(#REF!,#REF!,0),0)=0,G557,VLOOKUP($A557,#REF!,MATCH(#REF!,#REF!,0),0)))),G557)</f>
        <v>0</v>
      </c>
      <c r="K557" s="6">
        <f>IFERROR(VLOOKUP($A557,#REF!,MATCH(#REF!,#REF!,0),0),0)</f>
        <v>0</v>
      </c>
      <c r="L557" s="6">
        <f>IFERROR(VLOOKUP($A557,[1]FINAL!$A$1:$BZ$1000,MATCH([1]FINAL!$BF$1,[1]FINAL!$A$1:$BZ$1,0),0),0)</f>
        <v>0</v>
      </c>
      <c r="M557" s="7">
        <f t="shared" si="42"/>
        <v>0</v>
      </c>
      <c r="N557" s="6">
        <f>IFERROR(VLOOKUP($A557,#REF!,MATCH(#REF!,#REF!,0),0),0)</f>
        <v>0</v>
      </c>
      <c r="O557" s="7">
        <f t="shared" si="43"/>
        <v>0</v>
      </c>
      <c r="P557" s="10" t="str">
        <f>IFERROR(VLOOKUP($A557,[1]FINAL!$A$1:$BZ$1000,MATCH([1]FINAL!$BB$1,[1]FINAL!$A$1:$BZ$1,0),0),"")</f>
        <v/>
      </c>
      <c r="Q557" s="18">
        <f t="shared" si="44"/>
        <v>1</v>
      </c>
    </row>
    <row r="558" spans="1:17" x14ac:dyDescent="0.25">
      <c r="A558" s="14" t="str">
        <f>[1]FINAL!$A556</f>
        <v>Christos Tzolis</v>
      </c>
      <c r="B558" s="20" t="str">
        <f>IFERROR(VLOOKUP($A558,[1]FINAL!$A$1:$Z$1000,MATCH([1]FINAL!$T$1,[1]FINAL!$A$1:$Z$1,0),0),"")</f>
        <v>MID</v>
      </c>
      <c r="C558" s="3" t="str">
        <f>IFERROR(VLOOKUP($A558,[1]FINAL!$A$1:$Z$1000,MATCH([1]FINAL!$U$1,[1]FINAL!$A$1:$Z$1,0),0),"")</f>
        <v>LW</v>
      </c>
      <c r="D558" s="3" t="str">
        <f>IFERROR(VLOOKUP($A558,[1]FINAL!$A$1:$Z$1000,MATCH([1]FINAL!$V$1,[1]FINAL!$A$1:$Z$1,0),0),"")</f>
        <v>ARS</v>
      </c>
      <c r="E558" s="6">
        <f t="shared" si="40"/>
        <v>0</v>
      </c>
      <c r="F558" s="5">
        <f t="shared" si="41"/>
        <v>0</v>
      </c>
      <c r="G558" s="5">
        <f>IFERROR(IF(H558&lt;&gt;"",H558,VLOOKUP($A558,[1]FINAL!$A$1:$BZ$1000,MATCH([1]FINAL!$BL$1,[1]FINAL!$A$1:$BZ$1,0),0)),0)</f>
        <v>0</v>
      </c>
      <c r="I558" s="5">
        <f>IFERROR(IF(J558&lt;&gt;"",J558,(IF(VLOOKUP($A558,#REF!,MATCH(#REF!,#REF!,0),0)=0,G558,VLOOKUP($A558,#REF!,MATCH(#REF!,#REF!,0),0)))),G558)</f>
        <v>0</v>
      </c>
      <c r="K558" s="6">
        <f>IFERROR(VLOOKUP($A558,#REF!,MATCH(#REF!,#REF!,0),0),0)</f>
        <v>0</v>
      </c>
      <c r="L558" s="6">
        <f>IFERROR(VLOOKUP($A558,[1]FINAL!$A$1:$BZ$1000,MATCH([1]FINAL!$BF$1,[1]FINAL!$A$1:$BZ$1,0),0),0)</f>
        <v>0</v>
      </c>
      <c r="M558" s="7">
        <f t="shared" si="42"/>
        <v>0</v>
      </c>
      <c r="N558" s="6">
        <f>IFERROR(VLOOKUP($A558,#REF!,MATCH(#REF!,#REF!,0),0),0)</f>
        <v>0</v>
      </c>
      <c r="O558" s="7">
        <f t="shared" si="43"/>
        <v>0</v>
      </c>
      <c r="P558" s="10" t="str">
        <f>IFERROR(VLOOKUP($A558,[1]FINAL!$A$1:$BZ$1000,MATCH([1]FINAL!$BB$1,[1]FINAL!$A$1:$BZ$1,0),0),"")</f>
        <v/>
      </c>
      <c r="Q558" s="18">
        <f t="shared" si="44"/>
        <v>1</v>
      </c>
    </row>
    <row r="559" spans="1:17" x14ac:dyDescent="0.25">
      <c r="A559" s="14">
        <f>[1]FINAL!$A557</f>
        <v>0</v>
      </c>
      <c r="B559" s="20" t="str">
        <f>IFERROR(VLOOKUP($A559,[1]FINAL!$A$1:$Z$1000,MATCH([1]FINAL!$T$1,[1]FINAL!$A$1:$Z$1,0),0),"")</f>
        <v/>
      </c>
      <c r="C559" s="3" t="str">
        <f>IFERROR(VLOOKUP($A559,[1]FINAL!$A$1:$Z$1000,MATCH([1]FINAL!$U$1,[1]FINAL!$A$1:$Z$1,0),0),"")</f>
        <v/>
      </c>
      <c r="D559" s="3" t="str">
        <f>IFERROR(VLOOKUP($A559,[1]FINAL!$A$1:$Z$1000,MATCH([1]FINAL!$V$1,[1]FINAL!$A$1:$Z$1,0),0),"")</f>
        <v/>
      </c>
      <c r="E559" s="6">
        <f t="shared" si="40"/>
        <v>0</v>
      </c>
      <c r="F559" s="5">
        <f t="shared" si="41"/>
        <v>0</v>
      </c>
      <c r="G559" s="5">
        <f>IFERROR(IF(H559&lt;&gt;"",H559,VLOOKUP($A559,[1]FINAL!$A$1:$BZ$1000,MATCH([1]FINAL!$BL$1,[1]FINAL!$A$1:$BZ$1,0),0)),0)</f>
        <v>0</v>
      </c>
      <c r="I559" s="5">
        <f>IFERROR(IF(J559&lt;&gt;"",J559,(IF(VLOOKUP($A559,#REF!,MATCH(#REF!,#REF!,0),0)=0,G559,VLOOKUP($A559,#REF!,MATCH(#REF!,#REF!,0),0)))),G559)</f>
        <v>0</v>
      </c>
      <c r="K559" s="6">
        <f>IFERROR(VLOOKUP($A559,#REF!,MATCH(#REF!,#REF!,0),0),0)</f>
        <v>0</v>
      </c>
      <c r="L559" s="6">
        <f>IFERROR(VLOOKUP($A559,[1]FINAL!$A$1:$BZ$1000,MATCH([1]FINAL!$BF$1,[1]FINAL!$A$1:$BZ$1,0),0),0)</f>
        <v>0</v>
      </c>
      <c r="M559" s="7">
        <f t="shared" si="42"/>
        <v>0</v>
      </c>
      <c r="N559" s="6">
        <f>IFERROR(VLOOKUP($A559,#REF!,MATCH(#REF!,#REF!,0),0),0)</f>
        <v>0</v>
      </c>
      <c r="O559" s="7">
        <f t="shared" si="43"/>
        <v>0</v>
      </c>
      <c r="P559" s="10" t="str">
        <f>IFERROR(VLOOKUP($A559,[1]FINAL!$A$1:$BZ$1000,MATCH([1]FINAL!$BB$1,[1]FINAL!$A$1:$BZ$1,0),0),"")</f>
        <v/>
      </c>
      <c r="Q559" s="18">
        <f t="shared" si="44"/>
        <v>1</v>
      </c>
    </row>
    <row r="560" spans="1:17" x14ac:dyDescent="0.25">
      <c r="A560" s="14">
        <f>[1]FINAL!$A558</f>
        <v>0</v>
      </c>
      <c r="B560" s="20" t="str">
        <f>IFERROR(VLOOKUP($A560,[1]FINAL!$A$1:$Z$1000,MATCH([1]FINAL!$T$1,[1]FINAL!$A$1:$Z$1,0),0),"")</f>
        <v/>
      </c>
      <c r="C560" s="3" t="str">
        <f>IFERROR(VLOOKUP($A560,[1]FINAL!$A$1:$Z$1000,MATCH([1]FINAL!$U$1,[1]FINAL!$A$1:$Z$1,0),0),"")</f>
        <v/>
      </c>
      <c r="D560" s="3" t="str">
        <f>IFERROR(VLOOKUP($A560,[1]FINAL!$A$1:$Z$1000,MATCH([1]FINAL!$V$1,[1]FINAL!$A$1:$Z$1,0),0),"")</f>
        <v/>
      </c>
      <c r="E560" s="6">
        <f t="shared" si="40"/>
        <v>0</v>
      </c>
      <c r="F560" s="5">
        <f t="shared" si="41"/>
        <v>0</v>
      </c>
      <c r="G560" s="5">
        <f>IFERROR(IF(H560&lt;&gt;"",H560,VLOOKUP($A560,[1]FINAL!$A$1:$BZ$1000,MATCH([1]FINAL!$BL$1,[1]FINAL!$A$1:$BZ$1,0),0)),0)</f>
        <v>0</v>
      </c>
      <c r="I560" s="5">
        <f>IFERROR(IF(J560&lt;&gt;"",J560,(IF(VLOOKUP($A560,#REF!,MATCH(#REF!,#REF!,0),0)=0,G560,VLOOKUP($A560,#REF!,MATCH(#REF!,#REF!,0),0)))),G560)</f>
        <v>0</v>
      </c>
      <c r="K560" s="6">
        <f>IFERROR(VLOOKUP($A560,#REF!,MATCH(#REF!,#REF!,0),0),0)</f>
        <v>0</v>
      </c>
      <c r="L560" s="6">
        <f>IFERROR(VLOOKUP($A560,[1]FINAL!$A$1:$BZ$1000,MATCH([1]FINAL!$BF$1,[1]FINAL!$A$1:$BZ$1,0),0),0)</f>
        <v>0</v>
      </c>
      <c r="M560" s="7">
        <f t="shared" si="42"/>
        <v>0</v>
      </c>
      <c r="N560" s="6">
        <f>IFERROR(VLOOKUP($A560,#REF!,MATCH(#REF!,#REF!,0),0),0)</f>
        <v>0</v>
      </c>
      <c r="O560" s="7">
        <f t="shared" si="43"/>
        <v>0</v>
      </c>
      <c r="P560" s="10" t="str">
        <f>IFERROR(VLOOKUP($A560,[1]FINAL!$A$1:$BZ$1000,MATCH([1]FINAL!$BB$1,[1]FINAL!$A$1:$BZ$1,0),0),"")</f>
        <v/>
      </c>
      <c r="Q560" s="18">
        <f t="shared" si="44"/>
        <v>1</v>
      </c>
    </row>
    <row r="561" spans="1:17" x14ac:dyDescent="0.25">
      <c r="A561" s="14">
        <f>[1]FINAL!$A559</f>
        <v>0</v>
      </c>
      <c r="B561" s="20" t="str">
        <f>IFERROR(VLOOKUP($A561,[1]FINAL!$A$1:$Z$1000,MATCH([1]FINAL!$T$1,[1]FINAL!$A$1:$Z$1,0),0),"")</f>
        <v/>
      </c>
      <c r="C561" s="3" t="str">
        <f>IFERROR(VLOOKUP($A561,[1]FINAL!$A$1:$Z$1000,MATCH([1]FINAL!$U$1,[1]FINAL!$A$1:$Z$1,0),0),"")</f>
        <v/>
      </c>
      <c r="D561" s="3" t="str">
        <f>IFERROR(VLOOKUP($A561,[1]FINAL!$A$1:$Z$1000,MATCH([1]FINAL!$V$1,[1]FINAL!$A$1:$Z$1,0),0),"")</f>
        <v/>
      </c>
      <c r="E561" s="6">
        <f t="shared" si="40"/>
        <v>0</v>
      </c>
      <c r="F561" s="5">
        <f t="shared" si="41"/>
        <v>0</v>
      </c>
      <c r="G561" s="5">
        <f>IFERROR(IF(H561&lt;&gt;"",H561,VLOOKUP($A561,[1]FINAL!$A$1:$BZ$1000,MATCH([1]FINAL!$BL$1,[1]FINAL!$A$1:$BZ$1,0),0)),0)</f>
        <v>0</v>
      </c>
      <c r="I561" s="5">
        <f>IFERROR(IF(J561&lt;&gt;"",J561,(IF(VLOOKUP($A561,#REF!,MATCH(#REF!,#REF!,0),0)=0,G561,VLOOKUP($A561,#REF!,MATCH(#REF!,#REF!,0),0)))),G561)</f>
        <v>0</v>
      </c>
      <c r="K561" s="6">
        <f>IFERROR(VLOOKUP($A561,#REF!,MATCH(#REF!,#REF!,0),0),0)</f>
        <v>0</v>
      </c>
      <c r="L561" s="6">
        <f>IFERROR(VLOOKUP($A561,[1]FINAL!$A$1:$BZ$1000,MATCH([1]FINAL!$BF$1,[1]FINAL!$A$1:$BZ$1,0),0),0)</f>
        <v>0</v>
      </c>
      <c r="M561" s="7">
        <f t="shared" si="42"/>
        <v>0</v>
      </c>
      <c r="N561" s="6">
        <f>IFERROR(VLOOKUP($A561,#REF!,MATCH(#REF!,#REF!,0),0),0)</f>
        <v>0</v>
      </c>
      <c r="O561" s="7">
        <f t="shared" si="43"/>
        <v>0</v>
      </c>
      <c r="P561" s="10" t="str">
        <f>IFERROR(VLOOKUP($A561,[1]FINAL!$A$1:$BZ$1000,MATCH([1]FINAL!$BB$1,[1]FINAL!$A$1:$BZ$1,0),0),"")</f>
        <v/>
      </c>
      <c r="Q561" s="18">
        <f t="shared" si="44"/>
        <v>1</v>
      </c>
    </row>
    <row r="562" spans="1:17" x14ac:dyDescent="0.25">
      <c r="A562" s="14">
        <f>[1]FINAL!$A560</f>
        <v>0</v>
      </c>
      <c r="B562" s="20" t="str">
        <f>IFERROR(VLOOKUP($A562,[1]FINAL!$A$1:$Z$1000,MATCH([1]FINAL!$T$1,[1]FINAL!$A$1:$Z$1,0),0),"")</f>
        <v/>
      </c>
      <c r="C562" s="3" t="str">
        <f>IFERROR(VLOOKUP($A562,[1]FINAL!$A$1:$Z$1000,MATCH([1]FINAL!$U$1,[1]FINAL!$A$1:$Z$1,0),0),"")</f>
        <v/>
      </c>
      <c r="D562" s="3" t="str">
        <f>IFERROR(VLOOKUP($A562,[1]FINAL!$A$1:$Z$1000,MATCH([1]FINAL!$V$1,[1]FINAL!$A$1:$Z$1,0),0),"")</f>
        <v/>
      </c>
      <c r="E562" s="6">
        <f t="shared" si="40"/>
        <v>0</v>
      </c>
      <c r="F562" s="5">
        <f t="shared" si="41"/>
        <v>0</v>
      </c>
      <c r="G562" s="5">
        <f>IFERROR(IF(H562&lt;&gt;"",H562,VLOOKUP($A562,[1]FINAL!$A$1:$BZ$1000,MATCH([1]FINAL!$BL$1,[1]FINAL!$A$1:$BZ$1,0),0)),0)</f>
        <v>0</v>
      </c>
      <c r="I562" s="5">
        <f>IFERROR(IF(J562&lt;&gt;"",J562,(IF(VLOOKUP($A562,#REF!,MATCH(#REF!,#REF!,0),0)=0,G562,VLOOKUP($A562,#REF!,MATCH(#REF!,#REF!,0),0)))),G562)</f>
        <v>0</v>
      </c>
      <c r="K562" s="6">
        <f>IFERROR(VLOOKUP($A562,#REF!,MATCH(#REF!,#REF!,0),0),0)</f>
        <v>0</v>
      </c>
      <c r="L562" s="6">
        <f>IFERROR(VLOOKUP($A562,[1]FINAL!$A$1:$BZ$1000,MATCH([1]FINAL!$BF$1,[1]FINAL!$A$1:$BZ$1,0),0),0)</f>
        <v>0</v>
      </c>
      <c r="M562" s="7">
        <f t="shared" si="42"/>
        <v>0</v>
      </c>
      <c r="N562" s="6">
        <f>IFERROR(VLOOKUP($A562,#REF!,MATCH(#REF!,#REF!,0),0),0)</f>
        <v>0</v>
      </c>
      <c r="O562" s="7">
        <f t="shared" si="43"/>
        <v>0</v>
      </c>
      <c r="P562" s="10" t="str">
        <f>IFERROR(VLOOKUP($A562,[1]FINAL!$A$1:$BZ$1000,MATCH([1]FINAL!$BB$1,[1]FINAL!$A$1:$BZ$1,0),0),"")</f>
        <v/>
      </c>
      <c r="Q562" s="18">
        <f t="shared" si="44"/>
        <v>1</v>
      </c>
    </row>
    <row r="563" spans="1:17" x14ac:dyDescent="0.25">
      <c r="A563" s="14">
        <f>[1]FINAL!$A561</f>
        <v>0</v>
      </c>
      <c r="B563" s="20" t="str">
        <f>IFERROR(VLOOKUP($A563,[1]FINAL!$A$1:$Z$1000,MATCH([1]FINAL!$T$1,[1]FINAL!$A$1:$Z$1,0),0),"")</f>
        <v/>
      </c>
      <c r="C563" s="3" t="str">
        <f>IFERROR(VLOOKUP($A563,[1]FINAL!$A$1:$Z$1000,MATCH([1]FINAL!$U$1,[1]FINAL!$A$1:$Z$1,0),0),"")</f>
        <v/>
      </c>
      <c r="D563" s="3" t="str">
        <f>IFERROR(VLOOKUP($A563,[1]FINAL!$A$1:$Z$1000,MATCH([1]FINAL!$V$1,[1]FINAL!$A$1:$Z$1,0),0),"")</f>
        <v/>
      </c>
      <c r="E563" s="6">
        <f t="shared" si="40"/>
        <v>0</v>
      </c>
      <c r="F563" s="5">
        <f t="shared" si="41"/>
        <v>0</v>
      </c>
      <c r="G563" s="5">
        <f>IFERROR(IF(H563&lt;&gt;"",H563,VLOOKUP($A563,[1]FINAL!$A$1:$BZ$1000,MATCH([1]FINAL!$BL$1,[1]FINAL!$A$1:$BZ$1,0),0)),0)</f>
        <v>0</v>
      </c>
      <c r="I563" s="5">
        <f>IFERROR(IF(J563&lt;&gt;"",J563,(IF(VLOOKUP($A563,#REF!,MATCH(#REF!,#REF!,0),0)=0,G563,VLOOKUP($A563,#REF!,MATCH(#REF!,#REF!,0),0)))),G563)</f>
        <v>0</v>
      </c>
      <c r="K563" s="6">
        <f>IFERROR(VLOOKUP($A563,#REF!,MATCH(#REF!,#REF!,0),0),0)</f>
        <v>0</v>
      </c>
      <c r="L563" s="6">
        <f>IFERROR(VLOOKUP($A563,[1]FINAL!$A$1:$BZ$1000,MATCH([1]FINAL!$BF$1,[1]FINAL!$A$1:$BZ$1,0),0),0)</f>
        <v>0</v>
      </c>
      <c r="M563" s="7">
        <f t="shared" si="42"/>
        <v>0</v>
      </c>
      <c r="N563" s="6">
        <f>IFERROR(VLOOKUP($A563,#REF!,MATCH(#REF!,#REF!,0),0),0)</f>
        <v>0</v>
      </c>
      <c r="O563" s="7">
        <f t="shared" si="43"/>
        <v>0</v>
      </c>
      <c r="P563" s="10" t="str">
        <f>IFERROR(VLOOKUP($A563,[1]FINAL!$A$1:$BZ$1000,MATCH([1]FINAL!$BB$1,[1]FINAL!$A$1:$BZ$1,0),0),"")</f>
        <v/>
      </c>
      <c r="Q563" s="18">
        <f t="shared" si="44"/>
        <v>1</v>
      </c>
    </row>
    <row r="564" spans="1:17" x14ac:dyDescent="0.25">
      <c r="A564" s="14">
        <f>[1]FINAL!$A562</f>
        <v>0</v>
      </c>
      <c r="B564" s="20" t="str">
        <f>IFERROR(VLOOKUP($A564,[1]FINAL!$A$1:$Z$1000,MATCH([1]FINAL!$T$1,[1]FINAL!$A$1:$Z$1,0),0),"")</f>
        <v/>
      </c>
      <c r="C564" s="3" t="str">
        <f>IFERROR(VLOOKUP($A564,[1]FINAL!$A$1:$Z$1000,MATCH([1]FINAL!$U$1,[1]FINAL!$A$1:$Z$1,0),0),"")</f>
        <v/>
      </c>
      <c r="D564" s="3" t="str">
        <f>IFERROR(VLOOKUP($A564,[1]FINAL!$A$1:$Z$1000,MATCH([1]FINAL!$V$1,[1]FINAL!$A$1:$Z$1,0),0),"")</f>
        <v/>
      </c>
      <c r="E564" s="6">
        <f t="shared" si="40"/>
        <v>0</v>
      </c>
      <c r="F564" s="5">
        <f t="shared" si="41"/>
        <v>0</v>
      </c>
      <c r="G564" s="5">
        <f>IFERROR(IF(H564&lt;&gt;"",H564,VLOOKUP($A564,[1]FINAL!$A$1:$BZ$1000,MATCH([1]FINAL!$BL$1,[1]FINAL!$A$1:$BZ$1,0),0)),0)</f>
        <v>0</v>
      </c>
      <c r="I564" s="5">
        <f>IFERROR(IF(J564&lt;&gt;"",J564,(IF(VLOOKUP($A564,#REF!,MATCH(#REF!,#REF!,0),0)=0,G564,VLOOKUP($A564,#REF!,MATCH(#REF!,#REF!,0),0)))),G564)</f>
        <v>0</v>
      </c>
      <c r="K564" s="6">
        <f>IFERROR(VLOOKUP($A564,#REF!,MATCH(#REF!,#REF!,0),0),0)</f>
        <v>0</v>
      </c>
      <c r="L564" s="6">
        <f>IFERROR(VLOOKUP($A564,[1]FINAL!$A$1:$BZ$1000,MATCH([1]FINAL!$BF$1,[1]FINAL!$A$1:$BZ$1,0),0),0)</f>
        <v>0</v>
      </c>
      <c r="M564" s="7">
        <f t="shared" si="42"/>
        <v>0</v>
      </c>
      <c r="N564" s="6">
        <f>IFERROR(VLOOKUP($A564,#REF!,MATCH(#REF!,#REF!,0),0),0)</f>
        <v>0</v>
      </c>
      <c r="O564" s="7">
        <f t="shared" si="43"/>
        <v>0</v>
      </c>
      <c r="P564" s="10" t="str">
        <f>IFERROR(VLOOKUP($A564,[1]FINAL!$A$1:$BZ$1000,MATCH([1]FINAL!$BB$1,[1]FINAL!$A$1:$BZ$1,0),0),"")</f>
        <v/>
      </c>
      <c r="Q564" s="18">
        <f t="shared" si="44"/>
        <v>1</v>
      </c>
    </row>
    <row r="565" spans="1:17" x14ac:dyDescent="0.25">
      <c r="A565" s="14">
        <f>[1]FINAL!$A563</f>
        <v>0</v>
      </c>
      <c r="B565" s="20" t="str">
        <f>IFERROR(VLOOKUP($A565,[1]FINAL!$A$1:$Z$1000,MATCH([1]FINAL!$T$1,[1]FINAL!$A$1:$Z$1,0),0),"")</f>
        <v/>
      </c>
      <c r="C565" s="3" t="str">
        <f>IFERROR(VLOOKUP($A565,[1]FINAL!$A$1:$Z$1000,MATCH([1]FINAL!$U$1,[1]FINAL!$A$1:$Z$1,0),0),"")</f>
        <v/>
      </c>
      <c r="D565" s="3" t="str">
        <f>IFERROR(VLOOKUP($A565,[1]FINAL!$A$1:$Z$1000,MATCH([1]FINAL!$V$1,[1]FINAL!$A$1:$Z$1,0),0),"")</f>
        <v/>
      </c>
      <c r="E565" s="6">
        <f t="shared" si="40"/>
        <v>0</v>
      </c>
      <c r="F565" s="5">
        <f t="shared" si="41"/>
        <v>0</v>
      </c>
      <c r="G565" s="5">
        <f>IFERROR(IF(H565&lt;&gt;"",H565,VLOOKUP($A565,[1]FINAL!$A$1:$BZ$1000,MATCH([1]FINAL!$BL$1,[1]FINAL!$A$1:$BZ$1,0),0)),0)</f>
        <v>0</v>
      </c>
      <c r="I565" s="5">
        <f>IFERROR(IF(J565&lt;&gt;"",J565,(IF(VLOOKUP($A565,#REF!,MATCH(#REF!,#REF!,0),0)=0,G565,VLOOKUP($A565,#REF!,MATCH(#REF!,#REF!,0),0)))),G565)</f>
        <v>0</v>
      </c>
      <c r="K565" s="6">
        <f>IFERROR(VLOOKUP($A565,#REF!,MATCH(#REF!,#REF!,0),0),0)</f>
        <v>0</v>
      </c>
      <c r="L565" s="6">
        <f>IFERROR(VLOOKUP($A565,[1]FINAL!$A$1:$BZ$1000,MATCH([1]FINAL!$BF$1,[1]FINAL!$A$1:$BZ$1,0),0),0)</f>
        <v>0</v>
      </c>
      <c r="M565" s="7">
        <f t="shared" si="42"/>
        <v>0</v>
      </c>
      <c r="N565" s="6">
        <f>IFERROR(VLOOKUP($A565,#REF!,MATCH(#REF!,#REF!,0),0),0)</f>
        <v>0</v>
      </c>
      <c r="O565" s="7">
        <f t="shared" si="43"/>
        <v>0</v>
      </c>
      <c r="P565" s="10" t="str">
        <f>IFERROR(VLOOKUP($A565,[1]FINAL!$A$1:$BZ$1000,MATCH([1]FINAL!$BB$1,[1]FINAL!$A$1:$BZ$1,0),0),"")</f>
        <v/>
      </c>
      <c r="Q565" s="18">
        <f t="shared" si="44"/>
        <v>1</v>
      </c>
    </row>
    <row r="566" spans="1:17" x14ac:dyDescent="0.25">
      <c r="A566" s="14">
        <f>[1]FINAL!$A564</f>
        <v>0</v>
      </c>
      <c r="B566" s="20" t="str">
        <f>IFERROR(VLOOKUP($A566,[1]FINAL!$A$1:$Z$1000,MATCH([1]FINAL!$T$1,[1]FINAL!$A$1:$Z$1,0),0),"")</f>
        <v/>
      </c>
      <c r="C566" s="3" t="str">
        <f>IFERROR(VLOOKUP($A566,[1]FINAL!$A$1:$Z$1000,MATCH([1]FINAL!$U$1,[1]FINAL!$A$1:$Z$1,0),0),"")</f>
        <v/>
      </c>
      <c r="D566" s="3" t="str">
        <f>IFERROR(VLOOKUP($A566,[1]FINAL!$A$1:$Z$1000,MATCH([1]FINAL!$V$1,[1]FINAL!$A$1:$Z$1,0),0),"")</f>
        <v/>
      </c>
      <c r="E566" s="6">
        <f t="shared" si="40"/>
        <v>0</v>
      </c>
      <c r="F566" s="5">
        <f t="shared" si="41"/>
        <v>0</v>
      </c>
      <c r="G566" s="5">
        <f>IFERROR(IF(H566&lt;&gt;"",H566,VLOOKUP($A566,[1]FINAL!$A$1:$BZ$1000,MATCH([1]FINAL!$BL$1,[1]FINAL!$A$1:$BZ$1,0),0)),0)</f>
        <v>0</v>
      </c>
      <c r="I566" s="5">
        <f>IFERROR(IF(J566&lt;&gt;"",J566,(IF(VLOOKUP($A566,#REF!,MATCH(#REF!,#REF!,0),0)=0,G566,VLOOKUP($A566,#REF!,MATCH(#REF!,#REF!,0),0)))),G566)</f>
        <v>0</v>
      </c>
      <c r="K566" s="6">
        <f>IFERROR(VLOOKUP($A566,#REF!,MATCH(#REF!,#REF!,0),0),0)</f>
        <v>0</v>
      </c>
      <c r="L566" s="6">
        <f>IFERROR(VLOOKUP($A566,[1]FINAL!$A$1:$BZ$1000,MATCH([1]FINAL!$BF$1,[1]FINAL!$A$1:$BZ$1,0),0),0)</f>
        <v>0</v>
      </c>
      <c r="M566" s="7">
        <f t="shared" si="42"/>
        <v>0</v>
      </c>
      <c r="N566" s="6">
        <f>IFERROR(VLOOKUP($A566,#REF!,MATCH(#REF!,#REF!,0),0),0)</f>
        <v>0</v>
      </c>
      <c r="O566" s="7">
        <f t="shared" si="43"/>
        <v>0</v>
      </c>
      <c r="P566" s="10" t="str">
        <f>IFERROR(VLOOKUP($A566,[1]FINAL!$A$1:$BZ$1000,MATCH([1]FINAL!$BB$1,[1]FINAL!$A$1:$BZ$1,0),0),"")</f>
        <v/>
      </c>
      <c r="Q566" s="18">
        <f t="shared" si="44"/>
        <v>1</v>
      </c>
    </row>
    <row r="567" spans="1:17" x14ac:dyDescent="0.25">
      <c r="A567" s="14">
        <f>[1]FINAL!$A565</f>
        <v>0</v>
      </c>
      <c r="B567" s="20" t="str">
        <f>IFERROR(VLOOKUP($A567,[1]FINAL!$A$1:$Z$1000,MATCH([1]FINAL!$T$1,[1]FINAL!$A$1:$Z$1,0),0),"")</f>
        <v/>
      </c>
      <c r="C567" s="3" t="str">
        <f>IFERROR(VLOOKUP($A567,[1]FINAL!$A$1:$Z$1000,MATCH([1]FINAL!$U$1,[1]FINAL!$A$1:$Z$1,0),0),"")</f>
        <v/>
      </c>
      <c r="D567" s="3" t="str">
        <f>IFERROR(VLOOKUP($A567,[1]FINAL!$A$1:$Z$1000,MATCH([1]FINAL!$V$1,[1]FINAL!$A$1:$Z$1,0),0),"")</f>
        <v/>
      </c>
      <c r="E567" s="6">
        <f t="shared" si="40"/>
        <v>0</v>
      </c>
      <c r="F567" s="5">
        <f t="shared" si="41"/>
        <v>0</v>
      </c>
      <c r="G567" s="5">
        <f>IFERROR(IF(H567&lt;&gt;"",H567,VLOOKUP($A567,[1]FINAL!$A$1:$BZ$1000,MATCH([1]FINAL!$BL$1,[1]FINAL!$A$1:$BZ$1,0),0)),0)</f>
        <v>0</v>
      </c>
      <c r="I567" s="5">
        <f>IFERROR(IF(J567&lt;&gt;"",J567,(IF(VLOOKUP($A567,#REF!,MATCH(#REF!,#REF!,0),0)=0,G567,VLOOKUP($A567,#REF!,MATCH(#REF!,#REF!,0),0)))),G567)</f>
        <v>0</v>
      </c>
      <c r="K567" s="6">
        <f>IFERROR(VLOOKUP($A567,#REF!,MATCH(#REF!,#REF!,0),0),0)</f>
        <v>0</v>
      </c>
      <c r="L567" s="6">
        <f>IFERROR(VLOOKUP($A567,[1]FINAL!$A$1:$BZ$1000,MATCH([1]FINAL!$BF$1,[1]FINAL!$A$1:$BZ$1,0),0),0)</f>
        <v>0</v>
      </c>
      <c r="M567" s="7">
        <f t="shared" si="42"/>
        <v>0</v>
      </c>
      <c r="N567" s="6">
        <f>IFERROR(VLOOKUP($A567,#REF!,MATCH(#REF!,#REF!,0),0),0)</f>
        <v>0</v>
      </c>
      <c r="O567" s="7">
        <f t="shared" si="43"/>
        <v>0</v>
      </c>
      <c r="P567" s="10" t="str">
        <f>IFERROR(VLOOKUP($A567,[1]FINAL!$A$1:$BZ$1000,MATCH([1]FINAL!$BB$1,[1]FINAL!$A$1:$BZ$1,0),0),"")</f>
        <v/>
      </c>
      <c r="Q567" s="18">
        <f t="shared" si="44"/>
        <v>1</v>
      </c>
    </row>
    <row r="568" spans="1:17" x14ac:dyDescent="0.25">
      <c r="A568" s="14">
        <f>[1]FINAL!$A566</f>
        <v>0</v>
      </c>
      <c r="B568" s="20" t="str">
        <f>IFERROR(VLOOKUP($A568,[1]FINAL!$A$1:$Z$1000,MATCH([1]FINAL!$T$1,[1]FINAL!$A$1:$Z$1,0),0),"")</f>
        <v/>
      </c>
      <c r="C568" s="3" t="str">
        <f>IFERROR(VLOOKUP($A568,[1]FINAL!$A$1:$Z$1000,MATCH([1]FINAL!$U$1,[1]FINAL!$A$1:$Z$1,0),0),"")</f>
        <v/>
      </c>
      <c r="D568" s="3" t="str">
        <f>IFERROR(VLOOKUP($A568,[1]FINAL!$A$1:$Z$1000,MATCH([1]FINAL!$V$1,[1]FINAL!$A$1:$Z$1,0),0),"")</f>
        <v/>
      </c>
      <c r="E568" s="6">
        <f t="shared" si="40"/>
        <v>0</v>
      </c>
      <c r="F568" s="5">
        <f t="shared" si="41"/>
        <v>0</v>
      </c>
      <c r="G568" s="5">
        <f>IFERROR(IF(H568&lt;&gt;"",H568,VLOOKUP($A568,[1]FINAL!$A$1:$BZ$1000,MATCH([1]FINAL!$BL$1,[1]FINAL!$A$1:$BZ$1,0),0)),0)</f>
        <v>0</v>
      </c>
      <c r="I568" s="5">
        <f>IFERROR(IF(J568&lt;&gt;"",J568,(IF(VLOOKUP($A568,#REF!,MATCH(#REF!,#REF!,0),0)=0,G568,VLOOKUP($A568,#REF!,MATCH(#REF!,#REF!,0),0)))),G568)</f>
        <v>0</v>
      </c>
      <c r="K568" s="6">
        <f>IFERROR(VLOOKUP($A568,#REF!,MATCH(#REF!,#REF!,0),0),0)</f>
        <v>0</v>
      </c>
      <c r="L568" s="6">
        <f>IFERROR(VLOOKUP($A568,[1]FINAL!$A$1:$BZ$1000,MATCH([1]FINAL!$BF$1,[1]FINAL!$A$1:$BZ$1,0),0),0)</f>
        <v>0</v>
      </c>
      <c r="M568" s="7">
        <f t="shared" si="42"/>
        <v>0</v>
      </c>
      <c r="N568" s="6">
        <f>IFERROR(VLOOKUP($A568,#REF!,MATCH(#REF!,#REF!,0),0),0)</f>
        <v>0</v>
      </c>
      <c r="O568" s="7">
        <f t="shared" si="43"/>
        <v>0</v>
      </c>
      <c r="P568" s="10" t="str">
        <f>IFERROR(VLOOKUP($A568,[1]FINAL!$A$1:$BZ$1000,MATCH([1]FINAL!$BB$1,[1]FINAL!$A$1:$BZ$1,0),0),"")</f>
        <v/>
      </c>
      <c r="Q568" s="18">
        <f t="shared" si="44"/>
        <v>1</v>
      </c>
    </row>
    <row r="569" spans="1:17" x14ac:dyDescent="0.25">
      <c r="A569" s="14">
        <f>[1]FINAL!$A567</f>
        <v>0</v>
      </c>
      <c r="B569" s="20" t="str">
        <f>IFERROR(VLOOKUP($A569,[1]FINAL!$A$1:$Z$1000,MATCH([1]FINAL!$T$1,[1]FINAL!$A$1:$Z$1,0),0),"")</f>
        <v/>
      </c>
      <c r="C569" s="3" t="str">
        <f>IFERROR(VLOOKUP($A569,[1]FINAL!$A$1:$Z$1000,MATCH([1]FINAL!$U$1,[1]FINAL!$A$1:$Z$1,0),0),"")</f>
        <v/>
      </c>
      <c r="D569" s="3" t="str">
        <f>IFERROR(VLOOKUP($A569,[1]FINAL!$A$1:$Z$1000,MATCH([1]FINAL!$V$1,[1]FINAL!$A$1:$Z$1,0),0),"")</f>
        <v/>
      </c>
      <c r="E569" s="6">
        <f t="shared" si="40"/>
        <v>0</v>
      </c>
      <c r="F569" s="5">
        <f t="shared" si="41"/>
        <v>0</v>
      </c>
      <c r="G569" s="5">
        <f>IFERROR(IF(H569&lt;&gt;"",H569,VLOOKUP($A569,[1]FINAL!$A$1:$BZ$1000,MATCH([1]FINAL!$BL$1,[1]FINAL!$A$1:$BZ$1,0),0)),0)</f>
        <v>0</v>
      </c>
      <c r="I569" s="5">
        <f>IFERROR(IF(J569&lt;&gt;"",J569,(IF(VLOOKUP($A569,#REF!,MATCH(#REF!,#REF!,0),0)=0,G569,VLOOKUP($A569,#REF!,MATCH(#REF!,#REF!,0),0)))),G569)</f>
        <v>0</v>
      </c>
      <c r="K569" s="6">
        <f>IFERROR(VLOOKUP($A569,#REF!,MATCH(#REF!,#REF!,0),0),0)</f>
        <v>0</v>
      </c>
      <c r="L569" s="6">
        <f>IFERROR(VLOOKUP($A569,[1]FINAL!$A$1:$BZ$1000,MATCH([1]FINAL!$BF$1,[1]FINAL!$A$1:$BZ$1,0),0),0)</f>
        <v>0</v>
      </c>
      <c r="M569" s="7">
        <f t="shared" si="42"/>
        <v>0</v>
      </c>
      <c r="N569" s="6">
        <f>IFERROR(VLOOKUP($A569,#REF!,MATCH(#REF!,#REF!,0),0),0)</f>
        <v>0</v>
      </c>
      <c r="O569" s="7">
        <f t="shared" si="43"/>
        <v>0</v>
      </c>
      <c r="P569" s="10" t="str">
        <f>IFERROR(VLOOKUP($A569,[1]FINAL!$A$1:$BZ$1000,MATCH([1]FINAL!$BB$1,[1]FINAL!$A$1:$BZ$1,0),0),"")</f>
        <v/>
      </c>
      <c r="Q569" s="18">
        <f t="shared" si="44"/>
        <v>1</v>
      </c>
    </row>
    <row r="570" spans="1:17" x14ac:dyDescent="0.25">
      <c r="A570" s="14">
        <f>[1]FINAL!$A568</f>
        <v>0</v>
      </c>
      <c r="B570" s="20" t="str">
        <f>IFERROR(VLOOKUP($A570,[1]FINAL!$A$1:$Z$1000,MATCH([1]FINAL!$T$1,[1]FINAL!$A$1:$Z$1,0),0),"")</f>
        <v/>
      </c>
      <c r="C570" s="3" t="str">
        <f>IFERROR(VLOOKUP($A570,[1]FINAL!$A$1:$Z$1000,MATCH([1]FINAL!$U$1,[1]FINAL!$A$1:$Z$1,0),0),"")</f>
        <v/>
      </c>
      <c r="D570" s="3" t="str">
        <f>IFERROR(VLOOKUP($A570,[1]FINAL!$A$1:$Z$1000,MATCH([1]FINAL!$V$1,[1]FINAL!$A$1:$Z$1,0),0),"")</f>
        <v/>
      </c>
      <c r="E570" s="6">
        <f t="shared" si="40"/>
        <v>0</v>
      </c>
      <c r="F570" s="5">
        <f t="shared" si="41"/>
        <v>0</v>
      </c>
      <c r="G570" s="5">
        <f>IFERROR(IF(H570&lt;&gt;"",H570,VLOOKUP($A570,[1]FINAL!$A$1:$BZ$1000,MATCH([1]FINAL!$BL$1,[1]FINAL!$A$1:$BZ$1,0),0)),0)</f>
        <v>0</v>
      </c>
      <c r="I570" s="5">
        <f>IFERROR(IF(J570&lt;&gt;"",J570,(IF(VLOOKUP($A570,#REF!,MATCH(#REF!,#REF!,0),0)=0,G570,VLOOKUP($A570,#REF!,MATCH(#REF!,#REF!,0),0)))),G570)</f>
        <v>0</v>
      </c>
      <c r="K570" s="6">
        <f>IFERROR(VLOOKUP($A570,#REF!,MATCH(#REF!,#REF!,0),0),0)</f>
        <v>0</v>
      </c>
      <c r="L570" s="6">
        <f>IFERROR(VLOOKUP($A570,[1]FINAL!$A$1:$BZ$1000,MATCH([1]FINAL!$BF$1,[1]FINAL!$A$1:$BZ$1,0),0),0)</f>
        <v>0</v>
      </c>
      <c r="M570" s="7">
        <f t="shared" si="42"/>
        <v>0</v>
      </c>
      <c r="N570" s="6">
        <f>IFERROR(VLOOKUP($A570,#REF!,MATCH(#REF!,#REF!,0),0),0)</f>
        <v>0</v>
      </c>
      <c r="O570" s="7">
        <f t="shared" si="43"/>
        <v>0</v>
      </c>
      <c r="P570" s="10" t="str">
        <f>IFERROR(VLOOKUP($A570,[1]FINAL!$A$1:$BZ$1000,MATCH([1]FINAL!$BB$1,[1]FINAL!$A$1:$BZ$1,0),0),"")</f>
        <v/>
      </c>
      <c r="Q570" s="18">
        <f t="shared" si="44"/>
        <v>1</v>
      </c>
    </row>
    <row r="571" spans="1:17" x14ac:dyDescent="0.25">
      <c r="A571" s="14">
        <f>[1]FINAL!$A569</f>
        <v>0</v>
      </c>
      <c r="B571" s="20" t="str">
        <f>IFERROR(VLOOKUP($A571,[1]FINAL!$A$1:$Z$1000,MATCH([1]FINAL!$T$1,[1]FINAL!$A$1:$Z$1,0),0),"")</f>
        <v/>
      </c>
      <c r="C571" s="3" t="str">
        <f>IFERROR(VLOOKUP($A571,[1]FINAL!$A$1:$Z$1000,MATCH([1]FINAL!$U$1,[1]FINAL!$A$1:$Z$1,0),0),"")</f>
        <v/>
      </c>
      <c r="D571" s="3" t="str">
        <f>IFERROR(VLOOKUP($A571,[1]FINAL!$A$1:$Z$1000,MATCH([1]FINAL!$V$1,[1]FINAL!$A$1:$Z$1,0),0),"")</f>
        <v/>
      </c>
      <c r="E571" s="6">
        <f t="shared" si="40"/>
        <v>0</v>
      </c>
      <c r="F571" s="5">
        <f t="shared" si="41"/>
        <v>0</v>
      </c>
      <c r="G571" s="5">
        <f>IFERROR(IF(H571&lt;&gt;"",H571,VLOOKUP($A571,[1]FINAL!$A$1:$BZ$1000,MATCH([1]FINAL!$BL$1,[1]FINAL!$A$1:$BZ$1,0),0)),0)</f>
        <v>0</v>
      </c>
      <c r="I571" s="5">
        <f>IFERROR(IF(J571&lt;&gt;"",J571,(IF(VLOOKUP($A571,#REF!,MATCH(#REF!,#REF!,0),0)=0,G571,VLOOKUP($A571,#REF!,MATCH(#REF!,#REF!,0),0)))),G571)</f>
        <v>0</v>
      </c>
      <c r="K571" s="6">
        <f>IFERROR(VLOOKUP($A571,#REF!,MATCH(#REF!,#REF!,0),0),0)</f>
        <v>0</v>
      </c>
      <c r="L571" s="6">
        <f>IFERROR(VLOOKUP($A571,[1]FINAL!$A$1:$BZ$1000,MATCH([1]FINAL!$BF$1,[1]FINAL!$A$1:$BZ$1,0),0),0)</f>
        <v>0</v>
      </c>
      <c r="M571" s="7">
        <f t="shared" si="42"/>
        <v>0</v>
      </c>
      <c r="N571" s="6">
        <f>IFERROR(VLOOKUP($A571,#REF!,MATCH(#REF!,#REF!,0),0),0)</f>
        <v>0</v>
      </c>
      <c r="O571" s="7">
        <f t="shared" si="43"/>
        <v>0</v>
      </c>
      <c r="P571" s="10" t="str">
        <f>IFERROR(VLOOKUP($A571,[1]FINAL!$A$1:$BZ$1000,MATCH([1]FINAL!$BB$1,[1]FINAL!$A$1:$BZ$1,0),0),"")</f>
        <v/>
      </c>
      <c r="Q571" s="18">
        <f t="shared" si="44"/>
        <v>1</v>
      </c>
    </row>
    <row r="572" spans="1:17" x14ac:dyDescent="0.25">
      <c r="A572" s="14">
        <f>[1]FINAL!$A570</f>
        <v>0</v>
      </c>
      <c r="B572" s="20" t="str">
        <f>IFERROR(VLOOKUP($A572,[1]FINAL!$A$1:$Z$1000,MATCH([1]FINAL!$T$1,[1]FINAL!$A$1:$Z$1,0),0),"")</f>
        <v/>
      </c>
      <c r="C572" s="3" t="str">
        <f>IFERROR(VLOOKUP($A572,[1]FINAL!$A$1:$Z$1000,MATCH([1]FINAL!$U$1,[1]FINAL!$A$1:$Z$1,0),0),"")</f>
        <v/>
      </c>
      <c r="D572" s="3" t="str">
        <f>IFERROR(VLOOKUP($A572,[1]FINAL!$A$1:$Z$1000,MATCH([1]FINAL!$V$1,[1]FINAL!$A$1:$Z$1,0),0),"")</f>
        <v/>
      </c>
      <c r="E572" s="6">
        <f t="shared" si="40"/>
        <v>0</v>
      </c>
      <c r="F572" s="5">
        <f t="shared" si="41"/>
        <v>0</v>
      </c>
      <c r="G572" s="5">
        <f>IFERROR(IF(H572&lt;&gt;"",H572,VLOOKUP($A572,[1]FINAL!$A$1:$BZ$1000,MATCH([1]FINAL!$BL$1,[1]FINAL!$A$1:$BZ$1,0),0)),0)</f>
        <v>0</v>
      </c>
      <c r="I572" s="5">
        <f>IFERROR(IF(J572&lt;&gt;"",J572,(IF(VLOOKUP($A572,#REF!,MATCH(#REF!,#REF!,0),0)=0,G572,VLOOKUP($A572,#REF!,MATCH(#REF!,#REF!,0),0)))),G572)</f>
        <v>0</v>
      </c>
      <c r="K572" s="6">
        <f>IFERROR(VLOOKUP($A572,#REF!,MATCH(#REF!,#REF!,0),0),0)</f>
        <v>0</v>
      </c>
      <c r="L572" s="6">
        <f>IFERROR(VLOOKUP($A572,[1]FINAL!$A$1:$BZ$1000,MATCH([1]FINAL!$BF$1,[1]FINAL!$A$1:$BZ$1,0),0),0)</f>
        <v>0</v>
      </c>
      <c r="M572" s="7">
        <f t="shared" si="42"/>
        <v>0</v>
      </c>
      <c r="N572" s="6">
        <f>IFERROR(VLOOKUP($A572,#REF!,MATCH(#REF!,#REF!,0),0),0)</f>
        <v>0</v>
      </c>
      <c r="O572" s="7">
        <f t="shared" si="43"/>
        <v>0</v>
      </c>
      <c r="P572" s="10" t="str">
        <f>IFERROR(VLOOKUP($A572,[1]FINAL!$A$1:$BZ$1000,MATCH([1]FINAL!$BB$1,[1]FINAL!$A$1:$BZ$1,0),0),"")</f>
        <v/>
      </c>
      <c r="Q572" s="18">
        <f t="shared" si="44"/>
        <v>1</v>
      </c>
    </row>
    <row r="573" spans="1:17" x14ac:dyDescent="0.25">
      <c r="A573" s="14">
        <f>[1]FINAL!$A571</f>
        <v>0</v>
      </c>
      <c r="B573" s="20" t="str">
        <f>IFERROR(VLOOKUP($A573,[1]FINAL!$A$1:$Z$1000,MATCH([1]FINAL!$T$1,[1]FINAL!$A$1:$Z$1,0),0),"")</f>
        <v/>
      </c>
      <c r="C573" s="3" t="str">
        <f>IFERROR(VLOOKUP($A573,[1]FINAL!$A$1:$Z$1000,MATCH([1]FINAL!$U$1,[1]FINAL!$A$1:$Z$1,0),0),"")</f>
        <v/>
      </c>
      <c r="D573" s="3" t="str">
        <f>IFERROR(VLOOKUP($A573,[1]FINAL!$A$1:$Z$1000,MATCH([1]FINAL!$V$1,[1]FINAL!$A$1:$Z$1,0),0),"")</f>
        <v/>
      </c>
      <c r="E573" s="6">
        <f t="shared" si="40"/>
        <v>0</v>
      </c>
      <c r="F573" s="5">
        <f t="shared" si="41"/>
        <v>0</v>
      </c>
      <c r="G573" s="5">
        <f>IFERROR(IF(H573&lt;&gt;"",H573,VLOOKUP($A573,[1]FINAL!$A$1:$BZ$1000,MATCH([1]FINAL!$BL$1,[1]FINAL!$A$1:$BZ$1,0),0)),0)</f>
        <v>0</v>
      </c>
      <c r="I573" s="5">
        <f>IFERROR(IF(J573&lt;&gt;"",J573,(IF(VLOOKUP($A573,#REF!,MATCH(#REF!,#REF!,0),0)=0,G573,VLOOKUP($A573,#REF!,MATCH(#REF!,#REF!,0),0)))),G573)</f>
        <v>0</v>
      </c>
      <c r="K573" s="6">
        <f>IFERROR(VLOOKUP($A573,#REF!,MATCH(#REF!,#REF!,0),0),0)</f>
        <v>0</v>
      </c>
      <c r="L573" s="6">
        <f>IFERROR(VLOOKUP($A573,[1]FINAL!$A$1:$BZ$1000,MATCH([1]FINAL!$BF$1,[1]FINAL!$A$1:$BZ$1,0),0),0)</f>
        <v>0</v>
      </c>
      <c r="M573" s="7">
        <f t="shared" si="42"/>
        <v>0</v>
      </c>
      <c r="N573" s="6">
        <f>IFERROR(VLOOKUP($A573,#REF!,MATCH(#REF!,#REF!,0),0),0)</f>
        <v>0</v>
      </c>
      <c r="O573" s="7">
        <f t="shared" si="43"/>
        <v>0</v>
      </c>
      <c r="P573" s="10" t="str">
        <f>IFERROR(VLOOKUP($A573,[1]FINAL!$A$1:$BZ$1000,MATCH([1]FINAL!$BB$1,[1]FINAL!$A$1:$BZ$1,0),0),"")</f>
        <v/>
      </c>
      <c r="Q573" s="18">
        <f t="shared" si="44"/>
        <v>1</v>
      </c>
    </row>
    <row r="574" spans="1:17" x14ac:dyDescent="0.25">
      <c r="A574" s="14">
        <f>[1]FINAL!$A572</f>
        <v>0</v>
      </c>
      <c r="B574" s="20" t="str">
        <f>IFERROR(VLOOKUP($A574,[1]FINAL!$A$1:$Z$1000,MATCH([1]FINAL!$T$1,[1]FINAL!$A$1:$Z$1,0),0),"")</f>
        <v/>
      </c>
      <c r="C574" s="3" t="str">
        <f>IFERROR(VLOOKUP($A574,[1]FINAL!$A$1:$Z$1000,MATCH([1]FINAL!$U$1,[1]FINAL!$A$1:$Z$1,0),0),"")</f>
        <v/>
      </c>
      <c r="D574" s="3" t="str">
        <f>IFERROR(VLOOKUP($A574,[1]FINAL!$A$1:$Z$1000,MATCH([1]FINAL!$V$1,[1]FINAL!$A$1:$Z$1,0),0),"")</f>
        <v/>
      </c>
      <c r="E574" s="6">
        <f t="shared" si="40"/>
        <v>0</v>
      </c>
      <c r="F574" s="5">
        <f t="shared" si="41"/>
        <v>0</v>
      </c>
      <c r="G574" s="5">
        <f>IFERROR(IF(H574&lt;&gt;"",H574,VLOOKUP($A574,[1]FINAL!$A$1:$BZ$1000,MATCH([1]FINAL!$BL$1,[1]FINAL!$A$1:$BZ$1,0),0)),0)</f>
        <v>0</v>
      </c>
      <c r="I574" s="5">
        <f>IFERROR(IF(J574&lt;&gt;"",J574,(IF(VLOOKUP($A574,#REF!,MATCH(#REF!,#REF!,0),0)=0,G574,VLOOKUP($A574,#REF!,MATCH(#REF!,#REF!,0),0)))),G574)</f>
        <v>0</v>
      </c>
      <c r="K574" s="6">
        <f>IFERROR(VLOOKUP($A574,#REF!,MATCH(#REF!,#REF!,0),0),0)</f>
        <v>0</v>
      </c>
      <c r="L574" s="6">
        <f>IFERROR(VLOOKUP($A574,[1]FINAL!$A$1:$BZ$1000,MATCH([1]FINAL!$BF$1,[1]FINAL!$A$1:$BZ$1,0),0),0)</f>
        <v>0</v>
      </c>
      <c r="M574" s="7">
        <f t="shared" si="42"/>
        <v>0</v>
      </c>
      <c r="N574" s="6">
        <f>IFERROR(VLOOKUP($A574,#REF!,MATCH(#REF!,#REF!,0),0),0)</f>
        <v>0</v>
      </c>
      <c r="O574" s="7">
        <f t="shared" si="43"/>
        <v>0</v>
      </c>
      <c r="P574" s="10" t="str">
        <f>IFERROR(VLOOKUP($A574,[1]FINAL!$A$1:$BZ$1000,MATCH([1]FINAL!$BB$1,[1]FINAL!$A$1:$BZ$1,0),0),"")</f>
        <v/>
      </c>
      <c r="Q574" s="18">
        <f t="shared" si="44"/>
        <v>1</v>
      </c>
    </row>
    <row r="575" spans="1:17" x14ac:dyDescent="0.25">
      <c r="A575" s="14">
        <f>[1]FINAL!$A573</f>
        <v>0</v>
      </c>
      <c r="B575" s="20" t="str">
        <f>IFERROR(VLOOKUP($A575,[1]FINAL!$A$1:$Z$1000,MATCH([1]FINAL!$T$1,[1]FINAL!$A$1:$Z$1,0),0),"")</f>
        <v/>
      </c>
      <c r="C575" s="3" t="str">
        <f>IFERROR(VLOOKUP($A575,[1]FINAL!$A$1:$Z$1000,MATCH([1]FINAL!$U$1,[1]FINAL!$A$1:$Z$1,0),0),"")</f>
        <v/>
      </c>
      <c r="D575" s="3" t="str">
        <f>IFERROR(VLOOKUP($A575,[1]FINAL!$A$1:$Z$1000,MATCH([1]FINAL!$V$1,[1]FINAL!$A$1:$Z$1,0),0),"")</f>
        <v/>
      </c>
      <c r="E575" s="6">
        <f t="shared" si="40"/>
        <v>0</v>
      </c>
      <c r="F575" s="5">
        <f t="shared" si="41"/>
        <v>0</v>
      </c>
      <c r="G575" s="5">
        <f>IFERROR(IF(H575&lt;&gt;"",H575,VLOOKUP($A575,[1]FINAL!$A$1:$BZ$1000,MATCH([1]FINAL!$BL$1,[1]FINAL!$A$1:$BZ$1,0),0)),0)</f>
        <v>0</v>
      </c>
      <c r="I575" s="5">
        <f>IFERROR(IF(J575&lt;&gt;"",J575,(IF(VLOOKUP($A575,#REF!,MATCH(#REF!,#REF!,0),0)=0,G575,VLOOKUP($A575,#REF!,MATCH(#REF!,#REF!,0),0)))),G575)</f>
        <v>0</v>
      </c>
      <c r="K575" s="6">
        <f>IFERROR(VLOOKUP($A575,#REF!,MATCH(#REF!,#REF!,0),0),0)</f>
        <v>0</v>
      </c>
      <c r="L575" s="6">
        <f>IFERROR(VLOOKUP($A575,[1]FINAL!$A$1:$BZ$1000,MATCH([1]FINAL!$BF$1,[1]FINAL!$A$1:$BZ$1,0),0),0)</f>
        <v>0</v>
      </c>
      <c r="M575" s="7">
        <f t="shared" si="42"/>
        <v>0</v>
      </c>
      <c r="N575" s="6">
        <f>IFERROR(VLOOKUP($A575,#REF!,MATCH(#REF!,#REF!,0),0),0)</f>
        <v>0</v>
      </c>
      <c r="O575" s="7">
        <f t="shared" si="43"/>
        <v>0</v>
      </c>
      <c r="P575" s="10" t="str">
        <f>IFERROR(VLOOKUP($A575,[1]FINAL!$A$1:$BZ$1000,MATCH([1]FINAL!$BB$1,[1]FINAL!$A$1:$BZ$1,0),0),"")</f>
        <v/>
      </c>
      <c r="Q575" s="18">
        <f t="shared" si="44"/>
        <v>1</v>
      </c>
    </row>
    <row r="576" spans="1:17" x14ac:dyDescent="0.25">
      <c r="A576" s="14">
        <f>[1]FINAL!$A574</f>
        <v>0</v>
      </c>
      <c r="B576" s="20" t="str">
        <f>IFERROR(VLOOKUP($A576,[1]FINAL!$A$1:$Z$1000,MATCH([1]FINAL!$T$1,[1]FINAL!$A$1:$Z$1,0),0),"")</f>
        <v/>
      </c>
      <c r="C576" s="3" t="str">
        <f>IFERROR(VLOOKUP($A576,[1]FINAL!$A$1:$Z$1000,MATCH([1]FINAL!$U$1,[1]FINAL!$A$1:$Z$1,0),0),"")</f>
        <v/>
      </c>
      <c r="D576" s="3" t="str">
        <f>IFERROR(VLOOKUP($A576,[1]FINAL!$A$1:$Z$1000,MATCH([1]FINAL!$V$1,[1]FINAL!$A$1:$Z$1,0),0),"")</f>
        <v/>
      </c>
      <c r="E576" s="6">
        <f t="shared" si="40"/>
        <v>0</v>
      </c>
      <c r="F576" s="5">
        <f t="shared" si="41"/>
        <v>0</v>
      </c>
      <c r="G576" s="5">
        <f>IFERROR(IF(H576&lt;&gt;"",H576,VLOOKUP($A576,[1]FINAL!$A$1:$BZ$1000,MATCH([1]FINAL!$BL$1,[1]FINAL!$A$1:$BZ$1,0),0)),0)</f>
        <v>0</v>
      </c>
      <c r="I576" s="5">
        <f>IFERROR(IF(J576&lt;&gt;"",J576,(IF(VLOOKUP($A576,#REF!,MATCH(#REF!,#REF!,0),0)=0,G576,VLOOKUP($A576,#REF!,MATCH(#REF!,#REF!,0),0)))),G576)</f>
        <v>0</v>
      </c>
      <c r="K576" s="6">
        <f>IFERROR(VLOOKUP($A576,#REF!,MATCH(#REF!,#REF!,0),0),0)</f>
        <v>0</v>
      </c>
      <c r="L576" s="6">
        <f>IFERROR(VLOOKUP($A576,[1]FINAL!$A$1:$BZ$1000,MATCH([1]FINAL!$BF$1,[1]FINAL!$A$1:$BZ$1,0),0),0)</f>
        <v>0</v>
      </c>
      <c r="M576" s="7">
        <f t="shared" si="42"/>
        <v>0</v>
      </c>
      <c r="N576" s="6">
        <f>IFERROR(VLOOKUP($A576,#REF!,MATCH(#REF!,#REF!,0),0),0)</f>
        <v>0</v>
      </c>
      <c r="O576" s="7">
        <f t="shared" si="43"/>
        <v>0</v>
      </c>
      <c r="P576" s="10" t="str">
        <f>IFERROR(VLOOKUP($A576,[1]FINAL!$A$1:$BZ$1000,MATCH([1]FINAL!$BB$1,[1]FINAL!$A$1:$BZ$1,0),0),"")</f>
        <v/>
      </c>
      <c r="Q576" s="18">
        <f t="shared" si="44"/>
        <v>1</v>
      </c>
    </row>
    <row r="577" spans="1:17" x14ac:dyDescent="0.25">
      <c r="A577" s="14">
        <f>[1]FINAL!$A575</f>
        <v>0</v>
      </c>
      <c r="B577" s="20" t="str">
        <f>IFERROR(VLOOKUP($A577,[1]FINAL!$A$1:$Z$1000,MATCH([1]FINAL!$T$1,[1]FINAL!$A$1:$Z$1,0),0),"")</f>
        <v/>
      </c>
      <c r="C577" s="3" t="str">
        <f>IFERROR(VLOOKUP($A577,[1]FINAL!$A$1:$Z$1000,MATCH([1]FINAL!$U$1,[1]FINAL!$A$1:$Z$1,0),0),"")</f>
        <v/>
      </c>
      <c r="D577" s="3" t="str">
        <f>IFERROR(VLOOKUP($A577,[1]FINAL!$A$1:$Z$1000,MATCH([1]FINAL!$V$1,[1]FINAL!$A$1:$Z$1,0),0),"")</f>
        <v/>
      </c>
      <c r="E577" s="6">
        <f t="shared" si="40"/>
        <v>0</v>
      </c>
      <c r="F577" s="5">
        <f t="shared" si="41"/>
        <v>0</v>
      </c>
      <c r="G577" s="5">
        <f>IFERROR(IF(H577&lt;&gt;"",H577,VLOOKUP($A577,[1]FINAL!$A$1:$BZ$1000,MATCH([1]FINAL!$BL$1,[1]FINAL!$A$1:$BZ$1,0),0)),0)</f>
        <v>0</v>
      </c>
      <c r="I577" s="5">
        <f>IFERROR(IF(J577&lt;&gt;"",J577,(IF(VLOOKUP($A577,#REF!,MATCH(#REF!,#REF!,0),0)=0,G577,VLOOKUP($A577,#REF!,MATCH(#REF!,#REF!,0),0)))),G577)</f>
        <v>0</v>
      </c>
      <c r="K577" s="6">
        <f>IFERROR(VLOOKUP($A577,#REF!,MATCH(#REF!,#REF!,0),0),0)</f>
        <v>0</v>
      </c>
      <c r="L577" s="6">
        <f>IFERROR(VLOOKUP($A577,[1]FINAL!$A$1:$BZ$1000,MATCH([1]FINAL!$BF$1,[1]FINAL!$A$1:$BZ$1,0),0),0)</f>
        <v>0</v>
      </c>
      <c r="M577" s="7">
        <f t="shared" si="42"/>
        <v>0</v>
      </c>
      <c r="N577" s="6">
        <f>IFERROR(VLOOKUP($A577,#REF!,MATCH(#REF!,#REF!,0),0),0)</f>
        <v>0</v>
      </c>
      <c r="O577" s="7">
        <f t="shared" si="43"/>
        <v>0</v>
      </c>
      <c r="P577" s="10" t="str">
        <f>IFERROR(VLOOKUP($A577,[1]FINAL!$A$1:$BZ$1000,MATCH([1]FINAL!$BB$1,[1]FINAL!$A$1:$BZ$1,0),0),"")</f>
        <v/>
      </c>
      <c r="Q577" s="18">
        <f t="shared" si="44"/>
        <v>1</v>
      </c>
    </row>
    <row r="578" spans="1:17" x14ac:dyDescent="0.25">
      <c r="A578" s="14">
        <f>[1]FINAL!$A576</f>
        <v>0</v>
      </c>
      <c r="B578" s="20" t="str">
        <f>IFERROR(VLOOKUP($A578,[1]FINAL!$A$1:$Z$1000,MATCH([1]FINAL!$T$1,[1]FINAL!$A$1:$Z$1,0),0),"")</f>
        <v/>
      </c>
      <c r="C578" s="3" t="str">
        <f>IFERROR(VLOOKUP($A578,[1]FINAL!$A$1:$Z$1000,MATCH([1]FINAL!$U$1,[1]FINAL!$A$1:$Z$1,0),0),"")</f>
        <v/>
      </c>
      <c r="D578" s="3" t="str">
        <f>IFERROR(VLOOKUP($A578,[1]FINAL!$A$1:$Z$1000,MATCH([1]FINAL!$V$1,[1]FINAL!$A$1:$Z$1,0),0),"")</f>
        <v/>
      </c>
      <c r="E578" s="6">
        <f t="shared" ref="E578:E641" si="45">IF($Q$1="ON",((G578*100000)+(I578*100000)+(M578*10000)+(O578*10000)+(K578*10))*Q578,((G578*100000)+(I578*100000)+(M578*10000)+(O578*10000)+(K578*10)))</f>
        <v>0</v>
      </c>
      <c r="F578" s="5">
        <f t="shared" ref="F578:F641" si="46">IFERROR(IF($Q$1="ON",((G578*$W$1)+(I578*$U$1))*Q578,((G578*$W$1)+(I578*$U$1))),0)</f>
        <v>0</v>
      </c>
      <c r="G578" s="5">
        <f>IFERROR(IF(H578&lt;&gt;"",H578,VLOOKUP($A578,[1]FINAL!$A$1:$BZ$1000,MATCH([1]FINAL!$BL$1,[1]FINAL!$A$1:$BZ$1,0),0)),0)</f>
        <v>0</v>
      </c>
      <c r="I578" s="5">
        <f>IFERROR(IF(J578&lt;&gt;"",J578,(IF(VLOOKUP($A578,#REF!,MATCH(#REF!,#REF!,0),0)=0,G578,VLOOKUP($A578,#REF!,MATCH(#REF!,#REF!,0),0)))),G578)</f>
        <v>0</v>
      </c>
      <c r="K578" s="6">
        <f>IFERROR(VLOOKUP($A578,#REF!,MATCH(#REF!,#REF!,0),0),0)</f>
        <v>0</v>
      </c>
      <c r="L578" s="6">
        <f>IFERROR(VLOOKUP($A578,[1]FINAL!$A$1:$BZ$1000,MATCH([1]FINAL!$BF$1,[1]FINAL!$A$1:$BZ$1,0),0),0)</f>
        <v>0</v>
      </c>
      <c r="M578" s="7">
        <f t="shared" ref="M578:M641" si="47">L578/90</f>
        <v>0</v>
      </c>
      <c r="N578" s="6">
        <f>IFERROR(VLOOKUP($A578,#REF!,MATCH(#REF!,#REF!,0),0),0)</f>
        <v>0</v>
      </c>
      <c r="O578" s="7">
        <f t="shared" ref="O578:O641" si="48">N578/90</f>
        <v>0</v>
      </c>
      <c r="P578" s="10" t="str">
        <f>IFERROR(VLOOKUP($A578,[1]FINAL!$A$1:$BZ$1000,MATCH([1]FINAL!$BB$1,[1]FINAL!$A$1:$BZ$1,0),0),"")</f>
        <v/>
      </c>
      <c r="Q578" s="18">
        <f t="shared" ref="Q578:Q641" si="49">IF(P578="",1,IF(P578=0,0.0001,P578/100))</f>
        <v>1</v>
      </c>
    </row>
    <row r="579" spans="1:17" x14ac:dyDescent="0.25">
      <c r="A579" s="14">
        <f>[1]FINAL!$A577</f>
        <v>0</v>
      </c>
      <c r="B579" s="20" t="str">
        <f>IFERROR(VLOOKUP($A579,[1]FINAL!$A$1:$Z$1000,MATCH([1]FINAL!$T$1,[1]FINAL!$A$1:$Z$1,0),0),"")</f>
        <v/>
      </c>
      <c r="C579" s="3" t="str">
        <f>IFERROR(VLOOKUP($A579,[1]FINAL!$A$1:$Z$1000,MATCH([1]FINAL!$U$1,[1]FINAL!$A$1:$Z$1,0),0),"")</f>
        <v/>
      </c>
      <c r="D579" s="3" t="str">
        <f>IFERROR(VLOOKUP($A579,[1]FINAL!$A$1:$Z$1000,MATCH([1]FINAL!$V$1,[1]FINAL!$A$1:$Z$1,0),0),"")</f>
        <v/>
      </c>
      <c r="E579" s="6">
        <f t="shared" si="45"/>
        <v>0</v>
      </c>
      <c r="F579" s="5">
        <f t="shared" si="46"/>
        <v>0</v>
      </c>
      <c r="G579" s="5">
        <f>IFERROR(IF(H579&lt;&gt;"",H579,VLOOKUP($A579,[1]FINAL!$A$1:$BZ$1000,MATCH([1]FINAL!$BL$1,[1]FINAL!$A$1:$BZ$1,0),0)),0)</f>
        <v>0</v>
      </c>
      <c r="I579" s="5">
        <f>IFERROR(IF(J579&lt;&gt;"",J579,(IF(VLOOKUP($A579,#REF!,MATCH(#REF!,#REF!,0),0)=0,G579,VLOOKUP($A579,#REF!,MATCH(#REF!,#REF!,0),0)))),G579)</f>
        <v>0</v>
      </c>
      <c r="K579" s="6">
        <f>IFERROR(VLOOKUP($A579,#REF!,MATCH(#REF!,#REF!,0),0),0)</f>
        <v>0</v>
      </c>
      <c r="L579" s="6">
        <f>IFERROR(VLOOKUP($A579,[1]FINAL!$A$1:$BZ$1000,MATCH([1]FINAL!$BF$1,[1]FINAL!$A$1:$BZ$1,0),0),0)</f>
        <v>0</v>
      </c>
      <c r="M579" s="7">
        <f t="shared" si="47"/>
        <v>0</v>
      </c>
      <c r="N579" s="6">
        <f>IFERROR(VLOOKUP($A579,#REF!,MATCH(#REF!,#REF!,0),0),0)</f>
        <v>0</v>
      </c>
      <c r="O579" s="7">
        <f t="shared" si="48"/>
        <v>0</v>
      </c>
      <c r="P579" s="10" t="str">
        <f>IFERROR(VLOOKUP($A579,[1]FINAL!$A$1:$BZ$1000,MATCH([1]FINAL!$BB$1,[1]FINAL!$A$1:$BZ$1,0),0),"")</f>
        <v/>
      </c>
      <c r="Q579" s="18">
        <f t="shared" si="49"/>
        <v>1</v>
      </c>
    </row>
    <row r="580" spans="1:17" x14ac:dyDescent="0.25">
      <c r="A580" s="14">
        <f>[1]FINAL!$A578</f>
        <v>0</v>
      </c>
      <c r="B580" s="20" t="str">
        <f>IFERROR(VLOOKUP($A580,[1]FINAL!$A$1:$Z$1000,MATCH([1]FINAL!$T$1,[1]FINAL!$A$1:$Z$1,0),0),"")</f>
        <v/>
      </c>
      <c r="C580" s="3" t="str">
        <f>IFERROR(VLOOKUP($A580,[1]FINAL!$A$1:$Z$1000,MATCH([1]FINAL!$U$1,[1]FINAL!$A$1:$Z$1,0),0),"")</f>
        <v/>
      </c>
      <c r="D580" s="3" t="str">
        <f>IFERROR(VLOOKUP($A580,[1]FINAL!$A$1:$Z$1000,MATCH([1]FINAL!$V$1,[1]FINAL!$A$1:$Z$1,0),0),"")</f>
        <v/>
      </c>
      <c r="E580" s="6">
        <f t="shared" si="45"/>
        <v>0</v>
      </c>
      <c r="F580" s="5">
        <f t="shared" si="46"/>
        <v>0</v>
      </c>
      <c r="G580" s="5">
        <f>IFERROR(IF(H580&lt;&gt;"",H580,VLOOKUP($A580,[1]FINAL!$A$1:$BZ$1000,MATCH([1]FINAL!$BL$1,[1]FINAL!$A$1:$BZ$1,0),0)),0)</f>
        <v>0</v>
      </c>
      <c r="I580" s="5">
        <f>IFERROR(IF(J580&lt;&gt;"",J580,(IF(VLOOKUP($A580,#REF!,MATCH(#REF!,#REF!,0),0)=0,G580,VLOOKUP($A580,#REF!,MATCH(#REF!,#REF!,0),0)))),G580)</f>
        <v>0</v>
      </c>
      <c r="K580" s="6">
        <f>IFERROR(VLOOKUP($A580,#REF!,MATCH(#REF!,#REF!,0),0),0)</f>
        <v>0</v>
      </c>
      <c r="L580" s="6">
        <f>IFERROR(VLOOKUP($A580,[1]FINAL!$A$1:$BZ$1000,MATCH([1]FINAL!$BF$1,[1]FINAL!$A$1:$BZ$1,0),0),0)</f>
        <v>0</v>
      </c>
      <c r="M580" s="7">
        <f t="shared" si="47"/>
        <v>0</v>
      </c>
      <c r="N580" s="6">
        <f>IFERROR(VLOOKUP($A580,#REF!,MATCH(#REF!,#REF!,0),0),0)</f>
        <v>0</v>
      </c>
      <c r="O580" s="7">
        <f t="shared" si="48"/>
        <v>0</v>
      </c>
      <c r="P580" s="10" t="str">
        <f>IFERROR(VLOOKUP($A580,[1]FINAL!$A$1:$BZ$1000,MATCH([1]FINAL!$BB$1,[1]FINAL!$A$1:$BZ$1,0),0),"")</f>
        <v/>
      </c>
      <c r="Q580" s="18">
        <f t="shared" si="49"/>
        <v>1</v>
      </c>
    </row>
    <row r="581" spans="1:17" x14ac:dyDescent="0.25">
      <c r="A581" s="14">
        <f>[1]FINAL!$A579</f>
        <v>0</v>
      </c>
      <c r="B581" s="20" t="str">
        <f>IFERROR(VLOOKUP($A581,[1]FINAL!$A$1:$Z$1000,MATCH([1]FINAL!$T$1,[1]FINAL!$A$1:$Z$1,0),0),"")</f>
        <v/>
      </c>
      <c r="C581" s="3" t="str">
        <f>IFERROR(VLOOKUP($A581,[1]FINAL!$A$1:$Z$1000,MATCH([1]FINAL!$U$1,[1]FINAL!$A$1:$Z$1,0),0),"")</f>
        <v/>
      </c>
      <c r="D581" s="3" t="str">
        <f>IFERROR(VLOOKUP($A581,[1]FINAL!$A$1:$Z$1000,MATCH([1]FINAL!$V$1,[1]FINAL!$A$1:$Z$1,0),0),"")</f>
        <v/>
      </c>
      <c r="E581" s="6">
        <f t="shared" si="45"/>
        <v>0</v>
      </c>
      <c r="F581" s="5">
        <f t="shared" si="46"/>
        <v>0</v>
      </c>
      <c r="G581" s="5">
        <f>IFERROR(IF(H581&lt;&gt;"",H581,VLOOKUP($A581,[1]FINAL!$A$1:$BZ$1000,MATCH([1]FINAL!$BL$1,[1]FINAL!$A$1:$BZ$1,0),0)),0)</f>
        <v>0</v>
      </c>
      <c r="I581" s="5">
        <f>IFERROR(IF(J581&lt;&gt;"",J581,(IF(VLOOKUP($A581,#REF!,MATCH(#REF!,#REF!,0),0)=0,G581,VLOOKUP($A581,#REF!,MATCH(#REF!,#REF!,0),0)))),G581)</f>
        <v>0</v>
      </c>
      <c r="K581" s="6">
        <f>IFERROR(VLOOKUP($A581,#REF!,MATCH(#REF!,#REF!,0),0),0)</f>
        <v>0</v>
      </c>
      <c r="L581" s="6">
        <f>IFERROR(VLOOKUP($A581,[1]FINAL!$A$1:$BZ$1000,MATCH([1]FINAL!$BF$1,[1]FINAL!$A$1:$BZ$1,0),0),0)</f>
        <v>0</v>
      </c>
      <c r="M581" s="7">
        <f t="shared" si="47"/>
        <v>0</v>
      </c>
      <c r="N581" s="6">
        <f>IFERROR(VLOOKUP($A581,#REF!,MATCH(#REF!,#REF!,0),0),0)</f>
        <v>0</v>
      </c>
      <c r="O581" s="7">
        <f t="shared" si="48"/>
        <v>0</v>
      </c>
      <c r="P581" s="10" t="str">
        <f>IFERROR(VLOOKUP($A581,[1]FINAL!$A$1:$BZ$1000,MATCH([1]FINAL!$BB$1,[1]FINAL!$A$1:$BZ$1,0),0),"")</f>
        <v/>
      </c>
      <c r="Q581" s="18">
        <f t="shared" si="49"/>
        <v>1</v>
      </c>
    </row>
    <row r="582" spans="1:17" x14ac:dyDescent="0.25">
      <c r="A582" s="14">
        <f>[1]FINAL!$A580</f>
        <v>0</v>
      </c>
      <c r="B582" s="20" t="str">
        <f>IFERROR(VLOOKUP($A582,[1]FINAL!$A$1:$Z$1000,MATCH([1]FINAL!$T$1,[1]FINAL!$A$1:$Z$1,0),0),"")</f>
        <v/>
      </c>
      <c r="C582" s="3" t="str">
        <f>IFERROR(VLOOKUP($A582,[1]FINAL!$A$1:$Z$1000,MATCH([1]FINAL!$U$1,[1]FINAL!$A$1:$Z$1,0),0),"")</f>
        <v/>
      </c>
      <c r="D582" s="3" t="str">
        <f>IFERROR(VLOOKUP($A582,[1]FINAL!$A$1:$Z$1000,MATCH([1]FINAL!$V$1,[1]FINAL!$A$1:$Z$1,0),0),"")</f>
        <v/>
      </c>
      <c r="E582" s="6">
        <f t="shared" si="45"/>
        <v>0</v>
      </c>
      <c r="F582" s="5">
        <f t="shared" si="46"/>
        <v>0</v>
      </c>
      <c r="G582" s="5">
        <f>IFERROR(IF(H582&lt;&gt;"",H582,VLOOKUP($A582,[1]FINAL!$A$1:$BZ$1000,MATCH([1]FINAL!$BL$1,[1]FINAL!$A$1:$BZ$1,0),0)),0)</f>
        <v>0</v>
      </c>
      <c r="I582" s="5">
        <f>IFERROR(IF(J582&lt;&gt;"",J582,(IF(VLOOKUP($A582,#REF!,MATCH(#REF!,#REF!,0),0)=0,G582,VLOOKUP($A582,#REF!,MATCH(#REF!,#REF!,0),0)))),G582)</f>
        <v>0</v>
      </c>
      <c r="K582" s="6">
        <f>IFERROR(VLOOKUP($A582,#REF!,MATCH(#REF!,#REF!,0),0),0)</f>
        <v>0</v>
      </c>
      <c r="L582" s="6">
        <f>IFERROR(VLOOKUP($A582,[1]FINAL!$A$1:$BZ$1000,MATCH([1]FINAL!$BF$1,[1]FINAL!$A$1:$BZ$1,0),0),0)</f>
        <v>0</v>
      </c>
      <c r="M582" s="7">
        <f t="shared" si="47"/>
        <v>0</v>
      </c>
      <c r="N582" s="6">
        <f>IFERROR(VLOOKUP($A582,#REF!,MATCH(#REF!,#REF!,0),0),0)</f>
        <v>0</v>
      </c>
      <c r="O582" s="7">
        <f t="shared" si="48"/>
        <v>0</v>
      </c>
      <c r="P582" s="10" t="str">
        <f>IFERROR(VLOOKUP($A582,[1]FINAL!$A$1:$BZ$1000,MATCH([1]FINAL!$BB$1,[1]FINAL!$A$1:$BZ$1,0),0),"")</f>
        <v/>
      </c>
      <c r="Q582" s="18">
        <f t="shared" si="49"/>
        <v>1</v>
      </c>
    </row>
    <row r="583" spans="1:17" x14ac:dyDescent="0.25">
      <c r="A583" s="14">
        <f>[1]FINAL!$A581</f>
        <v>0</v>
      </c>
      <c r="B583" s="20" t="str">
        <f>IFERROR(VLOOKUP($A583,[1]FINAL!$A$1:$Z$1000,MATCH([1]FINAL!$T$1,[1]FINAL!$A$1:$Z$1,0),0),"")</f>
        <v/>
      </c>
      <c r="C583" s="3" t="str">
        <f>IFERROR(VLOOKUP($A583,[1]FINAL!$A$1:$Z$1000,MATCH([1]FINAL!$U$1,[1]FINAL!$A$1:$Z$1,0),0),"")</f>
        <v/>
      </c>
      <c r="D583" s="3" t="str">
        <f>IFERROR(VLOOKUP($A583,[1]FINAL!$A$1:$Z$1000,MATCH([1]FINAL!$V$1,[1]FINAL!$A$1:$Z$1,0),0),"")</f>
        <v/>
      </c>
      <c r="E583" s="6">
        <f t="shared" si="45"/>
        <v>0</v>
      </c>
      <c r="F583" s="5">
        <f t="shared" si="46"/>
        <v>0</v>
      </c>
      <c r="G583" s="5">
        <f>IFERROR(IF(H583&lt;&gt;"",H583,VLOOKUP($A583,[1]FINAL!$A$1:$BZ$1000,MATCH([1]FINAL!$BL$1,[1]FINAL!$A$1:$BZ$1,0),0)),0)</f>
        <v>0</v>
      </c>
      <c r="I583" s="5">
        <f>IFERROR(IF(J583&lt;&gt;"",J583,(IF(VLOOKUP($A583,#REF!,MATCH(#REF!,#REF!,0),0)=0,G583,VLOOKUP($A583,#REF!,MATCH(#REF!,#REF!,0),0)))),G583)</f>
        <v>0</v>
      </c>
      <c r="K583" s="6">
        <f>IFERROR(VLOOKUP($A583,#REF!,MATCH(#REF!,#REF!,0),0),0)</f>
        <v>0</v>
      </c>
      <c r="L583" s="6">
        <f>IFERROR(VLOOKUP($A583,[1]FINAL!$A$1:$BZ$1000,MATCH([1]FINAL!$BF$1,[1]FINAL!$A$1:$BZ$1,0),0),0)</f>
        <v>0</v>
      </c>
      <c r="M583" s="7">
        <f t="shared" si="47"/>
        <v>0</v>
      </c>
      <c r="N583" s="6">
        <f>IFERROR(VLOOKUP($A583,#REF!,MATCH(#REF!,#REF!,0),0),0)</f>
        <v>0</v>
      </c>
      <c r="O583" s="7">
        <f t="shared" si="48"/>
        <v>0</v>
      </c>
      <c r="P583" s="10" t="str">
        <f>IFERROR(VLOOKUP($A583,[1]FINAL!$A$1:$BZ$1000,MATCH([1]FINAL!$BB$1,[1]FINAL!$A$1:$BZ$1,0),0),"")</f>
        <v/>
      </c>
      <c r="Q583" s="18">
        <f t="shared" si="49"/>
        <v>1</v>
      </c>
    </row>
    <row r="584" spans="1:17" x14ac:dyDescent="0.25">
      <c r="A584" s="14">
        <f>[1]FINAL!$A582</f>
        <v>0</v>
      </c>
      <c r="B584" s="20" t="str">
        <f>IFERROR(VLOOKUP($A584,[1]FINAL!$A$1:$Z$1000,MATCH([1]FINAL!$T$1,[1]FINAL!$A$1:$Z$1,0),0),"")</f>
        <v/>
      </c>
      <c r="C584" s="3" t="str">
        <f>IFERROR(VLOOKUP($A584,[1]FINAL!$A$1:$Z$1000,MATCH([1]FINAL!$U$1,[1]FINAL!$A$1:$Z$1,0),0),"")</f>
        <v/>
      </c>
      <c r="D584" s="3" t="str">
        <f>IFERROR(VLOOKUP($A584,[1]FINAL!$A$1:$Z$1000,MATCH([1]FINAL!$V$1,[1]FINAL!$A$1:$Z$1,0),0),"")</f>
        <v/>
      </c>
      <c r="E584" s="6">
        <f t="shared" si="45"/>
        <v>0</v>
      </c>
      <c r="F584" s="5">
        <f t="shared" si="46"/>
        <v>0</v>
      </c>
      <c r="G584" s="5">
        <f>IFERROR(IF(H584&lt;&gt;"",H584,VLOOKUP($A584,[1]FINAL!$A$1:$BZ$1000,MATCH([1]FINAL!$BL$1,[1]FINAL!$A$1:$BZ$1,0),0)),0)</f>
        <v>0</v>
      </c>
      <c r="I584" s="5">
        <f>IFERROR(IF(J584&lt;&gt;"",J584,(IF(VLOOKUP($A584,#REF!,MATCH(#REF!,#REF!,0),0)=0,G584,VLOOKUP($A584,#REF!,MATCH(#REF!,#REF!,0),0)))),G584)</f>
        <v>0</v>
      </c>
      <c r="K584" s="6">
        <f>IFERROR(VLOOKUP($A584,#REF!,MATCH(#REF!,#REF!,0),0),0)</f>
        <v>0</v>
      </c>
      <c r="L584" s="6">
        <f>IFERROR(VLOOKUP($A584,[1]FINAL!$A$1:$BZ$1000,MATCH([1]FINAL!$BF$1,[1]FINAL!$A$1:$BZ$1,0),0),0)</f>
        <v>0</v>
      </c>
      <c r="M584" s="7">
        <f t="shared" si="47"/>
        <v>0</v>
      </c>
      <c r="N584" s="6">
        <f>IFERROR(VLOOKUP($A584,#REF!,MATCH(#REF!,#REF!,0),0),0)</f>
        <v>0</v>
      </c>
      <c r="O584" s="7">
        <f t="shared" si="48"/>
        <v>0</v>
      </c>
      <c r="P584" s="10" t="str">
        <f>IFERROR(VLOOKUP($A584,[1]FINAL!$A$1:$BZ$1000,MATCH([1]FINAL!$BB$1,[1]FINAL!$A$1:$BZ$1,0),0),"")</f>
        <v/>
      </c>
      <c r="Q584" s="18">
        <f t="shared" si="49"/>
        <v>1</v>
      </c>
    </row>
    <row r="585" spans="1:17" x14ac:dyDescent="0.25">
      <c r="A585" s="14">
        <f>[1]FINAL!$A583</f>
        <v>0</v>
      </c>
      <c r="B585" s="20" t="str">
        <f>IFERROR(VLOOKUP($A585,[1]FINAL!$A$1:$Z$1000,MATCH([1]FINAL!$T$1,[1]FINAL!$A$1:$Z$1,0),0),"")</f>
        <v/>
      </c>
      <c r="C585" s="3" t="str">
        <f>IFERROR(VLOOKUP($A585,[1]FINAL!$A$1:$Z$1000,MATCH([1]FINAL!$U$1,[1]FINAL!$A$1:$Z$1,0),0),"")</f>
        <v/>
      </c>
      <c r="D585" s="3" t="str">
        <f>IFERROR(VLOOKUP($A585,[1]FINAL!$A$1:$Z$1000,MATCH([1]FINAL!$V$1,[1]FINAL!$A$1:$Z$1,0),0),"")</f>
        <v/>
      </c>
      <c r="E585" s="6">
        <f t="shared" si="45"/>
        <v>0</v>
      </c>
      <c r="F585" s="5">
        <f t="shared" si="46"/>
        <v>0</v>
      </c>
      <c r="G585" s="5">
        <f>IFERROR(IF(H585&lt;&gt;"",H585,VLOOKUP($A585,[1]FINAL!$A$1:$BZ$1000,MATCH([1]FINAL!$BL$1,[1]FINAL!$A$1:$BZ$1,0),0)),0)</f>
        <v>0</v>
      </c>
      <c r="I585" s="5">
        <f>IFERROR(IF(J585&lt;&gt;"",J585,(IF(VLOOKUP($A585,#REF!,MATCH(#REF!,#REF!,0),0)=0,G585,VLOOKUP($A585,#REF!,MATCH(#REF!,#REF!,0),0)))),G585)</f>
        <v>0</v>
      </c>
      <c r="K585" s="6">
        <f>IFERROR(VLOOKUP($A585,#REF!,MATCH(#REF!,#REF!,0),0),0)</f>
        <v>0</v>
      </c>
      <c r="L585" s="6">
        <f>IFERROR(VLOOKUP($A585,[1]FINAL!$A$1:$BZ$1000,MATCH([1]FINAL!$BF$1,[1]FINAL!$A$1:$BZ$1,0),0),0)</f>
        <v>0</v>
      </c>
      <c r="M585" s="7">
        <f t="shared" si="47"/>
        <v>0</v>
      </c>
      <c r="N585" s="6">
        <f>IFERROR(VLOOKUP($A585,#REF!,MATCH(#REF!,#REF!,0),0),0)</f>
        <v>0</v>
      </c>
      <c r="O585" s="7">
        <f t="shared" si="48"/>
        <v>0</v>
      </c>
      <c r="P585" s="10" t="str">
        <f>IFERROR(VLOOKUP($A585,[1]FINAL!$A$1:$BZ$1000,MATCH([1]FINAL!$BB$1,[1]FINAL!$A$1:$BZ$1,0),0),"")</f>
        <v/>
      </c>
      <c r="Q585" s="18">
        <f t="shared" si="49"/>
        <v>1</v>
      </c>
    </row>
    <row r="586" spans="1:17" x14ac:dyDescent="0.25">
      <c r="A586" s="14">
        <f>[1]FINAL!$A584</f>
        <v>0</v>
      </c>
      <c r="B586" s="20" t="str">
        <f>IFERROR(VLOOKUP($A586,[1]FINAL!$A$1:$Z$1000,MATCH([1]FINAL!$T$1,[1]FINAL!$A$1:$Z$1,0),0),"")</f>
        <v/>
      </c>
      <c r="C586" s="3" t="str">
        <f>IFERROR(VLOOKUP($A586,[1]FINAL!$A$1:$Z$1000,MATCH([1]FINAL!$U$1,[1]FINAL!$A$1:$Z$1,0),0),"")</f>
        <v/>
      </c>
      <c r="D586" s="3" t="str">
        <f>IFERROR(VLOOKUP($A586,[1]FINAL!$A$1:$Z$1000,MATCH([1]FINAL!$V$1,[1]FINAL!$A$1:$Z$1,0),0),"")</f>
        <v/>
      </c>
      <c r="E586" s="6">
        <f t="shared" si="45"/>
        <v>0</v>
      </c>
      <c r="F586" s="5">
        <f t="shared" si="46"/>
        <v>0</v>
      </c>
      <c r="G586" s="5">
        <f>IFERROR(IF(H586&lt;&gt;"",H586,VLOOKUP($A586,[1]FINAL!$A$1:$BZ$1000,MATCH([1]FINAL!$BL$1,[1]FINAL!$A$1:$BZ$1,0),0)),0)</f>
        <v>0</v>
      </c>
      <c r="I586" s="5">
        <f>IFERROR(IF(J586&lt;&gt;"",J586,(IF(VLOOKUP($A586,#REF!,MATCH(#REF!,#REF!,0),0)=0,G586,VLOOKUP($A586,#REF!,MATCH(#REF!,#REF!,0),0)))),G586)</f>
        <v>0</v>
      </c>
      <c r="K586" s="6">
        <f>IFERROR(VLOOKUP($A586,#REF!,MATCH(#REF!,#REF!,0),0),0)</f>
        <v>0</v>
      </c>
      <c r="L586" s="6">
        <f>IFERROR(VLOOKUP($A586,[1]FINAL!$A$1:$BZ$1000,MATCH([1]FINAL!$BF$1,[1]FINAL!$A$1:$BZ$1,0),0),0)</f>
        <v>0</v>
      </c>
      <c r="M586" s="7">
        <f t="shared" si="47"/>
        <v>0</v>
      </c>
      <c r="N586" s="6">
        <f>IFERROR(VLOOKUP($A586,#REF!,MATCH(#REF!,#REF!,0),0),0)</f>
        <v>0</v>
      </c>
      <c r="O586" s="7">
        <f t="shared" si="48"/>
        <v>0</v>
      </c>
      <c r="P586" s="10" t="str">
        <f>IFERROR(VLOOKUP($A586,[1]FINAL!$A$1:$BZ$1000,MATCH([1]FINAL!$BB$1,[1]FINAL!$A$1:$BZ$1,0),0),"")</f>
        <v/>
      </c>
      <c r="Q586" s="18">
        <f t="shared" si="49"/>
        <v>1</v>
      </c>
    </row>
    <row r="587" spans="1:17" x14ac:dyDescent="0.25">
      <c r="A587" s="14">
        <f>[1]FINAL!$A585</f>
        <v>0</v>
      </c>
      <c r="B587" s="20" t="str">
        <f>IFERROR(VLOOKUP($A587,[1]FINAL!$A$1:$Z$1000,MATCH([1]FINAL!$T$1,[1]FINAL!$A$1:$Z$1,0),0),"")</f>
        <v/>
      </c>
      <c r="C587" s="3" t="str">
        <f>IFERROR(VLOOKUP($A587,[1]FINAL!$A$1:$Z$1000,MATCH([1]FINAL!$U$1,[1]FINAL!$A$1:$Z$1,0),0),"")</f>
        <v/>
      </c>
      <c r="D587" s="3" t="str">
        <f>IFERROR(VLOOKUP($A587,[1]FINAL!$A$1:$Z$1000,MATCH([1]FINAL!$V$1,[1]FINAL!$A$1:$Z$1,0),0),"")</f>
        <v/>
      </c>
      <c r="E587" s="6">
        <f t="shared" si="45"/>
        <v>0</v>
      </c>
      <c r="F587" s="5">
        <f t="shared" si="46"/>
        <v>0</v>
      </c>
      <c r="G587" s="5">
        <f>IFERROR(IF(H587&lt;&gt;"",H587,VLOOKUP($A587,[1]FINAL!$A$1:$BZ$1000,MATCH([1]FINAL!$BL$1,[1]FINAL!$A$1:$BZ$1,0),0)),0)</f>
        <v>0</v>
      </c>
      <c r="I587" s="5">
        <f>IFERROR(IF(J587&lt;&gt;"",J587,(IF(VLOOKUP($A587,#REF!,MATCH(#REF!,#REF!,0),0)=0,G587,VLOOKUP($A587,#REF!,MATCH(#REF!,#REF!,0),0)))),G587)</f>
        <v>0</v>
      </c>
      <c r="K587" s="6">
        <f>IFERROR(VLOOKUP($A587,#REF!,MATCH(#REF!,#REF!,0),0),0)</f>
        <v>0</v>
      </c>
      <c r="L587" s="6">
        <f>IFERROR(VLOOKUP($A587,[1]FINAL!$A$1:$BZ$1000,MATCH([1]FINAL!$BF$1,[1]FINAL!$A$1:$BZ$1,0),0),0)</f>
        <v>0</v>
      </c>
      <c r="M587" s="7">
        <f t="shared" si="47"/>
        <v>0</v>
      </c>
      <c r="N587" s="6">
        <f>IFERROR(VLOOKUP($A587,#REF!,MATCH(#REF!,#REF!,0),0),0)</f>
        <v>0</v>
      </c>
      <c r="O587" s="7">
        <f t="shared" si="48"/>
        <v>0</v>
      </c>
      <c r="P587" s="10" t="str">
        <f>IFERROR(VLOOKUP($A587,[1]FINAL!$A$1:$BZ$1000,MATCH([1]FINAL!$BB$1,[1]FINAL!$A$1:$BZ$1,0),0),"")</f>
        <v/>
      </c>
      <c r="Q587" s="18">
        <f t="shared" si="49"/>
        <v>1</v>
      </c>
    </row>
    <row r="588" spans="1:17" x14ac:dyDescent="0.25">
      <c r="A588" s="14">
        <f>[1]FINAL!$A586</f>
        <v>0</v>
      </c>
      <c r="B588" s="20" t="str">
        <f>IFERROR(VLOOKUP($A588,[1]FINAL!$A$1:$Z$1000,MATCH([1]FINAL!$T$1,[1]FINAL!$A$1:$Z$1,0),0),"")</f>
        <v/>
      </c>
      <c r="C588" s="3" t="str">
        <f>IFERROR(VLOOKUP($A588,[1]FINAL!$A$1:$Z$1000,MATCH([1]FINAL!$U$1,[1]FINAL!$A$1:$Z$1,0),0),"")</f>
        <v/>
      </c>
      <c r="D588" s="3" t="str">
        <f>IFERROR(VLOOKUP($A588,[1]FINAL!$A$1:$Z$1000,MATCH([1]FINAL!$V$1,[1]FINAL!$A$1:$Z$1,0),0),"")</f>
        <v/>
      </c>
      <c r="E588" s="6">
        <f t="shared" si="45"/>
        <v>0</v>
      </c>
      <c r="F588" s="5">
        <f t="shared" si="46"/>
        <v>0</v>
      </c>
      <c r="G588" s="5">
        <f>IFERROR(IF(H588&lt;&gt;"",H588,VLOOKUP($A588,[1]FINAL!$A$1:$BZ$1000,MATCH([1]FINAL!$BL$1,[1]FINAL!$A$1:$BZ$1,0),0)),0)</f>
        <v>0</v>
      </c>
      <c r="I588" s="5">
        <f>IFERROR(IF(J588&lt;&gt;"",J588,(IF(VLOOKUP($A588,#REF!,MATCH(#REF!,#REF!,0),0)=0,G588,VLOOKUP($A588,#REF!,MATCH(#REF!,#REF!,0),0)))),G588)</f>
        <v>0</v>
      </c>
      <c r="K588" s="6">
        <f>IFERROR(VLOOKUP($A588,#REF!,MATCH(#REF!,#REF!,0),0),0)</f>
        <v>0</v>
      </c>
      <c r="L588" s="6">
        <f>IFERROR(VLOOKUP($A588,[1]FINAL!$A$1:$BZ$1000,MATCH([1]FINAL!$BF$1,[1]FINAL!$A$1:$BZ$1,0),0),0)</f>
        <v>0</v>
      </c>
      <c r="M588" s="7">
        <f t="shared" si="47"/>
        <v>0</v>
      </c>
      <c r="N588" s="6">
        <f>IFERROR(VLOOKUP($A588,#REF!,MATCH(#REF!,#REF!,0),0),0)</f>
        <v>0</v>
      </c>
      <c r="O588" s="7">
        <f t="shared" si="48"/>
        <v>0</v>
      </c>
      <c r="P588" s="10" t="str">
        <f>IFERROR(VLOOKUP($A588,[1]FINAL!$A$1:$BZ$1000,MATCH([1]FINAL!$BB$1,[1]FINAL!$A$1:$BZ$1,0),0),"")</f>
        <v/>
      </c>
      <c r="Q588" s="18">
        <f t="shared" si="49"/>
        <v>1</v>
      </c>
    </row>
    <row r="589" spans="1:17" x14ac:dyDescent="0.25">
      <c r="A589" s="14">
        <f>[1]FINAL!$A587</f>
        <v>0</v>
      </c>
      <c r="B589" s="20" t="str">
        <f>IFERROR(VLOOKUP($A589,[1]FINAL!$A$1:$Z$1000,MATCH([1]FINAL!$T$1,[1]FINAL!$A$1:$Z$1,0),0),"")</f>
        <v/>
      </c>
      <c r="C589" s="3" t="str">
        <f>IFERROR(VLOOKUP($A589,[1]FINAL!$A$1:$Z$1000,MATCH([1]FINAL!$U$1,[1]FINAL!$A$1:$Z$1,0),0),"")</f>
        <v/>
      </c>
      <c r="D589" s="3" t="str">
        <f>IFERROR(VLOOKUP($A589,[1]FINAL!$A$1:$Z$1000,MATCH([1]FINAL!$V$1,[1]FINAL!$A$1:$Z$1,0),0),"")</f>
        <v/>
      </c>
      <c r="E589" s="6">
        <f t="shared" si="45"/>
        <v>0</v>
      </c>
      <c r="F589" s="5">
        <f t="shared" si="46"/>
        <v>0</v>
      </c>
      <c r="G589" s="5">
        <f>IFERROR(IF(H589&lt;&gt;"",H589,VLOOKUP($A589,[1]FINAL!$A$1:$BZ$1000,MATCH([1]FINAL!$BL$1,[1]FINAL!$A$1:$BZ$1,0),0)),0)</f>
        <v>0</v>
      </c>
      <c r="I589" s="5">
        <f>IFERROR(IF(J589&lt;&gt;"",J589,(IF(VLOOKUP($A589,#REF!,MATCH(#REF!,#REF!,0),0)=0,G589,VLOOKUP($A589,#REF!,MATCH(#REF!,#REF!,0),0)))),G589)</f>
        <v>0</v>
      </c>
      <c r="K589" s="6">
        <f>IFERROR(VLOOKUP($A589,#REF!,MATCH(#REF!,#REF!,0),0),0)</f>
        <v>0</v>
      </c>
      <c r="L589" s="6">
        <f>IFERROR(VLOOKUP($A589,[1]FINAL!$A$1:$BZ$1000,MATCH([1]FINAL!$BF$1,[1]FINAL!$A$1:$BZ$1,0),0),0)</f>
        <v>0</v>
      </c>
      <c r="M589" s="7">
        <f t="shared" si="47"/>
        <v>0</v>
      </c>
      <c r="N589" s="6">
        <f>IFERROR(VLOOKUP($A589,#REF!,MATCH(#REF!,#REF!,0),0),0)</f>
        <v>0</v>
      </c>
      <c r="O589" s="7">
        <f t="shared" si="48"/>
        <v>0</v>
      </c>
      <c r="P589" s="10" t="str">
        <f>IFERROR(VLOOKUP($A589,[1]FINAL!$A$1:$BZ$1000,MATCH([1]FINAL!$BB$1,[1]FINAL!$A$1:$BZ$1,0),0),"")</f>
        <v/>
      </c>
      <c r="Q589" s="18">
        <f t="shared" si="49"/>
        <v>1</v>
      </c>
    </row>
    <row r="590" spans="1:17" x14ac:dyDescent="0.25">
      <c r="A590" s="14">
        <f>[1]FINAL!$A588</f>
        <v>0</v>
      </c>
      <c r="B590" s="20" t="str">
        <f>IFERROR(VLOOKUP($A590,[1]FINAL!$A$1:$Z$1000,MATCH([1]FINAL!$T$1,[1]FINAL!$A$1:$Z$1,0),0),"")</f>
        <v/>
      </c>
      <c r="C590" s="3" t="str">
        <f>IFERROR(VLOOKUP($A590,[1]FINAL!$A$1:$Z$1000,MATCH([1]FINAL!$U$1,[1]FINAL!$A$1:$Z$1,0),0),"")</f>
        <v/>
      </c>
      <c r="D590" s="3" t="str">
        <f>IFERROR(VLOOKUP($A590,[1]FINAL!$A$1:$Z$1000,MATCH([1]FINAL!$V$1,[1]FINAL!$A$1:$Z$1,0),0),"")</f>
        <v/>
      </c>
      <c r="E590" s="6">
        <f t="shared" si="45"/>
        <v>0</v>
      </c>
      <c r="F590" s="5">
        <f t="shared" si="46"/>
        <v>0</v>
      </c>
      <c r="G590" s="5">
        <f>IFERROR(IF(H590&lt;&gt;"",H590,VLOOKUP($A590,[1]FINAL!$A$1:$BZ$1000,MATCH([1]FINAL!$BL$1,[1]FINAL!$A$1:$BZ$1,0),0)),0)</f>
        <v>0</v>
      </c>
      <c r="I590" s="5">
        <f>IFERROR(IF(J590&lt;&gt;"",J590,(IF(VLOOKUP($A590,#REF!,MATCH(#REF!,#REF!,0),0)=0,G590,VLOOKUP($A590,#REF!,MATCH(#REF!,#REF!,0),0)))),G590)</f>
        <v>0</v>
      </c>
      <c r="K590" s="6">
        <f>IFERROR(VLOOKUP($A590,#REF!,MATCH(#REF!,#REF!,0),0),0)</f>
        <v>0</v>
      </c>
      <c r="L590" s="6">
        <f>IFERROR(VLOOKUP($A590,[1]FINAL!$A$1:$BZ$1000,MATCH([1]FINAL!$BF$1,[1]FINAL!$A$1:$BZ$1,0),0),0)</f>
        <v>0</v>
      </c>
      <c r="M590" s="7">
        <f t="shared" si="47"/>
        <v>0</v>
      </c>
      <c r="N590" s="6">
        <f>IFERROR(VLOOKUP($A590,#REF!,MATCH(#REF!,#REF!,0),0),0)</f>
        <v>0</v>
      </c>
      <c r="O590" s="7">
        <f t="shared" si="48"/>
        <v>0</v>
      </c>
      <c r="P590" s="10" t="str">
        <f>IFERROR(VLOOKUP($A590,[1]FINAL!$A$1:$BZ$1000,MATCH([1]FINAL!$BB$1,[1]FINAL!$A$1:$BZ$1,0),0),"")</f>
        <v/>
      </c>
      <c r="Q590" s="18">
        <f t="shared" si="49"/>
        <v>1</v>
      </c>
    </row>
    <row r="591" spans="1:17" x14ac:dyDescent="0.25">
      <c r="A591" s="14">
        <f>[1]FINAL!$A589</f>
        <v>0</v>
      </c>
      <c r="B591" s="20" t="str">
        <f>IFERROR(VLOOKUP($A591,[1]FINAL!$A$1:$Z$1000,MATCH([1]FINAL!$T$1,[1]FINAL!$A$1:$Z$1,0),0),"")</f>
        <v/>
      </c>
      <c r="C591" s="3" t="str">
        <f>IFERROR(VLOOKUP($A591,[1]FINAL!$A$1:$Z$1000,MATCH([1]FINAL!$U$1,[1]FINAL!$A$1:$Z$1,0),0),"")</f>
        <v/>
      </c>
      <c r="D591" s="3" t="str">
        <f>IFERROR(VLOOKUP($A591,[1]FINAL!$A$1:$Z$1000,MATCH([1]FINAL!$V$1,[1]FINAL!$A$1:$Z$1,0),0),"")</f>
        <v/>
      </c>
      <c r="E591" s="6">
        <f t="shared" si="45"/>
        <v>0</v>
      </c>
      <c r="F591" s="5">
        <f t="shared" si="46"/>
        <v>0</v>
      </c>
      <c r="G591" s="5">
        <f>IFERROR(IF(H591&lt;&gt;"",H591,VLOOKUP($A591,[1]FINAL!$A$1:$BZ$1000,MATCH([1]FINAL!$BL$1,[1]FINAL!$A$1:$BZ$1,0),0)),0)</f>
        <v>0</v>
      </c>
      <c r="I591" s="5">
        <f>IFERROR(IF(J591&lt;&gt;"",J591,(IF(VLOOKUP($A591,#REF!,MATCH(#REF!,#REF!,0),0)=0,G591,VLOOKUP($A591,#REF!,MATCH(#REF!,#REF!,0),0)))),G591)</f>
        <v>0</v>
      </c>
      <c r="K591" s="6">
        <f>IFERROR(VLOOKUP($A591,#REF!,MATCH(#REF!,#REF!,0),0),0)</f>
        <v>0</v>
      </c>
      <c r="L591" s="6">
        <f>IFERROR(VLOOKUP($A591,[1]FINAL!$A$1:$BZ$1000,MATCH([1]FINAL!$BF$1,[1]FINAL!$A$1:$BZ$1,0),0),0)</f>
        <v>0</v>
      </c>
      <c r="M591" s="7">
        <f t="shared" si="47"/>
        <v>0</v>
      </c>
      <c r="N591" s="6">
        <f>IFERROR(VLOOKUP($A591,#REF!,MATCH(#REF!,#REF!,0),0),0)</f>
        <v>0</v>
      </c>
      <c r="O591" s="7">
        <f t="shared" si="48"/>
        <v>0</v>
      </c>
      <c r="P591" s="10" t="str">
        <f>IFERROR(VLOOKUP($A591,[1]FINAL!$A$1:$BZ$1000,MATCH([1]FINAL!$BB$1,[1]FINAL!$A$1:$BZ$1,0),0),"")</f>
        <v/>
      </c>
      <c r="Q591" s="18">
        <f t="shared" si="49"/>
        <v>1</v>
      </c>
    </row>
    <row r="592" spans="1:17" x14ac:dyDescent="0.25">
      <c r="A592" s="14">
        <f>[1]FINAL!$A590</f>
        <v>0</v>
      </c>
      <c r="B592" s="20" t="str">
        <f>IFERROR(VLOOKUP($A592,[1]FINAL!$A$1:$Z$1000,MATCH([1]FINAL!$T$1,[1]FINAL!$A$1:$Z$1,0),0),"")</f>
        <v/>
      </c>
      <c r="C592" s="3" t="str">
        <f>IFERROR(VLOOKUP($A592,[1]FINAL!$A$1:$Z$1000,MATCH([1]FINAL!$U$1,[1]FINAL!$A$1:$Z$1,0),0),"")</f>
        <v/>
      </c>
      <c r="D592" s="3" t="str">
        <f>IFERROR(VLOOKUP($A592,[1]FINAL!$A$1:$Z$1000,MATCH([1]FINAL!$V$1,[1]FINAL!$A$1:$Z$1,0),0),"")</f>
        <v/>
      </c>
      <c r="E592" s="6">
        <f t="shared" si="45"/>
        <v>0</v>
      </c>
      <c r="F592" s="5">
        <f t="shared" si="46"/>
        <v>0</v>
      </c>
      <c r="G592" s="5">
        <f>IFERROR(IF(H592&lt;&gt;"",H592,VLOOKUP($A592,[1]FINAL!$A$1:$BZ$1000,MATCH([1]FINAL!$BL$1,[1]FINAL!$A$1:$BZ$1,0),0)),0)</f>
        <v>0</v>
      </c>
      <c r="I592" s="5">
        <f>IFERROR(IF(J592&lt;&gt;"",J592,(IF(VLOOKUP($A592,#REF!,MATCH(#REF!,#REF!,0),0)=0,G592,VLOOKUP($A592,#REF!,MATCH(#REF!,#REF!,0),0)))),G592)</f>
        <v>0</v>
      </c>
      <c r="K592" s="6">
        <f>IFERROR(VLOOKUP($A592,#REF!,MATCH(#REF!,#REF!,0),0),0)</f>
        <v>0</v>
      </c>
      <c r="L592" s="6">
        <f>IFERROR(VLOOKUP($A592,[1]FINAL!$A$1:$BZ$1000,MATCH([1]FINAL!$BF$1,[1]FINAL!$A$1:$BZ$1,0),0),0)</f>
        <v>0</v>
      </c>
      <c r="M592" s="7">
        <f t="shared" si="47"/>
        <v>0</v>
      </c>
      <c r="N592" s="6">
        <f>IFERROR(VLOOKUP($A592,#REF!,MATCH(#REF!,#REF!,0),0),0)</f>
        <v>0</v>
      </c>
      <c r="O592" s="7">
        <f t="shared" si="48"/>
        <v>0</v>
      </c>
      <c r="P592" s="10" t="str">
        <f>IFERROR(VLOOKUP($A592,[1]FINAL!$A$1:$BZ$1000,MATCH([1]FINAL!$BB$1,[1]FINAL!$A$1:$BZ$1,0),0),"")</f>
        <v/>
      </c>
      <c r="Q592" s="18">
        <f t="shared" si="49"/>
        <v>1</v>
      </c>
    </row>
    <row r="593" spans="1:17" x14ac:dyDescent="0.25">
      <c r="A593" s="14">
        <f>[1]FINAL!$A591</f>
        <v>0</v>
      </c>
      <c r="B593" s="20" t="str">
        <f>IFERROR(VLOOKUP($A593,[1]FINAL!$A$1:$Z$1000,MATCH([1]FINAL!$T$1,[1]FINAL!$A$1:$Z$1,0),0),"")</f>
        <v/>
      </c>
      <c r="C593" s="3" t="str">
        <f>IFERROR(VLOOKUP($A593,[1]FINAL!$A$1:$Z$1000,MATCH([1]FINAL!$U$1,[1]FINAL!$A$1:$Z$1,0),0),"")</f>
        <v/>
      </c>
      <c r="D593" s="3" t="str">
        <f>IFERROR(VLOOKUP($A593,[1]FINAL!$A$1:$Z$1000,MATCH([1]FINAL!$V$1,[1]FINAL!$A$1:$Z$1,0),0),"")</f>
        <v/>
      </c>
      <c r="E593" s="6">
        <f t="shared" si="45"/>
        <v>0</v>
      </c>
      <c r="F593" s="5">
        <f t="shared" si="46"/>
        <v>0</v>
      </c>
      <c r="G593" s="5">
        <f>IFERROR(IF(H593&lt;&gt;"",H593,VLOOKUP($A593,[1]FINAL!$A$1:$BZ$1000,MATCH([1]FINAL!$BL$1,[1]FINAL!$A$1:$BZ$1,0),0)),0)</f>
        <v>0</v>
      </c>
      <c r="I593" s="5">
        <f>IFERROR(IF(J593&lt;&gt;"",J593,(IF(VLOOKUP($A593,#REF!,MATCH(#REF!,#REF!,0),0)=0,G593,VLOOKUP($A593,#REF!,MATCH(#REF!,#REF!,0),0)))),G593)</f>
        <v>0</v>
      </c>
      <c r="K593" s="6">
        <f>IFERROR(VLOOKUP($A593,#REF!,MATCH(#REF!,#REF!,0),0),0)</f>
        <v>0</v>
      </c>
      <c r="L593" s="6">
        <f>IFERROR(VLOOKUP($A593,[1]FINAL!$A$1:$BZ$1000,MATCH([1]FINAL!$BF$1,[1]FINAL!$A$1:$BZ$1,0),0),0)</f>
        <v>0</v>
      </c>
      <c r="M593" s="7">
        <f t="shared" si="47"/>
        <v>0</v>
      </c>
      <c r="N593" s="6">
        <f>IFERROR(VLOOKUP($A593,#REF!,MATCH(#REF!,#REF!,0),0),0)</f>
        <v>0</v>
      </c>
      <c r="O593" s="7">
        <f t="shared" si="48"/>
        <v>0</v>
      </c>
      <c r="P593" s="10" t="str">
        <f>IFERROR(VLOOKUP($A593,[1]FINAL!$A$1:$BZ$1000,MATCH([1]FINAL!$BB$1,[1]FINAL!$A$1:$BZ$1,0),0),"")</f>
        <v/>
      </c>
      <c r="Q593" s="18">
        <f t="shared" si="49"/>
        <v>1</v>
      </c>
    </row>
    <row r="594" spans="1:17" x14ac:dyDescent="0.25">
      <c r="A594" s="14">
        <f>[1]FINAL!$A592</f>
        <v>0</v>
      </c>
      <c r="B594" s="20" t="str">
        <f>IFERROR(VLOOKUP($A594,[1]FINAL!$A$1:$Z$1000,MATCH([1]FINAL!$T$1,[1]FINAL!$A$1:$Z$1,0),0),"")</f>
        <v/>
      </c>
      <c r="C594" s="3" t="str">
        <f>IFERROR(VLOOKUP($A594,[1]FINAL!$A$1:$Z$1000,MATCH([1]FINAL!$U$1,[1]FINAL!$A$1:$Z$1,0),0),"")</f>
        <v/>
      </c>
      <c r="D594" s="3" t="str">
        <f>IFERROR(VLOOKUP($A594,[1]FINAL!$A$1:$Z$1000,MATCH([1]FINAL!$V$1,[1]FINAL!$A$1:$Z$1,0),0),"")</f>
        <v/>
      </c>
      <c r="E594" s="6">
        <f t="shared" si="45"/>
        <v>0</v>
      </c>
      <c r="F594" s="5">
        <f t="shared" si="46"/>
        <v>0</v>
      </c>
      <c r="G594" s="5">
        <f>IFERROR(IF(H594&lt;&gt;"",H594,VLOOKUP($A594,[1]FINAL!$A$1:$BZ$1000,MATCH([1]FINAL!$BL$1,[1]FINAL!$A$1:$BZ$1,0),0)),0)</f>
        <v>0</v>
      </c>
      <c r="I594" s="5">
        <f>IFERROR(IF(J594&lt;&gt;"",J594,(IF(VLOOKUP($A594,#REF!,MATCH(#REF!,#REF!,0),0)=0,G594,VLOOKUP($A594,#REF!,MATCH(#REF!,#REF!,0),0)))),G594)</f>
        <v>0</v>
      </c>
      <c r="K594" s="6">
        <f>IFERROR(VLOOKUP($A594,#REF!,MATCH(#REF!,#REF!,0),0),0)</f>
        <v>0</v>
      </c>
      <c r="L594" s="6">
        <f>IFERROR(VLOOKUP($A594,[1]FINAL!$A$1:$BZ$1000,MATCH([1]FINAL!$BF$1,[1]FINAL!$A$1:$BZ$1,0),0),0)</f>
        <v>0</v>
      </c>
      <c r="M594" s="7">
        <f t="shared" si="47"/>
        <v>0</v>
      </c>
      <c r="N594" s="6">
        <f>IFERROR(VLOOKUP($A594,#REF!,MATCH(#REF!,#REF!,0),0),0)</f>
        <v>0</v>
      </c>
      <c r="O594" s="7">
        <f t="shared" si="48"/>
        <v>0</v>
      </c>
      <c r="P594" s="10" t="str">
        <f>IFERROR(VLOOKUP($A594,[1]FINAL!$A$1:$BZ$1000,MATCH([1]FINAL!$BB$1,[1]FINAL!$A$1:$BZ$1,0),0),"")</f>
        <v/>
      </c>
      <c r="Q594" s="18">
        <f t="shared" si="49"/>
        <v>1</v>
      </c>
    </row>
    <row r="595" spans="1:17" x14ac:dyDescent="0.25">
      <c r="A595" s="14">
        <f>[1]FINAL!$A593</f>
        <v>0</v>
      </c>
      <c r="B595" s="20" t="str">
        <f>IFERROR(VLOOKUP($A595,[1]FINAL!$A$1:$Z$1000,MATCH([1]FINAL!$T$1,[1]FINAL!$A$1:$Z$1,0),0),"")</f>
        <v/>
      </c>
      <c r="C595" s="3" t="str">
        <f>IFERROR(VLOOKUP($A595,[1]FINAL!$A$1:$Z$1000,MATCH([1]FINAL!$U$1,[1]FINAL!$A$1:$Z$1,0),0),"")</f>
        <v/>
      </c>
      <c r="D595" s="3" t="str">
        <f>IFERROR(VLOOKUP($A595,[1]FINAL!$A$1:$Z$1000,MATCH([1]FINAL!$V$1,[1]FINAL!$A$1:$Z$1,0),0),"")</f>
        <v/>
      </c>
      <c r="E595" s="6">
        <f t="shared" si="45"/>
        <v>0</v>
      </c>
      <c r="F595" s="5">
        <f t="shared" si="46"/>
        <v>0</v>
      </c>
      <c r="G595" s="5">
        <f>IFERROR(IF(H595&lt;&gt;"",H595,VLOOKUP($A595,[1]FINAL!$A$1:$BZ$1000,MATCH([1]FINAL!$BL$1,[1]FINAL!$A$1:$BZ$1,0),0)),0)</f>
        <v>0</v>
      </c>
      <c r="I595" s="5">
        <f>IFERROR(IF(J595&lt;&gt;"",J595,(IF(VLOOKUP($A595,#REF!,MATCH(#REF!,#REF!,0),0)=0,G595,VLOOKUP($A595,#REF!,MATCH(#REF!,#REF!,0),0)))),G595)</f>
        <v>0</v>
      </c>
      <c r="K595" s="6">
        <f>IFERROR(VLOOKUP($A595,#REF!,MATCH(#REF!,#REF!,0),0),0)</f>
        <v>0</v>
      </c>
      <c r="L595" s="6">
        <f>IFERROR(VLOOKUP($A595,[1]FINAL!$A$1:$BZ$1000,MATCH([1]FINAL!$BF$1,[1]FINAL!$A$1:$BZ$1,0),0),0)</f>
        <v>0</v>
      </c>
      <c r="M595" s="7">
        <f t="shared" si="47"/>
        <v>0</v>
      </c>
      <c r="N595" s="6">
        <f>IFERROR(VLOOKUP($A595,#REF!,MATCH(#REF!,#REF!,0),0),0)</f>
        <v>0</v>
      </c>
      <c r="O595" s="7">
        <f t="shared" si="48"/>
        <v>0</v>
      </c>
      <c r="P595" s="10" t="str">
        <f>IFERROR(VLOOKUP($A595,[1]FINAL!$A$1:$BZ$1000,MATCH([1]FINAL!$BB$1,[1]FINAL!$A$1:$BZ$1,0),0),"")</f>
        <v/>
      </c>
      <c r="Q595" s="18">
        <f t="shared" si="49"/>
        <v>1</v>
      </c>
    </row>
    <row r="596" spans="1:17" x14ac:dyDescent="0.25">
      <c r="A596" s="14">
        <f>[1]FINAL!$A594</f>
        <v>0</v>
      </c>
      <c r="B596" s="20" t="str">
        <f>IFERROR(VLOOKUP($A596,[1]FINAL!$A$1:$Z$1000,MATCH([1]FINAL!$T$1,[1]FINAL!$A$1:$Z$1,0),0),"")</f>
        <v/>
      </c>
      <c r="C596" s="3" t="str">
        <f>IFERROR(VLOOKUP($A596,[1]FINAL!$A$1:$Z$1000,MATCH([1]FINAL!$U$1,[1]FINAL!$A$1:$Z$1,0),0),"")</f>
        <v/>
      </c>
      <c r="D596" s="3" t="str">
        <f>IFERROR(VLOOKUP($A596,[1]FINAL!$A$1:$Z$1000,MATCH([1]FINAL!$V$1,[1]FINAL!$A$1:$Z$1,0),0),"")</f>
        <v/>
      </c>
      <c r="E596" s="6">
        <f t="shared" si="45"/>
        <v>0</v>
      </c>
      <c r="F596" s="5">
        <f t="shared" si="46"/>
        <v>0</v>
      </c>
      <c r="G596" s="5">
        <f>IFERROR(IF(H596&lt;&gt;"",H596,VLOOKUP($A596,[1]FINAL!$A$1:$BZ$1000,MATCH([1]FINAL!$BL$1,[1]FINAL!$A$1:$BZ$1,0),0)),0)</f>
        <v>0</v>
      </c>
      <c r="I596" s="5">
        <f>IFERROR(IF(J596&lt;&gt;"",J596,(IF(VLOOKUP($A596,#REF!,MATCH(#REF!,#REF!,0),0)=0,G596,VLOOKUP($A596,#REF!,MATCH(#REF!,#REF!,0),0)))),G596)</f>
        <v>0</v>
      </c>
      <c r="K596" s="6">
        <f>IFERROR(VLOOKUP($A596,#REF!,MATCH(#REF!,#REF!,0),0),0)</f>
        <v>0</v>
      </c>
      <c r="L596" s="6">
        <f>IFERROR(VLOOKUP($A596,[1]FINAL!$A$1:$BZ$1000,MATCH([1]FINAL!$BF$1,[1]FINAL!$A$1:$BZ$1,0),0),0)</f>
        <v>0</v>
      </c>
      <c r="M596" s="7">
        <f t="shared" si="47"/>
        <v>0</v>
      </c>
      <c r="N596" s="6">
        <f>IFERROR(VLOOKUP($A596,#REF!,MATCH(#REF!,#REF!,0),0),0)</f>
        <v>0</v>
      </c>
      <c r="O596" s="7">
        <f t="shared" si="48"/>
        <v>0</v>
      </c>
      <c r="P596" s="10" t="str">
        <f>IFERROR(VLOOKUP($A596,[1]FINAL!$A$1:$BZ$1000,MATCH([1]FINAL!$BB$1,[1]FINAL!$A$1:$BZ$1,0),0),"")</f>
        <v/>
      </c>
      <c r="Q596" s="18">
        <f t="shared" si="49"/>
        <v>1</v>
      </c>
    </row>
    <row r="597" spans="1:17" x14ac:dyDescent="0.25">
      <c r="A597" s="14">
        <f>[1]FINAL!$A595</f>
        <v>0</v>
      </c>
      <c r="B597" s="20" t="str">
        <f>IFERROR(VLOOKUP($A597,[1]FINAL!$A$1:$Z$1000,MATCH([1]FINAL!$T$1,[1]FINAL!$A$1:$Z$1,0),0),"")</f>
        <v/>
      </c>
      <c r="C597" s="3" t="str">
        <f>IFERROR(VLOOKUP($A597,[1]FINAL!$A$1:$Z$1000,MATCH([1]FINAL!$U$1,[1]FINAL!$A$1:$Z$1,0),0),"")</f>
        <v/>
      </c>
      <c r="D597" s="3" t="str">
        <f>IFERROR(VLOOKUP($A597,[1]FINAL!$A$1:$Z$1000,MATCH([1]FINAL!$V$1,[1]FINAL!$A$1:$Z$1,0),0),"")</f>
        <v/>
      </c>
      <c r="E597" s="6">
        <f t="shared" si="45"/>
        <v>0</v>
      </c>
      <c r="F597" s="5">
        <f t="shared" si="46"/>
        <v>0</v>
      </c>
      <c r="G597" s="5">
        <f>IFERROR(IF(H597&lt;&gt;"",H597,VLOOKUP($A597,[1]FINAL!$A$1:$BZ$1000,MATCH([1]FINAL!$BL$1,[1]FINAL!$A$1:$BZ$1,0),0)),0)</f>
        <v>0</v>
      </c>
      <c r="I597" s="5">
        <f>IFERROR(IF(J597&lt;&gt;"",J597,(IF(VLOOKUP($A597,#REF!,MATCH(#REF!,#REF!,0),0)=0,G597,VLOOKUP($A597,#REF!,MATCH(#REF!,#REF!,0),0)))),G597)</f>
        <v>0</v>
      </c>
      <c r="K597" s="6">
        <f>IFERROR(VLOOKUP($A597,#REF!,MATCH(#REF!,#REF!,0),0),0)</f>
        <v>0</v>
      </c>
      <c r="L597" s="6">
        <f>IFERROR(VLOOKUP($A597,[1]FINAL!$A$1:$BZ$1000,MATCH([1]FINAL!$BF$1,[1]FINAL!$A$1:$BZ$1,0),0),0)</f>
        <v>0</v>
      </c>
      <c r="M597" s="7">
        <f t="shared" si="47"/>
        <v>0</v>
      </c>
      <c r="N597" s="6">
        <f>IFERROR(VLOOKUP($A597,#REF!,MATCH(#REF!,#REF!,0),0),0)</f>
        <v>0</v>
      </c>
      <c r="O597" s="7">
        <f t="shared" si="48"/>
        <v>0</v>
      </c>
      <c r="P597" s="10" t="str">
        <f>IFERROR(VLOOKUP($A597,[1]FINAL!$A$1:$BZ$1000,MATCH([1]FINAL!$BB$1,[1]FINAL!$A$1:$BZ$1,0),0),"")</f>
        <v/>
      </c>
      <c r="Q597" s="18">
        <f t="shared" si="49"/>
        <v>1</v>
      </c>
    </row>
    <row r="598" spans="1:17" x14ac:dyDescent="0.25">
      <c r="A598" s="14">
        <f>[1]FINAL!$A596</f>
        <v>0</v>
      </c>
      <c r="B598" s="20" t="str">
        <f>IFERROR(VLOOKUP($A598,[1]FINAL!$A$1:$Z$1000,MATCH([1]FINAL!$T$1,[1]FINAL!$A$1:$Z$1,0),0),"")</f>
        <v/>
      </c>
      <c r="C598" s="3" t="str">
        <f>IFERROR(VLOOKUP($A598,[1]FINAL!$A$1:$Z$1000,MATCH([1]FINAL!$U$1,[1]FINAL!$A$1:$Z$1,0),0),"")</f>
        <v/>
      </c>
      <c r="D598" s="3" t="str">
        <f>IFERROR(VLOOKUP($A598,[1]FINAL!$A$1:$Z$1000,MATCH([1]FINAL!$V$1,[1]FINAL!$A$1:$Z$1,0),0),"")</f>
        <v/>
      </c>
      <c r="E598" s="6">
        <f t="shared" si="45"/>
        <v>0</v>
      </c>
      <c r="F598" s="5">
        <f t="shared" si="46"/>
        <v>0</v>
      </c>
      <c r="G598" s="5">
        <f>IFERROR(IF(H598&lt;&gt;"",H598,VLOOKUP($A598,[1]FINAL!$A$1:$BZ$1000,MATCH([1]FINAL!$BL$1,[1]FINAL!$A$1:$BZ$1,0),0)),0)</f>
        <v>0</v>
      </c>
      <c r="I598" s="5">
        <f>IFERROR(IF(J598&lt;&gt;"",J598,(IF(VLOOKUP($A598,#REF!,MATCH(#REF!,#REF!,0),0)=0,G598,VLOOKUP($A598,#REF!,MATCH(#REF!,#REF!,0),0)))),G598)</f>
        <v>0</v>
      </c>
      <c r="K598" s="6">
        <f>IFERROR(VLOOKUP($A598,#REF!,MATCH(#REF!,#REF!,0),0),0)</f>
        <v>0</v>
      </c>
      <c r="L598" s="6">
        <f>IFERROR(VLOOKUP($A598,[1]FINAL!$A$1:$BZ$1000,MATCH([1]FINAL!$BF$1,[1]FINAL!$A$1:$BZ$1,0),0),0)</f>
        <v>0</v>
      </c>
      <c r="M598" s="7">
        <f t="shared" si="47"/>
        <v>0</v>
      </c>
      <c r="N598" s="6">
        <f>IFERROR(VLOOKUP($A598,#REF!,MATCH(#REF!,#REF!,0),0),0)</f>
        <v>0</v>
      </c>
      <c r="O598" s="7">
        <f t="shared" si="48"/>
        <v>0</v>
      </c>
      <c r="P598" s="10" t="str">
        <f>IFERROR(VLOOKUP($A598,[1]FINAL!$A$1:$BZ$1000,MATCH([1]FINAL!$BB$1,[1]FINAL!$A$1:$BZ$1,0),0),"")</f>
        <v/>
      </c>
      <c r="Q598" s="18">
        <f t="shared" si="49"/>
        <v>1</v>
      </c>
    </row>
    <row r="599" spans="1:17" x14ac:dyDescent="0.25">
      <c r="A599" s="14">
        <f>[1]FINAL!$A597</f>
        <v>0</v>
      </c>
      <c r="B599" s="20" t="str">
        <f>IFERROR(VLOOKUP($A599,[1]FINAL!$A$1:$Z$1000,MATCH([1]FINAL!$T$1,[1]FINAL!$A$1:$Z$1,0),0),"")</f>
        <v/>
      </c>
      <c r="C599" s="3" t="str">
        <f>IFERROR(VLOOKUP($A599,[1]FINAL!$A$1:$Z$1000,MATCH([1]FINAL!$U$1,[1]FINAL!$A$1:$Z$1,0),0),"")</f>
        <v/>
      </c>
      <c r="D599" s="3" t="str">
        <f>IFERROR(VLOOKUP($A599,[1]FINAL!$A$1:$Z$1000,MATCH([1]FINAL!$V$1,[1]FINAL!$A$1:$Z$1,0),0),"")</f>
        <v/>
      </c>
      <c r="E599" s="6">
        <f t="shared" si="45"/>
        <v>0</v>
      </c>
      <c r="F599" s="5">
        <f t="shared" si="46"/>
        <v>0</v>
      </c>
      <c r="G599" s="5">
        <f>IFERROR(IF(H599&lt;&gt;"",H599,VLOOKUP($A599,[1]FINAL!$A$1:$BZ$1000,MATCH([1]FINAL!$BL$1,[1]FINAL!$A$1:$BZ$1,0),0)),0)</f>
        <v>0</v>
      </c>
      <c r="I599" s="5">
        <f>IFERROR(IF(J599&lt;&gt;"",J599,(IF(VLOOKUP($A599,#REF!,MATCH(#REF!,#REF!,0),0)=0,G599,VLOOKUP($A599,#REF!,MATCH(#REF!,#REF!,0),0)))),G599)</f>
        <v>0</v>
      </c>
      <c r="K599" s="6">
        <f>IFERROR(VLOOKUP($A599,#REF!,MATCH(#REF!,#REF!,0),0),0)</f>
        <v>0</v>
      </c>
      <c r="L599" s="6">
        <f>IFERROR(VLOOKUP($A599,[1]FINAL!$A$1:$BZ$1000,MATCH([1]FINAL!$BF$1,[1]FINAL!$A$1:$BZ$1,0),0),0)</f>
        <v>0</v>
      </c>
      <c r="M599" s="7">
        <f t="shared" si="47"/>
        <v>0</v>
      </c>
      <c r="N599" s="6">
        <f>IFERROR(VLOOKUP($A599,#REF!,MATCH(#REF!,#REF!,0),0),0)</f>
        <v>0</v>
      </c>
      <c r="O599" s="7">
        <f t="shared" si="48"/>
        <v>0</v>
      </c>
      <c r="P599" s="10" t="str">
        <f>IFERROR(VLOOKUP($A599,[1]FINAL!$A$1:$BZ$1000,MATCH([1]FINAL!$BB$1,[1]FINAL!$A$1:$BZ$1,0),0),"")</f>
        <v/>
      </c>
      <c r="Q599" s="18">
        <f t="shared" si="49"/>
        <v>1</v>
      </c>
    </row>
    <row r="600" spans="1:17" x14ac:dyDescent="0.25">
      <c r="A600" s="14">
        <f>[1]FINAL!$A598</f>
        <v>0</v>
      </c>
      <c r="B600" s="20" t="str">
        <f>IFERROR(VLOOKUP($A600,[1]FINAL!$A$1:$Z$1000,MATCH([1]FINAL!$T$1,[1]FINAL!$A$1:$Z$1,0),0),"")</f>
        <v/>
      </c>
      <c r="C600" s="3" t="str">
        <f>IFERROR(VLOOKUP($A600,[1]FINAL!$A$1:$Z$1000,MATCH([1]FINAL!$U$1,[1]FINAL!$A$1:$Z$1,0),0),"")</f>
        <v/>
      </c>
      <c r="D600" s="3" t="str">
        <f>IFERROR(VLOOKUP($A600,[1]FINAL!$A$1:$Z$1000,MATCH([1]FINAL!$V$1,[1]FINAL!$A$1:$Z$1,0),0),"")</f>
        <v/>
      </c>
      <c r="E600" s="6">
        <f t="shared" si="45"/>
        <v>0</v>
      </c>
      <c r="F600" s="5">
        <f t="shared" si="46"/>
        <v>0</v>
      </c>
      <c r="G600" s="5">
        <f>IFERROR(IF(H600&lt;&gt;"",H600,VLOOKUP($A600,[1]FINAL!$A$1:$BZ$1000,MATCH([1]FINAL!$BL$1,[1]FINAL!$A$1:$BZ$1,0),0)),0)</f>
        <v>0</v>
      </c>
      <c r="I600" s="5">
        <f>IFERROR(IF(J600&lt;&gt;"",J600,(IF(VLOOKUP($A600,#REF!,MATCH(#REF!,#REF!,0),0)=0,G600,VLOOKUP($A600,#REF!,MATCH(#REF!,#REF!,0),0)))),G600)</f>
        <v>0</v>
      </c>
      <c r="K600" s="6">
        <f>IFERROR(VLOOKUP($A600,#REF!,MATCH(#REF!,#REF!,0),0),0)</f>
        <v>0</v>
      </c>
      <c r="L600" s="6">
        <f>IFERROR(VLOOKUP($A600,[1]FINAL!$A$1:$BZ$1000,MATCH([1]FINAL!$BF$1,[1]FINAL!$A$1:$BZ$1,0),0),0)</f>
        <v>0</v>
      </c>
      <c r="M600" s="7">
        <f t="shared" si="47"/>
        <v>0</v>
      </c>
      <c r="N600" s="6">
        <f>IFERROR(VLOOKUP($A600,#REF!,MATCH(#REF!,#REF!,0),0),0)</f>
        <v>0</v>
      </c>
      <c r="O600" s="7">
        <f t="shared" si="48"/>
        <v>0</v>
      </c>
      <c r="P600" s="10" t="str">
        <f>IFERROR(VLOOKUP($A600,[1]FINAL!$A$1:$BZ$1000,MATCH([1]FINAL!$BB$1,[1]FINAL!$A$1:$BZ$1,0),0),"")</f>
        <v/>
      </c>
      <c r="Q600" s="18">
        <f t="shared" si="49"/>
        <v>1</v>
      </c>
    </row>
    <row r="601" spans="1:17" x14ac:dyDescent="0.25">
      <c r="A601" s="14">
        <f>[1]FINAL!$A599</f>
        <v>0</v>
      </c>
      <c r="B601" s="20" t="str">
        <f>IFERROR(VLOOKUP($A601,[1]FINAL!$A$1:$Z$1000,MATCH([1]FINAL!$T$1,[1]FINAL!$A$1:$Z$1,0),0),"")</f>
        <v/>
      </c>
      <c r="C601" s="3" t="str">
        <f>IFERROR(VLOOKUP($A601,[1]FINAL!$A$1:$Z$1000,MATCH([1]FINAL!$U$1,[1]FINAL!$A$1:$Z$1,0),0),"")</f>
        <v/>
      </c>
      <c r="D601" s="3" t="str">
        <f>IFERROR(VLOOKUP($A601,[1]FINAL!$A$1:$Z$1000,MATCH([1]FINAL!$V$1,[1]FINAL!$A$1:$Z$1,0),0),"")</f>
        <v/>
      </c>
      <c r="E601" s="6">
        <f t="shared" si="45"/>
        <v>0</v>
      </c>
      <c r="F601" s="5">
        <f t="shared" si="46"/>
        <v>0</v>
      </c>
      <c r="G601" s="5">
        <f>IFERROR(IF(H601&lt;&gt;"",H601,VLOOKUP($A601,[1]FINAL!$A$1:$BZ$1000,MATCH([1]FINAL!$BL$1,[1]FINAL!$A$1:$BZ$1,0),0)),0)</f>
        <v>0</v>
      </c>
      <c r="I601" s="5">
        <f>IFERROR(IF(J601&lt;&gt;"",J601,(IF(VLOOKUP($A601,#REF!,MATCH(#REF!,#REF!,0),0)=0,G601,VLOOKUP($A601,#REF!,MATCH(#REF!,#REF!,0),0)))),G601)</f>
        <v>0</v>
      </c>
      <c r="K601" s="6">
        <f>IFERROR(VLOOKUP($A601,#REF!,MATCH(#REF!,#REF!,0),0),0)</f>
        <v>0</v>
      </c>
      <c r="L601" s="6">
        <f>IFERROR(VLOOKUP($A601,[1]FINAL!$A$1:$BZ$1000,MATCH([1]FINAL!$BF$1,[1]FINAL!$A$1:$BZ$1,0),0),0)</f>
        <v>0</v>
      </c>
      <c r="M601" s="7">
        <f t="shared" si="47"/>
        <v>0</v>
      </c>
      <c r="N601" s="6">
        <f>IFERROR(VLOOKUP($A601,#REF!,MATCH(#REF!,#REF!,0),0),0)</f>
        <v>0</v>
      </c>
      <c r="O601" s="7">
        <f t="shared" si="48"/>
        <v>0</v>
      </c>
      <c r="P601" s="10" t="str">
        <f>IFERROR(VLOOKUP($A601,[1]FINAL!$A$1:$BZ$1000,MATCH([1]FINAL!$BB$1,[1]FINAL!$A$1:$BZ$1,0),0),"")</f>
        <v/>
      </c>
      <c r="Q601" s="18">
        <f t="shared" si="49"/>
        <v>1</v>
      </c>
    </row>
    <row r="602" spans="1:17" x14ac:dyDescent="0.25">
      <c r="A602" s="14">
        <f>[1]FINAL!$A600</f>
        <v>0</v>
      </c>
      <c r="B602" s="20" t="str">
        <f>IFERROR(VLOOKUP($A602,[1]FINAL!$A$1:$Z$1000,MATCH([1]FINAL!$T$1,[1]FINAL!$A$1:$Z$1,0),0),"")</f>
        <v/>
      </c>
      <c r="C602" s="3" t="str">
        <f>IFERROR(VLOOKUP($A602,[1]FINAL!$A$1:$Z$1000,MATCH([1]FINAL!$U$1,[1]FINAL!$A$1:$Z$1,0),0),"")</f>
        <v/>
      </c>
      <c r="D602" s="3" t="str">
        <f>IFERROR(VLOOKUP($A602,[1]FINAL!$A$1:$Z$1000,MATCH([1]FINAL!$V$1,[1]FINAL!$A$1:$Z$1,0),0),"")</f>
        <v/>
      </c>
      <c r="E602" s="6">
        <f t="shared" si="45"/>
        <v>0</v>
      </c>
      <c r="F602" s="5">
        <f t="shared" si="46"/>
        <v>0</v>
      </c>
      <c r="G602" s="5">
        <f>IFERROR(IF(H602&lt;&gt;"",H602,VLOOKUP($A602,[1]FINAL!$A$1:$BZ$1000,MATCH([1]FINAL!$BL$1,[1]FINAL!$A$1:$BZ$1,0),0)),0)</f>
        <v>0</v>
      </c>
      <c r="I602" s="5">
        <f>IFERROR(IF(J602&lt;&gt;"",J602,(IF(VLOOKUP($A602,#REF!,MATCH(#REF!,#REF!,0),0)=0,G602,VLOOKUP($A602,#REF!,MATCH(#REF!,#REF!,0),0)))),G602)</f>
        <v>0</v>
      </c>
      <c r="K602" s="6">
        <f>IFERROR(VLOOKUP($A602,#REF!,MATCH(#REF!,#REF!,0),0),0)</f>
        <v>0</v>
      </c>
      <c r="L602" s="6">
        <f>IFERROR(VLOOKUP($A602,[1]FINAL!$A$1:$BZ$1000,MATCH([1]FINAL!$BF$1,[1]FINAL!$A$1:$BZ$1,0),0),0)</f>
        <v>0</v>
      </c>
      <c r="M602" s="7">
        <f t="shared" si="47"/>
        <v>0</v>
      </c>
      <c r="N602" s="6">
        <f>IFERROR(VLOOKUP($A602,#REF!,MATCH(#REF!,#REF!,0),0),0)</f>
        <v>0</v>
      </c>
      <c r="O602" s="7">
        <f t="shared" si="48"/>
        <v>0</v>
      </c>
      <c r="P602" s="10" t="str">
        <f>IFERROR(VLOOKUP($A602,[1]FINAL!$A$1:$BZ$1000,MATCH([1]FINAL!$BB$1,[1]FINAL!$A$1:$BZ$1,0),0),"")</f>
        <v/>
      </c>
      <c r="Q602" s="18">
        <f t="shared" si="49"/>
        <v>1</v>
      </c>
    </row>
    <row r="603" spans="1:17" x14ac:dyDescent="0.25">
      <c r="A603" s="14">
        <f>[1]FINAL!$A601</f>
        <v>0</v>
      </c>
      <c r="B603" s="20" t="str">
        <f>IFERROR(VLOOKUP($A603,[1]FINAL!$A$1:$Z$1000,MATCH([1]FINAL!$T$1,[1]FINAL!$A$1:$Z$1,0),0),"")</f>
        <v/>
      </c>
      <c r="C603" s="3" t="str">
        <f>IFERROR(VLOOKUP($A603,[1]FINAL!$A$1:$Z$1000,MATCH([1]FINAL!$U$1,[1]FINAL!$A$1:$Z$1,0),0),"")</f>
        <v/>
      </c>
      <c r="D603" s="3" t="str">
        <f>IFERROR(VLOOKUP($A603,[1]FINAL!$A$1:$Z$1000,MATCH([1]FINAL!$V$1,[1]FINAL!$A$1:$Z$1,0),0),"")</f>
        <v/>
      </c>
      <c r="E603" s="6">
        <f t="shared" si="45"/>
        <v>0</v>
      </c>
      <c r="F603" s="5">
        <f t="shared" si="46"/>
        <v>0</v>
      </c>
      <c r="G603" s="5">
        <f>IFERROR(IF(H603&lt;&gt;"",H603,VLOOKUP($A603,[1]FINAL!$A$1:$BZ$1000,MATCH([1]FINAL!$BL$1,[1]FINAL!$A$1:$BZ$1,0),0)),0)</f>
        <v>0</v>
      </c>
      <c r="I603" s="5">
        <f>IFERROR(IF(J603&lt;&gt;"",J603,(IF(VLOOKUP($A603,#REF!,MATCH(#REF!,#REF!,0),0)=0,G603,VLOOKUP($A603,#REF!,MATCH(#REF!,#REF!,0),0)))),G603)</f>
        <v>0</v>
      </c>
      <c r="K603" s="6">
        <f>IFERROR(VLOOKUP($A603,#REF!,MATCH(#REF!,#REF!,0),0),0)</f>
        <v>0</v>
      </c>
      <c r="L603" s="6">
        <f>IFERROR(VLOOKUP($A603,[1]FINAL!$A$1:$BZ$1000,MATCH([1]FINAL!$BF$1,[1]FINAL!$A$1:$BZ$1,0),0),0)</f>
        <v>0</v>
      </c>
      <c r="M603" s="7">
        <f t="shared" si="47"/>
        <v>0</v>
      </c>
      <c r="N603" s="6">
        <f>IFERROR(VLOOKUP($A603,#REF!,MATCH(#REF!,#REF!,0),0),0)</f>
        <v>0</v>
      </c>
      <c r="O603" s="7">
        <f t="shared" si="48"/>
        <v>0</v>
      </c>
      <c r="P603" s="10" t="str">
        <f>IFERROR(VLOOKUP($A603,[1]FINAL!$A$1:$BZ$1000,MATCH([1]FINAL!$BB$1,[1]FINAL!$A$1:$BZ$1,0),0),"")</f>
        <v/>
      </c>
      <c r="Q603" s="18">
        <f t="shared" si="49"/>
        <v>1</v>
      </c>
    </row>
    <row r="604" spans="1:17" x14ac:dyDescent="0.25">
      <c r="A604" s="14">
        <f>[1]FINAL!$A602</f>
        <v>0</v>
      </c>
      <c r="B604" s="20" t="str">
        <f>IFERROR(VLOOKUP($A604,[1]FINAL!$A$1:$Z$1000,MATCH([1]FINAL!$T$1,[1]FINAL!$A$1:$Z$1,0),0),"")</f>
        <v/>
      </c>
      <c r="C604" s="3" t="str">
        <f>IFERROR(VLOOKUP($A604,[1]FINAL!$A$1:$Z$1000,MATCH([1]FINAL!$U$1,[1]FINAL!$A$1:$Z$1,0),0),"")</f>
        <v/>
      </c>
      <c r="D604" s="3" t="str">
        <f>IFERROR(VLOOKUP($A604,[1]FINAL!$A$1:$Z$1000,MATCH([1]FINAL!$V$1,[1]FINAL!$A$1:$Z$1,0),0),"")</f>
        <v/>
      </c>
      <c r="E604" s="6">
        <f t="shared" si="45"/>
        <v>0</v>
      </c>
      <c r="F604" s="5">
        <f t="shared" si="46"/>
        <v>0</v>
      </c>
      <c r="G604" s="5">
        <f>IFERROR(IF(H604&lt;&gt;"",H604,VLOOKUP($A604,[1]FINAL!$A$1:$BZ$1000,MATCH([1]FINAL!$BL$1,[1]FINAL!$A$1:$BZ$1,0),0)),0)</f>
        <v>0</v>
      </c>
      <c r="I604" s="5">
        <f>IFERROR(IF(J604&lt;&gt;"",J604,(IF(VLOOKUP($A604,#REF!,MATCH(#REF!,#REF!,0),0)=0,G604,VLOOKUP($A604,#REF!,MATCH(#REF!,#REF!,0),0)))),G604)</f>
        <v>0</v>
      </c>
      <c r="K604" s="6">
        <f>IFERROR(VLOOKUP($A604,#REF!,MATCH(#REF!,#REF!,0),0),0)</f>
        <v>0</v>
      </c>
      <c r="L604" s="6">
        <f>IFERROR(VLOOKUP($A604,[1]FINAL!$A$1:$BZ$1000,MATCH([1]FINAL!$BF$1,[1]FINAL!$A$1:$BZ$1,0),0),0)</f>
        <v>0</v>
      </c>
      <c r="M604" s="7">
        <f t="shared" si="47"/>
        <v>0</v>
      </c>
      <c r="N604" s="6">
        <f>IFERROR(VLOOKUP($A604,#REF!,MATCH(#REF!,#REF!,0),0),0)</f>
        <v>0</v>
      </c>
      <c r="O604" s="7">
        <f t="shared" si="48"/>
        <v>0</v>
      </c>
      <c r="P604" s="10" t="str">
        <f>IFERROR(VLOOKUP($A604,[1]FINAL!$A$1:$BZ$1000,MATCH([1]FINAL!$BB$1,[1]FINAL!$A$1:$BZ$1,0),0),"")</f>
        <v/>
      </c>
      <c r="Q604" s="18">
        <f t="shared" si="49"/>
        <v>1</v>
      </c>
    </row>
    <row r="605" spans="1:17" x14ac:dyDescent="0.25">
      <c r="A605" s="14">
        <f>[1]FINAL!$A603</f>
        <v>0</v>
      </c>
      <c r="B605" s="20" t="str">
        <f>IFERROR(VLOOKUP($A605,[1]FINAL!$A$1:$Z$1000,MATCH([1]FINAL!$T$1,[1]FINAL!$A$1:$Z$1,0),0),"")</f>
        <v/>
      </c>
      <c r="C605" s="3" t="str">
        <f>IFERROR(VLOOKUP($A605,[1]FINAL!$A$1:$Z$1000,MATCH([1]FINAL!$U$1,[1]FINAL!$A$1:$Z$1,0),0),"")</f>
        <v/>
      </c>
      <c r="D605" s="3" t="str">
        <f>IFERROR(VLOOKUP($A605,[1]FINAL!$A$1:$Z$1000,MATCH([1]FINAL!$V$1,[1]FINAL!$A$1:$Z$1,0),0),"")</f>
        <v/>
      </c>
      <c r="E605" s="6">
        <f t="shared" si="45"/>
        <v>0</v>
      </c>
      <c r="F605" s="5">
        <f t="shared" si="46"/>
        <v>0</v>
      </c>
      <c r="G605" s="5">
        <f>IFERROR(IF(H605&lt;&gt;"",H605,VLOOKUP($A605,[1]FINAL!$A$1:$BZ$1000,MATCH([1]FINAL!$BL$1,[1]FINAL!$A$1:$BZ$1,0),0)),0)</f>
        <v>0</v>
      </c>
      <c r="I605" s="5">
        <f>IFERROR(IF(J605&lt;&gt;"",J605,(IF(VLOOKUP($A605,#REF!,MATCH(#REF!,#REF!,0),0)=0,G605,VLOOKUP($A605,#REF!,MATCH(#REF!,#REF!,0),0)))),G605)</f>
        <v>0</v>
      </c>
      <c r="K605" s="6">
        <f>IFERROR(VLOOKUP($A605,#REF!,MATCH(#REF!,#REF!,0),0),0)</f>
        <v>0</v>
      </c>
      <c r="L605" s="6">
        <f>IFERROR(VLOOKUP($A605,[1]FINAL!$A$1:$BZ$1000,MATCH([1]FINAL!$BF$1,[1]FINAL!$A$1:$BZ$1,0),0),0)</f>
        <v>0</v>
      </c>
      <c r="M605" s="7">
        <f t="shared" si="47"/>
        <v>0</v>
      </c>
      <c r="N605" s="6">
        <f>IFERROR(VLOOKUP($A605,#REF!,MATCH(#REF!,#REF!,0),0),0)</f>
        <v>0</v>
      </c>
      <c r="O605" s="7">
        <f t="shared" si="48"/>
        <v>0</v>
      </c>
      <c r="P605" s="10" t="str">
        <f>IFERROR(VLOOKUP($A605,[1]FINAL!$A$1:$BZ$1000,MATCH([1]FINAL!$BB$1,[1]FINAL!$A$1:$BZ$1,0),0),"")</f>
        <v/>
      </c>
      <c r="Q605" s="18">
        <f t="shared" si="49"/>
        <v>1</v>
      </c>
    </row>
    <row r="606" spans="1:17" x14ac:dyDescent="0.25">
      <c r="A606" s="14">
        <f>[1]FINAL!$A604</f>
        <v>0</v>
      </c>
      <c r="B606" s="20" t="str">
        <f>IFERROR(VLOOKUP($A606,[1]FINAL!$A$1:$Z$1000,MATCH([1]FINAL!$T$1,[1]FINAL!$A$1:$Z$1,0),0),"")</f>
        <v/>
      </c>
      <c r="C606" s="3" t="str">
        <f>IFERROR(VLOOKUP($A606,[1]FINAL!$A$1:$Z$1000,MATCH([1]FINAL!$U$1,[1]FINAL!$A$1:$Z$1,0),0),"")</f>
        <v/>
      </c>
      <c r="D606" s="3" t="str">
        <f>IFERROR(VLOOKUP($A606,[1]FINAL!$A$1:$Z$1000,MATCH([1]FINAL!$V$1,[1]FINAL!$A$1:$Z$1,0),0),"")</f>
        <v/>
      </c>
      <c r="E606" s="6">
        <f t="shared" si="45"/>
        <v>0</v>
      </c>
      <c r="F606" s="5">
        <f t="shared" si="46"/>
        <v>0</v>
      </c>
      <c r="G606" s="5">
        <f>IFERROR(IF(H606&lt;&gt;"",H606,VLOOKUP($A606,[1]FINAL!$A$1:$BZ$1000,MATCH([1]FINAL!$BL$1,[1]FINAL!$A$1:$BZ$1,0),0)),0)</f>
        <v>0</v>
      </c>
      <c r="I606" s="5">
        <f>IFERROR(IF(J606&lt;&gt;"",J606,(IF(VLOOKUP($A606,#REF!,MATCH(#REF!,#REF!,0),0)=0,G606,VLOOKUP($A606,#REF!,MATCH(#REF!,#REF!,0),0)))),G606)</f>
        <v>0</v>
      </c>
      <c r="K606" s="6">
        <f>IFERROR(VLOOKUP($A606,#REF!,MATCH(#REF!,#REF!,0),0),0)</f>
        <v>0</v>
      </c>
      <c r="L606" s="6">
        <f>IFERROR(VLOOKUP($A606,[1]FINAL!$A$1:$BZ$1000,MATCH([1]FINAL!$BF$1,[1]FINAL!$A$1:$BZ$1,0),0),0)</f>
        <v>0</v>
      </c>
      <c r="M606" s="7">
        <f t="shared" si="47"/>
        <v>0</v>
      </c>
      <c r="N606" s="6">
        <f>IFERROR(VLOOKUP($A606,#REF!,MATCH(#REF!,#REF!,0),0),0)</f>
        <v>0</v>
      </c>
      <c r="O606" s="7">
        <f t="shared" si="48"/>
        <v>0</v>
      </c>
      <c r="P606" s="10" t="str">
        <f>IFERROR(VLOOKUP($A606,[1]FINAL!$A$1:$BZ$1000,MATCH([1]FINAL!$BB$1,[1]FINAL!$A$1:$BZ$1,0),0),"")</f>
        <v/>
      </c>
      <c r="Q606" s="18">
        <f t="shared" si="49"/>
        <v>1</v>
      </c>
    </row>
    <row r="607" spans="1:17" x14ac:dyDescent="0.25">
      <c r="A607" s="14">
        <f>[1]FINAL!$A605</f>
        <v>0</v>
      </c>
      <c r="B607" s="20" t="str">
        <f>IFERROR(VLOOKUP($A607,[1]FINAL!$A$1:$Z$1000,MATCH([1]FINAL!$T$1,[1]FINAL!$A$1:$Z$1,0),0),"")</f>
        <v/>
      </c>
      <c r="C607" s="3" t="str">
        <f>IFERROR(VLOOKUP($A607,[1]FINAL!$A$1:$Z$1000,MATCH([1]FINAL!$U$1,[1]FINAL!$A$1:$Z$1,0),0),"")</f>
        <v/>
      </c>
      <c r="D607" s="3" t="str">
        <f>IFERROR(VLOOKUP($A607,[1]FINAL!$A$1:$Z$1000,MATCH([1]FINAL!$V$1,[1]FINAL!$A$1:$Z$1,0),0),"")</f>
        <v/>
      </c>
      <c r="E607" s="6">
        <f t="shared" si="45"/>
        <v>0</v>
      </c>
      <c r="F607" s="5">
        <f t="shared" si="46"/>
        <v>0</v>
      </c>
      <c r="G607" s="5">
        <f>IFERROR(IF(H607&lt;&gt;"",H607,VLOOKUP($A607,[1]FINAL!$A$1:$BZ$1000,MATCH([1]FINAL!$BL$1,[1]FINAL!$A$1:$BZ$1,0),0)),0)</f>
        <v>0</v>
      </c>
      <c r="I607" s="5">
        <f>IFERROR(IF(J607&lt;&gt;"",J607,(IF(VLOOKUP($A607,#REF!,MATCH(#REF!,#REF!,0),0)=0,G607,VLOOKUP($A607,#REF!,MATCH(#REF!,#REF!,0),0)))),G607)</f>
        <v>0</v>
      </c>
      <c r="K607" s="6">
        <f>IFERROR(VLOOKUP($A607,#REF!,MATCH(#REF!,#REF!,0),0),0)</f>
        <v>0</v>
      </c>
      <c r="L607" s="6">
        <f>IFERROR(VLOOKUP($A607,[1]FINAL!$A$1:$BZ$1000,MATCH([1]FINAL!$BF$1,[1]FINAL!$A$1:$BZ$1,0),0),0)</f>
        <v>0</v>
      </c>
      <c r="M607" s="7">
        <f t="shared" si="47"/>
        <v>0</v>
      </c>
      <c r="N607" s="6">
        <f>IFERROR(VLOOKUP($A607,#REF!,MATCH(#REF!,#REF!,0),0),0)</f>
        <v>0</v>
      </c>
      <c r="O607" s="7">
        <f t="shared" si="48"/>
        <v>0</v>
      </c>
      <c r="P607" s="10" t="str">
        <f>IFERROR(VLOOKUP($A607,[1]FINAL!$A$1:$BZ$1000,MATCH([1]FINAL!$BB$1,[1]FINAL!$A$1:$BZ$1,0),0),"")</f>
        <v/>
      </c>
      <c r="Q607" s="18">
        <f t="shared" si="49"/>
        <v>1</v>
      </c>
    </row>
    <row r="608" spans="1:17" x14ac:dyDescent="0.25">
      <c r="A608" s="14">
        <f>[1]FINAL!$A606</f>
        <v>0</v>
      </c>
      <c r="B608" s="20" t="str">
        <f>IFERROR(VLOOKUP($A608,[1]FINAL!$A$1:$Z$1000,MATCH([1]FINAL!$T$1,[1]FINAL!$A$1:$Z$1,0),0),"")</f>
        <v/>
      </c>
      <c r="C608" s="3" t="str">
        <f>IFERROR(VLOOKUP($A608,[1]FINAL!$A$1:$Z$1000,MATCH([1]FINAL!$U$1,[1]FINAL!$A$1:$Z$1,0),0),"")</f>
        <v/>
      </c>
      <c r="D608" s="3" t="str">
        <f>IFERROR(VLOOKUP($A608,[1]FINAL!$A$1:$Z$1000,MATCH([1]FINAL!$V$1,[1]FINAL!$A$1:$Z$1,0),0),"")</f>
        <v/>
      </c>
      <c r="E608" s="6">
        <f t="shared" si="45"/>
        <v>0</v>
      </c>
      <c r="F608" s="5">
        <f t="shared" si="46"/>
        <v>0</v>
      </c>
      <c r="G608" s="5">
        <f>IFERROR(IF(H608&lt;&gt;"",H608,VLOOKUP($A608,[1]FINAL!$A$1:$BZ$1000,MATCH([1]FINAL!$BL$1,[1]FINAL!$A$1:$BZ$1,0),0)),0)</f>
        <v>0</v>
      </c>
      <c r="I608" s="5">
        <f>IFERROR(IF(J608&lt;&gt;"",J608,(IF(VLOOKUP($A608,#REF!,MATCH(#REF!,#REF!,0),0)=0,G608,VLOOKUP($A608,#REF!,MATCH(#REF!,#REF!,0),0)))),G608)</f>
        <v>0</v>
      </c>
      <c r="K608" s="6">
        <f>IFERROR(VLOOKUP($A608,#REF!,MATCH(#REF!,#REF!,0),0),0)</f>
        <v>0</v>
      </c>
      <c r="L608" s="6">
        <f>IFERROR(VLOOKUP($A608,[1]FINAL!$A$1:$BZ$1000,MATCH([1]FINAL!$BF$1,[1]FINAL!$A$1:$BZ$1,0),0),0)</f>
        <v>0</v>
      </c>
      <c r="M608" s="7">
        <f t="shared" si="47"/>
        <v>0</v>
      </c>
      <c r="N608" s="6">
        <f>IFERROR(VLOOKUP($A608,#REF!,MATCH(#REF!,#REF!,0),0),0)</f>
        <v>0</v>
      </c>
      <c r="O608" s="7">
        <f t="shared" si="48"/>
        <v>0</v>
      </c>
      <c r="P608" s="10" t="str">
        <f>IFERROR(VLOOKUP($A608,[1]FINAL!$A$1:$BZ$1000,MATCH([1]FINAL!$BB$1,[1]FINAL!$A$1:$BZ$1,0),0),"")</f>
        <v/>
      </c>
      <c r="Q608" s="18">
        <f t="shared" si="49"/>
        <v>1</v>
      </c>
    </row>
    <row r="609" spans="1:17" x14ac:dyDescent="0.25">
      <c r="A609" s="14">
        <f>[1]FINAL!$A607</f>
        <v>0</v>
      </c>
      <c r="B609" s="20" t="str">
        <f>IFERROR(VLOOKUP($A609,[1]FINAL!$A$1:$Z$1000,MATCH([1]FINAL!$T$1,[1]FINAL!$A$1:$Z$1,0),0),"")</f>
        <v/>
      </c>
      <c r="C609" s="3" t="str">
        <f>IFERROR(VLOOKUP($A609,[1]FINAL!$A$1:$Z$1000,MATCH([1]FINAL!$U$1,[1]FINAL!$A$1:$Z$1,0),0),"")</f>
        <v/>
      </c>
      <c r="D609" s="3" t="str">
        <f>IFERROR(VLOOKUP($A609,[1]FINAL!$A$1:$Z$1000,MATCH([1]FINAL!$V$1,[1]FINAL!$A$1:$Z$1,0),0),"")</f>
        <v/>
      </c>
      <c r="E609" s="6">
        <f t="shared" si="45"/>
        <v>0</v>
      </c>
      <c r="F609" s="5">
        <f t="shared" si="46"/>
        <v>0</v>
      </c>
      <c r="G609" s="5">
        <f>IFERROR(IF(H609&lt;&gt;"",H609,VLOOKUP($A609,[1]FINAL!$A$1:$BZ$1000,MATCH([1]FINAL!$BL$1,[1]FINAL!$A$1:$BZ$1,0),0)),0)</f>
        <v>0</v>
      </c>
      <c r="I609" s="5">
        <f>IFERROR(IF(J609&lt;&gt;"",J609,(IF(VLOOKUP($A609,#REF!,MATCH(#REF!,#REF!,0),0)=0,G609,VLOOKUP($A609,#REF!,MATCH(#REF!,#REF!,0),0)))),G609)</f>
        <v>0</v>
      </c>
      <c r="K609" s="6">
        <f>IFERROR(VLOOKUP($A609,#REF!,MATCH(#REF!,#REF!,0),0),0)</f>
        <v>0</v>
      </c>
      <c r="L609" s="6">
        <f>IFERROR(VLOOKUP($A609,[1]FINAL!$A$1:$BZ$1000,MATCH([1]FINAL!$BF$1,[1]FINAL!$A$1:$BZ$1,0),0),0)</f>
        <v>0</v>
      </c>
      <c r="M609" s="7">
        <f t="shared" si="47"/>
        <v>0</v>
      </c>
      <c r="N609" s="6">
        <f>IFERROR(VLOOKUP($A609,#REF!,MATCH(#REF!,#REF!,0),0),0)</f>
        <v>0</v>
      </c>
      <c r="O609" s="7">
        <f t="shared" si="48"/>
        <v>0</v>
      </c>
      <c r="P609" s="10" t="str">
        <f>IFERROR(VLOOKUP($A609,[1]FINAL!$A$1:$BZ$1000,MATCH([1]FINAL!$BB$1,[1]FINAL!$A$1:$BZ$1,0),0),"")</f>
        <v/>
      </c>
      <c r="Q609" s="18">
        <f t="shared" si="49"/>
        <v>1</v>
      </c>
    </row>
    <row r="610" spans="1:17" x14ac:dyDescent="0.25">
      <c r="A610" s="14">
        <f>[1]FINAL!$A608</f>
        <v>0</v>
      </c>
      <c r="B610" s="20" t="str">
        <f>IFERROR(VLOOKUP($A610,[1]FINAL!$A$1:$Z$1000,MATCH([1]FINAL!$T$1,[1]FINAL!$A$1:$Z$1,0),0),"")</f>
        <v/>
      </c>
      <c r="C610" s="3" t="str">
        <f>IFERROR(VLOOKUP($A610,[1]FINAL!$A$1:$Z$1000,MATCH([1]FINAL!$U$1,[1]FINAL!$A$1:$Z$1,0),0),"")</f>
        <v/>
      </c>
      <c r="D610" s="3" t="str">
        <f>IFERROR(VLOOKUP($A610,[1]FINAL!$A$1:$Z$1000,MATCH([1]FINAL!$V$1,[1]FINAL!$A$1:$Z$1,0),0),"")</f>
        <v/>
      </c>
      <c r="E610" s="6">
        <f t="shared" si="45"/>
        <v>0</v>
      </c>
      <c r="F610" s="5">
        <f t="shared" si="46"/>
        <v>0</v>
      </c>
      <c r="G610" s="5">
        <f>IFERROR(IF(H610&lt;&gt;"",H610,VLOOKUP($A610,[1]FINAL!$A$1:$BZ$1000,MATCH([1]FINAL!$BL$1,[1]FINAL!$A$1:$BZ$1,0),0)),0)</f>
        <v>0</v>
      </c>
      <c r="I610" s="5">
        <f>IFERROR(IF(J610&lt;&gt;"",J610,(IF(VLOOKUP($A610,#REF!,MATCH(#REF!,#REF!,0),0)=0,G610,VLOOKUP($A610,#REF!,MATCH(#REF!,#REF!,0),0)))),G610)</f>
        <v>0</v>
      </c>
      <c r="K610" s="6">
        <f>IFERROR(VLOOKUP($A610,#REF!,MATCH(#REF!,#REF!,0),0),0)</f>
        <v>0</v>
      </c>
      <c r="L610" s="6">
        <f>IFERROR(VLOOKUP($A610,[1]FINAL!$A$1:$BZ$1000,MATCH([1]FINAL!$BF$1,[1]FINAL!$A$1:$BZ$1,0),0),0)</f>
        <v>0</v>
      </c>
      <c r="M610" s="7">
        <f t="shared" si="47"/>
        <v>0</v>
      </c>
      <c r="N610" s="6">
        <f>IFERROR(VLOOKUP($A610,#REF!,MATCH(#REF!,#REF!,0),0),0)</f>
        <v>0</v>
      </c>
      <c r="O610" s="7">
        <f t="shared" si="48"/>
        <v>0</v>
      </c>
      <c r="P610" s="10" t="str">
        <f>IFERROR(VLOOKUP($A610,[1]FINAL!$A$1:$BZ$1000,MATCH([1]FINAL!$BB$1,[1]FINAL!$A$1:$BZ$1,0),0),"")</f>
        <v/>
      </c>
      <c r="Q610" s="18">
        <f t="shared" si="49"/>
        <v>1</v>
      </c>
    </row>
    <row r="611" spans="1:17" x14ac:dyDescent="0.25">
      <c r="A611" s="14">
        <f>[1]FINAL!$A609</f>
        <v>0</v>
      </c>
      <c r="B611" s="20" t="str">
        <f>IFERROR(VLOOKUP($A611,[1]FINAL!$A$1:$Z$1000,MATCH([1]FINAL!$T$1,[1]FINAL!$A$1:$Z$1,0),0),"")</f>
        <v/>
      </c>
      <c r="C611" s="3" t="str">
        <f>IFERROR(VLOOKUP($A611,[1]FINAL!$A$1:$Z$1000,MATCH([1]FINAL!$U$1,[1]FINAL!$A$1:$Z$1,0),0),"")</f>
        <v/>
      </c>
      <c r="D611" s="3" t="str">
        <f>IFERROR(VLOOKUP($A611,[1]FINAL!$A$1:$Z$1000,MATCH([1]FINAL!$V$1,[1]FINAL!$A$1:$Z$1,0),0),"")</f>
        <v/>
      </c>
      <c r="E611" s="6">
        <f t="shared" si="45"/>
        <v>0</v>
      </c>
      <c r="F611" s="5">
        <f t="shared" si="46"/>
        <v>0</v>
      </c>
      <c r="G611" s="5">
        <f>IFERROR(IF(H611&lt;&gt;"",H611,VLOOKUP($A611,[1]FINAL!$A$1:$BZ$1000,MATCH([1]FINAL!$BL$1,[1]FINAL!$A$1:$BZ$1,0),0)),0)</f>
        <v>0</v>
      </c>
      <c r="I611" s="5">
        <f>IFERROR(IF(J611&lt;&gt;"",J611,(IF(VLOOKUP($A611,#REF!,MATCH(#REF!,#REF!,0),0)=0,G611,VLOOKUP($A611,#REF!,MATCH(#REF!,#REF!,0),0)))),G611)</f>
        <v>0</v>
      </c>
      <c r="K611" s="6">
        <f>IFERROR(VLOOKUP($A611,#REF!,MATCH(#REF!,#REF!,0),0),0)</f>
        <v>0</v>
      </c>
      <c r="L611" s="6">
        <f>IFERROR(VLOOKUP($A611,[1]FINAL!$A$1:$BZ$1000,MATCH([1]FINAL!$BF$1,[1]FINAL!$A$1:$BZ$1,0),0),0)</f>
        <v>0</v>
      </c>
      <c r="M611" s="7">
        <f t="shared" si="47"/>
        <v>0</v>
      </c>
      <c r="N611" s="6">
        <f>IFERROR(VLOOKUP($A611,#REF!,MATCH(#REF!,#REF!,0),0),0)</f>
        <v>0</v>
      </c>
      <c r="O611" s="7">
        <f t="shared" si="48"/>
        <v>0</v>
      </c>
      <c r="P611" s="10" t="str">
        <f>IFERROR(VLOOKUP($A611,[1]FINAL!$A$1:$BZ$1000,MATCH([1]FINAL!$BB$1,[1]FINAL!$A$1:$BZ$1,0),0),"")</f>
        <v/>
      </c>
      <c r="Q611" s="18">
        <f t="shared" si="49"/>
        <v>1</v>
      </c>
    </row>
    <row r="612" spans="1:17" x14ac:dyDescent="0.25">
      <c r="A612" s="14">
        <f>[1]FINAL!$A610</f>
        <v>0</v>
      </c>
      <c r="B612" s="20" t="str">
        <f>IFERROR(VLOOKUP($A612,[1]FINAL!$A$1:$Z$1000,MATCH([1]FINAL!$T$1,[1]FINAL!$A$1:$Z$1,0),0),"")</f>
        <v/>
      </c>
      <c r="C612" s="3" t="str">
        <f>IFERROR(VLOOKUP($A612,[1]FINAL!$A$1:$Z$1000,MATCH([1]FINAL!$U$1,[1]FINAL!$A$1:$Z$1,0),0),"")</f>
        <v/>
      </c>
      <c r="D612" s="3" t="str">
        <f>IFERROR(VLOOKUP($A612,[1]FINAL!$A$1:$Z$1000,MATCH([1]FINAL!$V$1,[1]FINAL!$A$1:$Z$1,0),0),"")</f>
        <v/>
      </c>
      <c r="E612" s="6">
        <f t="shared" si="45"/>
        <v>0</v>
      </c>
      <c r="F612" s="5">
        <f t="shared" si="46"/>
        <v>0</v>
      </c>
      <c r="G612" s="5">
        <f>IFERROR(IF(H612&lt;&gt;"",H612,VLOOKUP($A612,[1]FINAL!$A$1:$BZ$1000,MATCH([1]FINAL!$BL$1,[1]FINAL!$A$1:$BZ$1,0),0)),0)</f>
        <v>0</v>
      </c>
      <c r="I612" s="5">
        <f>IFERROR(IF(J612&lt;&gt;"",J612,(IF(VLOOKUP($A612,#REF!,MATCH(#REF!,#REF!,0),0)=0,G612,VLOOKUP($A612,#REF!,MATCH(#REF!,#REF!,0),0)))),G612)</f>
        <v>0</v>
      </c>
      <c r="K612" s="6">
        <f>IFERROR(VLOOKUP($A612,#REF!,MATCH(#REF!,#REF!,0),0),0)</f>
        <v>0</v>
      </c>
      <c r="L612" s="6">
        <f>IFERROR(VLOOKUP($A612,[1]FINAL!$A$1:$BZ$1000,MATCH([1]FINAL!$BF$1,[1]FINAL!$A$1:$BZ$1,0),0),0)</f>
        <v>0</v>
      </c>
      <c r="M612" s="7">
        <f t="shared" si="47"/>
        <v>0</v>
      </c>
      <c r="N612" s="6">
        <f>IFERROR(VLOOKUP($A612,#REF!,MATCH(#REF!,#REF!,0),0),0)</f>
        <v>0</v>
      </c>
      <c r="O612" s="7">
        <f t="shared" si="48"/>
        <v>0</v>
      </c>
      <c r="P612" s="10" t="str">
        <f>IFERROR(VLOOKUP($A612,[1]FINAL!$A$1:$BZ$1000,MATCH([1]FINAL!$BB$1,[1]FINAL!$A$1:$BZ$1,0),0),"")</f>
        <v/>
      </c>
      <c r="Q612" s="18">
        <f t="shared" si="49"/>
        <v>1</v>
      </c>
    </row>
    <row r="613" spans="1:17" x14ac:dyDescent="0.25">
      <c r="A613" s="14">
        <f>[1]FINAL!$A611</f>
        <v>0</v>
      </c>
      <c r="B613" s="20" t="str">
        <f>IFERROR(VLOOKUP($A613,[1]FINAL!$A$1:$Z$1000,MATCH([1]FINAL!$T$1,[1]FINAL!$A$1:$Z$1,0),0),"")</f>
        <v/>
      </c>
      <c r="C613" s="3" t="str">
        <f>IFERROR(VLOOKUP($A613,[1]FINAL!$A$1:$Z$1000,MATCH([1]FINAL!$U$1,[1]FINAL!$A$1:$Z$1,0),0),"")</f>
        <v/>
      </c>
      <c r="D613" s="3" t="str">
        <f>IFERROR(VLOOKUP($A613,[1]FINAL!$A$1:$Z$1000,MATCH([1]FINAL!$V$1,[1]FINAL!$A$1:$Z$1,0),0),"")</f>
        <v/>
      </c>
      <c r="E613" s="6">
        <f t="shared" si="45"/>
        <v>0</v>
      </c>
      <c r="F613" s="5">
        <f t="shared" si="46"/>
        <v>0</v>
      </c>
      <c r="G613" s="5">
        <f>IFERROR(IF(H613&lt;&gt;"",H613,VLOOKUP($A613,[1]FINAL!$A$1:$BZ$1000,MATCH([1]FINAL!$BL$1,[1]FINAL!$A$1:$BZ$1,0),0)),0)</f>
        <v>0</v>
      </c>
      <c r="I613" s="5">
        <f>IFERROR(IF(J613&lt;&gt;"",J613,(IF(VLOOKUP($A613,#REF!,MATCH(#REF!,#REF!,0),0)=0,G613,VLOOKUP($A613,#REF!,MATCH(#REF!,#REF!,0),0)))),G613)</f>
        <v>0</v>
      </c>
      <c r="K613" s="6">
        <f>IFERROR(VLOOKUP($A613,#REF!,MATCH(#REF!,#REF!,0),0),0)</f>
        <v>0</v>
      </c>
      <c r="L613" s="6">
        <f>IFERROR(VLOOKUP($A613,[1]FINAL!$A$1:$BZ$1000,MATCH([1]FINAL!$BF$1,[1]FINAL!$A$1:$BZ$1,0),0),0)</f>
        <v>0</v>
      </c>
      <c r="M613" s="7">
        <f t="shared" si="47"/>
        <v>0</v>
      </c>
      <c r="N613" s="6">
        <f>IFERROR(VLOOKUP($A613,#REF!,MATCH(#REF!,#REF!,0),0),0)</f>
        <v>0</v>
      </c>
      <c r="O613" s="7">
        <f t="shared" si="48"/>
        <v>0</v>
      </c>
      <c r="P613" s="10" t="str">
        <f>IFERROR(VLOOKUP($A613,[1]FINAL!$A$1:$BZ$1000,MATCH([1]FINAL!$BB$1,[1]FINAL!$A$1:$BZ$1,0),0),"")</f>
        <v/>
      </c>
      <c r="Q613" s="18">
        <f t="shared" si="49"/>
        <v>1</v>
      </c>
    </row>
    <row r="614" spans="1:17" x14ac:dyDescent="0.25">
      <c r="A614" s="14">
        <f>[1]FINAL!$A612</f>
        <v>0</v>
      </c>
      <c r="B614" s="20" t="str">
        <f>IFERROR(VLOOKUP($A614,[1]FINAL!$A$1:$Z$1000,MATCH([1]FINAL!$T$1,[1]FINAL!$A$1:$Z$1,0),0),"")</f>
        <v/>
      </c>
      <c r="C614" s="3" t="str">
        <f>IFERROR(VLOOKUP($A614,[1]FINAL!$A$1:$Z$1000,MATCH([1]FINAL!$U$1,[1]FINAL!$A$1:$Z$1,0),0),"")</f>
        <v/>
      </c>
      <c r="D614" s="3" t="str">
        <f>IFERROR(VLOOKUP($A614,[1]FINAL!$A$1:$Z$1000,MATCH([1]FINAL!$V$1,[1]FINAL!$A$1:$Z$1,0),0),"")</f>
        <v/>
      </c>
      <c r="E614" s="6">
        <f t="shared" si="45"/>
        <v>0</v>
      </c>
      <c r="F614" s="5">
        <f t="shared" si="46"/>
        <v>0</v>
      </c>
      <c r="G614" s="5">
        <f>IFERROR(IF(H614&lt;&gt;"",H614,VLOOKUP($A614,[1]FINAL!$A$1:$BZ$1000,MATCH([1]FINAL!$BL$1,[1]FINAL!$A$1:$BZ$1,0),0)),0)</f>
        <v>0</v>
      </c>
      <c r="I614" s="5">
        <f>IFERROR(IF(J614&lt;&gt;"",J614,(IF(VLOOKUP($A614,#REF!,MATCH(#REF!,#REF!,0),0)=0,G614,VLOOKUP($A614,#REF!,MATCH(#REF!,#REF!,0),0)))),G614)</f>
        <v>0</v>
      </c>
      <c r="K614" s="6">
        <f>IFERROR(VLOOKUP($A614,#REF!,MATCH(#REF!,#REF!,0),0),0)</f>
        <v>0</v>
      </c>
      <c r="L614" s="6">
        <f>IFERROR(VLOOKUP($A614,[1]FINAL!$A$1:$BZ$1000,MATCH([1]FINAL!$BF$1,[1]FINAL!$A$1:$BZ$1,0),0),0)</f>
        <v>0</v>
      </c>
      <c r="M614" s="7">
        <f t="shared" si="47"/>
        <v>0</v>
      </c>
      <c r="N614" s="6">
        <f>IFERROR(VLOOKUP($A614,#REF!,MATCH(#REF!,#REF!,0),0),0)</f>
        <v>0</v>
      </c>
      <c r="O614" s="7">
        <f t="shared" si="48"/>
        <v>0</v>
      </c>
      <c r="P614" s="10" t="str">
        <f>IFERROR(VLOOKUP($A614,[1]FINAL!$A$1:$BZ$1000,MATCH([1]FINAL!$BB$1,[1]FINAL!$A$1:$BZ$1,0),0),"")</f>
        <v/>
      </c>
      <c r="Q614" s="18">
        <f t="shared" si="49"/>
        <v>1</v>
      </c>
    </row>
    <row r="615" spans="1:17" x14ac:dyDescent="0.25">
      <c r="A615" s="14">
        <f>[1]FINAL!$A613</f>
        <v>0</v>
      </c>
      <c r="B615" s="20" t="str">
        <f>IFERROR(VLOOKUP($A615,[1]FINAL!$A$1:$Z$1000,MATCH([1]FINAL!$T$1,[1]FINAL!$A$1:$Z$1,0),0),"")</f>
        <v/>
      </c>
      <c r="C615" s="3" t="str">
        <f>IFERROR(VLOOKUP($A615,[1]FINAL!$A$1:$Z$1000,MATCH([1]FINAL!$U$1,[1]FINAL!$A$1:$Z$1,0),0),"")</f>
        <v/>
      </c>
      <c r="D615" s="3" t="str">
        <f>IFERROR(VLOOKUP($A615,[1]FINAL!$A$1:$Z$1000,MATCH([1]FINAL!$V$1,[1]FINAL!$A$1:$Z$1,0),0),"")</f>
        <v/>
      </c>
      <c r="E615" s="6">
        <f t="shared" si="45"/>
        <v>0</v>
      </c>
      <c r="F615" s="5">
        <f t="shared" si="46"/>
        <v>0</v>
      </c>
      <c r="G615" s="5">
        <f>IFERROR(IF(H615&lt;&gt;"",H615,VLOOKUP($A615,[1]FINAL!$A$1:$BZ$1000,MATCH([1]FINAL!$BL$1,[1]FINAL!$A$1:$BZ$1,0),0)),0)</f>
        <v>0</v>
      </c>
      <c r="I615" s="5">
        <f>IFERROR(IF(J615&lt;&gt;"",J615,(IF(VLOOKUP($A615,#REF!,MATCH(#REF!,#REF!,0),0)=0,G615,VLOOKUP($A615,#REF!,MATCH(#REF!,#REF!,0),0)))),G615)</f>
        <v>0</v>
      </c>
      <c r="K615" s="6">
        <f>IFERROR(VLOOKUP($A615,#REF!,MATCH(#REF!,#REF!,0),0),0)</f>
        <v>0</v>
      </c>
      <c r="L615" s="6">
        <f>IFERROR(VLOOKUP($A615,[1]FINAL!$A$1:$BZ$1000,MATCH([1]FINAL!$BF$1,[1]FINAL!$A$1:$BZ$1,0),0),0)</f>
        <v>0</v>
      </c>
      <c r="M615" s="7">
        <f t="shared" si="47"/>
        <v>0</v>
      </c>
      <c r="N615" s="6">
        <f>IFERROR(VLOOKUP($A615,#REF!,MATCH(#REF!,#REF!,0),0),0)</f>
        <v>0</v>
      </c>
      <c r="O615" s="7">
        <f t="shared" si="48"/>
        <v>0</v>
      </c>
      <c r="P615" s="10" t="str">
        <f>IFERROR(VLOOKUP($A615,[1]FINAL!$A$1:$BZ$1000,MATCH([1]FINAL!$BB$1,[1]FINAL!$A$1:$BZ$1,0),0),"")</f>
        <v/>
      </c>
      <c r="Q615" s="18">
        <f t="shared" si="49"/>
        <v>1</v>
      </c>
    </row>
    <row r="616" spans="1:17" x14ac:dyDescent="0.25">
      <c r="A616" s="14">
        <f>[1]FINAL!$A614</f>
        <v>0</v>
      </c>
      <c r="B616" s="20" t="str">
        <f>IFERROR(VLOOKUP($A616,[1]FINAL!$A$1:$Z$1000,MATCH([1]FINAL!$T$1,[1]FINAL!$A$1:$Z$1,0),0),"")</f>
        <v/>
      </c>
      <c r="C616" s="3" t="str">
        <f>IFERROR(VLOOKUP($A616,[1]FINAL!$A$1:$Z$1000,MATCH([1]FINAL!$U$1,[1]FINAL!$A$1:$Z$1,0),0),"")</f>
        <v/>
      </c>
      <c r="D616" s="3" t="str">
        <f>IFERROR(VLOOKUP($A616,[1]FINAL!$A$1:$Z$1000,MATCH([1]FINAL!$V$1,[1]FINAL!$A$1:$Z$1,0),0),"")</f>
        <v/>
      </c>
      <c r="E616" s="6">
        <f t="shared" si="45"/>
        <v>0</v>
      </c>
      <c r="F616" s="5">
        <f t="shared" si="46"/>
        <v>0</v>
      </c>
      <c r="G616" s="5">
        <f>IFERROR(IF(H616&lt;&gt;"",H616,VLOOKUP($A616,[1]FINAL!$A$1:$BZ$1000,MATCH([1]FINAL!$BL$1,[1]FINAL!$A$1:$BZ$1,0),0)),0)</f>
        <v>0</v>
      </c>
      <c r="I616" s="5">
        <f>IFERROR(IF(J616&lt;&gt;"",J616,(IF(VLOOKUP($A616,#REF!,MATCH(#REF!,#REF!,0),0)=0,G616,VLOOKUP($A616,#REF!,MATCH(#REF!,#REF!,0),0)))),G616)</f>
        <v>0</v>
      </c>
      <c r="K616" s="6">
        <f>IFERROR(VLOOKUP($A616,#REF!,MATCH(#REF!,#REF!,0),0),0)</f>
        <v>0</v>
      </c>
      <c r="L616" s="6">
        <f>IFERROR(VLOOKUP($A616,[1]FINAL!$A$1:$BZ$1000,MATCH([1]FINAL!$BF$1,[1]FINAL!$A$1:$BZ$1,0),0),0)</f>
        <v>0</v>
      </c>
      <c r="M616" s="7">
        <f t="shared" si="47"/>
        <v>0</v>
      </c>
      <c r="N616" s="6">
        <f>IFERROR(VLOOKUP($A616,#REF!,MATCH(#REF!,#REF!,0),0),0)</f>
        <v>0</v>
      </c>
      <c r="O616" s="7">
        <f t="shared" si="48"/>
        <v>0</v>
      </c>
      <c r="P616" s="10" t="str">
        <f>IFERROR(VLOOKUP($A616,[1]FINAL!$A$1:$BZ$1000,MATCH([1]FINAL!$BB$1,[1]FINAL!$A$1:$BZ$1,0),0),"")</f>
        <v/>
      </c>
      <c r="Q616" s="18">
        <f t="shared" si="49"/>
        <v>1</v>
      </c>
    </row>
    <row r="617" spans="1:17" x14ac:dyDescent="0.25">
      <c r="A617" s="14">
        <f>[1]FINAL!$A615</f>
        <v>0</v>
      </c>
      <c r="B617" s="20" t="str">
        <f>IFERROR(VLOOKUP($A617,[1]FINAL!$A$1:$Z$1000,MATCH([1]FINAL!$T$1,[1]FINAL!$A$1:$Z$1,0),0),"")</f>
        <v/>
      </c>
      <c r="C617" s="3" t="str">
        <f>IFERROR(VLOOKUP($A617,[1]FINAL!$A$1:$Z$1000,MATCH([1]FINAL!$U$1,[1]FINAL!$A$1:$Z$1,0),0),"")</f>
        <v/>
      </c>
      <c r="D617" s="3" t="str">
        <f>IFERROR(VLOOKUP($A617,[1]FINAL!$A$1:$Z$1000,MATCH([1]FINAL!$V$1,[1]FINAL!$A$1:$Z$1,0),0),"")</f>
        <v/>
      </c>
      <c r="E617" s="6">
        <f t="shared" si="45"/>
        <v>0</v>
      </c>
      <c r="F617" s="5">
        <f t="shared" si="46"/>
        <v>0</v>
      </c>
      <c r="G617" s="5">
        <f>IFERROR(IF(H617&lt;&gt;"",H617,VLOOKUP($A617,[1]FINAL!$A$1:$BZ$1000,MATCH([1]FINAL!$BL$1,[1]FINAL!$A$1:$BZ$1,0),0)),0)</f>
        <v>0</v>
      </c>
      <c r="I617" s="5">
        <f>IFERROR(IF(J617&lt;&gt;"",J617,(IF(VLOOKUP($A617,#REF!,MATCH(#REF!,#REF!,0),0)=0,G617,VLOOKUP($A617,#REF!,MATCH(#REF!,#REF!,0),0)))),G617)</f>
        <v>0</v>
      </c>
      <c r="K617" s="6">
        <f>IFERROR(VLOOKUP($A617,#REF!,MATCH(#REF!,#REF!,0),0),0)</f>
        <v>0</v>
      </c>
      <c r="L617" s="6">
        <f>IFERROR(VLOOKUP($A617,[1]FINAL!$A$1:$BZ$1000,MATCH([1]FINAL!$BF$1,[1]FINAL!$A$1:$BZ$1,0),0),0)</f>
        <v>0</v>
      </c>
      <c r="M617" s="7">
        <f t="shared" si="47"/>
        <v>0</v>
      </c>
      <c r="N617" s="6">
        <f>IFERROR(VLOOKUP($A617,#REF!,MATCH(#REF!,#REF!,0),0),0)</f>
        <v>0</v>
      </c>
      <c r="O617" s="7">
        <f t="shared" si="48"/>
        <v>0</v>
      </c>
      <c r="P617" s="10" t="str">
        <f>IFERROR(VLOOKUP($A617,[1]FINAL!$A$1:$BZ$1000,MATCH([1]FINAL!$BB$1,[1]FINAL!$A$1:$BZ$1,0),0),"")</f>
        <v/>
      </c>
      <c r="Q617" s="18">
        <f t="shared" si="49"/>
        <v>1</v>
      </c>
    </row>
    <row r="618" spans="1:17" x14ac:dyDescent="0.25">
      <c r="A618" s="14">
        <f>[1]FINAL!$A616</f>
        <v>0</v>
      </c>
      <c r="B618" s="20" t="str">
        <f>IFERROR(VLOOKUP($A618,[1]FINAL!$A$1:$Z$1000,MATCH([1]FINAL!$T$1,[1]FINAL!$A$1:$Z$1,0),0),"")</f>
        <v/>
      </c>
      <c r="C618" s="3" t="str">
        <f>IFERROR(VLOOKUP($A618,[1]FINAL!$A$1:$Z$1000,MATCH([1]FINAL!$U$1,[1]FINAL!$A$1:$Z$1,0),0),"")</f>
        <v/>
      </c>
      <c r="D618" s="3" t="str">
        <f>IFERROR(VLOOKUP($A618,[1]FINAL!$A$1:$Z$1000,MATCH([1]FINAL!$V$1,[1]FINAL!$A$1:$Z$1,0),0),"")</f>
        <v/>
      </c>
      <c r="E618" s="6">
        <f t="shared" si="45"/>
        <v>0</v>
      </c>
      <c r="F618" s="5">
        <f t="shared" si="46"/>
        <v>0</v>
      </c>
      <c r="G618" s="5">
        <f>IFERROR(IF(H618&lt;&gt;"",H618,VLOOKUP($A618,[1]FINAL!$A$1:$BZ$1000,MATCH([1]FINAL!$BL$1,[1]FINAL!$A$1:$BZ$1,0),0)),0)</f>
        <v>0</v>
      </c>
      <c r="I618" s="5">
        <f>IFERROR(IF(J618&lt;&gt;"",J618,(IF(VLOOKUP($A618,#REF!,MATCH(#REF!,#REF!,0),0)=0,G618,VLOOKUP($A618,#REF!,MATCH(#REF!,#REF!,0),0)))),G618)</f>
        <v>0</v>
      </c>
      <c r="K618" s="6">
        <f>IFERROR(VLOOKUP($A618,#REF!,MATCH(#REF!,#REF!,0),0),0)</f>
        <v>0</v>
      </c>
      <c r="L618" s="6">
        <f>IFERROR(VLOOKUP($A618,[1]FINAL!$A$1:$BZ$1000,MATCH([1]FINAL!$BF$1,[1]FINAL!$A$1:$BZ$1,0),0),0)</f>
        <v>0</v>
      </c>
      <c r="M618" s="7">
        <f t="shared" si="47"/>
        <v>0</v>
      </c>
      <c r="N618" s="6">
        <f>IFERROR(VLOOKUP($A618,#REF!,MATCH(#REF!,#REF!,0),0),0)</f>
        <v>0</v>
      </c>
      <c r="O618" s="7">
        <f t="shared" si="48"/>
        <v>0</v>
      </c>
      <c r="P618" s="10" t="str">
        <f>IFERROR(VLOOKUP($A618,[1]FINAL!$A$1:$BZ$1000,MATCH([1]FINAL!$BB$1,[1]FINAL!$A$1:$BZ$1,0),0),"")</f>
        <v/>
      </c>
      <c r="Q618" s="18">
        <f t="shared" si="49"/>
        <v>1</v>
      </c>
    </row>
    <row r="619" spans="1:17" x14ac:dyDescent="0.25">
      <c r="A619" s="14">
        <f>[1]FINAL!$A617</f>
        <v>0</v>
      </c>
      <c r="B619" s="20" t="str">
        <f>IFERROR(VLOOKUP($A619,[1]FINAL!$A$1:$Z$1000,MATCH([1]FINAL!$T$1,[1]FINAL!$A$1:$Z$1,0),0),"")</f>
        <v/>
      </c>
      <c r="C619" s="3" t="str">
        <f>IFERROR(VLOOKUP($A619,[1]FINAL!$A$1:$Z$1000,MATCH([1]FINAL!$U$1,[1]FINAL!$A$1:$Z$1,0),0),"")</f>
        <v/>
      </c>
      <c r="D619" s="3" t="str">
        <f>IFERROR(VLOOKUP($A619,[1]FINAL!$A$1:$Z$1000,MATCH([1]FINAL!$V$1,[1]FINAL!$A$1:$Z$1,0),0),"")</f>
        <v/>
      </c>
      <c r="E619" s="6">
        <f t="shared" si="45"/>
        <v>0</v>
      </c>
      <c r="F619" s="5">
        <f t="shared" si="46"/>
        <v>0</v>
      </c>
      <c r="G619" s="5">
        <f>IFERROR(IF(H619&lt;&gt;"",H619,VLOOKUP($A619,[1]FINAL!$A$1:$BZ$1000,MATCH([1]FINAL!$BL$1,[1]FINAL!$A$1:$BZ$1,0),0)),0)</f>
        <v>0</v>
      </c>
      <c r="I619" s="5">
        <f>IFERROR(IF(J619&lt;&gt;"",J619,(IF(VLOOKUP($A619,#REF!,MATCH(#REF!,#REF!,0),0)=0,G619,VLOOKUP($A619,#REF!,MATCH(#REF!,#REF!,0),0)))),G619)</f>
        <v>0</v>
      </c>
      <c r="K619" s="6">
        <f>IFERROR(VLOOKUP($A619,#REF!,MATCH(#REF!,#REF!,0),0),0)</f>
        <v>0</v>
      </c>
      <c r="L619" s="6">
        <f>IFERROR(VLOOKUP($A619,[1]FINAL!$A$1:$BZ$1000,MATCH([1]FINAL!$BF$1,[1]FINAL!$A$1:$BZ$1,0),0),0)</f>
        <v>0</v>
      </c>
      <c r="M619" s="7">
        <f t="shared" si="47"/>
        <v>0</v>
      </c>
      <c r="N619" s="6">
        <f>IFERROR(VLOOKUP($A619,#REF!,MATCH(#REF!,#REF!,0),0),0)</f>
        <v>0</v>
      </c>
      <c r="O619" s="7">
        <f t="shared" si="48"/>
        <v>0</v>
      </c>
      <c r="P619" s="10" t="str">
        <f>IFERROR(VLOOKUP($A619,[1]FINAL!$A$1:$BZ$1000,MATCH([1]FINAL!$BB$1,[1]FINAL!$A$1:$BZ$1,0),0),"")</f>
        <v/>
      </c>
      <c r="Q619" s="18">
        <f t="shared" si="49"/>
        <v>1</v>
      </c>
    </row>
    <row r="620" spans="1:17" x14ac:dyDescent="0.25">
      <c r="A620" s="14">
        <f>[1]FINAL!$A618</f>
        <v>0</v>
      </c>
      <c r="B620" s="20" t="str">
        <f>IFERROR(VLOOKUP($A620,[1]FINAL!$A$1:$Z$1000,MATCH([1]FINAL!$T$1,[1]FINAL!$A$1:$Z$1,0),0),"")</f>
        <v/>
      </c>
      <c r="C620" s="3" t="str">
        <f>IFERROR(VLOOKUP($A620,[1]FINAL!$A$1:$Z$1000,MATCH([1]FINAL!$U$1,[1]FINAL!$A$1:$Z$1,0),0),"")</f>
        <v/>
      </c>
      <c r="D620" s="3" t="str">
        <f>IFERROR(VLOOKUP($A620,[1]FINAL!$A$1:$Z$1000,MATCH([1]FINAL!$V$1,[1]FINAL!$A$1:$Z$1,0),0),"")</f>
        <v/>
      </c>
      <c r="E620" s="6">
        <f t="shared" si="45"/>
        <v>0</v>
      </c>
      <c r="F620" s="5">
        <f t="shared" si="46"/>
        <v>0</v>
      </c>
      <c r="G620" s="5">
        <f>IFERROR(IF(H620&lt;&gt;"",H620,VLOOKUP($A620,[1]FINAL!$A$1:$BZ$1000,MATCH([1]FINAL!$BL$1,[1]FINAL!$A$1:$BZ$1,0),0)),0)</f>
        <v>0</v>
      </c>
      <c r="I620" s="5">
        <f>IFERROR(IF(J620&lt;&gt;"",J620,(IF(VLOOKUP($A620,#REF!,MATCH(#REF!,#REF!,0),0)=0,G620,VLOOKUP($A620,#REF!,MATCH(#REF!,#REF!,0),0)))),G620)</f>
        <v>0</v>
      </c>
      <c r="K620" s="6">
        <f>IFERROR(VLOOKUP($A620,#REF!,MATCH(#REF!,#REF!,0),0),0)</f>
        <v>0</v>
      </c>
      <c r="L620" s="6">
        <f>IFERROR(VLOOKUP($A620,[1]FINAL!$A$1:$BZ$1000,MATCH([1]FINAL!$BF$1,[1]FINAL!$A$1:$BZ$1,0),0),0)</f>
        <v>0</v>
      </c>
      <c r="M620" s="7">
        <f t="shared" si="47"/>
        <v>0</v>
      </c>
      <c r="N620" s="6">
        <f>IFERROR(VLOOKUP($A620,#REF!,MATCH(#REF!,#REF!,0),0),0)</f>
        <v>0</v>
      </c>
      <c r="O620" s="7">
        <f t="shared" si="48"/>
        <v>0</v>
      </c>
      <c r="P620" s="10" t="str">
        <f>IFERROR(VLOOKUP($A620,[1]FINAL!$A$1:$BZ$1000,MATCH([1]FINAL!$BB$1,[1]FINAL!$A$1:$BZ$1,0),0),"")</f>
        <v/>
      </c>
      <c r="Q620" s="18">
        <f t="shared" si="49"/>
        <v>1</v>
      </c>
    </row>
    <row r="621" spans="1:17" x14ac:dyDescent="0.25">
      <c r="A621" s="14">
        <f>[1]FINAL!$A619</f>
        <v>0</v>
      </c>
      <c r="B621" s="20" t="str">
        <f>IFERROR(VLOOKUP($A621,[1]FINAL!$A$1:$Z$1000,MATCH([1]FINAL!$T$1,[1]FINAL!$A$1:$Z$1,0),0),"")</f>
        <v/>
      </c>
      <c r="C621" s="3" t="str">
        <f>IFERROR(VLOOKUP($A621,[1]FINAL!$A$1:$Z$1000,MATCH([1]FINAL!$U$1,[1]FINAL!$A$1:$Z$1,0),0),"")</f>
        <v/>
      </c>
      <c r="D621" s="3" t="str">
        <f>IFERROR(VLOOKUP($A621,[1]FINAL!$A$1:$Z$1000,MATCH([1]FINAL!$V$1,[1]FINAL!$A$1:$Z$1,0),0),"")</f>
        <v/>
      </c>
      <c r="E621" s="6">
        <f t="shared" si="45"/>
        <v>0</v>
      </c>
      <c r="F621" s="5">
        <f t="shared" si="46"/>
        <v>0</v>
      </c>
      <c r="G621" s="5">
        <f>IFERROR(IF(H621&lt;&gt;"",H621,VLOOKUP($A621,[1]FINAL!$A$1:$BZ$1000,MATCH([1]FINAL!$BL$1,[1]FINAL!$A$1:$BZ$1,0),0)),0)</f>
        <v>0</v>
      </c>
      <c r="I621" s="5">
        <f>IFERROR(IF(J621&lt;&gt;"",J621,(IF(VLOOKUP($A621,#REF!,MATCH(#REF!,#REF!,0),0)=0,G621,VLOOKUP($A621,#REF!,MATCH(#REF!,#REF!,0),0)))),G621)</f>
        <v>0</v>
      </c>
      <c r="K621" s="6">
        <f>IFERROR(VLOOKUP($A621,#REF!,MATCH(#REF!,#REF!,0),0),0)</f>
        <v>0</v>
      </c>
      <c r="L621" s="6">
        <f>IFERROR(VLOOKUP($A621,[1]FINAL!$A$1:$BZ$1000,MATCH([1]FINAL!$BF$1,[1]FINAL!$A$1:$BZ$1,0),0),0)</f>
        <v>0</v>
      </c>
      <c r="M621" s="7">
        <f t="shared" si="47"/>
        <v>0</v>
      </c>
      <c r="N621" s="6">
        <f>IFERROR(VLOOKUP($A621,#REF!,MATCH(#REF!,#REF!,0),0),0)</f>
        <v>0</v>
      </c>
      <c r="O621" s="7">
        <f t="shared" si="48"/>
        <v>0</v>
      </c>
      <c r="P621" s="10" t="str">
        <f>IFERROR(VLOOKUP($A621,[1]FINAL!$A$1:$BZ$1000,MATCH([1]FINAL!$BB$1,[1]FINAL!$A$1:$BZ$1,0),0),"")</f>
        <v/>
      </c>
      <c r="Q621" s="18">
        <f t="shared" si="49"/>
        <v>1</v>
      </c>
    </row>
    <row r="622" spans="1:17" x14ac:dyDescent="0.25">
      <c r="A622" s="14">
        <f>[1]FINAL!$A620</f>
        <v>0</v>
      </c>
      <c r="B622" s="20" t="str">
        <f>IFERROR(VLOOKUP($A622,[1]FINAL!$A$1:$Z$1000,MATCH([1]FINAL!$T$1,[1]FINAL!$A$1:$Z$1,0),0),"")</f>
        <v/>
      </c>
      <c r="C622" s="3" t="str">
        <f>IFERROR(VLOOKUP($A622,[1]FINAL!$A$1:$Z$1000,MATCH([1]FINAL!$U$1,[1]FINAL!$A$1:$Z$1,0),0),"")</f>
        <v/>
      </c>
      <c r="D622" s="3" t="str">
        <f>IFERROR(VLOOKUP($A622,[1]FINAL!$A$1:$Z$1000,MATCH([1]FINAL!$V$1,[1]FINAL!$A$1:$Z$1,0),0),"")</f>
        <v/>
      </c>
      <c r="E622" s="6">
        <f t="shared" si="45"/>
        <v>0</v>
      </c>
      <c r="F622" s="5">
        <f t="shared" si="46"/>
        <v>0</v>
      </c>
      <c r="G622" s="5">
        <f>IFERROR(IF(H622&lt;&gt;"",H622,VLOOKUP($A622,[1]FINAL!$A$1:$BZ$1000,MATCH([1]FINAL!$BL$1,[1]FINAL!$A$1:$BZ$1,0),0)),0)</f>
        <v>0</v>
      </c>
      <c r="I622" s="5">
        <f>IFERROR(IF(J622&lt;&gt;"",J622,(IF(VLOOKUP($A622,#REF!,MATCH(#REF!,#REF!,0),0)=0,G622,VLOOKUP($A622,#REF!,MATCH(#REF!,#REF!,0),0)))),G622)</f>
        <v>0</v>
      </c>
      <c r="K622" s="6">
        <f>IFERROR(VLOOKUP($A622,#REF!,MATCH(#REF!,#REF!,0),0),0)</f>
        <v>0</v>
      </c>
      <c r="L622" s="6">
        <f>IFERROR(VLOOKUP($A622,[1]FINAL!$A$1:$BZ$1000,MATCH([1]FINAL!$BF$1,[1]FINAL!$A$1:$BZ$1,0),0),0)</f>
        <v>0</v>
      </c>
      <c r="M622" s="7">
        <f t="shared" si="47"/>
        <v>0</v>
      </c>
      <c r="N622" s="6">
        <f>IFERROR(VLOOKUP($A622,#REF!,MATCH(#REF!,#REF!,0),0),0)</f>
        <v>0</v>
      </c>
      <c r="O622" s="7">
        <f t="shared" si="48"/>
        <v>0</v>
      </c>
      <c r="P622" s="10" t="str">
        <f>IFERROR(VLOOKUP($A622,[1]FINAL!$A$1:$BZ$1000,MATCH([1]FINAL!$BB$1,[1]FINAL!$A$1:$BZ$1,0),0),"")</f>
        <v/>
      </c>
      <c r="Q622" s="18">
        <f t="shared" si="49"/>
        <v>1</v>
      </c>
    </row>
    <row r="623" spans="1:17" x14ac:dyDescent="0.25">
      <c r="A623" s="14">
        <f>[1]FINAL!$A621</f>
        <v>0</v>
      </c>
      <c r="B623" s="20" t="str">
        <f>IFERROR(VLOOKUP($A623,[1]FINAL!$A$1:$Z$1000,MATCH([1]FINAL!$T$1,[1]FINAL!$A$1:$Z$1,0),0),"")</f>
        <v/>
      </c>
      <c r="C623" s="3" t="str">
        <f>IFERROR(VLOOKUP($A623,[1]FINAL!$A$1:$Z$1000,MATCH([1]FINAL!$U$1,[1]FINAL!$A$1:$Z$1,0),0),"")</f>
        <v/>
      </c>
      <c r="D623" s="3" t="str">
        <f>IFERROR(VLOOKUP($A623,[1]FINAL!$A$1:$Z$1000,MATCH([1]FINAL!$V$1,[1]FINAL!$A$1:$Z$1,0),0),"")</f>
        <v/>
      </c>
      <c r="E623" s="6">
        <f t="shared" si="45"/>
        <v>0</v>
      </c>
      <c r="F623" s="5">
        <f t="shared" si="46"/>
        <v>0</v>
      </c>
      <c r="G623" s="5">
        <f>IFERROR(IF(H623&lt;&gt;"",H623,VLOOKUP($A623,[1]FINAL!$A$1:$BZ$1000,MATCH([1]FINAL!$BL$1,[1]FINAL!$A$1:$BZ$1,0),0)),0)</f>
        <v>0</v>
      </c>
      <c r="I623" s="5">
        <f>IFERROR(IF(J623&lt;&gt;"",J623,(IF(VLOOKUP($A623,#REF!,MATCH(#REF!,#REF!,0),0)=0,G623,VLOOKUP($A623,#REF!,MATCH(#REF!,#REF!,0),0)))),G623)</f>
        <v>0</v>
      </c>
      <c r="K623" s="6">
        <f>IFERROR(VLOOKUP($A623,#REF!,MATCH(#REF!,#REF!,0),0),0)</f>
        <v>0</v>
      </c>
      <c r="L623" s="6">
        <f>IFERROR(VLOOKUP($A623,[1]FINAL!$A$1:$BZ$1000,MATCH([1]FINAL!$BF$1,[1]FINAL!$A$1:$BZ$1,0),0),0)</f>
        <v>0</v>
      </c>
      <c r="M623" s="7">
        <f t="shared" si="47"/>
        <v>0</v>
      </c>
      <c r="N623" s="6">
        <f>IFERROR(VLOOKUP($A623,#REF!,MATCH(#REF!,#REF!,0),0),0)</f>
        <v>0</v>
      </c>
      <c r="O623" s="7">
        <f t="shared" si="48"/>
        <v>0</v>
      </c>
      <c r="P623" s="10" t="str">
        <f>IFERROR(VLOOKUP($A623,[1]FINAL!$A$1:$BZ$1000,MATCH([1]FINAL!$BB$1,[1]FINAL!$A$1:$BZ$1,0),0),"")</f>
        <v/>
      </c>
      <c r="Q623" s="18">
        <f t="shared" si="49"/>
        <v>1</v>
      </c>
    </row>
    <row r="624" spans="1:17" x14ac:dyDescent="0.25">
      <c r="A624" s="14">
        <f>[1]FINAL!$A622</f>
        <v>0</v>
      </c>
      <c r="B624" s="20" t="str">
        <f>IFERROR(VLOOKUP($A624,[1]FINAL!$A$1:$Z$1000,MATCH([1]FINAL!$T$1,[1]FINAL!$A$1:$Z$1,0),0),"")</f>
        <v/>
      </c>
      <c r="C624" s="3" t="str">
        <f>IFERROR(VLOOKUP($A624,[1]FINAL!$A$1:$Z$1000,MATCH([1]FINAL!$U$1,[1]FINAL!$A$1:$Z$1,0),0),"")</f>
        <v/>
      </c>
      <c r="D624" s="3" t="str">
        <f>IFERROR(VLOOKUP($A624,[1]FINAL!$A$1:$Z$1000,MATCH([1]FINAL!$V$1,[1]FINAL!$A$1:$Z$1,0),0),"")</f>
        <v/>
      </c>
      <c r="E624" s="6">
        <f t="shared" si="45"/>
        <v>0</v>
      </c>
      <c r="F624" s="5">
        <f t="shared" si="46"/>
        <v>0</v>
      </c>
      <c r="G624" s="5">
        <f>IFERROR(IF(H624&lt;&gt;"",H624,VLOOKUP($A624,[1]FINAL!$A$1:$BZ$1000,MATCH([1]FINAL!$BL$1,[1]FINAL!$A$1:$BZ$1,0),0)),0)</f>
        <v>0</v>
      </c>
      <c r="I624" s="5">
        <f>IFERROR(IF(J624&lt;&gt;"",J624,(IF(VLOOKUP($A624,#REF!,MATCH(#REF!,#REF!,0),0)=0,G624,VLOOKUP($A624,#REF!,MATCH(#REF!,#REF!,0),0)))),G624)</f>
        <v>0</v>
      </c>
      <c r="K624" s="6">
        <f>IFERROR(VLOOKUP($A624,#REF!,MATCH(#REF!,#REF!,0),0),0)</f>
        <v>0</v>
      </c>
      <c r="L624" s="6">
        <f>IFERROR(VLOOKUP($A624,[1]FINAL!$A$1:$BZ$1000,MATCH([1]FINAL!$BF$1,[1]FINAL!$A$1:$BZ$1,0),0),0)</f>
        <v>0</v>
      </c>
      <c r="M624" s="7">
        <f t="shared" si="47"/>
        <v>0</v>
      </c>
      <c r="N624" s="6">
        <f>IFERROR(VLOOKUP($A624,#REF!,MATCH(#REF!,#REF!,0),0),0)</f>
        <v>0</v>
      </c>
      <c r="O624" s="7">
        <f t="shared" si="48"/>
        <v>0</v>
      </c>
      <c r="P624" s="10" t="str">
        <f>IFERROR(VLOOKUP($A624,[1]FINAL!$A$1:$BZ$1000,MATCH([1]FINAL!$BB$1,[1]FINAL!$A$1:$BZ$1,0),0),"")</f>
        <v/>
      </c>
      <c r="Q624" s="18">
        <f t="shared" si="49"/>
        <v>1</v>
      </c>
    </row>
    <row r="625" spans="1:17" x14ac:dyDescent="0.25">
      <c r="A625" s="14">
        <f>[1]FINAL!$A623</f>
        <v>0</v>
      </c>
      <c r="B625" s="20" t="str">
        <f>IFERROR(VLOOKUP($A625,[1]FINAL!$A$1:$Z$1000,MATCH([1]FINAL!$T$1,[1]FINAL!$A$1:$Z$1,0),0),"")</f>
        <v/>
      </c>
      <c r="C625" s="3" t="str">
        <f>IFERROR(VLOOKUP($A625,[1]FINAL!$A$1:$Z$1000,MATCH([1]FINAL!$U$1,[1]FINAL!$A$1:$Z$1,0),0),"")</f>
        <v/>
      </c>
      <c r="D625" s="3" t="str">
        <f>IFERROR(VLOOKUP($A625,[1]FINAL!$A$1:$Z$1000,MATCH([1]FINAL!$V$1,[1]FINAL!$A$1:$Z$1,0),0),"")</f>
        <v/>
      </c>
      <c r="E625" s="6">
        <f t="shared" si="45"/>
        <v>0</v>
      </c>
      <c r="F625" s="5">
        <f t="shared" si="46"/>
        <v>0</v>
      </c>
      <c r="G625" s="5">
        <f>IFERROR(IF(H625&lt;&gt;"",H625,VLOOKUP($A625,[1]FINAL!$A$1:$BZ$1000,MATCH([1]FINAL!$BL$1,[1]FINAL!$A$1:$BZ$1,0),0)),0)</f>
        <v>0</v>
      </c>
      <c r="I625" s="5">
        <f>IFERROR(IF(J625&lt;&gt;"",J625,(IF(VLOOKUP($A625,#REF!,MATCH(#REF!,#REF!,0),0)=0,G625,VLOOKUP($A625,#REF!,MATCH(#REF!,#REF!,0),0)))),G625)</f>
        <v>0</v>
      </c>
      <c r="K625" s="6">
        <f>IFERROR(VLOOKUP($A625,#REF!,MATCH(#REF!,#REF!,0),0),0)</f>
        <v>0</v>
      </c>
      <c r="L625" s="6">
        <f>IFERROR(VLOOKUP($A625,[1]FINAL!$A$1:$BZ$1000,MATCH([1]FINAL!$BF$1,[1]FINAL!$A$1:$BZ$1,0),0),0)</f>
        <v>0</v>
      </c>
      <c r="M625" s="7">
        <f t="shared" si="47"/>
        <v>0</v>
      </c>
      <c r="N625" s="6">
        <f>IFERROR(VLOOKUP($A625,#REF!,MATCH(#REF!,#REF!,0),0),0)</f>
        <v>0</v>
      </c>
      <c r="O625" s="7">
        <f t="shared" si="48"/>
        <v>0</v>
      </c>
      <c r="P625" s="10" t="str">
        <f>IFERROR(VLOOKUP($A625,[1]FINAL!$A$1:$BZ$1000,MATCH([1]FINAL!$BB$1,[1]FINAL!$A$1:$BZ$1,0),0),"")</f>
        <v/>
      </c>
      <c r="Q625" s="18">
        <f t="shared" si="49"/>
        <v>1</v>
      </c>
    </row>
    <row r="626" spans="1:17" x14ac:dyDescent="0.25">
      <c r="A626" s="14">
        <f>[1]FINAL!$A624</f>
        <v>0</v>
      </c>
      <c r="B626" s="20" t="str">
        <f>IFERROR(VLOOKUP($A626,[1]FINAL!$A$1:$Z$1000,MATCH([1]FINAL!$T$1,[1]FINAL!$A$1:$Z$1,0),0),"")</f>
        <v/>
      </c>
      <c r="C626" s="3" t="str">
        <f>IFERROR(VLOOKUP($A626,[1]FINAL!$A$1:$Z$1000,MATCH([1]FINAL!$U$1,[1]FINAL!$A$1:$Z$1,0),0),"")</f>
        <v/>
      </c>
      <c r="D626" s="3" t="str">
        <f>IFERROR(VLOOKUP($A626,[1]FINAL!$A$1:$Z$1000,MATCH([1]FINAL!$V$1,[1]FINAL!$A$1:$Z$1,0),0),"")</f>
        <v/>
      </c>
      <c r="E626" s="6">
        <f t="shared" si="45"/>
        <v>0</v>
      </c>
      <c r="F626" s="5">
        <f t="shared" si="46"/>
        <v>0</v>
      </c>
      <c r="G626" s="5">
        <f>IFERROR(IF(H626&lt;&gt;"",H626,VLOOKUP($A626,[1]FINAL!$A$1:$BZ$1000,MATCH([1]FINAL!$BL$1,[1]FINAL!$A$1:$BZ$1,0),0)),0)</f>
        <v>0</v>
      </c>
      <c r="I626" s="5">
        <f>IFERROR(IF(J626&lt;&gt;"",J626,(IF(VLOOKUP($A626,#REF!,MATCH(#REF!,#REF!,0),0)=0,G626,VLOOKUP($A626,#REF!,MATCH(#REF!,#REF!,0),0)))),G626)</f>
        <v>0</v>
      </c>
      <c r="K626" s="6">
        <f>IFERROR(VLOOKUP($A626,#REF!,MATCH(#REF!,#REF!,0),0),0)</f>
        <v>0</v>
      </c>
      <c r="L626" s="6">
        <f>IFERROR(VLOOKUP($A626,[1]FINAL!$A$1:$BZ$1000,MATCH([1]FINAL!$BF$1,[1]FINAL!$A$1:$BZ$1,0),0),0)</f>
        <v>0</v>
      </c>
      <c r="M626" s="7">
        <f t="shared" si="47"/>
        <v>0</v>
      </c>
      <c r="N626" s="6">
        <f>IFERROR(VLOOKUP($A626,#REF!,MATCH(#REF!,#REF!,0),0),0)</f>
        <v>0</v>
      </c>
      <c r="O626" s="7">
        <f t="shared" si="48"/>
        <v>0</v>
      </c>
      <c r="P626" s="10" t="str">
        <f>IFERROR(VLOOKUP($A626,[1]FINAL!$A$1:$BZ$1000,MATCH([1]FINAL!$BB$1,[1]FINAL!$A$1:$BZ$1,0),0),"")</f>
        <v/>
      </c>
      <c r="Q626" s="18">
        <f t="shared" si="49"/>
        <v>1</v>
      </c>
    </row>
    <row r="627" spans="1:17" x14ac:dyDescent="0.25">
      <c r="A627" s="14">
        <f>[1]FINAL!$A625</f>
        <v>0</v>
      </c>
      <c r="B627" s="20" t="str">
        <f>IFERROR(VLOOKUP($A627,[1]FINAL!$A$1:$Z$1000,MATCH([1]FINAL!$T$1,[1]FINAL!$A$1:$Z$1,0),0),"")</f>
        <v/>
      </c>
      <c r="C627" s="3" t="str">
        <f>IFERROR(VLOOKUP($A627,[1]FINAL!$A$1:$Z$1000,MATCH([1]FINAL!$U$1,[1]FINAL!$A$1:$Z$1,0),0),"")</f>
        <v/>
      </c>
      <c r="D627" s="3" t="str">
        <f>IFERROR(VLOOKUP($A627,[1]FINAL!$A$1:$Z$1000,MATCH([1]FINAL!$V$1,[1]FINAL!$A$1:$Z$1,0),0),"")</f>
        <v/>
      </c>
      <c r="E627" s="6">
        <f t="shared" si="45"/>
        <v>0</v>
      </c>
      <c r="F627" s="5">
        <f t="shared" si="46"/>
        <v>0</v>
      </c>
      <c r="G627" s="5">
        <f>IFERROR(IF(H627&lt;&gt;"",H627,VLOOKUP($A627,[1]FINAL!$A$1:$BZ$1000,MATCH([1]FINAL!$BL$1,[1]FINAL!$A$1:$BZ$1,0),0)),0)</f>
        <v>0</v>
      </c>
      <c r="I627" s="5">
        <f>IFERROR(IF(J627&lt;&gt;"",J627,(IF(VLOOKUP($A627,#REF!,MATCH(#REF!,#REF!,0),0)=0,G627,VLOOKUP($A627,#REF!,MATCH(#REF!,#REF!,0),0)))),G627)</f>
        <v>0</v>
      </c>
      <c r="K627" s="6">
        <f>IFERROR(VLOOKUP($A627,#REF!,MATCH(#REF!,#REF!,0),0),0)</f>
        <v>0</v>
      </c>
      <c r="L627" s="6">
        <f>IFERROR(VLOOKUP($A627,[1]FINAL!$A$1:$BZ$1000,MATCH([1]FINAL!$BF$1,[1]FINAL!$A$1:$BZ$1,0),0),0)</f>
        <v>0</v>
      </c>
      <c r="M627" s="7">
        <f t="shared" si="47"/>
        <v>0</v>
      </c>
      <c r="N627" s="6">
        <f>IFERROR(VLOOKUP($A627,#REF!,MATCH(#REF!,#REF!,0),0),0)</f>
        <v>0</v>
      </c>
      <c r="O627" s="7">
        <f t="shared" si="48"/>
        <v>0</v>
      </c>
      <c r="P627" s="10" t="str">
        <f>IFERROR(VLOOKUP($A627,[1]FINAL!$A$1:$BZ$1000,MATCH([1]FINAL!$BB$1,[1]FINAL!$A$1:$BZ$1,0),0),"")</f>
        <v/>
      </c>
      <c r="Q627" s="18">
        <f t="shared" si="49"/>
        <v>1</v>
      </c>
    </row>
    <row r="628" spans="1:17" x14ac:dyDescent="0.25">
      <c r="A628" s="14">
        <f>[1]FINAL!$A626</f>
        <v>0</v>
      </c>
      <c r="B628" s="20" t="str">
        <f>IFERROR(VLOOKUP($A628,[1]FINAL!$A$1:$Z$1000,MATCH([1]FINAL!$T$1,[1]FINAL!$A$1:$Z$1,0),0),"")</f>
        <v/>
      </c>
      <c r="C628" s="3" t="str">
        <f>IFERROR(VLOOKUP($A628,[1]FINAL!$A$1:$Z$1000,MATCH([1]FINAL!$U$1,[1]FINAL!$A$1:$Z$1,0),0),"")</f>
        <v/>
      </c>
      <c r="D628" s="3" t="str">
        <f>IFERROR(VLOOKUP($A628,[1]FINAL!$A$1:$Z$1000,MATCH([1]FINAL!$V$1,[1]FINAL!$A$1:$Z$1,0),0),"")</f>
        <v/>
      </c>
      <c r="E628" s="6">
        <f t="shared" si="45"/>
        <v>0</v>
      </c>
      <c r="F628" s="5">
        <f t="shared" si="46"/>
        <v>0</v>
      </c>
      <c r="G628" s="5">
        <f>IFERROR(IF(H628&lt;&gt;"",H628,VLOOKUP($A628,[1]FINAL!$A$1:$BZ$1000,MATCH([1]FINAL!$BL$1,[1]FINAL!$A$1:$BZ$1,0),0)),0)</f>
        <v>0</v>
      </c>
      <c r="I628" s="5">
        <f>IFERROR(IF(J628&lt;&gt;"",J628,(IF(VLOOKUP($A628,#REF!,MATCH(#REF!,#REF!,0),0)=0,G628,VLOOKUP($A628,#REF!,MATCH(#REF!,#REF!,0),0)))),G628)</f>
        <v>0</v>
      </c>
      <c r="K628" s="6">
        <f>IFERROR(VLOOKUP($A628,#REF!,MATCH(#REF!,#REF!,0),0),0)</f>
        <v>0</v>
      </c>
      <c r="L628" s="6">
        <f>IFERROR(VLOOKUP($A628,[1]FINAL!$A$1:$BZ$1000,MATCH([1]FINAL!$BF$1,[1]FINAL!$A$1:$BZ$1,0),0),0)</f>
        <v>0</v>
      </c>
      <c r="M628" s="7">
        <f t="shared" si="47"/>
        <v>0</v>
      </c>
      <c r="N628" s="6">
        <f>IFERROR(VLOOKUP($A628,#REF!,MATCH(#REF!,#REF!,0),0),0)</f>
        <v>0</v>
      </c>
      <c r="O628" s="7">
        <f t="shared" si="48"/>
        <v>0</v>
      </c>
      <c r="P628" s="10" t="str">
        <f>IFERROR(VLOOKUP($A628,[1]FINAL!$A$1:$BZ$1000,MATCH([1]FINAL!$BB$1,[1]FINAL!$A$1:$BZ$1,0),0),"")</f>
        <v/>
      </c>
      <c r="Q628" s="18">
        <f t="shared" si="49"/>
        <v>1</v>
      </c>
    </row>
    <row r="629" spans="1:17" x14ac:dyDescent="0.25">
      <c r="A629" s="14">
        <f>[1]FINAL!$A627</f>
        <v>0</v>
      </c>
      <c r="B629" s="20" t="str">
        <f>IFERROR(VLOOKUP($A629,[1]FINAL!$A$1:$Z$1000,MATCH([1]FINAL!$T$1,[1]FINAL!$A$1:$Z$1,0),0),"")</f>
        <v/>
      </c>
      <c r="C629" s="3" t="str">
        <f>IFERROR(VLOOKUP($A629,[1]FINAL!$A$1:$Z$1000,MATCH([1]FINAL!$U$1,[1]FINAL!$A$1:$Z$1,0),0),"")</f>
        <v/>
      </c>
      <c r="D629" s="3" t="str">
        <f>IFERROR(VLOOKUP($A629,[1]FINAL!$A$1:$Z$1000,MATCH([1]FINAL!$V$1,[1]FINAL!$A$1:$Z$1,0),0),"")</f>
        <v/>
      </c>
      <c r="E629" s="6">
        <f t="shared" si="45"/>
        <v>0</v>
      </c>
      <c r="F629" s="5">
        <f t="shared" si="46"/>
        <v>0</v>
      </c>
      <c r="G629" s="5">
        <f>IFERROR(IF(H629&lt;&gt;"",H629,VLOOKUP($A629,[1]FINAL!$A$1:$BZ$1000,MATCH([1]FINAL!$BL$1,[1]FINAL!$A$1:$BZ$1,0),0)),0)</f>
        <v>0</v>
      </c>
      <c r="I629" s="5">
        <f>IFERROR(IF(J629&lt;&gt;"",J629,(IF(VLOOKUP($A629,#REF!,MATCH(#REF!,#REF!,0),0)=0,G629,VLOOKUP($A629,#REF!,MATCH(#REF!,#REF!,0),0)))),G629)</f>
        <v>0</v>
      </c>
      <c r="K629" s="6">
        <f>IFERROR(VLOOKUP($A629,#REF!,MATCH(#REF!,#REF!,0),0),0)</f>
        <v>0</v>
      </c>
      <c r="L629" s="6">
        <f>IFERROR(VLOOKUP($A629,[1]FINAL!$A$1:$BZ$1000,MATCH([1]FINAL!$BF$1,[1]FINAL!$A$1:$BZ$1,0),0),0)</f>
        <v>0</v>
      </c>
      <c r="M629" s="7">
        <f t="shared" si="47"/>
        <v>0</v>
      </c>
      <c r="N629" s="6">
        <f>IFERROR(VLOOKUP($A629,#REF!,MATCH(#REF!,#REF!,0),0),0)</f>
        <v>0</v>
      </c>
      <c r="O629" s="7">
        <f t="shared" si="48"/>
        <v>0</v>
      </c>
      <c r="P629" s="10" t="str">
        <f>IFERROR(VLOOKUP($A629,[1]FINAL!$A$1:$BZ$1000,MATCH([1]FINAL!$BB$1,[1]FINAL!$A$1:$BZ$1,0),0),"")</f>
        <v/>
      </c>
      <c r="Q629" s="18">
        <f t="shared" si="49"/>
        <v>1</v>
      </c>
    </row>
    <row r="630" spans="1:17" x14ac:dyDescent="0.25">
      <c r="A630" s="14">
        <f>[1]FINAL!$A628</f>
        <v>0</v>
      </c>
      <c r="B630" s="20" t="str">
        <f>IFERROR(VLOOKUP($A630,[1]FINAL!$A$1:$Z$1000,MATCH([1]FINAL!$T$1,[1]FINAL!$A$1:$Z$1,0),0),"")</f>
        <v/>
      </c>
      <c r="C630" s="3" t="str">
        <f>IFERROR(VLOOKUP($A630,[1]FINAL!$A$1:$Z$1000,MATCH([1]FINAL!$U$1,[1]FINAL!$A$1:$Z$1,0),0),"")</f>
        <v/>
      </c>
      <c r="D630" s="3" t="str">
        <f>IFERROR(VLOOKUP($A630,[1]FINAL!$A$1:$Z$1000,MATCH([1]FINAL!$V$1,[1]FINAL!$A$1:$Z$1,0),0),"")</f>
        <v/>
      </c>
      <c r="E630" s="6">
        <f t="shared" si="45"/>
        <v>0</v>
      </c>
      <c r="F630" s="5">
        <f t="shared" si="46"/>
        <v>0</v>
      </c>
      <c r="G630" s="5">
        <f>IFERROR(IF(H630&lt;&gt;"",H630,VLOOKUP($A630,[1]FINAL!$A$1:$BZ$1000,MATCH([1]FINAL!$BL$1,[1]FINAL!$A$1:$BZ$1,0),0)),0)</f>
        <v>0</v>
      </c>
      <c r="I630" s="5">
        <f>IFERROR(IF(J630&lt;&gt;"",J630,(IF(VLOOKUP($A630,#REF!,MATCH(#REF!,#REF!,0),0)=0,G630,VLOOKUP($A630,#REF!,MATCH(#REF!,#REF!,0),0)))),G630)</f>
        <v>0</v>
      </c>
      <c r="K630" s="6">
        <f>IFERROR(VLOOKUP($A630,#REF!,MATCH(#REF!,#REF!,0),0),0)</f>
        <v>0</v>
      </c>
      <c r="L630" s="6">
        <f>IFERROR(VLOOKUP($A630,[1]FINAL!$A$1:$BZ$1000,MATCH([1]FINAL!$BF$1,[1]FINAL!$A$1:$BZ$1,0),0),0)</f>
        <v>0</v>
      </c>
      <c r="M630" s="7">
        <f t="shared" si="47"/>
        <v>0</v>
      </c>
      <c r="N630" s="6">
        <f>IFERROR(VLOOKUP($A630,#REF!,MATCH(#REF!,#REF!,0),0),0)</f>
        <v>0</v>
      </c>
      <c r="O630" s="7">
        <f t="shared" si="48"/>
        <v>0</v>
      </c>
      <c r="P630" s="10" t="str">
        <f>IFERROR(VLOOKUP($A630,[1]FINAL!$A$1:$BZ$1000,MATCH([1]FINAL!$BB$1,[1]FINAL!$A$1:$BZ$1,0),0),"")</f>
        <v/>
      </c>
      <c r="Q630" s="18">
        <f t="shared" si="49"/>
        <v>1</v>
      </c>
    </row>
    <row r="631" spans="1:17" x14ac:dyDescent="0.25">
      <c r="A631" s="14">
        <f>[1]FINAL!$A629</f>
        <v>0</v>
      </c>
      <c r="B631" s="20" t="str">
        <f>IFERROR(VLOOKUP($A631,[1]FINAL!$A$1:$Z$1000,MATCH([1]FINAL!$T$1,[1]FINAL!$A$1:$Z$1,0),0),"")</f>
        <v/>
      </c>
      <c r="C631" s="3" t="str">
        <f>IFERROR(VLOOKUP($A631,[1]FINAL!$A$1:$Z$1000,MATCH([1]FINAL!$U$1,[1]FINAL!$A$1:$Z$1,0),0),"")</f>
        <v/>
      </c>
      <c r="D631" s="3" t="str">
        <f>IFERROR(VLOOKUP($A631,[1]FINAL!$A$1:$Z$1000,MATCH([1]FINAL!$V$1,[1]FINAL!$A$1:$Z$1,0),0),"")</f>
        <v/>
      </c>
      <c r="E631" s="6">
        <f t="shared" si="45"/>
        <v>0</v>
      </c>
      <c r="F631" s="5">
        <f t="shared" si="46"/>
        <v>0</v>
      </c>
      <c r="G631" s="5">
        <f>IFERROR(IF(H631&lt;&gt;"",H631,VLOOKUP($A631,[1]FINAL!$A$1:$BZ$1000,MATCH([1]FINAL!$BL$1,[1]FINAL!$A$1:$BZ$1,0),0)),0)</f>
        <v>0</v>
      </c>
      <c r="I631" s="5">
        <f>IFERROR(IF(J631&lt;&gt;"",J631,(IF(VLOOKUP($A631,#REF!,MATCH(#REF!,#REF!,0),0)=0,G631,VLOOKUP($A631,#REF!,MATCH(#REF!,#REF!,0),0)))),G631)</f>
        <v>0</v>
      </c>
      <c r="K631" s="6">
        <f>IFERROR(VLOOKUP($A631,#REF!,MATCH(#REF!,#REF!,0),0),0)</f>
        <v>0</v>
      </c>
      <c r="L631" s="6">
        <f>IFERROR(VLOOKUP($A631,[1]FINAL!$A$1:$BZ$1000,MATCH([1]FINAL!$BF$1,[1]FINAL!$A$1:$BZ$1,0),0),0)</f>
        <v>0</v>
      </c>
      <c r="M631" s="7">
        <f t="shared" si="47"/>
        <v>0</v>
      </c>
      <c r="N631" s="6">
        <f>IFERROR(VLOOKUP($A631,#REF!,MATCH(#REF!,#REF!,0),0),0)</f>
        <v>0</v>
      </c>
      <c r="O631" s="7">
        <f t="shared" si="48"/>
        <v>0</v>
      </c>
      <c r="P631" s="10" t="str">
        <f>IFERROR(VLOOKUP($A631,[1]FINAL!$A$1:$BZ$1000,MATCH([1]FINAL!$BB$1,[1]FINAL!$A$1:$BZ$1,0),0),"")</f>
        <v/>
      </c>
      <c r="Q631" s="18">
        <f t="shared" si="49"/>
        <v>1</v>
      </c>
    </row>
    <row r="632" spans="1:17" x14ac:dyDescent="0.25">
      <c r="A632" s="14">
        <f>[1]FINAL!$A630</f>
        <v>0</v>
      </c>
      <c r="B632" s="20" t="str">
        <f>IFERROR(VLOOKUP($A632,[1]FINAL!$A$1:$Z$1000,MATCH([1]FINAL!$T$1,[1]FINAL!$A$1:$Z$1,0),0),"")</f>
        <v/>
      </c>
      <c r="C632" s="3" t="str">
        <f>IFERROR(VLOOKUP($A632,[1]FINAL!$A$1:$Z$1000,MATCH([1]FINAL!$U$1,[1]FINAL!$A$1:$Z$1,0),0),"")</f>
        <v/>
      </c>
      <c r="D632" s="3" t="str">
        <f>IFERROR(VLOOKUP($A632,[1]FINAL!$A$1:$Z$1000,MATCH([1]FINAL!$V$1,[1]FINAL!$A$1:$Z$1,0),0),"")</f>
        <v/>
      </c>
      <c r="E632" s="6">
        <f t="shared" si="45"/>
        <v>0</v>
      </c>
      <c r="F632" s="5">
        <f t="shared" si="46"/>
        <v>0</v>
      </c>
      <c r="G632" s="5">
        <f>IFERROR(IF(H632&lt;&gt;"",H632,VLOOKUP($A632,[1]FINAL!$A$1:$BZ$1000,MATCH([1]FINAL!$BL$1,[1]FINAL!$A$1:$BZ$1,0),0)),0)</f>
        <v>0</v>
      </c>
      <c r="I632" s="5">
        <f>IFERROR(IF(J632&lt;&gt;"",J632,(IF(VLOOKUP($A632,#REF!,MATCH(#REF!,#REF!,0),0)=0,G632,VLOOKUP($A632,#REF!,MATCH(#REF!,#REF!,0),0)))),G632)</f>
        <v>0</v>
      </c>
      <c r="K632" s="6">
        <f>IFERROR(VLOOKUP($A632,#REF!,MATCH(#REF!,#REF!,0),0),0)</f>
        <v>0</v>
      </c>
      <c r="L632" s="6">
        <f>IFERROR(VLOOKUP($A632,[1]FINAL!$A$1:$BZ$1000,MATCH([1]FINAL!$BF$1,[1]FINAL!$A$1:$BZ$1,0),0),0)</f>
        <v>0</v>
      </c>
      <c r="M632" s="7">
        <f t="shared" si="47"/>
        <v>0</v>
      </c>
      <c r="N632" s="6">
        <f>IFERROR(VLOOKUP($A632,#REF!,MATCH(#REF!,#REF!,0),0),0)</f>
        <v>0</v>
      </c>
      <c r="O632" s="7">
        <f t="shared" si="48"/>
        <v>0</v>
      </c>
      <c r="P632" s="10" t="str">
        <f>IFERROR(VLOOKUP($A632,[1]FINAL!$A$1:$BZ$1000,MATCH([1]FINAL!$BB$1,[1]FINAL!$A$1:$BZ$1,0),0),"")</f>
        <v/>
      </c>
      <c r="Q632" s="18">
        <f t="shared" si="49"/>
        <v>1</v>
      </c>
    </row>
    <row r="633" spans="1:17" x14ac:dyDescent="0.25">
      <c r="A633" s="14">
        <f>[1]FINAL!$A631</f>
        <v>0</v>
      </c>
      <c r="B633" s="20" t="str">
        <f>IFERROR(VLOOKUP($A633,[1]FINAL!$A$1:$Z$1000,MATCH([1]FINAL!$T$1,[1]FINAL!$A$1:$Z$1,0),0),"")</f>
        <v/>
      </c>
      <c r="C633" s="3" t="str">
        <f>IFERROR(VLOOKUP($A633,[1]FINAL!$A$1:$Z$1000,MATCH([1]FINAL!$U$1,[1]FINAL!$A$1:$Z$1,0),0),"")</f>
        <v/>
      </c>
      <c r="D633" s="3" t="str">
        <f>IFERROR(VLOOKUP($A633,[1]FINAL!$A$1:$Z$1000,MATCH([1]FINAL!$V$1,[1]FINAL!$A$1:$Z$1,0),0),"")</f>
        <v/>
      </c>
      <c r="E633" s="6">
        <f t="shared" si="45"/>
        <v>0</v>
      </c>
      <c r="F633" s="5">
        <f t="shared" si="46"/>
        <v>0</v>
      </c>
      <c r="G633" s="5">
        <f>IFERROR(IF(H633&lt;&gt;"",H633,VLOOKUP($A633,[1]FINAL!$A$1:$BZ$1000,MATCH([1]FINAL!$BL$1,[1]FINAL!$A$1:$BZ$1,0),0)),0)</f>
        <v>0</v>
      </c>
      <c r="I633" s="5">
        <f>IFERROR(IF(J633&lt;&gt;"",J633,(IF(VLOOKUP($A633,#REF!,MATCH(#REF!,#REF!,0),0)=0,G633,VLOOKUP($A633,#REF!,MATCH(#REF!,#REF!,0),0)))),G633)</f>
        <v>0</v>
      </c>
      <c r="K633" s="6">
        <f>IFERROR(VLOOKUP($A633,#REF!,MATCH(#REF!,#REF!,0),0),0)</f>
        <v>0</v>
      </c>
      <c r="L633" s="6">
        <f>IFERROR(VLOOKUP($A633,[1]FINAL!$A$1:$BZ$1000,MATCH([1]FINAL!$BF$1,[1]FINAL!$A$1:$BZ$1,0),0),0)</f>
        <v>0</v>
      </c>
      <c r="M633" s="7">
        <f t="shared" si="47"/>
        <v>0</v>
      </c>
      <c r="N633" s="6">
        <f>IFERROR(VLOOKUP($A633,#REF!,MATCH(#REF!,#REF!,0),0),0)</f>
        <v>0</v>
      </c>
      <c r="O633" s="7">
        <f t="shared" si="48"/>
        <v>0</v>
      </c>
      <c r="P633" s="10" t="str">
        <f>IFERROR(VLOOKUP($A633,[1]FINAL!$A$1:$BZ$1000,MATCH([1]FINAL!$BB$1,[1]FINAL!$A$1:$BZ$1,0),0),"")</f>
        <v/>
      </c>
      <c r="Q633" s="18">
        <f t="shared" si="49"/>
        <v>1</v>
      </c>
    </row>
    <row r="634" spans="1:17" x14ac:dyDescent="0.25">
      <c r="A634" s="14">
        <f>[1]FINAL!$A632</f>
        <v>0</v>
      </c>
      <c r="B634" s="20" t="str">
        <f>IFERROR(VLOOKUP($A634,[1]FINAL!$A$1:$Z$1000,MATCH([1]FINAL!$T$1,[1]FINAL!$A$1:$Z$1,0),0),"")</f>
        <v/>
      </c>
      <c r="C634" s="3" t="str">
        <f>IFERROR(VLOOKUP($A634,[1]FINAL!$A$1:$Z$1000,MATCH([1]FINAL!$U$1,[1]FINAL!$A$1:$Z$1,0),0),"")</f>
        <v/>
      </c>
      <c r="D634" s="3" t="str">
        <f>IFERROR(VLOOKUP($A634,[1]FINAL!$A$1:$Z$1000,MATCH([1]FINAL!$V$1,[1]FINAL!$A$1:$Z$1,0),0),"")</f>
        <v/>
      </c>
      <c r="E634" s="6">
        <f t="shared" si="45"/>
        <v>0</v>
      </c>
      <c r="F634" s="5">
        <f t="shared" si="46"/>
        <v>0</v>
      </c>
      <c r="G634" s="5">
        <f>IFERROR(IF(H634&lt;&gt;"",H634,VLOOKUP($A634,[1]FINAL!$A$1:$BZ$1000,MATCH([1]FINAL!$BL$1,[1]FINAL!$A$1:$BZ$1,0),0)),0)</f>
        <v>0</v>
      </c>
      <c r="I634" s="5">
        <f>IFERROR(IF(J634&lt;&gt;"",J634,(IF(VLOOKUP($A634,#REF!,MATCH(#REF!,#REF!,0),0)=0,G634,VLOOKUP($A634,#REF!,MATCH(#REF!,#REF!,0),0)))),G634)</f>
        <v>0</v>
      </c>
      <c r="K634" s="6">
        <f>IFERROR(VLOOKUP($A634,#REF!,MATCH(#REF!,#REF!,0),0),0)</f>
        <v>0</v>
      </c>
      <c r="L634" s="6">
        <f>IFERROR(VLOOKUP($A634,[1]FINAL!$A$1:$BZ$1000,MATCH([1]FINAL!$BF$1,[1]FINAL!$A$1:$BZ$1,0),0),0)</f>
        <v>0</v>
      </c>
      <c r="M634" s="7">
        <f t="shared" si="47"/>
        <v>0</v>
      </c>
      <c r="N634" s="6">
        <f>IFERROR(VLOOKUP($A634,#REF!,MATCH(#REF!,#REF!,0),0),0)</f>
        <v>0</v>
      </c>
      <c r="O634" s="7">
        <f t="shared" si="48"/>
        <v>0</v>
      </c>
      <c r="P634" s="10" t="str">
        <f>IFERROR(VLOOKUP($A634,[1]FINAL!$A$1:$BZ$1000,MATCH([1]FINAL!$BB$1,[1]FINAL!$A$1:$BZ$1,0),0),"")</f>
        <v/>
      </c>
      <c r="Q634" s="18">
        <f t="shared" si="49"/>
        <v>1</v>
      </c>
    </row>
    <row r="635" spans="1:17" x14ac:dyDescent="0.25">
      <c r="A635" s="14">
        <f>[1]FINAL!$A633</f>
        <v>0</v>
      </c>
      <c r="B635" s="20" t="str">
        <f>IFERROR(VLOOKUP($A635,[1]FINAL!$A$1:$Z$1000,MATCH([1]FINAL!$T$1,[1]FINAL!$A$1:$Z$1,0),0),"")</f>
        <v/>
      </c>
      <c r="C635" s="3" t="str">
        <f>IFERROR(VLOOKUP($A635,[1]FINAL!$A$1:$Z$1000,MATCH([1]FINAL!$U$1,[1]FINAL!$A$1:$Z$1,0),0),"")</f>
        <v/>
      </c>
      <c r="D635" s="3" t="str">
        <f>IFERROR(VLOOKUP($A635,[1]FINAL!$A$1:$Z$1000,MATCH([1]FINAL!$V$1,[1]FINAL!$A$1:$Z$1,0),0),"")</f>
        <v/>
      </c>
      <c r="E635" s="6">
        <f t="shared" si="45"/>
        <v>0</v>
      </c>
      <c r="F635" s="5">
        <f t="shared" si="46"/>
        <v>0</v>
      </c>
      <c r="G635" s="5">
        <f>IFERROR(IF(H635&lt;&gt;"",H635,VLOOKUP($A635,[1]FINAL!$A$1:$BZ$1000,MATCH([1]FINAL!$BL$1,[1]FINAL!$A$1:$BZ$1,0),0)),0)</f>
        <v>0</v>
      </c>
      <c r="I635" s="5">
        <f>IFERROR(IF(J635&lt;&gt;"",J635,(IF(VLOOKUP($A635,#REF!,MATCH(#REF!,#REF!,0),0)=0,G635,VLOOKUP($A635,#REF!,MATCH(#REF!,#REF!,0),0)))),G635)</f>
        <v>0</v>
      </c>
      <c r="K635" s="6">
        <f>IFERROR(VLOOKUP($A635,#REF!,MATCH(#REF!,#REF!,0),0),0)</f>
        <v>0</v>
      </c>
      <c r="L635" s="6">
        <f>IFERROR(VLOOKUP($A635,[1]FINAL!$A$1:$BZ$1000,MATCH([1]FINAL!$BF$1,[1]FINAL!$A$1:$BZ$1,0),0),0)</f>
        <v>0</v>
      </c>
      <c r="M635" s="7">
        <f t="shared" si="47"/>
        <v>0</v>
      </c>
      <c r="N635" s="6">
        <f>IFERROR(VLOOKUP($A635,#REF!,MATCH(#REF!,#REF!,0),0),0)</f>
        <v>0</v>
      </c>
      <c r="O635" s="7">
        <f t="shared" si="48"/>
        <v>0</v>
      </c>
      <c r="P635" s="10" t="str">
        <f>IFERROR(VLOOKUP($A635,[1]FINAL!$A$1:$BZ$1000,MATCH([1]FINAL!$BB$1,[1]FINAL!$A$1:$BZ$1,0),0),"")</f>
        <v/>
      </c>
      <c r="Q635" s="18">
        <f t="shared" si="49"/>
        <v>1</v>
      </c>
    </row>
    <row r="636" spans="1:17" x14ac:dyDescent="0.25">
      <c r="A636" s="14">
        <f>[1]FINAL!$A634</f>
        <v>0</v>
      </c>
      <c r="B636" s="20" t="str">
        <f>IFERROR(VLOOKUP($A636,[1]FINAL!$A$1:$Z$1000,MATCH([1]FINAL!$T$1,[1]FINAL!$A$1:$Z$1,0),0),"")</f>
        <v/>
      </c>
      <c r="C636" s="3" t="str">
        <f>IFERROR(VLOOKUP($A636,[1]FINAL!$A$1:$Z$1000,MATCH([1]FINAL!$U$1,[1]FINAL!$A$1:$Z$1,0),0),"")</f>
        <v/>
      </c>
      <c r="D636" s="3" t="str">
        <f>IFERROR(VLOOKUP($A636,[1]FINAL!$A$1:$Z$1000,MATCH([1]FINAL!$V$1,[1]FINAL!$A$1:$Z$1,0),0),"")</f>
        <v/>
      </c>
      <c r="E636" s="6">
        <f t="shared" si="45"/>
        <v>0</v>
      </c>
      <c r="F636" s="5">
        <f t="shared" si="46"/>
        <v>0</v>
      </c>
      <c r="G636" s="5">
        <f>IFERROR(IF(H636&lt;&gt;"",H636,VLOOKUP($A636,[1]FINAL!$A$1:$BZ$1000,MATCH([1]FINAL!$BL$1,[1]FINAL!$A$1:$BZ$1,0),0)),0)</f>
        <v>0</v>
      </c>
      <c r="I636" s="5">
        <f>IFERROR(IF(J636&lt;&gt;"",J636,(IF(VLOOKUP($A636,#REF!,MATCH(#REF!,#REF!,0),0)=0,G636,VLOOKUP($A636,#REF!,MATCH(#REF!,#REF!,0),0)))),G636)</f>
        <v>0</v>
      </c>
      <c r="K636" s="6">
        <f>IFERROR(VLOOKUP($A636,#REF!,MATCH(#REF!,#REF!,0),0),0)</f>
        <v>0</v>
      </c>
      <c r="L636" s="6">
        <f>IFERROR(VLOOKUP($A636,[1]FINAL!$A$1:$BZ$1000,MATCH([1]FINAL!$BF$1,[1]FINAL!$A$1:$BZ$1,0),0),0)</f>
        <v>0</v>
      </c>
      <c r="M636" s="7">
        <f t="shared" si="47"/>
        <v>0</v>
      </c>
      <c r="N636" s="6">
        <f>IFERROR(VLOOKUP($A636,#REF!,MATCH(#REF!,#REF!,0),0),0)</f>
        <v>0</v>
      </c>
      <c r="O636" s="7">
        <f t="shared" si="48"/>
        <v>0</v>
      </c>
      <c r="P636" s="10" t="str">
        <f>IFERROR(VLOOKUP($A636,[1]FINAL!$A$1:$BZ$1000,MATCH([1]FINAL!$BB$1,[1]FINAL!$A$1:$BZ$1,0),0),"")</f>
        <v/>
      </c>
      <c r="Q636" s="18">
        <f t="shared" si="49"/>
        <v>1</v>
      </c>
    </row>
    <row r="637" spans="1:17" x14ac:dyDescent="0.25">
      <c r="A637" s="14">
        <f>[1]FINAL!$A635</f>
        <v>0</v>
      </c>
      <c r="B637" s="20" t="str">
        <f>IFERROR(VLOOKUP($A637,[1]FINAL!$A$1:$Z$1000,MATCH([1]FINAL!$T$1,[1]FINAL!$A$1:$Z$1,0),0),"")</f>
        <v/>
      </c>
      <c r="C637" s="3" t="str">
        <f>IFERROR(VLOOKUP($A637,[1]FINAL!$A$1:$Z$1000,MATCH([1]FINAL!$U$1,[1]FINAL!$A$1:$Z$1,0),0),"")</f>
        <v/>
      </c>
      <c r="D637" s="3" t="str">
        <f>IFERROR(VLOOKUP($A637,[1]FINAL!$A$1:$Z$1000,MATCH([1]FINAL!$V$1,[1]FINAL!$A$1:$Z$1,0),0),"")</f>
        <v/>
      </c>
      <c r="E637" s="6">
        <f t="shared" si="45"/>
        <v>0</v>
      </c>
      <c r="F637" s="5">
        <f t="shared" si="46"/>
        <v>0</v>
      </c>
      <c r="G637" s="5">
        <f>IFERROR(IF(H637&lt;&gt;"",H637,VLOOKUP($A637,[1]FINAL!$A$1:$BZ$1000,MATCH([1]FINAL!$BL$1,[1]FINAL!$A$1:$BZ$1,0),0)),0)</f>
        <v>0</v>
      </c>
      <c r="I637" s="5">
        <f>IFERROR(IF(J637&lt;&gt;"",J637,(IF(VLOOKUP($A637,#REF!,MATCH(#REF!,#REF!,0),0)=0,G637,VLOOKUP($A637,#REF!,MATCH(#REF!,#REF!,0),0)))),G637)</f>
        <v>0</v>
      </c>
      <c r="K637" s="6">
        <f>IFERROR(VLOOKUP($A637,#REF!,MATCH(#REF!,#REF!,0),0),0)</f>
        <v>0</v>
      </c>
      <c r="L637" s="6">
        <f>IFERROR(VLOOKUP($A637,[1]FINAL!$A$1:$BZ$1000,MATCH([1]FINAL!$BF$1,[1]FINAL!$A$1:$BZ$1,0),0),0)</f>
        <v>0</v>
      </c>
      <c r="M637" s="7">
        <f t="shared" si="47"/>
        <v>0</v>
      </c>
      <c r="N637" s="6">
        <f>IFERROR(VLOOKUP($A637,#REF!,MATCH(#REF!,#REF!,0),0),0)</f>
        <v>0</v>
      </c>
      <c r="O637" s="7">
        <f t="shared" si="48"/>
        <v>0</v>
      </c>
      <c r="P637" s="10" t="str">
        <f>IFERROR(VLOOKUP($A637,[1]FINAL!$A$1:$BZ$1000,MATCH([1]FINAL!$BB$1,[1]FINAL!$A$1:$BZ$1,0),0),"")</f>
        <v/>
      </c>
      <c r="Q637" s="18">
        <f t="shared" si="49"/>
        <v>1</v>
      </c>
    </row>
    <row r="638" spans="1:17" x14ac:dyDescent="0.25">
      <c r="A638" s="14">
        <f>[1]FINAL!$A636</f>
        <v>0</v>
      </c>
      <c r="B638" s="20" t="str">
        <f>IFERROR(VLOOKUP($A638,[1]FINAL!$A$1:$Z$1000,MATCH([1]FINAL!$T$1,[1]FINAL!$A$1:$Z$1,0),0),"")</f>
        <v/>
      </c>
      <c r="C638" s="3" t="str">
        <f>IFERROR(VLOOKUP($A638,[1]FINAL!$A$1:$Z$1000,MATCH([1]FINAL!$U$1,[1]FINAL!$A$1:$Z$1,0),0),"")</f>
        <v/>
      </c>
      <c r="D638" s="3" t="str">
        <f>IFERROR(VLOOKUP($A638,[1]FINAL!$A$1:$Z$1000,MATCH([1]FINAL!$V$1,[1]FINAL!$A$1:$Z$1,0),0),"")</f>
        <v/>
      </c>
      <c r="E638" s="6">
        <f t="shared" si="45"/>
        <v>0</v>
      </c>
      <c r="F638" s="5">
        <f t="shared" si="46"/>
        <v>0</v>
      </c>
      <c r="G638" s="5">
        <f>IFERROR(IF(H638&lt;&gt;"",H638,VLOOKUP($A638,[1]FINAL!$A$1:$BZ$1000,MATCH([1]FINAL!$BL$1,[1]FINAL!$A$1:$BZ$1,0),0)),0)</f>
        <v>0</v>
      </c>
      <c r="I638" s="5">
        <f>IFERROR(IF(J638&lt;&gt;"",J638,(IF(VLOOKUP($A638,#REF!,MATCH(#REF!,#REF!,0),0)=0,G638,VLOOKUP($A638,#REF!,MATCH(#REF!,#REF!,0),0)))),G638)</f>
        <v>0</v>
      </c>
      <c r="K638" s="6">
        <f>IFERROR(VLOOKUP($A638,#REF!,MATCH(#REF!,#REF!,0),0),0)</f>
        <v>0</v>
      </c>
      <c r="L638" s="6">
        <f>IFERROR(VLOOKUP($A638,[1]FINAL!$A$1:$BZ$1000,MATCH([1]FINAL!$BF$1,[1]FINAL!$A$1:$BZ$1,0),0),0)</f>
        <v>0</v>
      </c>
      <c r="M638" s="7">
        <f t="shared" si="47"/>
        <v>0</v>
      </c>
      <c r="N638" s="6">
        <f>IFERROR(VLOOKUP($A638,#REF!,MATCH(#REF!,#REF!,0),0),0)</f>
        <v>0</v>
      </c>
      <c r="O638" s="7">
        <f t="shared" si="48"/>
        <v>0</v>
      </c>
      <c r="P638" s="10" t="str">
        <f>IFERROR(VLOOKUP($A638,[1]FINAL!$A$1:$BZ$1000,MATCH([1]FINAL!$BB$1,[1]FINAL!$A$1:$BZ$1,0),0),"")</f>
        <v/>
      </c>
      <c r="Q638" s="18">
        <f t="shared" si="49"/>
        <v>1</v>
      </c>
    </row>
    <row r="639" spans="1:17" x14ac:dyDescent="0.25">
      <c r="A639" s="14">
        <f>[1]FINAL!$A637</f>
        <v>0</v>
      </c>
      <c r="B639" s="20" t="str">
        <f>IFERROR(VLOOKUP($A639,[1]FINAL!$A$1:$Z$1000,MATCH([1]FINAL!$T$1,[1]FINAL!$A$1:$Z$1,0),0),"")</f>
        <v/>
      </c>
      <c r="C639" s="3" t="str">
        <f>IFERROR(VLOOKUP($A639,[1]FINAL!$A$1:$Z$1000,MATCH([1]FINAL!$U$1,[1]FINAL!$A$1:$Z$1,0),0),"")</f>
        <v/>
      </c>
      <c r="D639" s="3" t="str">
        <f>IFERROR(VLOOKUP($A639,[1]FINAL!$A$1:$Z$1000,MATCH([1]FINAL!$V$1,[1]FINAL!$A$1:$Z$1,0),0),"")</f>
        <v/>
      </c>
      <c r="E639" s="6">
        <f t="shared" si="45"/>
        <v>0</v>
      </c>
      <c r="F639" s="5">
        <f t="shared" si="46"/>
        <v>0</v>
      </c>
      <c r="G639" s="5">
        <f>IFERROR(IF(H639&lt;&gt;"",H639,VLOOKUP($A639,[1]FINAL!$A$1:$BZ$1000,MATCH([1]FINAL!$BL$1,[1]FINAL!$A$1:$BZ$1,0),0)),0)</f>
        <v>0</v>
      </c>
      <c r="I639" s="5">
        <f>IFERROR(IF(J639&lt;&gt;"",J639,(IF(VLOOKUP($A639,#REF!,MATCH(#REF!,#REF!,0),0)=0,G639,VLOOKUP($A639,#REF!,MATCH(#REF!,#REF!,0),0)))),G639)</f>
        <v>0</v>
      </c>
      <c r="K639" s="6">
        <f>IFERROR(VLOOKUP($A639,#REF!,MATCH(#REF!,#REF!,0),0),0)</f>
        <v>0</v>
      </c>
      <c r="L639" s="6">
        <f>IFERROR(VLOOKUP($A639,[1]FINAL!$A$1:$BZ$1000,MATCH([1]FINAL!$BF$1,[1]FINAL!$A$1:$BZ$1,0),0),0)</f>
        <v>0</v>
      </c>
      <c r="M639" s="7">
        <f t="shared" si="47"/>
        <v>0</v>
      </c>
      <c r="N639" s="6">
        <f>IFERROR(VLOOKUP($A639,#REF!,MATCH(#REF!,#REF!,0),0),0)</f>
        <v>0</v>
      </c>
      <c r="O639" s="7">
        <f t="shared" si="48"/>
        <v>0</v>
      </c>
      <c r="P639" s="10" t="str">
        <f>IFERROR(VLOOKUP($A639,[1]FINAL!$A$1:$BZ$1000,MATCH([1]FINAL!$BB$1,[1]FINAL!$A$1:$BZ$1,0),0),"")</f>
        <v/>
      </c>
      <c r="Q639" s="18">
        <f t="shared" si="49"/>
        <v>1</v>
      </c>
    </row>
    <row r="640" spans="1:17" x14ac:dyDescent="0.25">
      <c r="A640" s="14">
        <f>[1]FINAL!$A638</f>
        <v>0</v>
      </c>
      <c r="B640" s="20" t="str">
        <f>IFERROR(VLOOKUP($A640,[1]FINAL!$A$1:$Z$1000,MATCH([1]FINAL!$T$1,[1]FINAL!$A$1:$Z$1,0),0),"")</f>
        <v/>
      </c>
      <c r="C640" s="3" t="str">
        <f>IFERROR(VLOOKUP($A640,[1]FINAL!$A$1:$Z$1000,MATCH([1]FINAL!$U$1,[1]FINAL!$A$1:$Z$1,0),0),"")</f>
        <v/>
      </c>
      <c r="D640" s="3" t="str">
        <f>IFERROR(VLOOKUP($A640,[1]FINAL!$A$1:$Z$1000,MATCH([1]FINAL!$V$1,[1]FINAL!$A$1:$Z$1,0),0),"")</f>
        <v/>
      </c>
      <c r="E640" s="6">
        <f t="shared" si="45"/>
        <v>0</v>
      </c>
      <c r="F640" s="5">
        <f t="shared" si="46"/>
        <v>0</v>
      </c>
      <c r="G640" s="5">
        <f>IFERROR(IF(H640&lt;&gt;"",H640,VLOOKUP($A640,[1]FINAL!$A$1:$BZ$1000,MATCH([1]FINAL!$BL$1,[1]FINAL!$A$1:$BZ$1,0),0)),0)</f>
        <v>0</v>
      </c>
      <c r="I640" s="5">
        <f>IFERROR(IF(J640&lt;&gt;"",J640,(IF(VLOOKUP($A640,#REF!,MATCH(#REF!,#REF!,0),0)=0,G640,VLOOKUP($A640,#REF!,MATCH(#REF!,#REF!,0),0)))),G640)</f>
        <v>0</v>
      </c>
      <c r="K640" s="6">
        <f>IFERROR(VLOOKUP($A640,#REF!,MATCH(#REF!,#REF!,0),0),0)</f>
        <v>0</v>
      </c>
      <c r="L640" s="6">
        <f>IFERROR(VLOOKUP($A640,[1]FINAL!$A$1:$BZ$1000,MATCH([1]FINAL!$BF$1,[1]FINAL!$A$1:$BZ$1,0),0),0)</f>
        <v>0</v>
      </c>
      <c r="M640" s="7">
        <f t="shared" si="47"/>
        <v>0</v>
      </c>
      <c r="N640" s="6">
        <f>IFERROR(VLOOKUP($A640,#REF!,MATCH(#REF!,#REF!,0),0),0)</f>
        <v>0</v>
      </c>
      <c r="O640" s="7">
        <f t="shared" si="48"/>
        <v>0</v>
      </c>
      <c r="P640" s="10" t="str">
        <f>IFERROR(VLOOKUP($A640,[1]FINAL!$A$1:$BZ$1000,MATCH([1]FINAL!$BB$1,[1]FINAL!$A$1:$BZ$1,0),0),"")</f>
        <v/>
      </c>
      <c r="Q640" s="18">
        <f t="shared" si="49"/>
        <v>1</v>
      </c>
    </row>
    <row r="641" spans="1:17" x14ac:dyDescent="0.25">
      <c r="A641" s="14">
        <f>[1]FINAL!$A639</f>
        <v>0</v>
      </c>
      <c r="B641" s="20" t="str">
        <f>IFERROR(VLOOKUP($A641,[1]FINAL!$A$1:$Z$1000,MATCH([1]FINAL!$T$1,[1]FINAL!$A$1:$Z$1,0),0),"")</f>
        <v/>
      </c>
      <c r="C641" s="3" t="str">
        <f>IFERROR(VLOOKUP($A641,[1]FINAL!$A$1:$Z$1000,MATCH([1]FINAL!$U$1,[1]FINAL!$A$1:$Z$1,0),0),"")</f>
        <v/>
      </c>
      <c r="D641" s="3" t="str">
        <f>IFERROR(VLOOKUP($A641,[1]FINAL!$A$1:$Z$1000,MATCH([1]FINAL!$V$1,[1]FINAL!$A$1:$Z$1,0),0),"")</f>
        <v/>
      </c>
      <c r="E641" s="6">
        <f t="shared" si="45"/>
        <v>0</v>
      </c>
      <c r="F641" s="5">
        <f t="shared" si="46"/>
        <v>0</v>
      </c>
      <c r="G641" s="5">
        <f>IFERROR(IF(H641&lt;&gt;"",H641,VLOOKUP($A641,[1]FINAL!$A$1:$BZ$1000,MATCH([1]FINAL!$BL$1,[1]FINAL!$A$1:$BZ$1,0),0)),0)</f>
        <v>0</v>
      </c>
      <c r="I641" s="5">
        <f>IFERROR(IF(J641&lt;&gt;"",J641,(IF(VLOOKUP($A641,#REF!,MATCH(#REF!,#REF!,0),0)=0,G641,VLOOKUP($A641,#REF!,MATCH(#REF!,#REF!,0),0)))),G641)</f>
        <v>0</v>
      </c>
      <c r="K641" s="6">
        <f>IFERROR(VLOOKUP($A641,#REF!,MATCH(#REF!,#REF!,0),0),0)</f>
        <v>0</v>
      </c>
      <c r="L641" s="6">
        <f>IFERROR(VLOOKUP($A641,[1]FINAL!$A$1:$BZ$1000,MATCH([1]FINAL!$BF$1,[1]FINAL!$A$1:$BZ$1,0),0),0)</f>
        <v>0</v>
      </c>
      <c r="M641" s="7">
        <f t="shared" si="47"/>
        <v>0</v>
      </c>
      <c r="N641" s="6">
        <f>IFERROR(VLOOKUP($A641,#REF!,MATCH(#REF!,#REF!,0),0),0)</f>
        <v>0</v>
      </c>
      <c r="O641" s="7">
        <f t="shared" si="48"/>
        <v>0</v>
      </c>
      <c r="P641" s="10" t="str">
        <f>IFERROR(VLOOKUP($A641,[1]FINAL!$A$1:$BZ$1000,MATCH([1]FINAL!$BB$1,[1]FINAL!$A$1:$BZ$1,0),0),"")</f>
        <v/>
      </c>
      <c r="Q641" s="18">
        <f t="shared" si="49"/>
        <v>1</v>
      </c>
    </row>
    <row r="642" spans="1:17" x14ac:dyDescent="0.25">
      <c r="A642" s="14">
        <f>[1]FINAL!$A640</f>
        <v>0</v>
      </c>
      <c r="B642" s="20" t="str">
        <f>IFERROR(VLOOKUP($A642,[1]FINAL!$A$1:$Z$1000,MATCH([1]FINAL!$T$1,[1]FINAL!$A$1:$Z$1,0),0),"")</f>
        <v/>
      </c>
      <c r="C642" s="3" t="str">
        <f>IFERROR(VLOOKUP($A642,[1]FINAL!$A$1:$Z$1000,MATCH([1]FINAL!$U$1,[1]FINAL!$A$1:$Z$1,0),0),"")</f>
        <v/>
      </c>
      <c r="D642" s="3" t="str">
        <f>IFERROR(VLOOKUP($A642,[1]FINAL!$A$1:$Z$1000,MATCH([1]FINAL!$V$1,[1]FINAL!$A$1:$Z$1,0),0),"")</f>
        <v/>
      </c>
      <c r="E642" s="6">
        <f t="shared" ref="E642:E705" si="50">IF($Q$1="ON",((G642*100000)+(I642*100000)+(M642*10000)+(O642*10000)+(K642*10))*Q642,((G642*100000)+(I642*100000)+(M642*10000)+(O642*10000)+(K642*10)))</f>
        <v>0</v>
      </c>
      <c r="F642" s="5">
        <f t="shared" ref="F642:F705" si="51">IFERROR(IF($Q$1="ON",((G642*$W$1)+(I642*$U$1))*Q642,((G642*$W$1)+(I642*$U$1))),0)</f>
        <v>0</v>
      </c>
      <c r="G642" s="5">
        <f>IFERROR(IF(H642&lt;&gt;"",H642,VLOOKUP($A642,[1]FINAL!$A$1:$BZ$1000,MATCH([1]FINAL!$BL$1,[1]FINAL!$A$1:$BZ$1,0),0)),0)</f>
        <v>0</v>
      </c>
      <c r="I642" s="5">
        <f>IFERROR(IF(J642&lt;&gt;"",J642,(IF(VLOOKUP($A642,#REF!,MATCH(#REF!,#REF!,0),0)=0,G642,VLOOKUP($A642,#REF!,MATCH(#REF!,#REF!,0),0)))),G642)</f>
        <v>0</v>
      </c>
      <c r="K642" s="6">
        <f>IFERROR(VLOOKUP($A642,#REF!,MATCH(#REF!,#REF!,0),0),0)</f>
        <v>0</v>
      </c>
      <c r="L642" s="6">
        <f>IFERROR(VLOOKUP($A642,[1]FINAL!$A$1:$BZ$1000,MATCH([1]FINAL!$BF$1,[1]FINAL!$A$1:$BZ$1,0),0),0)</f>
        <v>0</v>
      </c>
      <c r="M642" s="7">
        <f t="shared" ref="M642:M705" si="52">L642/90</f>
        <v>0</v>
      </c>
      <c r="N642" s="6">
        <f>IFERROR(VLOOKUP($A642,#REF!,MATCH(#REF!,#REF!,0),0),0)</f>
        <v>0</v>
      </c>
      <c r="O642" s="7">
        <f t="shared" ref="O642:O705" si="53">N642/90</f>
        <v>0</v>
      </c>
      <c r="P642" s="10" t="str">
        <f>IFERROR(VLOOKUP($A642,[1]FINAL!$A$1:$BZ$1000,MATCH([1]FINAL!$BB$1,[1]FINAL!$A$1:$BZ$1,0),0),"")</f>
        <v/>
      </c>
      <c r="Q642" s="18">
        <f t="shared" ref="Q642:Q705" si="54">IF(P642="",1,IF(P642=0,0.0001,P642/100))</f>
        <v>1</v>
      </c>
    </row>
    <row r="643" spans="1:17" x14ac:dyDescent="0.25">
      <c r="A643" s="14">
        <f>[1]FINAL!$A641</f>
        <v>0</v>
      </c>
      <c r="B643" s="20" t="str">
        <f>IFERROR(VLOOKUP($A643,[1]FINAL!$A$1:$Z$1000,MATCH([1]FINAL!$T$1,[1]FINAL!$A$1:$Z$1,0),0),"")</f>
        <v/>
      </c>
      <c r="C643" s="3" t="str">
        <f>IFERROR(VLOOKUP($A643,[1]FINAL!$A$1:$Z$1000,MATCH([1]FINAL!$U$1,[1]FINAL!$A$1:$Z$1,0),0),"")</f>
        <v/>
      </c>
      <c r="D643" s="3" t="str">
        <f>IFERROR(VLOOKUP($A643,[1]FINAL!$A$1:$Z$1000,MATCH([1]FINAL!$V$1,[1]FINAL!$A$1:$Z$1,0),0),"")</f>
        <v/>
      </c>
      <c r="E643" s="6">
        <f t="shared" si="50"/>
        <v>0</v>
      </c>
      <c r="F643" s="5">
        <f t="shared" si="51"/>
        <v>0</v>
      </c>
      <c r="G643" s="5">
        <f>IFERROR(IF(H643&lt;&gt;"",H643,VLOOKUP($A643,[1]FINAL!$A$1:$BZ$1000,MATCH([1]FINAL!$BL$1,[1]FINAL!$A$1:$BZ$1,0),0)),0)</f>
        <v>0</v>
      </c>
      <c r="I643" s="5">
        <f>IFERROR(IF(J643&lt;&gt;"",J643,(IF(VLOOKUP($A643,#REF!,MATCH(#REF!,#REF!,0),0)=0,G643,VLOOKUP($A643,#REF!,MATCH(#REF!,#REF!,0),0)))),G643)</f>
        <v>0</v>
      </c>
      <c r="K643" s="6">
        <f>IFERROR(VLOOKUP($A643,#REF!,MATCH(#REF!,#REF!,0),0),0)</f>
        <v>0</v>
      </c>
      <c r="L643" s="6">
        <f>IFERROR(VLOOKUP($A643,[1]FINAL!$A$1:$BZ$1000,MATCH([1]FINAL!$BF$1,[1]FINAL!$A$1:$BZ$1,0),0),0)</f>
        <v>0</v>
      </c>
      <c r="M643" s="7">
        <f t="shared" si="52"/>
        <v>0</v>
      </c>
      <c r="N643" s="6">
        <f>IFERROR(VLOOKUP($A643,#REF!,MATCH(#REF!,#REF!,0),0),0)</f>
        <v>0</v>
      </c>
      <c r="O643" s="7">
        <f t="shared" si="53"/>
        <v>0</v>
      </c>
      <c r="P643" s="10" t="str">
        <f>IFERROR(VLOOKUP($A643,[1]FINAL!$A$1:$BZ$1000,MATCH([1]FINAL!$BB$1,[1]FINAL!$A$1:$BZ$1,0),0),"")</f>
        <v/>
      </c>
      <c r="Q643" s="18">
        <f t="shared" si="54"/>
        <v>1</v>
      </c>
    </row>
    <row r="644" spans="1:17" x14ac:dyDescent="0.25">
      <c r="A644" s="14">
        <f>[1]FINAL!$A642</f>
        <v>0</v>
      </c>
      <c r="B644" s="20" t="str">
        <f>IFERROR(VLOOKUP($A644,[1]FINAL!$A$1:$Z$1000,MATCH([1]FINAL!$T$1,[1]FINAL!$A$1:$Z$1,0),0),"")</f>
        <v/>
      </c>
      <c r="C644" s="3" t="str">
        <f>IFERROR(VLOOKUP($A644,[1]FINAL!$A$1:$Z$1000,MATCH([1]FINAL!$U$1,[1]FINAL!$A$1:$Z$1,0),0),"")</f>
        <v/>
      </c>
      <c r="D644" s="3" t="str">
        <f>IFERROR(VLOOKUP($A644,[1]FINAL!$A$1:$Z$1000,MATCH([1]FINAL!$V$1,[1]FINAL!$A$1:$Z$1,0),0),"")</f>
        <v/>
      </c>
      <c r="E644" s="6">
        <f t="shared" si="50"/>
        <v>0</v>
      </c>
      <c r="F644" s="5">
        <f t="shared" si="51"/>
        <v>0</v>
      </c>
      <c r="G644" s="5">
        <f>IFERROR(IF(H644&lt;&gt;"",H644,VLOOKUP($A644,[1]FINAL!$A$1:$BZ$1000,MATCH([1]FINAL!$BL$1,[1]FINAL!$A$1:$BZ$1,0),0)),0)</f>
        <v>0</v>
      </c>
      <c r="I644" s="5">
        <f>IFERROR(IF(J644&lt;&gt;"",J644,(IF(VLOOKUP($A644,#REF!,MATCH(#REF!,#REF!,0),0)=0,G644,VLOOKUP($A644,#REF!,MATCH(#REF!,#REF!,0),0)))),G644)</f>
        <v>0</v>
      </c>
      <c r="K644" s="6">
        <f>IFERROR(VLOOKUP($A644,#REF!,MATCH(#REF!,#REF!,0),0),0)</f>
        <v>0</v>
      </c>
      <c r="L644" s="6">
        <f>IFERROR(VLOOKUP($A644,[1]FINAL!$A$1:$BZ$1000,MATCH([1]FINAL!$BF$1,[1]FINAL!$A$1:$BZ$1,0),0),0)</f>
        <v>0</v>
      </c>
      <c r="M644" s="7">
        <f t="shared" si="52"/>
        <v>0</v>
      </c>
      <c r="N644" s="6">
        <f>IFERROR(VLOOKUP($A644,#REF!,MATCH(#REF!,#REF!,0),0),0)</f>
        <v>0</v>
      </c>
      <c r="O644" s="7">
        <f t="shared" si="53"/>
        <v>0</v>
      </c>
      <c r="P644" s="10" t="str">
        <f>IFERROR(VLOOKUP($A644,[1]FINAL!$A$1:$BZ$1000,MATCH([1]FINAL!$BB$1,[1]FINAL!$A$1:$BZ$1,0),0),"")</f>
        <v/>
      </c>
      <c r="Q644" s="18">
        <f t="shared" si="54"/>
        <v>1</v>
      </c>
    </row>
    <row r="645" spans="1:17" x14ac:dyDescent="0.25">
      <c r="A645" s="14">
        <f>[1]FINAL!$A643</f>
        <v>0</v>
      </c>
      <c r="B645" s="20" t="str">
        <f>IFERROR(VLOOKUP($A645,[1]FINAL!$A$1:$Z$1000,MATCH([1]FINAL!$T$1,[1]FINAL!$A$1:$Z$1,0),0),"")</f>
        <v/>
      </c>
      <c r="C645" s="3" t="str">
        <f>IFERROR(VLOOKUP($A645,[1]FINAL!$A$1:$Z$1000,MATCH([1]FINAL!$U$1,[1]FINAL!$A$1:$Z$1,0),0),"")</f>
        <v/>
      </c>
      <c r="D645" s="3" t="str">
        <f>IFERROR(VLOOKUP($A645,[1]FINAL!$A$1:$Z$1000,MATCH([1]FINAL!$V$1,[1]FINAL!$A$1:$Z$1,0),0),"")</f>
        <v/>
      </c>
      <c r="E645" s="6">
        <f t="shared" si="50"/>
        <v>0</v>
      </c>
      <c r="F645" s="5">
        <f t="shared" si="51"/>
        <v>0</v>
      </c>
      <c r="G645" s="5">
        <f>IFERROR(IF(H645&lt;&gt;"",H645,VLOOKUP($A645,[1]FINAL!$A$1:$BZ$1000,MATCH([1]FINAL!$BL$1,[1]FINAL!$A$1:$BZ$1,0),0)),0)</f>
        <v>0</v>
      </c>
      <c r="I645" s="5">
        <f>IFERROR(IF(J645&lt;&gt;"",J645,(IF(VLOOKUP($A645,#REF!,MATCH(#REF!,#REF!,0),0)=0,G645,VLOOKUP($A645,#REF!,MATCH(#REF!,#REF!,0),0)))),G645)</f>
        <v>0</v>
      </c>
      <c r="K645" s="6">
        <f>IFERROR(VLOOKUP($A645,#REF!,MATCH(#REF!,#REF!,0),0),0)</f>
        <v>0</v>
      </c>
      <c r="L645" s="6">
        <f>IFERROR(VLOOKUP($A645,[1]FINAL!$A$1:$BZ$1000,MATCH([1]FINAL!$BF$1,[1]FINAL!$A$1:$BZ$1,0),0),0)</f>
        <v>0</v>
      </c>
      <c r="M645" s="7">
        <f t="shared" si="52"/>
        <v>0</v>
      </c>
      <c r="N645" s="6">
        <f>IFERROR(VLOOKUP($A645,#REF!,MATCH(#REF!,#REF!,0),0),0)</f>
        <v>0</v>
      </c>
      <c r="O645" s="7">
        <f t="shared" si="53"/>
        <v>0</v>
      </c>
      <c r="P645" s="10" t="str">
        <f>IFERROR(VLOOKUP($A645,[1]FINAL!$A$1:$BZ$1000,MATCH([1]FINAL!$BB$1,[1]FINAL!$A$1:$BZ$1,0),0),"")</f>
        <v/>
      </c>
      <c r="Q645" s="18">
        <f t="shared" si="54"/>
        <v>1</v>
      </c>
    </row>
    <row r="646" spans="1:17" x14ac:dyDescent="0.25">
      <c r="A646" s="14">
        <f>[1]FINAL!$A644</f>
        <v>0</v>
      </c>
      <c r="B646" s="20" t="str">
        <f>IFERROR(VLOOKUP($A646,[1]FINAL!$A$1:$Z$1000,MATCH([1]FINAL!$T$1,[1]FINAL!$A$1:$Z$1,0),0),"")</f>
        <v/>
      </c>
      <c r="C646" s="3" t="str">
        <f>IFERROR(VLOOKUP($A646,[1]FINAL!$A$1:$Z$1000,MATCH([1]FINAL!$U$1,[1]FINAL!$A$1:$Z$1,0),0),"")</f>
        <v/>
      </c>
      <c r="D646" s="3" t="str">
        <f>IFERROR(VLOOKUP($A646,[1]FINAL!$A$1:$Z$1000,MATCH([1]FINAL!$V$1,[1]FINAL!$A$1:$Z$1,0),0),"")</f>
        <v/>
      </c>
      <c r="E646" s="6">
        <f t="shared" si="50"/>
        <v>0</v>
      </c>
      <c r="F646" s="5">
        <f t="shared" si="51"/>
        <v>0</v>
      </c>
      <c r="G646" s="5">
        <f>IFERROR(IF(H646&lt;&gt;"",H646,VLOOKUP($A646,[1]FINAL!$A$1:$BZ$1000,MATCH([1]FINAL!$BL$1,[1]FINAL!$A$1:$BZ$1,0),0)),0)</f>
        <v>0</v>
      </c>
      <c r="I646" s="5">
        <f>IFERROR(IF(J646&lt;&gt;"",J646,(IF(VLOOKUP($A646,#REF!,MATCH(#REF!,#REF!,0),0)=0,G646,VLOOKUP($A646,#REF!,MATCH(#REF!,#REF!,0),0)))),G646)</f>
        <v>0</v>
      </c>
      <c r="K646" s="6">
        <f>IFERROR(VLOOKUP($A646,#REF!,MATCH(#REF!,#REF!,0),0),0)</f>
        <v>0</v>
      </c>
      <c r="L646" s="6">
        <f>IFERROR(VLOOKUP($A646,[1]FINAL!$A$1:$BZ$1000,MATCH([1]FINAL!$BF$1,[1]FINAL!$A$1:$BZ$1,0),0),0)</f>
        <v>0</v>
      </c>
      <c r="M646" s="7">
        <f t="shared" si="52"/>
        <v>0</v>
      </c>
      <c r="N646" s="6">
        <f>IFERROR(VLOOKUP($A646,#REF!,MATCH(#REF!,#REF!,0),0),0)</f>
        <v>0</v>
      </c>
      <c r="O646" s="7">
        <f t="shared" si="53"/>
        <v>0</v>
      </c>
      <c r="P646" s="10" t="str">
        <f>IFERROR(VLOOKUP($A646,[1]FINAL!$A$1:$BZ$1000,MATCH([1]FINAL!$BB$1,[1]FINAL!$A$1:$BZ$1,0),0),"")</f>
        <v/>
      </c>
      <c r="Q646" s="18">
        <f t="shared" si="54"/>
        <v>1</v>
      </c>
    </row>
    <row r="647" spans="1:17" x14ac:dyDescent="0.25">
      <c r="A647" s="14">
        <f>[1]FINAL!$A645</f>
        <v>0</v>
      </c>
      <c r="B647" s="20" t="str">
        <f>IFERROR(VLOOKUP($A647,[1]FINAL!$A$1:$Z$1000,MATCH([1]FINAL!$T$1,[1]FINAL!$A$1:$Z$1,0),0),"")</f>
        <v/>
      </c>
      <c r="C647" s="3" t="str">
        <f>IFERROR(VLOOKUP($A647,[1]FINAL!$A$1:$Z$1000,MATCH([1]FINAL!$U$1,[1]FINAL!$A$1:$Z$1,0),0),"")</f>
        <v/>
      </c>
      <c r="D647" s="3" t="str">
        <f>IFERROR(VLOOKUP($A647,[1]FINAL!$A$1:$Z$1000,MATCH([1]FINAL!$V$1,[1]FINAL!$A$1:$Z$1,0),0),"")</f>
        <v/>
      </c>
      <c r="E647" s="6">
        <f t="shared" si="50"/>
        <v>0</v>
      </c>
      <c r="F647" s="5">
        <f t="shared" si="51"/>
        <v>0</v>
      </c>
      <c r="G647" s="5">
        <f>IFERROR(IF(H647&lt;&gt;"",H647,VLOOKUP($A647,[1]FINAL!$A$1:$BZ$1000,MATCH([1]FINAL!$BL$1,[1]FINAL!$A$1:$BZ$1,0),0)),0)</f>
        <v>0</v>
      </c>
      <c r="I647" s="5">
        <f>IFERROR(IF(J647&lt;&gt;"",J647,(IF(VLOOKUP($A647,#REF!,MATCH(#REF!,#REF!,0),0)=0,G647,VLOOKUP($A647,#REF!,MATCH(#REF!,#REF!,0),0)))),G647)</f>
        <v>0</v>
      </c>
      <c r="K647" s="6">
        <f>IFERROR(VLOOKUP($A647,#REF!,MATCH(#REF!,#REF!,0),0),0)</f>
        <v>0</v>
      </c>
      <c r="L647" s="6">
        <f>IFERROR(VLOOKUP($A647,[1]FINAL!$A$1:$BZ$1000,MATCH([1]FINAL!$BF$1,[1]FINAL!$A$1:$BZ$1,0),0),0)</f>
        <v>0</v>
      </c>
      <c r="M647" s="7">
        <f t="shared" si="52"/>
        <v>0</v>
      </c>
      <c r="N647" s="6">
        <f>IFERROR(VLOOKUP($A647,#REF!,MATCH(#REF!,#REF!,0),0),0)</f>
        <v>0</v>
      </c>
      <c r="O647" s="7">
        <f t="shared" si="53"/>
        <v>0</v>
      </c>
      <c r="P647" s="10" t="str">
        <f>IFERROR(VLOOKUP($A647,[1]FINAL!$A$1:$BZ$1000,MATCH([1]FINAL!$BB$1,[1]FINAL!$A$1:$BZ$1,0),0),"")</f>
        <v/>
      </c>
      <c r="Q647" s="18">
        <f t="shared" si="54"/>
        <v>1</v>
      </c>
    </row>
    <row r="648" spans="1:17" x14ac:dyDescent="0.25">
      <c r="A648" s="14">
        <f>[1]FINAL!$A646</f>
        <v>0</v>
      </c>
      <c r="B648" s="20" t="str">
        <f>IFERROR(VLOOKUP($A648,[1]FINAL!$A$1:$Z$1000,MATCH([1]FINAL!$T$1,[1]FINAL!$A$1:$Z$1,0),0),"")</f>
        <v/>
      </c>
      <c r="C648" s="3" t="str">
        <f>IFERROR(VLOOKUP($A648,[1]FINAL!$A$1:$Z$1000,MATCH([1]FINAL!$U$1,[1]FINAL!$A$1:$Z$1,0),0),"")</f>
        <v/>
      </c>
      <c r="D648" s="3" t="str">
        <f>IFERROR(VLOOKUP($A648,[1]FINAL!$A$1:$Z$1000,MATCH([1]FINAL!$V$1,[1]FINAL!$A$1:$Z$1,0),0),"")</f>
        <v/>
      </c>
      <c r="E648" s="6">
        <f t="shared" si="50"/>
        <v>0</v>
      </c>
      <c r="F648" s="5">
        <f t="shared" si="51"/>
        <v>0</v>
      </c>
      <c r="G648" s="5">
        <f>IFERROR(IF(H648&lt;&gt;"",H648,VLOOKUP($A648,[1]FINAL!$A$1:$BZ$1000,MATCH([1]FINAL!$BL$1,[1]FINAL!$A$1:$BZ$1,0),0)),0)</f>
        <v>0</v>
      </c>
      <c r="I648" s="5">
        <f>IFERROR(IF(J648&lt;&gt;"",J648,(IF(VLOOKUP($A648,#REF!,MATCH(#REF!,#REF!,0),0)=0,G648,VLOOKUP($A648,#REF!,MATCH(#REF!,#REF!,0),0)))),G648)</f>
        <v>0</v>
      </c>
      <c r="K648" s="6">
        <f>IFERROR(VLOOKUP($A648,#REF!,MATCH(#REF!,#REF!,0),0),0)</f>
        <v>0</v>
      </c>
      <c r="L648" s="6">
        <f>IFERROR(VLOOKUP($A648,[1]FINAL!$A$1:$BZ$1000,MATCH([1]FINAL!$BF$1,[1]FINAL!$A$1:$BZ$1,0),0),0)</f>
        <v>0</v>
      </c>
      <c r="M648" s="7">
        <f t="shared" si="52"/>
        <v>0</v>
      </c>
      <c r="N648" s="6">
        <f>IFERROR(VLOOKUP($A648,#REF!,MATCH(#REF!,#REF!,0),0),0)</f>
        <v>0</v>
      </c>
      <c r="O648" s="7">
        <f t="shared" si="53"/>
        <v>0</v>
      </c>
      <c r="P648" s="10" t="str">
        <f>IFERROR(VLOOKUP($A648,[1]FINAL!$A$1:$BZ$1000,MATCH([1]FINAL!$BB$1,[1]FINAL!$A$1:$BZ$1,0),0),"")</f>
        <v/>
      </c>
      <c r="Q648" s="18">
        <f t="shared" si="54"/>
        <v>1</v>
      </c>
    </row>
    <row r="649" spans="1:17" x14ac:dyDescent="0.25">
      <c r="A649" s="14">
        <f>[1]FINAL!$A647</f>
        <v>0</v>
      </c>
      <c r="B649" s="20" t="str">
        <f>IFERROR(VLOOKUP($A649,[1]FINAL!$A$1:$Z$1000,MATCH([1]FINAL!$T$1,[1]FINAL!$A$1:$Z$1,0),0),"")</f>
        <v/>
      </c>
      <c r="C649" s="3" t="str">
        <f>IFERROR(VLOOKUP($A649,[1]FINAL!$A$1:$Z$1000,MATCH([1]FINAL!$U$1,[1]FINAL!$A$1:$Z$1,0),0),"")</f>
        <v/>
      </c>
      <c r="D649" s="3" t="str">
        <f>IFERROR(VLOOKUP($A649,[1]FINAL!$A$1:$Z$1000,MATCH([1]FINAL!$V$1,[1]FINAL!$A$1:$Z$1,0),0),"")</f>
        <v/>
      </c>
      <c r="E649" s="6">
        <f t="shared" si="50"/>
        <v>0</v>
      </c>
      <c r="F649" s="5">
        <f t="shared" si="51"/>
        <v>0</v>
      </c>
      <c r="G649" s="5">
        <f>IFERROR(IF(H649&lt;&gt;"",H649,VLOOKUP($A649,[1]FINAL!$A$1:$BZ$1000,MATCH([1]FINAL!$BL$1,[1]FINAL!$A$1:$BZ$1,0),0)),0)</f>
        <v>0</v>
      </c>
      <c r="I649" s="5">
        <f>IFERROR(IF(J649&lt;&gt;"",J649,(IF(VLOOKUP($A649,#REF!,MATCH(#REF!,#REF!,0),0)=0,G649,VLOOKUP($A649,#REF!,MATCH(#REF!,#REF!,0),0)))),G649)</f>
        <v>0</v>
      </c>
      <c r="K649" s="6">
        <f>IFERROR(VLOOKUP($A649,#REF!,MATCH(#REF!,#REF!,0),0),0)</f>
        <v>0</v>
      </c>
      <c r="L649" s="6">
        <f>IFERROR(VLOOKUP($A649,[1]FINAL!$A$1:$BZ$1000,MATCH([1]FINAL!$BF$1,[1]FINAL!$A$1:$BZ$1,0),0),0)</f>
        <v>0</v>
      </c>
      <c r="M649" s="7">
        <f t="shared" si="52"/>
        <v>0</v>
      </c>
      <c r="N649" s="6">
        <f>IFERROR(VLOOKUP($A649,#REF!,MATCH(#REF!,#REF!,0),0),0)</f>
        <v>0</v>
      </c>
      <c r="O649" s="7">
        <f t="shared" si="53"/>
        <v>0</v>
      </c>
      <c r="P649" s="10" t="str">
        <f>IFERROR(VLOOKUP($A649,[1]FINAL!$A$1:$BZ$1000,MATCH([1]FINAL!$BB$1,[1]FINAL!$A$1:$BZ$1,0),0),"")</f>
        <v/>
      </c>
      <c r="Q649" s="18">
        <f t="shared" si="54"/>
        <v>1</v>
      </c>
    </row>
    <row r="650" spans="1:17" x14ac:dyDescent="0.25">
      <c r="A650" s="14">
        <f>[1]FINAL!$A648</f>
        <v>0</v>
      </c>
      <c r="B650" s="20" t="str">
        <f>IFERROR(VLOOKUP($A650,[1]FINAL!$A$1:$Z$1000,MATCH([1]FINAL!$T$1,[1]FINAL!$A$1:$Z$1,0),0),"")</f>
        <v/>
      </c>
      <c r="C650" s="3" t="str">
        <f>IFERROR(VLOOKUP($A650,[1]FINAL!$A$1:$Z$1000,MATCH([1]FINAL!$U$1,[1]FINAL!$A$1:$Z$1,0),0),"")</f>
        <v/>
      </c>
      <c r="D650" s="3" t="str">
        <f>IFERROR(VLOOKUP($A650,[1]FINAL!$A$1:$Z$1000,MATCH([1]FINAL!$V$1,[1]FINAL!$A$1:$Z$1,0),0),"")</f>
        <v/>
      </c>
      <c r="E650" s="6">
        <f t="shared" si="50"/>
        <v>0</v>
      </c>
      <c r="F650" s="5">
        <f t="shared" si="51"/>
        <v>0</v>
      </c>
      <c r="G650" s="5">
        <f>IFERROR(IF(H650&lt;&gt;"",H650,VLOOKUP($A650,[1]FINAL!$A$1:$BZ$1000,MATCH([1]FINAL!$BL$1,[1]FINAL!$A$1:$BZ$1,0),0)),0)</f>
        <v>0</v>
      </c>
      <c r="I650" s="5">
        <f>IFERROR(IF(J650&lt;&gt;"",J650,(IF(VLOOKUP($A650,#REF!,MATCH(#REF!,#REF!,0),0)=0,G650,VLOOKUP($A650,#REF!,MATCH(#REF!,#REF!,0),0)))),G650)</f>
        <v>0</v>
      </c>
      <c r="K650" s="6">
        <f>IFERROR(VLOOKUP($A650,#REF!,MATCH(#REF!,#REF!,0),0),0)</f>
        <v>0</v>
      </c>
      <c r="L650" s="6">
        <f>IFERROR(VLOOKUP($A650,[1]FINAL!$A$1:$BZ$1000,MATCH([1]FINAL!$BF$1,[1]FINAL!$A$1:$BZ$1,0),0),0)</f>
        <v>0</v>
      </c>
      <c r="M650" s="7">
        <f t="shared" si="52"/>
        <v>0</v>
      </c>
      <c r="N650" s="6">
        <f>IFERROR(VLOOKUP($A650,#REF!,MATCH(#REF!,#REF!,0),0),0)</f>
        <v>0</v>
      </c>
      <c r="O650" s="7">
        <f t="shared" si="53"/>
        <v>0</v>
      </c>
      <c r="P650" s="10" t="str">
        <f>IFERROR(VLOOKUP($A650,[1]FINAL!$A$1:$BZ$1000,MATCH([1]FINAL!$BB$1,[1]FINAL!$A$1:$BZ$1,0),0),"")</f>
        <v/>
      </c>
      <c r="Q650" s="18">
        <f t="shared" si="54"/>
        <v>1</v>
      </c>
    </row>
    <row r="651" spans="1:17" x14ac:dyDescent="0.25">
      <c r="A651" s="14">
        <f>[1]FINAL!$A649</f>
        <v>0</v>
      </c>
      <c r="B651" s="20" t="str">
        <f>IFERROR(VLOOKUP($A651,[1]FINAL!$A$1:$Z$1000,MATCH([1]FINAL!$T$1,[1]FINAL!$A$1:$Z$1,0),0),"")</f>
        <v/>
      </c>
      <c r="C651" s="3" t="str">
        <f>IFERROR(VLOOKUP($A651,[1]FINAL!$A$1:$Z$1000,MATCH([1]FINAL!$U$1,[1]FINAL!$A$1:$Z$1,0),0),"")</f>
        <v/>
      </c>
      <c r="D651" s="3" t="str">
        <f>IFERROR(VLOOKUP($A651,[1]FINAL!$A$1:$Z$1000,MATCH([1]FINAL!$V$1,[1]FINAL!$A$1:$Z$1,0),0),"")</f>
        <v/>
      </c>
      <c r="E651" s="6">
        <f t="shared" si="50"/>
        <v>0</v>
      </c>
      <c r="F651" s="5">
        <f t="shared" si="51"/>
        <v>0</v>
      </c>
      <c r="G651" s="5">
        <f>IFERROR(IF(H651&lt;&gt;"",H651,VLOOKUP($A651,[1]FINAL!$A$1:$BZ$1000,MATCH([1]FINAL!$BL$1,[1]FINAL!$A$1:$BZ$1,0),0)),0)</f>
        <v>0</v>
      </c>
      <c r="I651" s="5">
        <f>IFERROR(IF(J651&lt;&gt;"",J651,(IF(VLOOKUP($A651,#REF!,MATCH(#REF!,#REF!,0),0)=0,G651,VLOOKUP($A651,#REF!,MATCH(#REF!,#REF!,0),0)))),G651)</f>
        <v>0</v>
      </c>
      <c r="K651" s="6">
        <f>IFERROR(VLOOKUP($A651,#REF!,MATCH(#REF!,#REF!,0),0),0)</f>
        <v>0</v>
      </c>
      <c r="L651" s="6">
        <f>IFERROR(VLOOKUP($A651,[1]FINAL!$A$1:$BZ$1000,MATCH([1]FINAL!$BF$1,[1]FINAL!$A$1:$BZ$1,0),0),0)</f>
        <v>0</v>
      </c>
      <c r="M651" s="7">
        <f t="shared" si="52"/>
        <v>0</v>
      </c>
      <c r="N651" s="6">
        <f>IFERROR(VLOOKUP($A651,#REF!,MATCH(#REF!,#REF!,0),0),0)</f>
        <v>0</v>
      </c>
      <c r="O651" s="7">
        <f t="shared" si="53"/>
        <v>0</v>
      </c>
      <c r="P651" s="10" t="str">
        <f>IFERROR(VLOOKUP($A651,[1]FINAL!$A$1:$BZ$1000,MATCH([1]FINAL!$BB$1,[1]FINAL!$A$1:$BZ$1,0),0),"")</f>
        <v/>
      </c>
      <c r="Q651" s="18">
        <f t="shared" si="54"/>
        <v>1</v>
      </c>
    </row>
    <row r="652" spans="1:17" x14ac:dyDescent="0.25">
      <c r="A652" s="14">
        <f>[1]FINAL!$A650</f>
        <v>0</v>
      </c>
      <c r="B652" s="20" t="str">
        <f>IFERROR(VLOOKUP($A652,[1]FINAL!$A$1:$Z$1000,MATCH([1]FINAL!$T$1,[1]FINAL!$A$1:$Z$1,0),0),"")</f>
        <v/>
      </c>
      <c r="C652" s="3" t="str">
        <f>IFERROR(VLOOKUP($A652,[1]FINAL!$A$1:$Z$1000,MATCH([1]FINAL!$U$1,[1]FINAL!$A$1:$Z$1,0),0),"")</f>
        <v/>
      </c>
      <c r="D652" s="3" t="str">
        <f>IFERROR(VLOOKUP($A652,[1]FINAL!$A$1:$Z$1000,MATCH([1]FINAL!$V$1,[1]FINAL!$A$1:$Z$1,0),0),"")</f>
        <v/>
      </c>
      <c r="E652" s="6">
        <f t="shared" si="50"/>
        <v>0</v>
      </c>
      <c r="F652" s="5">
        <f t="shared" si="51"/>
        <v>0</v>
      </c>
      <c r="G652" s="5">
        <f>IFERROR(IF(H652&lt;&gt;"",H652,VLOOKUP($A652,[1]FINAL!$A$1:$BZ$1000,MATCH([1]FINAL!$BL$1,[1]FINAL!$A$1:$BZ$1,0),0)),0)</f>
        <v>0</v>
      </c>
      <c r="I652" s="5">
        <f>IFERROR(IF(J652&lt;&gt;"",J652,(IF(VLOOKUP($A652,#REF!,MATCH(#REF!,#REF!,0),0)=0,G652,VLOOKUP($A652,#REF!,MATCH(#REF!,#REF!,0),0)))),G652)</f>
        <v>0</v>
      </c>
      <c r="K652" s="6">
        <f>IFERROR(VLOOKUP($A652,#REF!,MATCH(#REF!,#REF!,0),0),0)</f>
        <v>0</v>
      </c>
      <c r="L652" s="6">
        <f>IFERROR(VLOOKUP($A652,[1]FINAL!$A$1:$BZ$1000,MATCH([1]FINAL!$BF$1,[1]FINAL!$A$1:$BZ$1,0),0),0)</f>
        <v>0</v>
      </c>
      <c r="M652" s="7">
        <f t="shared" si="52"/>
        <v>0</v>
      </c>
      <c r="N652" s="6">
        <f>IFERROR(VLOOKUP($A652,#REF!,MATCH(#REF!,#REF!,0),0),0)</f>
        <v>0</v>
      </c>
      <c r="O652" s="7">
        <f t="shared" si="53"/>
        <v>0</v>
      </c>
      <c r="P652" s="10" t="str">
        <f>IFERROR(VLOOKUP($A652,[1]FINAL!$A$1:$BZ$1000,MATCH([1]FINAL!$BB$1,[1]FINAL!$A$1:$BZ$1,0),0),"")</f>
        <v/>
      </c>
      <c r="Q652" s="18">
        <f t="shared" si="54"/>
        <v>1</v>
      </c>
    </row>
    <row r="653" spans="1:17" x14ac:dyDescent="0.25">
      <c r="A653" s="14">
        <f>[1]FINAL!$A651</f>
        <v>0</v>
      </c>
      <c r="B653" s="20" t="str">
        <f>IFERROR(VLOOKUP($A653,[1]FINAL!$A$1:$Z$1000,MATCH([1]FINAL!$T$1,[1]FINAL!$A$1:$Z$1,0),0),"")</f>
        <v/>
      </c>
      <c r="C653" s="3" t="str">
        <f>IFERROR(VLOOKUP($A653,[1]FINAL!$A$1:$Z$1000,MATCH([1]FINAL!$U$1,[1]FINAL!$A$1:$Z$1,0),0),"")</f>
        <v/>
      </c>
      <c r="D653" s="3" t="str">
        <f>IFERROR(VLOOKUP($A653,[1]FINAL!$A$1:$Z$1000,MATCH([1]FINAL!$V$1,[1]FINAL!$A$1:$Z$1,0),0),"")</f>
        <v/>
      </c>
      <c r="E653" s="6">
        <f t="shared" si="50"/>
        <v>0</v>
      </c>
      <c r="F653" s="5">
        <f t="shared" si="51"/>
        <v>0</v>
      </c>
      <c r="G653" s="5">
        <f>IFERROR(IF(H653&lt;&gt;"",H653,VLOOKUP($A653,[1]FINAL!$A$1:$BZ$1000,MATCH([1]FINAL!$BL$1,[1]FINAL!$A$1:$BZ$1,0),0)),0)</f>
        <v>0</v>
      </c>
      <c r="I653" s="5">
        <f>IFERROR(IF(J653&lt;&gt;"",J653,(IF(VLOOKUP($A653,#REF!,MATCH(#REF!,#REF!,0),0)=0,G653,VLOOKUP($A653,#REF!,MATCH(#REF!,#REF!,0),0)))),G653)</f>
        <v>0</v>
      </c>
      <c r="K653" s="6">
        <f>IFERROR(VLOOKUP($A653,#REF!,MATCH(#REF!,#REF!,0),0),0)</f>
        <v>0</v>
      </c>
      <c r="L653" s="6">
        <f>IFERROR(VLOOKUP($A653,[1]FINAL!$A$1:$BZ$1000,MATCH([1]FINAL!$BF$1,[1]FINAL!$A$1:$BZ$1,0),0),0)</f>
        <v>0</v>
      </c>
      <c r="M653" s="7">
        <f t="shared" si="52"/>
        <v>0</v>
      </c>
      <c r="N653" s="6">
        <f>IFERROR(VLOOKUP($A653,#REF!,MATCH(#REF!,#REF!,0),0),0)</f>
        <v>0</v>
      </c>
      <c r="O653" s="7">
        <f t="shared" si="53"/>
        <v>0</v>
      </c>
      <c r="P653" s="10" t="str">
        <f>IFERROR(VLOOKUP($A653,[1]FINAL!$A$1:$BZ$1000,MATCH([1]FINAL!$BB$1,[1]FINAL!$A$1:$BZ$1,0),0),"")</f>
        <v/>
      </c>
      <c r="Q653" s="18">
        <f t="shared" si="54"/>
        <v>1</v>
      </c>
    </row>
    <row r="654" spans="1:17" x14ac:dyDescent="0.25">
      <c r="A654" s="14">
        <f>[1]FINAL!$A652</f>
        <v>0</v>
      </c>
      <c r="B654" s="20" t="str">
        <f>IFERROR(VLOOKUP($A654,[1]FINAL!$A$1:$Z$1000,MATCH([1]FINAL!$T$1,[1]FINAL!$A$1:$Z$1,0),0),"")</f>
        <v/>
      </c>
      <c r="C654" s="3" t="str">
        <f>IFERROR(VLOOKUP($A654,[1]FINAL!$A$1:$Z$1000,MATCH([1]FINAL!$U$1,[1]FINAL!$A$1:$Z$1,0),0),"")</f>
        <v/>
      </c>
      <c r="D654" s="3" t="str">
        <f>IFERROR(VLOOKUP($A654,[1]FINAL!$A$1:$Z$1000,MATCH([1]FINAL!$V$1,[1]FINAL!$A$1:$Z$1,0),0),"")</f>
        <v/>
      </c>
      <c r="E654" s="6">
        <f t="shared" si="50"/>
        <v>0</v>
      </c>
      <c r="F654" s="5">
        <f t="shared" si="51"/>
        <v>0</v>
      </c>
      <c r="G654" s="5">
        <f>IFERROR(IF(H654&lt;&gt;"",H654,VLOOKUP($A654,[1]FINAL!$A$1:$BZ$1000,MATCH([1]FINAL!$BL$1,[1]FINAL!$A$1:$BZ$1,0),0)),0)</f>
        <v>0</v>
      </c>
      <c r="I654" s="5">
        <f>IFERROR(IF(J654&lt;&gt;"",J654,(IF(VLOOKUP($A654,#REF!,MATCH(#REF!,#REF!,0),0)=0,G654,VLOOKUP($A654,#REF!,MATCH(#REF!,#REF!,0),0)))),G654)</f>
        <v>0</v>
      </c>
      <c r="K654" s="6">
        <f>IFERROR(VLOOKUP($A654,#REF!,MATCH(#REF!,#REF!,0),0),0)</f>
        <v>0</v>
      </c>
      <c r="L654" s="6">
        <f>IFERROR(VLOOKUP($A654,[1]FINAL!$A$1:$BZ$1000,MATCH([1]FINAL!$BF$1,[1]FINAL!$A$1:$BZ$1,0),0),0)</f>
        <v>0</v>
      </c>
      <c r="M654" s="7">
        <f t="shared" si="52"/>
        <v>0</v>
      </c>
      <c r="N654" s="6">
        <f>IFERROR(VLOOKUP($A654,#REF!,MATCH(#REF!,#REF!,0),0),0)</f>
        <v>0</v>
      </c>
      <c r="O654" s="7">
        <f t="shared" si="53"/>
        <v>0</v>
      </c>
      <c r="P654" s="10" t="str">
        <f>IFERROR(VLOOKUP($A654,[1]FINAL!$A$1:$BZ$1000,MATCH([1]FINAL!$BB$1,[1]FINAL!$A$1:$BZ$1,0),0),"")</f>
        <v/>
      </c>
      <c r="Q654" s="18">
        <f t="shared" si="54"/>
        <v>1</v>
      </c>
    </row>
    <row r="655" spans="1:17" x14ac:dyDescent="0.25">
      <c r="A655" s="14">
        <f>[1]FINAL!$A653</f>
        <v>0</v>
      </c>
      <c r="B655" s="20" t="str">
        <f>IFERROR(VLOOKUP($A655,[1]FINAL!$A$1:$Z$1000,MATCH([1]FINAL!$T$1,[1]FINAL!$A$1:$Z$1,0),0),"")</f>
        <v/>
      </c>
      <c r="C655" s="3" t="str">
        <f>IFERROR(VLOOKUP($A655,[1]FINAL!$A$1:$Z$1000,MATCH([1]FINAL!$U$1,[1]FINAL!$A$1:$Z$1,0),0),"")</f>
        <v/>
      </c>
      <c r="D655" s="3" t="str">
        <f>IFERROR(VLOOKUP($A655,[1]FINAL!$A$1:$Z$1000,MATCH([1]FINAL!$V$1,[1]FINAL!$A$1:$Z$1,0),0),"")</f>
        <v/>
      </c>
      <c r="E655" s="6">
        <f t="shared" si="50"/>
        <v>0</v>
      </c>
      <c r="F655" s="5">
        <f t="shared" si="51"/>
        <v>0</v>
      </c>
      <c r="G655" s="5">
        <f>IFERROR(IF(H655&lt;&gt;"",H655,VLOOKUP($A655,[1]FINAL!$A$1:$BZ$1000,MATCH([1]FINAL!$BL$1,[1]FINAL!$A$1:$BZ$1,0),0)),0)</f>
        <v>0</v>
      </c>
      <c r="I655" s="5">
        <f>IFERROR(IF(J655&lt;&gt;"",J655,(IF(VLOOKUP($A655,#REF!,MATCH(#REF!,#REF!,0),0)=0,G655,VLOOKUP($A655,#REF!,MATCH(#REF!,#REF!,0),0)))),G655)</f>
        <v>0</v>
      </c>
      <c r="K655" s="6">
        <f>IFERROR(VLOOKUP($A655,#REF!,MATCH(#REF!,#REF!,0),0),0)</f>
        <v>0</v>
      </c>
      <c r="L655" s="6">
        <f>IFERROR(VLOOKUP($A655,[1]FINAL!$A$1:$BZ$1000,MATCH([1]FINAL!$BF$1,[1]FINAL!$A$1:$BZ$1,0),0),0)</f>
        <v>0</v>
      </c>
      <c r="M655" s="7">
        <f t="shared" si="52"/>
        <v>0</v>
      </c>
      <c r="N655" s="6">
        <f>IFERROR(VLOOKUP($A655,#REF!,MATCH(#REF!,#REF!,0),0),0)</f>
        <v>0</v>
      </c>
      <c r="O655" s="7">
        <f t="shared" si="53"/>
        <v>0</v>
      </c>
      <c r="P655" s="10" t="str">
        <f>IFERROR(VLOOKUP($A655,[1]FINAL!$A$1:$BZ$1000,MATCH([1]FINAL!$BB$1,[1]FINAL!$A$1:$BZ$1,0),0),"")</f>
        <v/>
      </c>
      <c r="Q655" s="18">
        <f t="shared" si="54"/>
        <v>1</v>
      </c>
    </row>
    <row r="656" spans="1:17" x14ac:dyDescent="0.25">
      <c r="A656" s="14">
        <f>[1]FINAL!$A654</f>
        <v>0</v>
      </c>
      <c r="B656" s="20" t="str">
        <f>IFERROR(VLOOKUP($A656,[1]FINAL!$A$1:$Z$1000,MATCH([1]FINAL!$T$1,[1]FINAL!$A$1:$Z$1,0),0),"")</f>
        <v/>
      </c>
      <c r="C656" s="3" t="str">
        <f>IFERROR(VLOOKUP($A656,[1]FINAL!$A$1:$Z$1000,MATCH([1]FINAL!$U$1,[1]FINAL!$A$1:$Z$1,0),0),"")</f>
        <v/>
      </c>
      <c r="D656" s="3" t="str">
        <f>IFERROR(VLOOKUP($A656,[1]FINAL!$A$1:$Z$1000,MATCH([1]FINAL!$V$1,[1]FINAL!$A$1:$Z$1,0),0),"")</f>
        <v/>
      </c>
      <c r="E656" s="6">
        <f t="shared" si="50"/>
        <v>0</v>
      </c>
      <c r="F656" s="5">
        <f t="shared" si="51"/>
        <v>0</v>
      </c>
      <c r="G656" s="5">
        <f>IFERROR(IF(H656&lt;&gt;"",H656,VLOOKUP($A656,[1]FINAL!$A$1:$BZ$1000,MATCH([1]FINAL!$BL$1,[1]FINAL!$A$1:$BZ$1,0),0)),0)</f>
        <v>0</v>
      </c>
      <c r="I656" s="5">
        <f>IFERROR(IF(J656&lt;&gt;"",J656,(IF(VLOOKUP($A656,#REF!,MATCH(#REF!,#REF!,0),0)=0,G656,VLOOKUP($A656,#REF!,MATCH(#REF!,#REF!,0),0)))),G656)</f>
        <v>0</v>
      </c>
      <c r="K656" s="6">
        <f>IFERROR(VLOOKUP($A656,#REF!,MATCH(#REF!,#REF!,0),0),0)</f>
        <v>0</v>
      </c>
      <c r="L656" s="6">
        <f>IFERROR(VLOOKUP($A656,[1]FINAL!$A$1:$BZ$1000,MATCH([1]FINAL!$BF$1,[1]FINAL!$A$1:$BZ$1,0),0),0)</f>
        <v>0</v>
      </c>
      <c r="M656" s="7">
        <f t="shared" si="52"/>
        <v>0</v>
      </c>
      <c r="N656" s="6">
        <f>IFERROR(VLOOKUP($A656,#REF!,MATCH(#REF!,#REF!,0),0),0)</f>
        <v>0</v>
      </c>
      <c r="O656" s="7">
        <f t="shared" si="53"/>
        <v>0</v>
      </c>
      <c r="P656" s="10" t="str">
        <f>IFERROR(VLOOKUP($A656,[1]FINAL!$A$1:$BZ$1000,MATCH([1]FINAL!$BB$1,[1]FINAL!$A$1:$BZ$1,0),0),"")</f>
        <v/>
      </c>
      <c r="Q656" s="18">
        <f t="shared" si="54"/>
        <v>1</v>
      </c>
    </row>
    <row r="657" spans="1:17" x14ac:dyDescent="0.25">
      <c r="A657" s="14">
        <f>[1]FINAL!$A655</f>
        <v>0</v>
      </c>
      <c r="B657" s="20" t="str">
        <f>IFERROR(VLOOKUP($A657,[1]FINAL!$A$1:$Z$1000,MATCH([1]FINAL!$T$1,[1]FINAL!$A$1:$Z$1,0),0),"")</f>
        <v/>
      </c>
      <c r="C657" s="3" t="str">
        <f>IFERROR(VLOOKUP($A657,[1]FINAL!$A$1:$Z$1000,MATCH([1]FINAL!$U$1,[1]FINAL!$A$1:$Z$1,0),0),"")</f>
        <v/>
      </c>
      <c r="D657" s="3" t="str">
        <f>IFERROR(VLOOKUP($A657,[1]FINAL!$A$1:$Z$1000,MATCH([1]FINAL!$V$1,[1]FINAL!$A$1:$Z$1,0),0),"")</f>
        <v/>
      </c>
      <c r="E657" s="6">
        <f t="shared" si="50"/>
        <v>0</v>
      </c>
      <c r="F657" s="5">
        <f t="shared" si="51"/>
        <v>0</v>
      </c>
      <c r="G657" s="5">
        <f>IFERROR(IF(H657&lt;&gt;"",H657,VLOOKUP($A657,[1]FINAL!$A$1:$BZ$1000,MATCH([1]FINAL!$BL$1,[1]FINAL!$A$1:$BZ$1,0),0)),0)</f>
        <v>0</v>
      </c>
      <c r="I657" s="5">
        <f>IFERROR(IF(J657&lt;&gt;"",J657,(IF(VLOOKUP($A657,#REF!,MATCH(#REF!,#REF!,0),0)=0,G657,VLOOKUP($A657,#REF!,MATCH(#REF!,#REF!,0),0)))),G657)</f>
        <v>0</v>
      </c>
      <c r="K657" s="6">
        <f>IFERROR(VLOOKUP($A657,#REF!,MATCH(#REF!,#REF!,0),0),0)</f>
        <v>0</v>
      </c>
      <c r="L657" s="6">
        <f>IFERROR(VLOOKUP($A657,[1]FINAL!$A$1:$BZ$1000,MATCH([1]FINAL!$BF$1,[1]FINAL!$A$1:$BZ$1,0),0),0)</f>
        <v>0</v>
      </c>
      <c r="M657" s="7">
        <f t="shared" si="52"/>
        <v>0</v>
      </c>
      <c r="N657" s="6">
        <f>IFERROR(VLOOKUP($A657,#REF!,MATCH(#REF!,#REF!,0),0),0)</f>
        <v>0</v>
      </c>
      <c r="O657" s="7">
        <f t="shared" si="53"/>
        <v>0</v>
      </c>
      <c r="P657" s="10" t="str">
        <f>IFERROR(VLOOKUP($A657,[1]FINAL!$A$1:$BZ$1000,MATCH([1]FINAL!$BB$1,[1]FINAL!$A$1:$BZ$1,0),0),"")</f>
        <v/>
      </c>
      <c r="Q657" s="18">
        <f t="shared" si="54"/>
        <v>1</v>
      </c>
    </row>
    <row r="658" spans="1:17" x14ac:dyDescent="0.25">
      <c r="A658" s="14">
        <f>[1]FINAL!$A656</f>
        <v>0</v>
      </c>
      <c r="B658" s="20" t="str">
        <f>IFERROR(VLOOKUP($A658,[1]FINAL!$A$1:$Z$1000,MATCH([1]FINAL!$T$1,[1]FINAL!$A$1:$Z$1,0),0),"")</f>
        <v/>
      </c>
      <c r="C658" s="3" t="str">
        <f>IFERROR(VLOOKUP($A658,[1]FINAL!$A$1:$Z$1000,MATCH([1]FINAL!$U$1,[1]FINAL!$A$1:$Z$1,0),0),"")</f>
        <v/>
      </c>
      <c r="D658" s="3" t="str">
        <f>IFERROR(VLOOKUP($A658,[1]FINAL!$A$1:$Z$1000,MATCH([1]FINAL!$V$1,[1]FINAL!$A$1:$Z$1,0),0),"")</f>
        <v/>
      </c>
      <c r="E658" s="6">
        <f t="shared" si="50"/>
        <v>0</v>
      </c>
      <c r="F658" s="5">
        <f t="shared" si="51"/>
        <v>0</v>
      </c>
      <c r="G658" s="5">
        <f>IFERROR(IF(H658&lt;&gt;"",H658,VLOOKUP($A658,[1]FINAL!$A$1:$BZ$1000,MATCH([1]FINAL!$BL$1,[1]FINAL!$A$1:$BZ$1,0),0)),0)</f>
        <v>0</v>
      </c>
      <c r="I658" s="5">
        <f>IFERROR(IF(J658&lt;&gt;"",J658,(IF(VLOOKUP($A658,#REF!,MATCH(#REF!,#REF!,0),0)=0,G658,VLOOKUP($A658,#REF!,MATCH(#REF!,#REF!,0),0)))),G658)</f>
        <v>0</v>
      </c>
      <c r="K658" s="6">
        <f>IFERROR(VLOOKUP($A658,#REF!,MATCH(#REF!,#REF!,0),0),0)</f>
        <v>0</v>
      </c>
      <c r="L658" s="6">
        <f>IFERROR(VLOOKUP($A658,[1]FINAL!$A$1:$BZ$1000,MATCH([1]FINAL!$BF$1,[1]FINAL!$A$1:$BZ$1,0),0),0)</f>
        <v>0</v>
      </c>
      <c r="M658" s="7">
        <f t="shared" si="52"/>
        <v>0</v>
      </c>
      <c r="N658" s="6">
        <f>IFERROR(VLOOKUP($A658,#REF!,MATCH(#REF!,#REF!,0),0),0)</f>
        <v>0</v>
      </c>
      <c r="O658" s="7">
        <f t="shared" si="53"/>
        <v>0</v>
      </c>
      <c r="P658" s="10" t="str">
        <f>IFERROR(VLOOKUP($A658,[1]FINAL!$A$1:$BZ$1000,MATCH([1]FINAL!$BB$1,[1]FINAL!$A$1:$BZ$1,0),0),"")</f>
        <v/>
      </c>
      <c r="Q658" s="18">
        <f t="shared" si="54"/>
        <v>1</v>
      </c>
    </row>
    <row r="659" spans="1:17" x14ac:dyDescent="0.25">
      <c r="A659" s="14">
        <f>[1]FINAL!$A657</f>
        <v>0</v>
      </c>
      <c r="B659" s="20" t="str">
        <f>IFERROR(VLOOKUP($A659,[1]FINAL!$A$1:$Z$1000,MATCH([1]FINAL!$T$1,[1]FINAL!$A$1:$Z$1,0),0),"")</f>
        <v/>
      </c>
      <c r="C659" s="3" t="str">
        <f>IFERROR(VLOOKUP($A659,[1]FINAL!$A$1:$Z$1000,MATCH([1]FINAL!$U$1,[1]FINAL!$A$1:$Z$1,0),0),"")</f>
        <v/>
      </c>
      <c r="D659" s="3" t="str">
        <f>IFERROR(VLOOKUP($A659,[1]FINAL!$A$1:$Z$1000,MATCH([1]FINAL!$V$1,[1]FINAL!$A$1:$Z$1,0),0),"")</f>
        <v/>
      </c>
      <c r="E659" s="6">
        <f t="shared" si="50"/>
        <v>0</v>
      </c>
      <c r="F659" s="5">
        <f t="shared" si="51"/>
        <v>0</v>
      </c>
      <c r="G659" s="5">
        <f>IFERROR(IF(H659&lt;&gt;"",H659,VLOOKUP($A659,[1]FINAL!$A$1:$BZ$1000,MATCH([1]FINAL!$BL$1,[1]FINAL!$A$1:$BZ$1,0),0)),0)</f>
        <v>0</v>
      </c>
      <c r="I659" s="5">
        <f>IFERROR(IF(J659&lt;&gt;"",J659,(IF(VLOOKUP($A659,#REF!,MATCH(#REF!,#REF!,0),0)=0,G659,VLOOKUP($A659,#REF!,MATCH(#REF!,#REF!,0),0)))),G659)</f>
        <v>0</v>
      </c>
      <c r="K659" s="6">
        <f>IFERROR(VLOOKUP($A659,#REF!,MATCH(#REF!,#REF!,0),0),0)</f>
        <v>0</v>
      </c>
      <c r="L659" s="6">
        <f>IFERROR(VLOOKUP($A659,[1]FINAL!$A$1:$BZ$1000,MATCH([1]FINAL!$BF$1,[1]FINAL!$A$1:$BZ$1,0),0),0)</f>
        <v>0</v>
      </c>
      <c r="M659" s="7">
        <f t="shared" si="52"/>
        <v>0</v>
      </c>
      <c r="N659" s="6">
        <f>IFERROR(VLOOKUP($A659,#REF!,MATCH(#REF!,#REF!,0),0),0)</f>
        <v>0</v>
      </c>
      <c r="O659" s="7">
        <f t="shared" si="53"/>
        <v>0</v>
      </c>
      <c r="P659" s="10" t="str">
        <f>IFERROR(VLOOKUP($A659,[1]FINAL!$A$1:$BZ$1000,MATCH([1]FINAL!$BB$1,[1]FINAL!$A$1:$BZ$1,0),0),"")</f>
        <v/>
      </c>
      <c r="Q659" s="18">
        <f t="shared" si="54"/>
        <v>1</v>
      </c>
    </row>
    <row r="660" spans="1:17" x14ac:dyDescent="0.25">
      <c r="A660" s="14">
        <f>[1]FINAL!$A658</f>
        <v>0</v>
      </c>
      <c r="B660" s="20" t="str">
        <f>IFERROR(VLOOKUP($A660,[1]FINAL!$A$1:$Z$1000,MATCH([1]FINAL!$T$1,[1]FINAL!$A$1:$Z$1,0),0),"")</f>
        <v/>
      </c>
      <c r="C660" s="3" t="str">
        <f>IFERROR(VLOOKUP($A660,[1]FINAL!$A$1:$Z$1000,MATCH([1]FINAL!$U$1,[1]FINAL!$A$1:$Z$1,0),0),"")</f>
        <v/>
      </c>
      <c r="D660" s="3" t="str">
        <f>IFERROR(VLOOKUP($A660,[1]FINAL!$A$1:$Z$1000,MATCH([1]FINAL!$V$1,[1]FINAL!$A$1:$Z$1,0),0),"")</f>
        <v/>
      </c>
      <c r="E660" s="6">
        <f t="shared" si="50"/>
        <v>0</v>
      </c>
      <c r="F660" s="5">
        <f t="shared" si="51"/>
        <v>0</v>
      </c>
      <c r="G660" s="5">
        <f>IFERROR(IF(H660&lt;&gt;"",H660,VLOOKUP($A660,[1]FINAL!$A$1:$BZ$1000,MATCH([1]FINAL!$BL$1,[1]FINAL!$A$1:$BZ$1,0),0)),0)</f>
        <v>0</v>
      </c>
      <c r="I660" s="5">
        <f>IFERROR(IF(J660&lt;&gt;"",J660,(IF(VLOOKUP($A660,#REF!,MATCH(#REF!,#REF!,0),0)=0,G660,VLOOKUP($A660,#REF!,MATCH(#REF!,#REF!,0),0)))),G660)</f>
        <v>0</v>
      </c>
      <c r="K660" s="6">
        <f>IFERROR(VLOOKUP($A660,#REF!,MATCH(#REF!,#REF!,0),0),0)</f>
        <v>0</v>
      </c>
      <c r="L660" s="6">
        <f>IFERROR(VLOOKUP($A660,[1]FINAL!$A$1:$BZ$1000,MATCH([1]FINAL!$BF$1,[1]FINAL!$A$1:$BZ$1,0),0),0)</f>
        <v>0</v>
      </c>
      <c r="M660" s="7">
        <f t="shared" si="52"/>
        <v>0</v>
      </c>
      <c r="N660" s="6">
        <f>IFERROR(VLOOKUP($A660,#REF!,MATCH(#REF!,#REF!,0),0),0)</f>
        <v>0</v>
      </c>
      <c r="O660" s="7">
        <f t="shared" si="53"/>
        <v>0</v>
      </c>
      <c r="P660" s="10" t="str">
        <f>IFERROR(VLOOKUP($A660,[1]FINAL!$A$1:$BZ$1000,MATCH([1]FINAL!$BB$1,[1]FINAL!$A$1:$BZ$1,0),0),"")</f>
        <v/>
      </c>
      <c r="Q660" s="18">
        <f t="shared" si="54"/>
        <v>1</v>
      </c>
    </row>
    <row r="661" spans="1:17" x14ac:dyDescent="0.25">
      <c r="A661" s="14">
        <f>[1]FINAL!$A659</f>
        <v>0</v>
      </c>
      <c r="B661" s="20" t="str">
        <f>IFERROR(VLOOKUP($A661,[1]FINAL!$A$1:$Z$1000,MATCH([1]FINAL!$T$1,[1]FINAL!$A$1:$Z$1,0),0),"")</f>
        <v/>
      </c>
      <c r="C661" s="3" t="str">
        <f>IFERROR(VLOOKUP($A661,[1]FINAL!$A$1:$Z$1000,MATCH([1]FINAL!$U$1,[1]FINAL!$A$1:$Z$1,0),0),"")</f>
        <v/>
      </c>
      <c r="D661" s="3" t="str">
        <f>IFERROR(VLOOKUP($A661,[1]FINAL!$A$1:$Z$1000,MATCH([1]FINAL!$V$1,[1]FINAL!$A$1:$Z$1,0),0),"")</f>
        <v/>
      </c>
      <c r="E661" s="6">
        <f t="shared" si="50"/>
        <v>0</v>
      </c>
      <c r="F661" s="5">
        <f t="shared" si="51"/>
        <v>0</v>
      </c>
      <c r="G661" s="5">
        <f>IFERROR(IF(H661&lt;&gt;"",H661,VLOOKUP($A661,[1]FINAL!$A$1:$BZ$1000,MATCH([1]FINAL!$BL$1,[1]FINAL!$A$1:$BZ$1,0),0)),0)</f>
        <v>0</v>
      </c>
      <c r="I661" s="5">
        <f>IFERROR(IF(J661&lt;&gt;"",J661,(IF(VLOOKUP($A661,#REF!,MATCH(#REF!,#REF!,0),0)=0,G661,VLOOKUP($A661,#REF!,MATCH(#REF!,#REF!,0),0)))),G661)</f>
        <v>0</v>
      </c>
      <c r="K661" s="6">
        <f>IFERROR(VLOOKUP($A661,#REF!,MATCH(#REF!,#REF!,0),0),0)</f>
        <v>0</v>
      </c>
      <c r="L661" s="6">
        <f>IFERROR(VLOOKUP($A661,[1]FINAL!$A$1:$BZ$1000,MATCH([1]FINAL!$BF$1,[1]FINAL!$A$1:$BZ$1,0),0),0)</f>
        <v>0</v>
      </c>
      <c r="M661" s="7">
        <f t="shared" si="52"/>
        <v>0</v>
      </c>
      <c r="N661" s="6">
        <f>IFERROR(VLOOKUP($A661,#REF!,MATCH(#REF!,#REF!,0),0),0)</f>
        <v>0</v>
      </c>
      <c r="O661" s="7">
        <f t="shared" si="53"/>
        <v>0</v>
      </c>
      <c r="P661" s="10" t="str">
        <f>IFERROR(VLOOKUP($A661,[1]FINAL!$A$1:$BZ$1000,MATCH([1]FINAL!$BB$1,[1]FINAL!$A$1:$BZ$1,0),0),"")</f>
        <v/>
      </c>
      <c r="Q661" s="18">
        <f t="shared" si="54"/>
        <v>1</v>
      </c>
    </row>
    <row r="662" spans="1:17" x14ac:dyDescent="0.25">
      <c r="A662" s="14">
        <f>[1]FINAL!$A660</f>
        <v>0</v>
      </c>
      <c r="B662" s="20" t="str">
        <f>IFERROR(VLOOKUP($A662,[1]FINAL!$A$1:$Z$1000,MATCH([1]FINAL!$T$1,[1]FINAL!$A$1:$Z$1,0),0),"")</f>
        <v/>
      </c>
      <c r="C662" s="3" t="str">
        <f>IFERROR(VLOOKUP($A662,[1]FINAL!$A$1:$Z$1000,MATCH([1]FINAL!$U$1,[1]FINAL!$A$1:$Z$1,0),0),"")</f>
        <v/>
      </c>
      <c r="D662" s="3" t="str">
        <f>IFERROR(VLOOKUP($A662,[1]FINAL!$A$1:$Z$1000,MATCH([1]FINAL!$V$1,[1]FINAL!$A$1:$Z$1,0),0),"")</f>
        <v/>
      </c>
      <c r="E662" s="6">
        <f t="shared" si="50"/>
        <v>0</v>
      </c>
      <c r="F662" s="5">
        <f t="shared" si="51"/>
        <v>0</v>
      </c>
      <c r="G662" s="5">
        <f>IFERROR(IF(H662&lt;&gt;"",H662,VLOOKUP($A662,[1]FINAL!$A$1:$BZ$1000,MATCH([1]FINAL!$BL$1,[1]FINAL!$A$1:$BZ$1,0),0)),0)</f>
        <v>0</v>
      </c>
      <c r="I662" s="5">
        <f>IFERROR(IF(J662&lt;&gt;"",J662,(IF(VLOOKUP($A662,#REF!,MATCH(#REF!,#REF!,0),0)=0,G662,VLOOKUP($A662,#REF!,MATCH(#REF!,#REF!,0),0)))),G662)</f>
        <v>0</v>
      </c>
      <c r="K662" s="6">
        <f>IFERROR(VLOOKUP($A662,#REF!,MATCH(#REF!,#REF!,0),0),0)</f>
        <v>0</v>
      </c>
      <c r="L662" s="6">
        <f>IFERROR(VLOOKUP($A662,[1]FINAL!$A$1:$BZ$1000,MATCH([1]FINAL!$BF$1,[1]FINAL!$A$1:$BZ$1,0),0),0)</f>
        <v>0</v>
      </c>
      <c r="M662" s="7">
        <f t="shared" si="52"/>
        <v>0</v>
      </c>
      <c r="N662" s="6">
        <f>IFERROR(VLOOKUP($A662,#REF!,MATCH(#REF!,#REF!,0),0),0)</f>
        <v>0</v>
      </c>
      <c r="O662" s="7">
        <f t="shared" si="53"/>
        <v>0</v>
      </c>
      <c r="P662" s="10" t="str">
        <f>IFERROR(VLOOKUP($A662,[1]FINAL!$A$1:$BZ$1000,MATCH([1]FINAL!$BB$1,[1]FINAL!$A$1:$BZ$1,0),0),"")</f>
        <v/>
      </c>
      <c r="Q662" s="18">
        <f t="shared" si="54"/>
        <v>1</v>
      </c>
    </row>
    <row r="663" spans="1:17" x14ac:dyDescent="0.25">
      <c r="A663" s="14">
        <f>[1]FINAL!$A661</f>
        <v>0</v>
      </c>
      <c r="B663" s="20" t="str">
        <f>IFERROR(VLOOKUP($A663,[1]FINAL!$A$1:$Z$1000,MATCH([1]FINAL!$T$1,[1]FINAL!$A$1:$Z$1,0),0),"")</f>
        <v/>
      </c>
      <c r="C663" s="3" t="str">
        <f>IFERROR(VLOOKUP($A663,[1]FINAL!$A$1:$Z$1000,MATCH([1]FINAL!$U$1,[1]FINAL!$A$1:$Z$1,0),0),"")</f>
        <v/>
      </c>
      <c r="D663" s="3" t="str">
        <f>IFERROR(VLOOKUP($A663,[1]FINAL!$A$1:$Z$1000,MATCH([1]FINAL!$V$1,[1]FINAL!$A$1:$Z$1,0),0),"")</f>
        <v/>
      </c>
      <c r="E663" s="6">
        <f t="shared" si="50"/>
        <v>0</v>
      </c>
      <c r="F663" s="5">
        <f t="shared" si="51"/>
        <v>0</v>
      </c>
      <c r="G663" s="5">
        <f>IFERROR(IF(H663&lt;&gt;"",H663,VLOOKUP($A663,[1]FINAL!$A$1:$BZ$1000,MATCH([1]FINAL!$BL$1,[1]FINAL!$A$1:$BZ$1,0),0)),0)</f>
        <v>0</v>
      </c>
      <c r="I663" s="5">
        <f>IFERROR(IF(J663&lt;&gt;"",J663,(IF(VLOOKUP($A663,#REF!,MATCH(#REF!,#REF!,0),0)=0,G663,VLOOKUP($A663,#REF!,MATCH(#REF!,#REF!,0),0)))),G663)</f>
        <v>0</v>
      </c>
      <c r="K663" s="6">
        <f>IFERROR(VLOOKUP($A663,#REF!,MATCH(#REF!,#REF!,0),0),0)</f>
        <v>0</v>
      </c>
      <c r="L663" s="6">
        <f>IFERROR(VLOOKUP($A663,[1]FINAL!$A$1:$BZ$1000,MATCH([1]FINAL!$BF$1,[1]FINAL!$A$1:$BZ$1,0),0),0)</f>
        <v>0</v>
      </c>
      <c r="M663" s="7">
        <f t="shared" si="52"/>
        <v>0</v>
      </c>
      <c r="N663" s="6">
        <f>IFERROR(VLOOKUP($A663,#REF!,MATCH(#REF!,#REF!,0),0),0)</f>
        <v>0</v>
      </c>
      <c r="O663" s="7">
        <f t="shared" si="53"/>
        <v>0</v>
      </c>
      <c r="P663" s="10" t="str">
        <f>IFERROR(VLOOKUP($A663,[1]FINAL!$A$1:$BZ$1000,MATCH([1]FINAL!$BB$1,[1]FINAL!$A$1:$BZ$1,0),0),"")</f>
        <v/>
      </c>
      <c r="Q663" s="18">
        <f t="shared" si="54"/>
        <v>1</v>
      </c>
    </row>
    <row r="664" spans="1:17" x14ac:dyDescent="0.25">
      <c r="A664" s="14">
        <f>[1]FINAL!$A662</f>
        <v>0</v>
      </c>
      <c r="B664" s="20" t="str">
        <f>IFERROR(VLOOKUP($A664,[1]FINAL!$A$1:$Z$1000,MATCH([1]FINAL!$T$1,[1]FINAL!$A$1:$Z$1,0),0),"")</f>
        <v/>
      </c>
      <c r="C664" s="3" t="str">
        <f>IFERROR(VLOOKUP($A664,[1]FINAL!$A$1:$Z$1000,MATCH([1]FINAL!$U$1,[1]FINAL!$A$1:$Z$1,0),0),"")</f>
        <v/>
      </c>
      <c r="D664" s="3" t="str">
        <f>IFERROR(VLOOKUP($A664,[1]FINAL!$A$1:$Z$1000,MATCH([1]FINAL!$V$1,[1]FINAL!$A$1:$Z$1,0),0),"")</f>
        <v/>
      </c>
      <c r="E664" s="6">
        <f t="shared" si="50"/>
        <v>0</v>
      </c>
      <c r="F664" s="5">
        <f t="shared" si="51"/>
        <v>0</v>
      </c>
      <c r="G664" s="5">
        <f>IFERROR(IF(H664&lt;&gt;"",H664,VLOOKUP($A664,[1]FINAL!$A$1:$BZ$1000,MATCH([1]FINAL!$BL$1,[1]FINAL!$A$1:$BZ$1,0),0)),0)</f>
        <v>0</v>
      </c>
      <c r="I664" s="5">
        <f>IFERROR(IF(J664&lt;&gt;"",J664,(IF(VLOOKUP($A664,#REF!,MATCH(#REF!,#REF!,0),0)=0,G664,VLOOKUP($A664,#REF!,MATCH(#REF!,#REF!,0),0)))),G664)</f>
        <v>0</v>
      </c>
      <c r="K664" s="6">
        <f>IFERROR(VLOOKUP($A664,#REF!,MATCH(#REF!,#REF!,0),0),0)</f>
        <v>0</v>
      </c>
      <c r="L664" s="6">
        <f>IFERROR(VLOOKUP($A664,[1]FINAL!$A$1:$BZ$1000,MATCH([1]FINAL!$BF$1,[1]FINAL!$A$1:$BZ$1,0),0),0)</f>
        <v>0</v>
      </c>
      <c r="M664" s="7">
        <f t="shared" si="52"/>
        <v>0</v>
      </c>
      <c r="N664" s="6">
        <f>IFERROR(VLOOKUP($A664,#REF!,MATCH(#REF!,#REF!,0),0),0)</f>
        <v>0</v>
      </c>
      <c r="O664" s="7">
        <f t="shared" si="53"/>
        <v>0</v>
      </c>
      <c r="P664" s="10" t="str">
        <f>IFERROR(VLOOKUP($A664,[1]FINAL!$A$1:$BZ$1000,MATCH([1]FINAL!$BB$1,[1]FINAL!$A$1:$BZ$1,0),0),"")</f>
        <v/>
      </c>
      <c r="Q664" s="18">
        <f t="shared" si="54"/>
        <v>1</v>
      </c>
    </row>
    <row r="665" spans="1:17" x14ac:dyDescent="0.25">
      <c r="A665" s="14">
        <f>[1]FINAL!$A663</f>
        <v>0</v>
      </c>
      <c r="B665" s="20" t="str">
        <f>IFERROR(VLOOKUP($A665,[1]FINAL!$A$1:$Z$1000,MATCH([1]FINAL!$T$1,[1]FINAL!$A$1:$Z$1,0),0),"")</f>
        <v/>
      </c>
      <c r="C665" s="3" t="str">
        <f>IFERROR(VLOOKUP($A665,[1]FINAL!$A$1:$Z$1000,MATCH([1]FINAL!$U$1,[1]FINAL!$A$1:$Z$1,0),0),"")</f>
        <v/>
      </c>
      <c r="D665" s="3" t="str">
        <f>IFERROR(VLOOKUP($A665,[1]FINAL!$A$1:$Z$1000,MATCH([1]FINAL!$V$1,[1]FINAL!$A$1:$Z$1,0),0),"")</f>
        <v/>
      </c>
      <c r="E665" s="6">
        <f t="shared" si="50"/>
        <v>0</v>
      </c>
      <c r="F665" s="5">
        <f t="shared" si="51"/>
        <v>0</v>
      </c>
      <c r="G665" s="5">
        <f>IFERROR(IF(H665&lt;&gt;"",H665,VLOOKUP($A665,[1]FINAL!$A$1:$BZ$1000,MATCH([1]FINAL!$BL$1,[1]FINAL!$A$1:$BZ$1,0),0)),0)</f>
        <v>0</v>
      </c>
      <c r="I665" s="5">
        <f>IFERROR(IF(J665&lt;&gt;"",J665,(IF(VLOOKUP($A665,#REF!,MATCH(#REF!,#REF!,0),0)=0,G665,VLOOKUP($A665,#REF!,MATCH(#REF!,#REF!,0),0)))),G665)</f>
        <v>0</v>
      </c>
      <c r="K665" s="6">
        <f>IFERROR(VLOOKUP($A665,#REF!,MATCH(#REF!,#REF!,0),0),0)</f>
        <v>0</v>
      </c>
      <c r="L665" s="6">
        <f>IFERROR(VLOOKUP($A665,[1]FINAL!$A$1:$BZ$1000,MATCH([1]FINAL!$BF$1,[1]FINAL!$A$1:$BZ$1,0),0),0)</f>
        <v>0</v>
      </c>
      <c r="M665" s="7">
        <f t="shared" si="52"/>
        <v>0</v>
      </c>
      <c r="N665" s="6">
        <f>IFERROR(VLOOKUP($A665,#REF!,MATCH(#REF!,#REF!,0),0),0)</f>
        <v>0</v>
      </c>
      <c r="O665" s="7">
        <f t="shared" si="53"/>
        <v>0</v>
      </c>
      <c r="P665" s="10" t="str">
        <f>IFERROR(VLOOKUP($A665,[1]FINAL!$A$1:$BZ$1000,MATCH([1]FINAL!$BB$1,[1]FINAL!$A$1:$BZ$1,0),0),"")</f>
        <v/>
      </c>
      <c r="Q665" s="18">
        <f t="shared" si="54"/>
        <v>1</v>
      </c>
    </row>
    <row r="666" spans="1:17" x14ac:dyDescent="0.25">
      <c r="A666" s="14">
        <f>[1]FINAL!$A664</f>
        <v>0</v>
      </c>
      <c r="B666" s="20" t="str">
        <f>IFERROR(VLOOKUP($A666,[1]FINAL!$A$1:$Z$1000,MATCH([1]FINAL!$T$1,[1]FINAL!$A$1:$Z$1,0),0),"")</f>
        <v/>
      </c>
      <c r="C666" s="3" t="str">
        <f>IFERROR(VLOOKUP($A666,[1]FINAL!$A$1:$Z$1000,MATCH([1]FINAL!$U$1,[1]FINAL!$A$1:$Z$1,0),0),"")</f>
        <v/>
      </c>
      <c r="D666" s="3" t="str">
        <f>IFERROR(VLOOKUP($A666,[1]FINAL!$A$1:$Z$1000,MATCH([1]FINAL!$V$1,[1]FINAL!$A$1:$Z$1,0),0),"")</f>
        <v/>
      </c>
      <c r="E666" s="6">
        <f t="shared" si="50"/>
        <v>0</v>
      </c>
      <c r="F666" s="5">
        <f t="shared" si="51"/>
        <v>0</v>
      </c>
      <c r="G666" s="5">
        <f>IFERROR(IF(H666&lt;&gt;"",H666,VLOOKUP($A666,[1]FINAL!$A$1:$BZ$1000,MATCH([1]FINAL!$BL$1,[1]FINAL!$A$1:$BZ$1,0),0)),0)</f>
        <v>0</v>
      </c>
      <c r="I666" s="5">
        <f>IFERROR(IF(J666&lt;&gt;"",J666,(IF(VLOOKUP($A666,#REF!,MATCH(#REF!,#REF!,0),0)=0,G666,VLOOKUP($A666,#REF!,MATCH(#REF!,#REF!,0),0)))),G666)</f>
        <v>0</v>
      </c>
      <c r="K666" s="6">
        <f>IFERROR(VLOOKUP($A666,#REF!,MATCH(#REF!,#REF!,0),0),0)</f>
        <v>0</v>
      </c>
      <c r="L666" s="6">
        <f>IFERROR(VLOOKUP($A666,[1]FINAL!$A$1:$BZ$1000,MATCH([1]FINAL!$BF$1,[1]FINAL!$A$1:$BZ$1,0),0),0)</f>
        <v>0</v>
      </c>
      <c r="M666" s="7">
        <f t="shared" si="52"/>
        <v>0</v>
      </c>
      <c r="N666" s="6">
        <f>IFERROR(VLOOKUP($A666,#REF!,MATCH(#REF!,#REF!,0),0),0)</f>
        <v>0</v>
      </c>
      <c r="O666" s="7">
        <f t="shared" si="53"/>
        <v>0</v>
      </c>
      <c r="P666" s="10" t="str">
        <f>IFERROR(VLOOKUP($A666,[1]FINAL!$A$1:$BZ$1000,MATCH([1]FINAL!$BB$1,[1]FINAL!$A$1:$BZ$1,0),0),"")</f>
        <v/>
      </c>
      <c r="Q666" s="18">
        <f t="shared" si="54"/>
        <v>1</v>
      </c>
    </row>
    <row r="667" spans="1:17" x14ac:dyDescent="0.25">
      <c r="A667" s="14">
        <f>[1]FINAL!$A665</f>
        <v>0</v>
      </c>
      <c r="B667" s="20" t="str">
        <f>IFERROR(VLOOKUP($A667,[1]FINAL!$A$1:$Z$1000,MATCH([1]FINAL!$T$1,[1]FINAL!$A$1:$Z$1,0),0),"")</f>
        <v/>
      </c>
      <c r="C667" s="3" t="str">
        <f>IFERROR(VLOOKUP($A667,[1]FINAL!$A$1:$Z$1000,MATCH([1]FINAL!$U$1,[1]FINAL!$A$1:$Z$1,0),0),"")</f>
        <v/>
      </c>
      <c r="D667" s="3" t="str">
        <f>IFERROR(VLOOKUP($A667,[1]FINAL!$A$1:$Z$1000,MATCH([1]FINAL!$V$1,[1]FINAL!$A$1:$Z$1,0),0),"")</f>
        <v/>
      </c>
      <c r="E667" s="6">
        <f t="shared" si="50"/>
        <v>0</v>
      </c>
      <c r="F667" s="5">
        <f t="shared" si="51"/>
        <v>0</v>
      </c>
      <c r="G667" s="5">
        <f>IFERROR(IF(H667&lt;&gt;"",H667,VLOOKUP($A667,[1]FINAL!$A$1:$BZ$1000,MATCH([1]FINAL!$BL$1,[1]FINAL!$A$1:$BZ$1,0),0)),0)</f>
        <v>0</v>
      </c>
      <c r="I667" s="5">
        <f>IFERROR(IF(J667&lt;&gt;"",J667,(IF(VLOOKUP($A667,#REF!,MATCH(#REF!,#REF!,0),0)=0,G667,VLOOKUP($A667,#REF!,MATCH(#REF!,#REF!,0),0)))),G667)</f>
        <v>0</v>
      </c>
      <c r="K667" s="6">
        <f>IFERROR(VLOOKUP($A667,#REF!,MATCH(#REF!,#REF!,0),0),0)</f>
        <v>0</v>
      </c>
      <c r="L667" s="6">
        <f>IFERROR(VLOOKUP($A667,[1]FINAL!$A$1:$BZ$1000,MATCH([1]FINAL!$BF$1,[1]FINAL!$A$1:$BZ$1,0),0),0)</f>
        <v>0</v>
      </c>
      <c r="M667" s="7">
        <f t="shared" si="52"/>
        <v>0</v>
      </c>
      <c r="N667" s="6">
        <f>IFERROR(VLOOKUP($A667,#REF!,MATCH(#REF!,#REF!,0),0),0)</f>
        <v>0</v>
      </c>
      <c r="O667" s="7">
        <f t="shared" si="53"/>
        <v>0</v>
      </c>
      <c r="P667" s="10" t="str">
        <f>IFERROR(VLOOKUP($A667,[1]FINAL!$A$1:$BZ$1000,MATCH([1]FINAL!$BB$1,[1]FINAL!$A$1:$BZ$1,0),0),"")</f>
        <v/>
      </c>
      <c r="Q667" s="18">
        <f t="shared" si="54"/>
        <v>1</v>
      </c>
    </row>
    <row r="668" spans="1:17" x14ac:dyDescent="0.25">
      <c r="A668" s="14">
        <f>[1]FINAL!$A666</f>
        <v>0</v>
      </c>
      <c r="B668" s="20" t="str">
        <f>IFERROR(VLOOKUP($A668,[1]FINAL!$A$1:$Z$1000,MATCH([1]FINAL!$T$1,[1]FINAL!$A$1:$Z$1,0),0),"")</f>
        <v/>
      </c>
      <c r="C668" s="3" t="str">
        <f>IFERROR(VLOOKUP($A668,[1]FINAL!$A$1:$Z$1000,MATCH([1]FINAL!$U$1,[1]FINAL!$A$1:$Z$1,0),0),"")</f>
        <v/>
      </c>
      <c r="D668" s="3" t="str">
        <f>IFERROR(VLOOKUP($A668,[1]FINAL!$A$1:$Z$1000,MATCH([1]FINAL!$V$1,[1]FINAL!$A$1:$Z$1,0),0),"")</f>
        <v/>
      </c>
      <c r="E668" s="6">
        <f t="shared" si="50"/>
        <v>0</v>
      </c>
      <c r="F668" s="5">
        <f t="shared" si="51"/>
        <v>0</v>
      </c>
      <c r="G668" s="5">
        <f>IFERROR(IF(H668&lt;&gt;"",H668,VLOOKUP($A668,[1]FINAL!$A$1:$BZ$1000,MATCH([1]FINAL!$BL$1,[1]FINAL!$A$1:$BZ$1,0),0)),0)</f>
        <v>0</v>
      </c>
      <c r="I668" s="5">
        <f>IFERROR(IF(J668&lt;&gt;"",J668,(IF(VLOOKUP($A668,#REF!,MATCH(#REF!,#REF!,0),0)=0,G668,VLOOKUP($A668,#REF!,MATCH(#REF!,#REF!,0),0)))),G668)</f>
        <v>0</v>
      </c>
      <c r="K668" s="6">
        <f>IFERROR(VLOOKUP($A668,#REF!,MATCH(#REF!,#REF!,0),0),0)</f>
        <v>0</v>
      </c>
      <c r="L668" s="6">
        <f>IFERROR(VLOOKUP($A668,[1]FINAL!$A$1:$BZ$1000,MATCH([1]FINAL!$BF$1,[1]FINAL!$A$1:$BZ$1,0),0),0)</f>
        <v>0</v>
      </c>
      <c r="M668" s="7">
        <f t="shared" si="52"/>
        <v>0</v>
      </c>
      <c r="N668" s="6">
        <f>IFERROR(VLOOKUP($A668,#REF!,MATCH(#REF!,#REF!,0),0),0)</f>
        <v>0</v>
      </c>
      <c r="O668" s="7">
        <f t="shared" si="53"/>
        <v>0</v>
      </c>
      <c r="P668" s="10" t="str">
        <f>IFERROR(VLOOKUP($A668,[1]FINAL!$A$1:$BZ$1000,MATCH([1]FINAL!$BB$1,[1]FINAL!$A$1:$BZ$1,0),0),"")</f>
        <v/>
      </c>
      <c r="Q668" s="18">
        <f t="shared" si="54"/>
        <v>1</v>
      </c>
    </row>
    <row r="669" spans="1:17" x14ac:dyDescent="0.25">
      <c r="A669" s="14">
        <f>[1]FINAL!$A667</f>
        <v>0</v>
      </c>
      <c r="B669" s="20" t="str">
        <f>IFERROR(VLOOKUP($A669,[1]FINAL!$A$1:$Z$1000,MATCH([1]FINAL!$T$1,[1]FINAL!$A$1:$Z$1,0),0),"")</f>
        <v/>
      </c>
      <c r="C669" s="3" t="str">
        <f>IFERROR(VLOOKUP($A669,[1]FINAL!$A$1:$Z$1000,MATCH([1]FINAL!$U$1,[1]FINAL!$A$1:$Z$1,0),0),"")</f>
        <v/>
      </c>
      <c r="D669" s="3" t="str">
        <f>IFERROR(VLOOKUP($A669,[1]FINAL!$A$1:$Z$1000,MATCH([1]FINAL!$V$1,[1]FINAL!$A$1:$Z$1,0),0),"")</f>
        <v/>
      </c>
      <c r="E669" s="6">
        <f t="shared" si="50"/>
        <v>0</v>
      </c>
      <c r="F669" s="5">
        <f t="shared" si="51"/>
        <v>0</v>
      </c>
      <c r="G669" s="5">
        <f>IFERROR(IF(H669&lt;&gt;"",H669,VLOOKUP($A669,[1]FINAL!$A$1:$BZ$1000,MATCH([1]FINAL!$BL$1,[1]FINAL!$A$1:$BZ$1,0),0)),0)</f>
        <v>0</v>
      </c>
      <c r="I669" s="5">
        <f>IFERROR(IF(J669&lt;&gt;"",J669,(IF(VLOOKUP($A669,#REF!,MATCH(#REF!,#REF!,0),0)=0,G669,VLOOKUP($A669,#REF!,MATCH(#REF!,#REF!,0),0)))),G669)</f>
        <v>0</v>
      </c>
      <c r="K669" s="6">
        <f>IFERROR(VLOOKUP($A669,#REF!,MATCH(#REF!,#REF!,0),0),0)</f>
        <v>0</v>
      </c>
      <c r="L669" s="6">
        <f>IFERROR(VLOOKUP($A669,[1]FINAL!$A$1:$BZ$1000,MATCH([1]FINAL!$BF$1,[1]FINAL!$A$1:$BZ$1,0),0),0)</f>
        <v>0</v>
      </c>
      <c r="M669" s="7">
        <f t="shared" si="52"/>
        <v>0</v>
      </c>
      <c r="N669" s="6">
        <f>IFERROR(VLOOKUP($A669,#REF!,MATCH(#REF!,#REF!,0),0),0)</f>
        <v>0</v>
      </c>
      <c r="O669" s="7">
        <f t="shared" si="53"/>
        <v>0</v>
      </c>
      <c r="P669" s="10" t="str">
        <f>IFERROR(VLOOKUP($A669,[1]FINAL!$A$1:$BZ$1000,MATCH([1]FINAL!$BB$1,[1]FINAL!$A$1:$BZ$1,0),0),"")</f>
        <v/>
      </c>
      <c r="Q669" s="18">
        <f t="shared" si="54"/>
        <v>1</v>
      </c>
    </row>
    <row r="670" spans="1:17" x14ac:dyDescent="0.25">
      <c r="A670" s="14">
        <f>[1]FINAL!$A668</f>
        <v>0</v>
      </c>
      <c r="B670" s="20" t="str">
        <f>IFERROR(VLOOKUP($A670,[1]FINAL!$A$1:$Z$1000,MATCH([1]FINAL!$T$1,[1]FINAL!$A$1:$Z$1,0),0),"")</f>
        <v/>
      </c>
      <c r="C670" s="3" t="str">
        <f>IFERROR(VLOOKUP($A670,[1]FINAL!$A$1:$Z$1000,MATCH([1]FINAL!$U$1,[1]FINAL!$A$1:$Z$1,0),0),"")</f>
        <v/>
      </c>
      <c r="D670" s="3" t="str">
        <f>IFERROR(VLOOKUP($A670,[1]FINAL!$A$1:$Z$1000,MATCH([1]FINAL!$V$1,[1]FINAL!$A$1:$Z$1,0),0),"")</f>
        <v/>
      </c>
      <c r="E670" s="6">
        <f t="shared" si="50"/>
        <v>0</v>
      </c>
      <c r="F670" s="5">
        <f t="shared" si="51"/>
        <v>0</v>
      </c>
      <c r="G670" s="5">
        <f>IFERROR(IF(H670&lt;&gt;"",H670,VLOOKUP($A670,[1]FINAL!$A$1:$BZ$1000,MATCH([1]FINAL!$BL$1,[1]FINAL!$A$1:$BZ$1,0),0)),0)</f>
        <v>0</v>
      </c>
      <c r="I670" s="5">
        <f>IFERROR(IF(J670&lt;&gt;"",J670,(IF(VLOOKUP($A670,#REF!,MATCH(#REF!,#REF!,0),0)=0,G670,VLOOKUP($A670,#REF!,MATCH(#REF!,#REF!,0),0)))),G670)</f>
        <v>0</v>
      </c>
      <c r="K670" s="6">
        <f>IFERROR(VLOOKUP($A670,#REF!,MATCH(#REF!,#REF!,0),0),0)</f>
        <v>0</v>
      </c>
      <c r="L670" s="6">
        <f>IFERROR(VLOOKUP($A670,[1]FINAL!$A$1:$BZ$1000,MATCH([1]FINAL!$BF$1,[1]FINAL!$A$1:$BZ$1,0),0),0)</f>
        <v>0</v>
      </c>
      <c r="M670" s="7">
        <f t="shared" si="52"/>
        <v>0</v>
      </c>
      <c r="N670" s="6">
        <f>IFERROR(VLOOKUP($A670,#REF!,MATCH(#REF!,#REF!,0),0),0)</f>
        <v>0</v>
      </c>
      <c r="O670" s="7">
        <f t="shared" si="53"/>
        <v>0</v>
      </c>
      <c r="P670" s="10" t="str">
        <f>IFERROR(VLOOKUP($A670,[1]FINAL!$A$1:$BZ$1000,MATCH([1]FINAL!$BB$1,[1]FINAL!$A$1:$BZ$1,0),0),"")</f>
        <v/>
      </c>
      <c r="Q670" s="18">
        <f t="shared" si="54"/>
        <v>1</v>
      </c>
    </row>
    <row r="671" spans="1:17" x14ac:dyDescent="0.25">
      <c r="A671" s="14">
        <f>[1]FINAL!$A669</f>
        <v>0</v>
      </c>
      <c r="B671" s="20" t="str">
        <f>IFERROR(VLOOKUP($A671,[1]FINAL!$A$1:$Z$1000,MATCH([1]FINAL!$T$1,[1]FINAL!$A$1:$Z$1,0),0),"")</f>
        <v/>
      </c>
      <c r="C671" s="3" t="str">
        <f>IFERROR(VLOOKUP($A671,[1]FINAL!$A$1:$Z$1000,MATCH([1]FINAL!$U$1,[1]FINAL!$A$1:$Z$1,0),0),"")</f>
        <v/>
      </c>
      <c r="D671" s="3" t="str">
        <f>IFERROR(VLOOKUP($A671,[1]FINAL!$A$1:$Z$1000,MATCH([1]FINAL!$V$1,[1]FINAL!$A$1:$Z$1,0),0),"")</f>
        <v/>
      </c>
      <c r="E671" s="6">
        <f t="shared" si="50"/>
        <v>0</v>
      </c>
      <c r="F671" s="5">
        <f t="shared" si="51"/>
        <v>0</v>
      </c>
      <c r="G671" s="5">
        <f>IFERROR(IF(H671&lt;&gt;"",H671,VLOOKUP($A671,[1]FINAL!$A$1:$BZ$1000,MATCH([1]FINAL!$BL$1,[1]FINAL!$A$1:$BZ$1,0),0)),0)</f>
        <v>0</v>
      </c>
      <c r="I671" s="5">
        <f>IFERROR(IF(J671&lt;&gt;"",J671,(IF(VLOOKUP($A671,#REF!,MATCH(#REF!,#REF!,0),0)=0,G671,VLOOKUP($A671,#REF!,MATCH(#REF!,#REF!,0),0)))),G671)</f>
        <v>0</v>
      </c>
      <c r="K671" s="6">
        <f>IFERROR(VLOOKUP($A671,#REF!,MATCH(#REF!,#REF!,0),0),0)</f>
        <v>0</v>
      </c>
      <c r="L671" s="6">
        <f>IFERROR(VLOOKUP($A671,[1]FINAL!$A$1:$BZ$1000,MATCH([1]FINAL!$BF$1,[1]FINAL!$A$1:$BZ$1,0),0),0)</f>
        <v>0</v>
      </c>
      <c r="M671" s="7">
        <f t="shared" si="52"/>
        <v>0</v>
      </c>
      <c r="N671" s="6">
        <f>IFERROR(VLOOKUP($A671,#REF!,MATCH(#REF!,#REF!,0),0),0)</f>
        <v>0</v>
      </c>
      <c r="O671" s="7">
        <f t="shared" si="53"/>
        <v>0</v>
      </c>
      <c r="P671" s="10" t="str">
        <f>IFERROR(VLOOKUP($A671,[1]FINAL!$A$1:$BZ$1000,MATCH([1]FINAL!$BB$1,[1]FINAL!$A$1:$BZ$1,0),0),"")</f>
        <v/>
      </c>
      <c r="Q671" s="18">
        <f t="shared" si="54"/>
        <v>1</v>
      </c>
    </row>
    <row r="672" spans="1:17" x14ac:dyDescent="0.25">
      <c r="A672" s="14">
        <f>[1]FINAL!$A670</f>
        <v>0</v>
      </c>
      <c r="B672" s="20" t="str">
        <f>IFERROR(VLOOKUP($A672,[1]FINAL!$A$1:$Z$1000,MATCH([1]FINAL!$T$1,[1]FINAL!$A$1:$Z$1,0),0),"")</f>
        <v/>
      </c>
      <c r="C672" s="3" t="str">
        <f>IFERROR(VLOOKUP($A672,[1]FINAL!$A$1:$Z$1000,MATCH([1]FINAL!$U$1,[1]FINAL!$A$1:$Z$1,0),0),"")</f>
        <v/>
      </c>
      <c r="D672" s="3" t="str">
        <f>IFERROR(VLOOKUP($A672,[1]FINAL!$A$1:$Z$1000,MATCH([1]FINAL!$V$1,[1]FINAL!$A$1:$Z$1,0),0),"")</f>
        <v/>
      </c>
      <c r="E672" s="6">
        <f t="shared" si="50"/>
        <v>0</v>
      </c>
      <c r="F672" s="5">
        <f t="shared" si="51"/>
        <v>0</v>
      </c>
      <c r="G672" s="5">
        <f>IFERROR(IF(H672&lt;&gt;"",H672,VLOOKUP($A672,[1]FINAL!$A$1:$BZ$1000,MATCH([1]FINAL!$BL$1,[1]FINAL!$A$1:$BZ$1,0),0)),0)</f>
        <v>0</v>
      </c>
      <c r="I672" s="5">
        <f>IFERROR(IF(J672&lt;&gt;"",J672,(IF(VLOOKUP($A672,#REF!,MATCH(#REF!,#REF!,0),0)=0,G672,VLOOKUP($A672,#REF!,MATCH(#REF!,#REF!,0),0)))),G672)</f>
        <v>0</v>
      </c>
      <c r="K672" s="6">
        <f>IFERROR(VLOOKUP($A672,#REF!,MATCH(#REF!,#REF!,0),0),0)</f>
        <v>0</v>
      </c>
      <c r="L672" s="6">
        <f>IFERROR(VLOOKUP($A672,[1]FINAL!$A$1:$BZ$1000,MATCH([1]FINAL!$BF$1,[1]FINAL!$A$1:$BZ$1,0),0),0)</f>
        <v>0</v>
      </c>
      <c r="M672" s="7">
        <f t="shared" si="52"/>
        <v>0</v>
      </c>
      <c r="N672" s="6">
        <f>IFERROR(VLOOKUP($A672,#REF!,MATCH(#REF!,#REF!,0),0),0)</f>
        <v>0</v>
      </c>
      <c r="O672" s="7">
        <f t="shared" si="53"/>
        <v>0</v>
      </c>
      <c r="P672" s="10" t="str">
        <f>IFERROR(VLOOKUP($A672,[1]FINAL!$A$1:$BZ$1000,MATCH([1]FINAL!$BB$1,[1]FINAL!$A$1:$BZ$1,0),0),"")</f>
        <v/>
      </c>
      <c r="Q672" s="18">
        <f t="shared" si="54"/>
        <v>1</v>
      </c>
    </row>
    <row r="673" spans="1:17" x14ac:dyDescent="0.25">
      <c r="A673" s="14">
        <f>[1]FINAL!$A671</f>
        <v>0</v>
      </c>
      <c r="B673" s="20" t="str">
        <f>IFERROR(VLOOKUP($A673,[1]FINAL!$A$1:$Z$1000,MATCH([1]FINAL!$T$1,[1]FINAL!$A$1:$Z$1,0),0),"")</f>
        <v/>
      </c>
      <c r="C673" s="3" t="str">
        <f>IFERROR(VLOOKUP($A673,[1]FINAL!$A$1:$Z$1000,MATCH([1]FINAL!$U$1,[1]FINAL!$A$1:$Z$1,0),0),"")</f>
        <v/>
      </c>
      <c r="D673" s="3" t="str">
        <f>IFERROR(VLOOKUP($A673,[1]FINAL!$A$1:$Z$1000,MATCH([1]FINAL!$V$1,[1]FINAL!$A$1:$Z$1,0),0),"")</f>
        <v/>
      </c>
      <c r="E673" s="6">
        <f t="shared" si="50"/>
        <v>0</v>
      </c>
      <c r="F673" s="5">
        <f t="shared" si="51"/>
        <v>0</v>
      </c>
      <c r="G673" s="5">
        <f>IFERROR(IF(H673&lt;&gt;"",H673,VLOOKUP($A673,[1]FINAL!$A$1:$BZ$1000,MATCH([1]FINAL!$BL$1,[1]FINAL!$A$1:$BZ$1,0),0)),0)</f>
        <v>0</v>
      </c>
      <c r="I673" s="5">
        <f>IFERROR(IF(J673&lt;&gt;"",J673,(IF(VLOOKUP($A673,#REF!,MATCH(#REF!,#REF!,0),0)=0,G673,VLOOKUP($A673,#REF!,MATCH(#REF!,#REF!,0),0)))),G673)</f>
        <v>0</v>
      </c>
      <c r="K673" s="6">
        <f>IFERROR(VLOOKUP($A673,#REF!,MATCH(#REF!,#REF!,0),0),0)</f>
        <v>0</v>
      </c>
      <c r="L673" s="6">
        <f>IFERROR(VLOOKUP($A673,[1]FINAL!$A$1:$BZ$1000,MATCH([1]FINAL!$BF$1,[1]FINAL!$A$1:$BZ$1,0),0),0)</f>
        <v>0</v>
      </c>
      <c r="M673" s="7">
        <f t="shared" si="52"/>
        <v>0</v>
      </c>
      <c r="N673" s="6">
        <f>IFERROR(VLOOKUP($A673,#REF!,MATCH(#REF!,#REF!,0),0),0)</f>
        <v>0</v>
      </c>
      <c r="O673" s="7">
        <f t="shared" si="53"/>
        <v>0</v>
      </c>
      <c r="P673" s="10" t="str">
        <f>IFERROR(VLOOKUP($A673,[1]FINAL!$A$1:$BZ$1000,MATCH([1]FINAL!$BB$1,[1]FINAL!$A$1:$BZ$1,0),0),"")</f>
        <v/>
      </c>
      <c r="Q673" s="18">
        <f t="shared" si="54"/>
        <v>1</v>
      </c>
    </row>
    <row r="674" spans="1:17" x14ac:dyDescent="0.25">
      <c r="A674" s="14">
        <f>[1]FINAL!$A672</f>
        <v>0</v>
      </c>
      <c r="B674" s="20" t="str">
        <f>IFERROR(VLOOKUP($A674,[1]FINAL!$A$1:$Z$1000,MATCH([1]FINAL!$T$1,[1]FINAL!$A$1:$Z$1,0),0),"")</f>
        <v/>
      </c>
      <c r="C674" s="3" t="str">
        <f>IFERROR(VLOOKUP($A674,[1]FINAL!$A$1:$Z$1000,MATCH([1]FINAL!$U$1,[1]FINAL!$A$1:$Z$1,0),0),"")</f>
        <v/>
      </c>
      <c r="D674" s="3" t="str">
        <f>IFERROR(VLOOKUP($A674,[1]FINAL!$A$1:$Z$1000,MATCH([1]FINAL!$V$1,[1]FINAL!$A$1:$Z$1,0),0),"")</f>
        <v/>
      </c>
      <c r="E674" s="6">
        <f t="shared" si="50"/>
        <v>0</v>
      </c>
      <c r="F674" s="5">
        <f t="shared" si="51"/>
        <v>0</v>
      </c>
      <c r="G674" s="5">
        <f>IFERROR(IF(H674&lt;&gt;"",H674,VLOOKUP($A674,[1]FINAL!$A$1:$BZ$1000,MATCH([1]FINAL!$BL$1,[1]FINAL!$A$1:$BZ$1,0),0)),0)</f>
        <v>0</v>
      </c>
      <c r="I674" s="5">
        <f>IFERROR(IF(J674&lt;&gt;"",J674,(IF(VLOOKUP($A674,#REF!,MATCH(#REF!,#REF!,0),0)=0,G674,VLOOKUP($A674,#REF!,MATCH(#REF!,#REF!,0),0)))),G674)</f>
        <v>0</v>
      </c>
      <c r="K674" s="6">
        <f>IFERROR(VLOOKUP($A674,#REF!,MATCH(#REF!,#REF!,0),0),0)</f>
        <v>0</v>
      </c>
      <c r="L674" s="6">
        <f>IFERROR(VLOOKUP($A674,[1]FINAL!$A$1:$BZ$1000,MATCH([1]FINAL!$BF$1,[1]FINAL!$A$1:$BZ$1,0),0),0)</f>
        <v>0</v>
      </c>
      <c r="M674" s="7">
        <f t="shared" si="52"/>
        <v>0</v>
      </c>
      <c r="N674" s="6">
        <f>IFERROR(VLOOKUP($A674,#REF!,MATCH(#REF!,#REF!,0),0),0)</f>
        <v>0</v>
      </c>
      <c r="O674" s="7">
        <f t="shared" si="53"/>
        <v>0</v>
      </c>
      <c r="P674" s="10" t="str">
        <f>IFERROR(VLOOKUP($A674,[1]FINAL!$A$1:$BZ$1000,MATCH([1]FINAL!$BB$1,[1]FINAL!$A$1:$BZ$1,0),0),"")</f>
        <v/>
      </c>
      <c r="Q674" s="18">
        <f t="shared" si="54"/>
        <v>1</v>
      </c>
    </row>
    <row r="675" spans="1:17" x14ac:dyDescent="0.25">
      <c r="A675" s="14">
        <f>[1]FINAL!$A673</f>
        <v>0</v>
      </c>
      <c r="B675" s="20" t="str">
        <f>IFERROR(VLOOKUP($A675,[1]FINAL!$A$1:$Z$1000,MATCH([1]FINAL!$T$1,[1]FINAL!$A$1:$Z$1,0),0),"")</f>
        <v/>
      </c>
      <c r="C675" s="3" t="str">
        <f>IFERROR(VLOOKUP($A675,[1]FINAL!$A$1:$Z$1000,MATCH([1]FINAL!$U$1,[1]FINAL!$A$1:$Z$1,0),0),"")</f>
        <v/>
      </c>
      <c r="D675" s="3" t="str">
        <f>IFERROR(VLOOKUP($A675,[1]FINAL!$A$1:$Z$1000,MATCH([1]FINAL!$V$1,[1]FINAL!$A$1:$Z$1,0),0),"")</f>
        <v/>
      </c>
      <c r="E675" s="6">
        <f t="shared" si="50"/>
        <v>0</v>
      </c>
      <c r="F675" s="5">
        <f t="shared" si="51"/>
        <v>0</v>
      </c>
      <c r="G675" s="5">
        <f>IFERROR(IF(H675&lt;&gt;"",H675,VLOOKUP($A675,[1]FINAL!$A$1:$BZ$1000,MATCH([1]FINAL!$BL$1,[1]FINAL!$A$1:$BZ$1,0),0)),0)</f>
        <v>0</v>
      </c>
      <c r="I675" s="5">
        <f>IFERROR(IF(J675&lt;&gt;"",J675,(IF(VLOOKUP($A675,#REF!,MATCH(#REF!,#REF!,0),0)=0,G675,VLOOKUP($A675,#REF!,MATCH(#REF!,#REF!,0),0)))),G675)</f>
        <v>0</v>
      </c>
      <c r="K675" s="6">
        <f>IFERROR(VLOOKUP($A675,#REF!,MATCH(#REF!,#REF!,0),0),0)</f>
        <v>0</v>
      </c>
      <c r="L675" s="6">
        <f>IFERROR(VLOOKUP($A675,[1]FINAL!$A$1:$BZ$1000,MATCH([1]FINAL!$BF$1,[1]FINAL!$A$1:$BZ$1,0),0),0)</f>
        <v>0</v>
      </c>
      <c r="M675" s="7">
        <f t="shared" si="52"/>
        <v>0</v>
      </c>
      <c r="N675" s="6">
        <f>IFERROR(VLOOKUP($A675,#REF!,MATCH(#REF!,#REF!,0),0),0)</f>
        <v>0</v>
      </c>
      <c r="O675" s="7">
        <f t="shared" si="53"/>
        <v>0</v>
      </c>
      <c r="P675" s="10" t="str">
        <f>IFERROR(VLOOKUP($A675,[1]FINAL!$A$1:$BZ$1000,MATCH([1]FINAL!$BB$1,[1]FINAL!$A$1:$BZ$1,0),0),"")</f>
        <v/>
      </c>
      <c r="Q675" s="18">
        <f t="shared" si="54"/>
        <v>1</v>
      </c>
    </row>
    <row r="676" spans="1:17" x14ac:dyDescent="0.25">
      <c r="A676" s="14">
        <f>[1]FINAL!$A674</f>
        <v>0</v>
      </c>
      <c r="B676" s="20" t="str">
        <f>IFERROR(VLOOKUP($A676,[1]FINAL!$A$1:$Z$1000,MATCH([1]FINAL!$T$1,[1]FINAL!$A$1:$Z$1,0),0),"")</f>
        <v/>
      </c>
      <c r="C676" s="3" t="str">
        <f>IFERROR(VLOOKUP($A676,[1]FINAL!$A$1:$Z$1000,MATCH([1]FINAL!$U$1,[1]FINAL!$A$1:$Z$1,0),0),"")</f>
        <v/>
      </c>
      <c r="D676" s="3" t="str">
        <f>IFERROR(VLOOKUP($A676,[1]FINAL!$A$1:$Z$1000,MATCH([1]FINAL!$V$1,[1]FINAL!$A$1:$Z$1,0),0),"")</f>
        <v/>
      </c>
      <c r="E676" s="6">
        <f t="shared" si="50"/>
        <v>0</v>
      </c>
      <c r="F676" s="5">
        <f t="shared" si="51"/>
        <v>0</v>
      </c>
      <c r="G676" s="5">
        <f>IFERROR(IF(H676&lt;&gt;"",H676,VLOOKUP($A676,[1]FINAL!$A$1:$BZ$1000,MATCH([1]FINAL!$BL$1,[1]FINAL!$A$1:$BZ$1,0),0)),0)</f>
        <v>0</v>
      </c>
      <c r="I676" s="5">
        <f>IFERROR(IF(J676&lt;&gt;"",J676,(IF(VLOOKUP($A676,#REF!,MATCH(#REF!,#REF!,0),0)=0,G676,VLOOKUP($A676,#REF!,MATCH(#REF!,#REF!,0),0)))),G676)</f>
        <v>0</v>
      </c>
      <c r="K676" s="6">
        <f>IFERROR(VLOOKUP($A676,#REF!,MATCH(#REF!,#REF!,0),0),0)</f>
        <v>0</v>
      </c>
      <c r="L676" s="6">
        <f>IFERROR(VLOOKUP($A676,[1]FINAL!$A$1:$BZ$1000,MATCH([1]FINAL!$BF$1,[1]FINAL!$A$1:$BZ$1,0),0),0)</f>
        <v>0</v>
      </c>
      <c r="M676" s="7">
        <f t="shared" si="52"/>
        <v>0</v>
      </c>
      <c r="N676" s="6">
        <f>IFERROR(VLOOKUP($A676,#REF!,MATCH(#REF!,#REF!,0),0),0)</f>
        <v>0</v>
      </c>
      <c r="O676" s="7">
        <f t="shared" si="53"/>
        <v>0</v>
      </c>
      <c r="P676" s="10" t="str">
        <f>IFERROR(VLOOKUP($A676,[1]FINAL!$A$1:$BZ$1000,MATCH([1]FINAL!$BB$1,[1]FINAL!$A$1:$BZ$1,0),0),"")</f>
        <v/>
      </c>
      <c r="Q676" s="18">
        <f t="shared" si="54"/>
        <v>1</v>
      </c>
    </row>
    <row r="677" spans="1:17" x14ac:dyDescent="0.25">
      <c r="A677" s="14">
        <f>[1]FINAL!$A675</f>
        <v>0</v>
      </c>
      <c r="B677" s="20" t="str">
        <f>IFERROR(VLOOKUP($A677,[1]FINAL!$A$1:$Z$1000,MATCH([1]FINAL!$T$1,[1]FINAL!$A$1:$Z$1,0),0),"")</f>
        <v/>
      </c>
      <c r="C677" s="3" t="str">
        <f>IFERROR(VLOOKUP($A677,[1]FINAL!$A$1:$Z$1000,MATCH([1]FINAL!$U$1,[1]FINAL!$A$1:$Z$1,0),0),"")</f>
        <v/>
      </c>
      <c r="D677" s="3" t="str">
        <f>IFERROR(VLOOKUP($A677,[1]FINAL!$A$1:$Z$1000,MATCH([1]FINAL!$V$1,[1]FINAL!$A$1:$Z$1,0),0),"")</f>
        <v/>
      </c>
      <c r="E677" s="6">
        <f t="shared" si="50"/>
        <v>0</v>
      </c>
      <c r="F677" s="5">
        <f t="shared" si="51"/>
        <v>0</v>
      </c>
      <c r="G677" s="5">
        <f>IFERROR(IF(H677&lt;&gt;"",H677,VLOOKUP($A677,[1]FINAL!$A$1:$BZ$1000,MATCH([1]FINAL!$BL$1,[1]FINAL!$A$1:$BZ$1,0),0)),0)</f>
        <v>0</v>
      </c>
      <c r="I677" s="5">
        <f>IFERROR(IF(J677&lt;&gt;"",J677,(IF(VLOOKUP($A677,#REF!,MATCH(#REF!,#REF!,0),0)=0,G677,VLOOKUP($A677,#REF!,MATCH(#REF!,#REF!,0),0)))),G677)</f>
        <v>0</v>
      </c>
      <c r="K677" s="6">
        <f>IFERROR(VLOOKUP($A677,#REF!,MATCH(#REF!,#REF!,0),0),0)</f>
        <v>0</v>
      </c>
      <c r="L677" s="6">
        <f>IFERROR(VLOOKUP($A677,[1]FINAL!$A$1:$BZ$1000,MATCH([1]FINAL!$BF$1,[1]FINAL!$A$1:$BZ$1,0),0),0)</f>
        <v>0</v>
      </c>
      <c r="M677" s="7">
        <f t="shared" si="52"/>
        <v>0</v>
      </c>
      <c r="N677" s="6">
        <f>IFERROR(VLOOKUP($A677,#REF!,MATCH(#REF!,#REF!,0),0),0)</f>
        <v>0</v>
      </c>
      <c r="O677" s="7">
        <f t="shared" si="53"/>
        <v>0</v>
      </c>
      <c r="P677" s="10" t="str">
        <f>IFERROR(VLOOKUP($A677,[1]FINAL!$A$1:$BZ$1000,MATCH([1]FINAL!$BB$1,[1]FINAL!$A$1:$BZ$1,0),0),"")</f>
        <v/>
      </c>
      <c r="Q677" s="18">
        <f t="shared" si="54"/>
        <v>1</v>
      </c>
    </row>
    <row r="678" spans="1:17" x14ac:dyDescent="0.25">
      <c r="A678" s="14">
        <f>[1]FINAL!$A676</f>
        <v>0</v>
      </c>
      <c r="B678" s="20" t="str">
        <f>IFERROR(VLOOKUP($A678,[1]FINAL!$A$1:$Z$1000,MATCH([1]FINAL!$T$1,[1]FINAL!$A$1:$Z$1,0),0),"")</f>
        <v/>
      </c>
      <c r="C678" s="3" t="str">
        <f>IFERROR(VLOOKUP($A678,[1]FINAL!$A$1:$Z$1000,MATCH([1]FINAL!$U$1,[1]FINAL!$A$1:$Z$1,0),0),"")</f>
        <v/>
      </c>
      <c r="D678" s="3" t="str">
        <f>IFERROR(VLOOKUP($A678,[1]FINAL!$A$1:$Z$1000,MATCH([1]FINAL!$V$1,[1]FINAL!$A$1:$Z$1,0),0),"")</f>
        <v/>
      </c>
      <c r="E678" s="6">
        <f t="shared" si="50"/>
        <v>0</v>
      </c>
      <c r="F678" s="5">
        <f t="shared" si="51"/>
        <v>0</v>
      </c>
      <c r="G678" s="5">
        <f>IFERROR(IF(H678&lt;&gt;"",H678,VLOOKUP($A678,[1]FINAL!$A$1:$BZ$1000,MATCH([1]FINAL!$BL$1,[1]FINAL!$A$1:$BZ$1,0),0)),0)</f>
        <v>0</v>
      </c>
      <c r="I678" s="5">
        <f>IFERROR(IF(J678&lt;&gt;"",J678,(IF(VLOOKUP($A678,#REF!,MATCH(#REF!,#REF!,0),0)=0,G678,VLOOKUP($A678,#REF!,MATCH(#REF!,#REF!,0),0)))),G678)</f>
        <v>0</v>
      </c>
      <c r="K678" s="6">
        <f>IFERROR(VLOOKUP($A678,#REF!,MATCH(#REF!,#REF!,0),0),0)</f>
        <v>0</v>
      </c>
      <c r="L678" s="6">
        <f>IFERROR(VLOOKUP($A678,[1]FINAL!$A$1:$BZ$1000,MATCH([1]FINAL!$BF$1,[1]FINAL!$A$1:$BZ$1,0),0),0)</f>
        <v>0</v>
      </c>
      <c r="M678" s="7">
        <f t="shared" si="52"/>
        <v>0</v>
      </c>
      <c r="N678" s="6">
        <f>IFERROR(VLOOKUP($A678,#REF!,MATCH(#REF!,#REF!,0),0),0)</f>
        <v>0</v>
      </c>
      <c r="O678" s="7">
        <f t="shared" si="53"/>
        <v>0</v>
      </c>
      <c r="P678" s="10" t="str">
        <f>IFERROR(VLOOKUP($A678,[1]FINAL!$A$1:$BZ$1000,MATCH([1]FINAL!$BB$1,[1]FINAL!$A$1:$BZ$1,0),0),"")</f>
        <v/>
      </c>
      <c r="Q678" s="18">
        <f t="shared" si="54"/>
        <v>1</v>
      </c>
    </row>
    <row r="679" spans="1:17" x14ac:dyDescent="0.25">
      <c r="A679" s="14">
        <f>[1]FINAL!$A677</f>
        <v>0</v>
      </c>
      <c r="B679" s="20" t="str">
        <f>IFERROR(VLOOKUP($A679,[1]FINAL!$A$1:$Z$1000,MATCH([1]FINAL!$T$1,[1]FINAL!$A$1:$Z$1,0),0),"")</f>
        <v/>
      </c>
      <c r="C679" s="3" t="str">
        <f>IFERROR(VLOOKUP($A679,[1]FINAL!$A$1:$Z$1000,MATCH([1]FINAL!$U$1,[1]FINAL!$A$1:$Z$1,0),0),"")</f>
        <v/>
      </c>
      <c r="D679" s="3" t="str">
        <f>IFERROR(VLOOKUP($A679,[1]FINAL!$A$1:$Z$1000,MATCH([1]FINAL!$V$1,[1]FINAL!$A$1:$Z$1,0),0),"")</f>
        <v/>
      </c>
      <c r="E679" s="6">
        <f t="shared" si="50"/>
        <v>0</v>
      </c>
      <c r="F679" s="5">
        <f t="shared" si="51"/>
        <v>0</v>
      </c>
      <c r="G679" s="5">
        <f>IFERROR(IF(H679&lt;&gt;"",H679,VLOOKUP($A679,[1]FINAL!$A$1:$BZ$1000,MATCH([1]FINAL!$BL$1,[1]FINAL!$A$1:$BZ$1,0),0)),0)</f>
        <v>0</v>
      </c>
      <c r="I679" s="5">
        <f>IFERROR(IF(J679&lt;&gt;"",J679,(IF(VLOOKUP($A679,#REF!,MATCH(#REF!,#REF!,0),0)=0,G679,VLOOKUP($A679,#REF!,MATCH(#REF!,#REF!,0),0)))),G679)</f>
        <v>0</v>
      </c>
      <c r="K679" s="6">
        <f>IFERROR(VLOOKUP($A679,#REF!,MATCH(#REF!,#REF!,0),0),0)</f>
        <v>0</v>
      </c>
      <c r="L679" s="6">
        <f>IFERROR(VLOOKUP($A679,[1]FINAL!$A$1:$BZ$1000,MATCH([1]FINAL!$BF$1,[1]FINAL!$A$1:$BZ$1,0),0),0)</f>
        <v>0</v>
      </c>
      <c r="M679" s="7">
        <f t="shared" si="52"/>
        <v>0</v>
      </c>
      <c r="N679" s="6">
        <f>IFERROR(VLOOKUP($A679,#REF!,MATCH(#REF!,#REF!,0),0),0)</f>
        <v>0</v>
      </c>
      <c r="O679" s="7">
        <f t="shared" si="53"/>
        <v>0</v>
      </c>
      <c r="P679" s="10" t="str">
        <f>IFERROR(VLOOKUP($A679,[1]FINAL!$A$1:$BZ$1000,MATCH([1]FINAL!$BB$1,[1]FINAL!$A$1:$BZ$1,0),0),"")</f>
        <v/>
      </c>
      <c r="Q679" s="18">
        <f t="shared" si="54"/>
        <v>1</v>
      </c>
    </row>
    <row r="680" spans="1:17" x14ac:dyDescent="0.25">
      <c r="A680" s="14">
        <f>[1]FINAL!$A678</f>
        <v>0</v>
      </c>
      <c r="B680" s="20" t="str">
        <f>IFERROR(VLOOKUP($A680,[1]FINAL!$A$1:$Z$1000,MATCH([1]FINAL!$T$1,[1]FINAL!$A$1:$Z$1,0),0),"")</f>
        <v/>
      </c>
      <c r="C680" s="3" t="str">
        <f>IFERROR(VLOOKUP($A680,[1]FINAL!$A$1:$Z$1000,MATCH([1]FINAL!$U$1,[1]FINAL!$A$1:$Z$1,0),0),"")</f>
        <v/>
      </c>
      <c r="D680" s="3" t="str">
        <f>IFERROR(VLOOKUP($A680,[1]FINAL!$A$1:$Z$1000,MATCH([1]FINAL!$V$1,[1]FINAL!$A$1:$Z$1,0),0),"")</f>
        <v/>
      </c>
      <c r="E680" s="6">
        <f t="shared" si="50"/>
        <v>0</v>
      </c>
      <c r="F680" s="5">
        <f t="shared" si="51"/>
        <v>0</v>
      </c>
      <c r="G680" s="5">
        <f>IFERROR(IF(H680&lt;&gt;"",H680,VLOOKUP($A680,[1]FINAL!$A$1:$BZ$1000,MATCH([1]FINAL!$BL$1,[1]FINAL!$A$1:$BZ$1,0),0)),0)</f>
        <v>0</v>
      </c>
      <c r="I680" s="5">
        <f>IFERROR(IF(J680&lt;&gt;"",J680,(IF(VLOOKUP($A680,#REF!,MATCH(#REF!,#REF!,0),0)=0,G680,VLOOKUP($A680,#REF!,MATCH(#REF!,#REF!,0),0)))),G680)</f>
        <v>0</v>
      </c>
      <c r="K680" s="6">
        <f>IFERROR(VLOOKUP($A680,#REF!,MATCH(#REF!,#REF!,0),0),0)</f>
        <v>0</v>
      </c>
      <c r="L680" s="6">
        <f>IFERROR(VLOOKUP($A680,[1]FINAL!$A$1:$BZ$1000,MATCH([1]FINAL!$BF$1,[1]FINAL!$A$1:$BZ$1,0),0),0)</f>
        <v>0</v>
      </c>
      <c r="M680" s="7">
        <f t="shared" si="52"/>
        <v>0</v>
      </c>
      <c r="N680" s="6">
        <f>IFERROR(VLOOKUP($A680,#REF!,MATCH(#REF!,#REF!,0),0),0)</f>
        <v>0</v>
      </c>
      <c r="O680" s="7">
        <f t="shared" si="53"/>
        <v>0</v>
      </c>
      <c r="P680" s="10" t="str">
        <f>IFERROR(VLOOKUP($A680,[1]FINAL!$A$1:$BZ$1000,MATCH([1]FINAL!$BB$1,[1]FINAL!$A$1:$BZ$1,0),0),"")</f>
        <v/>
      </c>
      <c r="Q680" s="18">
        <f t="shared" si="54"/>
        <v>1</v>
      </c>
    </row>
    <row r="681" spans="1:17" x14ac:dyDescent="0.25">
      <c r="A681" s="14">
        <f>[1]FINAL!$A679</f>
        <v>0</v>
      </c>
      <c r="B681" s="20" t="str">
        <f>IFERROR(VLOOKUP($A681,[1]FINAL!$A$1:$Z$1000,MATCH([1]FINAL!$T$1,[1]FINAL!$A$1:$Z$1,0),0),"")</f>
        <v/>
      </c>
      <c r="C681" s="3" t="str">
        <f>IFERROR(VLOOKUP($A681,[1]FINAL!$A$1:$Z$1000,MATCH([1]FINAL!$U$1,[1]FINAL!$A$1:$Z$1,0),0),"")</f>
        <v/>
      </c>
      <c r="D681" s="3" t="str">
        <f>IFERROR(VLOOKUP($A681,[1]FINAL!$A$1:$Z$1000,MATCH([1]FINAL!$V$1,[1]FINAL!$A$1:$Z$1,0),0),"")</f>
        <v/>
      </c>
      <c r="E681" s="6">
        <f t="shared" si="50"/>
        <v>0</v>
      </c>
      <c r="F681" s="5">
        <f t="shared" si="51"/>
        <v>0</v>
      </c>
      <c r="G681" s="5">
        <f>IFERROR(IF(H681&lt;&gt;"",H681,VLOOKUP($A681,[1]FINAL!$A$1:$BZ$1000,MATCH([1]FINAL!$BL$1,[1]FINAL!$A$1:$BZ$1,0),0)),0)</f>
        <v>0</v>
      </c>
      <c r="I681" s="5">
        <f>IFERROR(IF(J681&lt;&gt;"",J681,(IF(VLOOKUP($A681,#REF!,MATCH(#REF!,#REF!,0),0)=0,G681,VLOOKUP($A681,#REF!,MATCH(#REF!,#REF!,0),0)))),G681)</f>
        <v>0</v>
      </c>
      <c r="K681" s="6">
        <f>IFERROR(VLOOKUP($A681,#REF!,MATCH(#REF!,#REF!,0),0),0)</f>
        <v>0</v>
      </c>
      <c r="L681" s="6">
        <f>IFERROR(VLOOKUP($A681,[1]FINAL!$A$1:$BZ$1000,MATCH([1]FINAL!$BF$1,[1]FINAL!$A$1:$BZ$1,0),0),0)</f>
        <v>0</v>
      </c>
      <c r="M681" s="7">
        <f t="shared" si="52"/>
        <v>0</v>
      </c>
      <c r="N681" s="6">
        <f>IFERROR(VLOOKUP($A681,#REF!,MATCH(#REF!,#REF!,0),0),0)</f>
        <v>0</v>
      </c>
      <c r="O681" s="7">
        <f t="shared" si="53"/>
        <v>0</v>
      </c>
      <c r="P681" s="10" t="str">
        <f>IFERROR(VLOOKUP($A681,[1]FINAL!$A$1:$BZ$1000,MATCH([1]FINAL!$BB$1,[1]FINAL!$A$1:$BZ$1,0),0),"")</f>
        <v/>
      </c>
      <c r="Q681" s="18">
        <f t="shared" si="54"/>
        <v>1</v>
      </c>
    </row>
    <row r="682" spans="1:17" x14ac:dyDescent="0.25">
      <c r="A682" s="14">
        <f>[1]FINAL!$A680</f>
        <v>0</v>
      </c>
      <c r="B682" s="20" t="str">
        <f>IFERROR(VLOOKUP($A682,[1]FINAL!$A$1:$Z$1000,MATCH([1]FINAL!$T$1,[1]FINAL!$A$1:$Z$1,0),0),"")</f>
        <v/>
      </c>
      <c r="C682" s="3" t="str">
        <f>IFERROR(VLOOKUP($A682,[1]FINAL!$A$1:$Z$1000,MATCH([1]FINAL!$U$1,[1]FINAL!$A$1:$Z$1,0),0),"")</f>
        <v/>
      </c>
      <c r="D682" s="3" t="str">
        <f>IFERROR(VLOOKUP($A682,[1]FINAL!$A$1:$Z$1000,MATCH([1]FINAL!$V$1,[1]FINAL!$A$1:$Z$1,0),0),"")</f>
        <v/>
      </c>
      <c r="E682" s="6">
        <f t="shared" si="50"/>
        <v>0</v>
      </c>
      <c r="F682" s="5">
        <f t="shared" si="51"/>
        <v>0</v>
      </c>
      <c r="G682" s="5">
        <f>IFERROR(IF(H682&lt;&gt;"",H682,VLOOKUP($A682,[1]FINAL!$A$1:$BZ$1000,MATCH([1]FINAL!$BL$1,[1]FINAL!$A$1:$BZ$1,0),0)),0)</f>
        <v>0</v>
      </c>
      <c r="I682" s="5">
        <f>IFERROR(IF(J682&lt;&gt;"",J682,(IF(VLOOKUP($A682,#REF!,MATCH(#REF!,#REF!,0),0)=0,G682,VLOOKUP($A682,#REF!,MATCH(#REF!,#REF!,0),0)))),G682)</f>
        <v>0</v>
      </c>
      <c r="K682" s="6">
        <f>IFERROR(VLOOKUP($A682,#REF!,MATCH(#REF!,#REF!,0),0),0)</f>
        <v>0</v>
      </c>
      <c r="L682" s="6">
        <f>IFERROR(VLOOKUP($A682,[1]FINAL!$A$1:$BZ$1000,MATCH([1]FINAL!$BF$1,[1]FINAL!$A$1:$BZ$1,0),0),0)</f>
        <v>0</v>
      </c>
      <c r="M682" s="7">
        <f t="shared" si="52"/>
        <v>0</v>
      </c>
      <c r="N682" s="6">
        <f>IFERROR(VLOOKUP($A682,#REF!,MATCH(#REF!,#REF!,0),0),0)</f>
        <v>0</v>
      </c>
      <c r="O682" s="7">
        <f t="shared" si="53"/>
        <v>0</v>
      </c>
      <c r="P682" s="10" t="str">
        <f>IFERROR(VLOOKUP($A682,[1]FINAL!$A$1:$BZ$1000,MATCH([1]FINAL!$BB$1,[1]FINAL!$A$1:$BZ$1,0),0),"")</f>
        <v/>
      </c>
      <c r="Q682" s="18">
        <f t="shared" si="54"/>
        <v>1</v>
      </c>
    </row>
    <row r="683" spans="1:17" x14ac:dyDescent="0.25">
      <c r="A683" s="14">
        <f>[1]FINAL!$A681</f>
        <v>0</v>
      </c>
      <c r="B683" s="20" t="str">
        <f>IFERROR(VLOOKUP($A683,[1]FINAL!$A$1:$Z$1000,MATCH([1]FINAL!$T$1,[1]FINAL!$A$1:$Z$1,0),0),"")</f>
        <v/>
      </c>
      <c r="C683" s="3" t="str">
        <f>IFERROR(VLOOKUP($A683,[1]FINAL!$A$1:$Z$1000,MATCH([1]FINAL!$U$1,[1]FINAL!$A$1:$Z$1,0),0),"")</f>
        <v/>
      </c>
      <c r="D683" s="3" t="str">
        <f>IFERROR(VLOOKUP($A683,[1]FINAL!$A$1:$Z$1000,MATCH([1]FINAL!$V$1,[1]FINAL!$A$1:$Z$1,0),0),"")</f>
        <v/>
      </c>
      <c r="E683" s="6">
        <f t="shared" si="50"/>
        <v>0</v>
      </c>
      <c r="F683" s="5">
        <f t="shared" si="51"/>
        <v>0</v>
      </c>
      <c r="G683" s="5">
        <f>IFERROR(IF(H683&lt;&gt;"",H683,VLOOKUP($A683,[1]FINAL!$A$1:$BZ$1000,MATCH([1]FINAL!$BL$1,[1]FINAL!$A$1:$BZ$1,0),0)),0)</f>
        <v>0</v>
      </c>
      <c r="I683" s="5">
        <f>IFERROR(IF(J683&lt;&gt;"",J683,(IF(VLOOKUP($A683,#REF!,MATCH(#REF!,#REF!,0),0)=0,G683,VLOOKUP($A683,#REF!,MATCH(#REF!,#REF!,0),0)))),G683)</f>
        <v>0</v>
      </c>
      <c r="K683" s="6">
        <f>IFERROR(VLOOKUP($A683,#REF!,MATCH(#REF!,#REF!,0),0),0)</f>
        <v>0</v>
      </c>
      <c r="L683" s="6">
        <f>IFERROR(VLOOKUP($A683,[1]FINAL!$A$1:$BZ$1000,MATCH([1]FINAL!$BF$1,[1]FINAL!$A$1:$BZ$1,0),0),0)</f>
        <v>0</v>
      </c>
      <c r="M683" s="7">
        <f t="shared" si="52"/>
        <v>0</v>
      </c>
      <c r="N683" s="6">
        <f>IFERROR(VLOOKUP($A683,#REF!,MATCH(#REF!,#REF!,0),0),0)</f>
        <v>0</v>
      </c>
      <c r="O683" s="7">
        <f t="shared" si="53"/>
        <v>0</v>
      </c>
      <c r="P683" s="10" t="str">
        <f>IFERROR(VLOOKUP($A683,[1]FINAL!$A$1:$BZ$1000,MATCH([1]FINAL!$BB$1,[1]FINAL!$A$1:$BZ$1,0),0),"")</f>
        <v/>
      </c>
      <c r="Q683" s="18">
        <f t="shared" si="54"/>
        <v>1</v>
      </c>
    </row>
    <row r="684" spans="1:17" x14ac:dyDescent="0.25">
      <c r="A684" s="14">
        <f>[1]FINAL!$A682</f>
        <v>0</v>
      </c>
      <c r="B684" s="20" t="str">
        <f>IFERROR(VLOOKUP($A684,[1]FINAL!$A$1:$Z$1000,MATCH([1]FINAL!$T$1,[1]FINAL!$A$1:$Z$1,0),0),"")</f>
        <v/>
      </c>
      <c r="C684" s="3" t="str">
        <f>IFERROR(VLOOKUP($A684,[1]FINAL!$A$1:$Z$1000,MATCH([1]FINAL!$U$1,[1]FINAL!$A$1:$Z$1,0),0),"")</f>
        <v/>
      </c>
      <c r="D684" s="3" t="str">
        <f>IFERROR(VLOOKUP($A684,[1]FINAL!$A$1:$Z$1000,MATCH([1]FINAL!$V$1,[1]FINAL!$A$1:$Z$1,0),0),"")</f>
        <v/>
      </c>
      <c r="E684" s="6">
        <f t="shared" si="50"/>
        <v>0</v>
      </c>
      <c r="F684" s="5">
        <f t="shared" si="51"/>
        <v>0</v>
      </c>
      <c r="G684" s="5">
        <f>IFERROR(IF(H684&lt;&gt;"",H684,VLOOKUP($A684,[1]FINAL!$A$1:$BZ$1000,MATCH([1]FINAL!$BL$1,[1]FINAL!$A$1:$BZ$1,0),0)),0)</f>
        <v>0</v>
      </c>
      <c r="I684" s="5">
        <f>IFERROR(IF(J684&lt;&gt;"",J684,(IF(VLOOKUP($A684,#REF!,MATCH(#REF!,#REF!,0),0)=0,G684,VLOOKUP($A684,#REF!,MATCH(#REF!,#REF!,0),0)))),G684)</f>
        <v>0</v>
      </c>
      <c r="K684" s="6">
        <f>IFERROR(VLOOKUP($A684,#REF!,MATCH(#REF!,#REF!,0),0),0)</f>
        <v>0</v>
      </c>
      <c r="L684" s="6">
        <f>IFERROR(VLOOKUP($A684,[1]FINAL!$A$1:$BZ$1000,MATCH([1]FINAL!$BF$1,[1]FINAL!$A$1:$BZ$1,0),0),0)</f>
        <v>0</v>
      </c>
      <c r="M684" s="7">
        <f t="shared" si="52"/>
        <v>0</v>
      </c>
      <c r="N684" s="6">
        <f>IFERROR(VLOOKUP($A684,#REF!,MATCH(#REF!,#REF!,0),0),0)</f>
        <v>0</v>
      </c>
      <c r="O684" s="7">
        <f t="shared" si="53"/>
        <v>0</v>
      </c>
      <c r="P684" s="10" t="str">
        <f>IFERROR(VLOOKUP($A684,[1]FINAL!$A$1:$BZ$1000,MATCH([1]FINAL!$BB$1,[1]FINAL!$A$1:$BZ$1,0),0),"")</f>
        <v/>
      </c>
      <c r="Q684" s="18">
        <f t="shared" si="54"/>
        <v>1</v>
      </c>
    </row>
    <row r="685" spans="1:17" x14ac:dyDescent="0.25">
      <c r="A685" s="14">
        <f>[1]FINAL!$A683</f>
        <v>0</v>
      </c>
      <c r="B685" s="20" t="str">
        <f>IFERROR(VLOOKUP($A685,[1]FINAL!$A$1:$Z$1000,MATCH([1]FINAL!$T$1,[1]FINAL!$A$1:$Z$1,0),0),"")</f>
        <v/>
      </c>
      <c r="C685" s="3" t="str">
        <f>IFERROR(VLOOKUP($A685,[1]FINAL!$A$1:$Z$1000,MATCH([1]FINAL!$U$1,[1]FINAL!$A$1:$Z$1,0),0),"")</f>
        <v/>
      </c>
      <c r="D685" s="3" t="str">
        <f>IFERROR(VLOOKUP($A685,[1]FINAL!$A$1:$Z$1000,MATCH([1]FINAL!$V$1,[1]FINAL!$A$1:$Z$1,0),0),"")</f>
        <v/>
      </c>
      <c r="E685" s="6">
        <f t="shared" si="50"/>
        <v>0</v>
      </c>
      <c r="F685" s="5">
        <f t="shared" si="51"/>
        <v>0</v>
      </c>
      <c r="G685" s="5">
        <f>IFERROR(IF(H685&lt;&gt;"",H685,VLOOKUP($A685,[1]FINAL!$A$1:$BZ$1000,MATCH([1]FINAL!$BL$1,[1]FINAL!$A$1:$BZ$1,0),0)),0)</f>
        <v>0</v>
      </c>
      <c r="I685" s="5">
        <f>IFERROR(IF(J685&lt;&gt;"",J685,(IF(VLOOKUP($A685,#REF!,MATCH(#REF!,#REF!,0),0)=0,G685,VLOOKUP($A685,#REF!,MATCH(#REF!,#REF!,0),0)))),G685)</f>
        <v>0</v>
      </c>
      <c r="K685" s="6">
        <f>IFERROR(VLOOKUP($A685,#REF!,MATCH(#REF!,#REF!,0),0),0)</f>
        <v>0</v>
      </c>
      <c r="L685" s="6">
        <f>IFERROR(VLOOKUP($A685,[1]FINAL!$A$1:$BZ$1000,MATCH([1]FINAL!$BF$1,[1]FINAL!$A$1:$BZ$1,0),0),0)</f>
        <v>0</v>
      </c>
      <c r="M685" s="7">
        <f t="shared" si="52"/>
        <v>0</v>
      </c>
      <c r="N685" s="6">
        <f>IFERROR(VLOOKUP($A685,#REF!,MATCH(#REF!,#REF!,0),0),0)</f>
        <v>0</v>
      </c>
      <c r="O685" s="7">
        <f t="shared" si="53"/>
        <v>0</v>
      </c>
      <c r="P685" s="10" t="str">
        <f>IFERROR(VLOOKUP($A685,[1]FINAL!$A$1:$BZ$1000,MATCH([1]FINAL!$BB$1,[1]FINAL!$A$1:$BZ$1,0),0),"")</f>
        <v/>
      </c>
      <c r="Q685" s="18">
        <f t="shared" si="54"/>
        <v>1</v>
      </c>
    </row>
    <row r="686" spans="1:17" x14ac:dyDescent="0.25">
      <c r="A686" s="14">
        <f>[1]FINAL!$A684</f>
        <v>0</v>
      </c>
      <c r="B686" s="20" t="str">
        <f>IFERROR(VLOOKUP($A686,[1]FINAL!$A$1:$Z$1000,MATCH([1]FINAL!$T$1,[1]FINAL!$A$1:$Z$1,0),0),"")</f>
        <v/>
      </c>
      <c r="C686" s="3" t="str">
        <f>IFERROR(VLOOKUP($A686,[1]FINAL!$A$1:$Z$1000,MATCH([1]FINAL!$U$1,[1]FINAL!$A$1:$Z$1,0),0),"")</f>
        <v/>
      </c>
      <c r="D686" s="3" t="str">
        <f>IFERROR(VLOOKUP($A686,[1]FINAL!$A$1:$Z$1000,MATCH([1]FINAL!$V$1,[1]FINAL!$A$1:$Z$1,0),0),"")</f>
        <v/>
      </c>
      <c r="E686" s="6">
        <f t="shared" si="50"/>
        <v>0</v>
      </c>
      <c r="F686" s="5">
        <f t="shared" si="51"/>
        <v>0</v>
      </c>
      <c r="G686" s="5">
        <f>IFERROR(IF(H686&lt;&gt;"",H686,VLOOKUP($A686,[1]FINAL!$A$1:$BZ$1000,MATCH([1]FINAL!$BL$1,[1]FINAL!$A$1:$BZ$1,0),0)),0)</f>
        <v>0</v>
      </c>
      <c r="I686" s="5">
        <f>IFERROR(IF(J686&lt;&gt;"",J686,(IF(VLOOKUP($A686,#REF!,MATCH(#REF!,#REF!,0),0)=0,G686,VLOOKUP($A686,#REF!,MATCH(#REF!,#REF!,0),0)))),G686)</f>
        <v>0</v>
      </c>
      <c r="K686" s="6">
        <f>IFERROR(VLOOKUP($A686,#REF!,MATCH(#REF!,#REF!,0),0),0)</f>
        <v>0</v>
      </c>
      <c r="L686" s="6">
        <f>IFERROR(VLOOKUP($A686,[1]FINAL!$A$1:$BZ$1000,MATCH([1]FINAL!$BF$1,[1]FINAL!$A$1:$BZ$1,0),0),0)</f>
        <v>0</v>
      </c>
      <c r="M686" s="7">
        <f t="shared" si="52"/>
        <v>0</v>
      </c>
      <c r="N686" s="6">
        <f>IFERROR(VLOOKUP($A686,#REF!,MATCH(#REF!,#REF!,0),0),0)</f>
        <v>0</v>
      </c>
      <c r="O686" s="7">
        <f t="shared" si="53"/>
        <v>0</v>
      </c>
      <c r="P686" s="10" t="str">
        <f>IFERROR(VLOOKUP($A686,[1]FINAL!$A$1:$BZ$1000,MATCH([1]FINAL!$BB$1,[1]FINAL!$A$1:$BZ$1,0),0),"")</f>
        <v/>
      </c>
      <c r="Q686" s="18">
        <f t="shared" si="54"/>
        <v>1</v>
      </c>
    </row>
    <row r="687" spans="1:17" x14ac:dyDescent="0.25">
      <c r="A687" s="14">
        <f>[1]FINAL!$A685</f>
        <v>0</v>
      </c>
      <c r="B687" s="20" t="str">
        <f>IFERROR(VLOOKUP($A687,[1]FINAL!$A$1:$Z$1000,MATCH([1]FINAL!$T$1,[1]FINAL!$A$1:$Z$1,0),0),"")</f>
        <v/>
      </c>
      <c r="C687" s="3" t="str">
        <f>IFERROR(VLOOKUP($A687,[1]FINAL!$A$1:$Z$1000,MATCH([1]FINAL!$U$1,[1]FINAL!$A$1:$Z$1,0),0),"")</f>
        <v/>
      </c>
      <c r="D687" s="3" t="str">
        <f>IFERROR(VLOOKUP($A687,[1]FINAL!$A$1:$Z$1000,MATCH([1]FINAL!$V$1,[1]FINAL!$A$1:$Z$1,0),0),"")</f>
        <v/>
      </c>
      <c r="E687" s="6">
        <f t="shared" si="50"/>
        <v>0</v>
      </c>
      <c r="F687" s="5">
        <f t="shared" si="51"/>
        <v>0</v>
      </c>
      <c r="G687" s="5">
        <f>IFERROR(IF(H687&lt;&gt;"",H687,VLOOKUP($A687,[1]FINAL!$A$1:$BZ$1000,MATCH([1]FINAL!$BL$1,[1]FINAL!$A$1:$BZ$1,0),0)),0)</f>
        <v>0</v>
      </c>
      <c r="I687" s="5">
        <f>IFERROR(IF(J687&lt;&gt;"",J687,(IF(VLOOKUP($A687,#REF!,MATCH(#REF!,#REF!,0),0)=0,G687,VLOOKUP($A687,#REF!,MATCH(#REF!,#REF!,0),0)))),G687)</f>
        <v>0</v>
      </c>
      <c r="K687" s="6">
        <f>IFERROR(VLOOKUP($A687,#REF!,MATCH(#REF!,#REF!,0),0),0)</f>
        <v>0</v>
      </c>
      <c r="L687" s="6">
        <f>IFERROR(VLOOKUP($A687,[1]FINAL!$A$1:$BZ$1000,MATCH([1]FINAL!$BF$1,[1]FINAL!$A$1:$BZ$1,0),0),0)</f>
        <v>0</v>
      </c>
      <c r="M687" s="7">
        <f t="shared" si="52"/>
        <v>0</v>
      </c>
      <c r="N687" s="6">
        <f>IFERROR(VLOOKUP($A687,#REF!,MATCH(#REF!,#REF!,0),0),0)</f>
        <v>0</v>
      </c>
      <c r="O687" s="7">
        <f t="shared" si="53"/>
        <v>0</v>
      </c>
      <c r="P687" s="10" t="str">
        <f>IFERROR(VLOOKUP($A687,[1]FINAL!$A$1:$BZ$1000,MATCH([1]FINAL!$BB$1,[1]FINAL!$A$1:$BZ$1,0),0),"")</f>
        <v/>
      </c>
      <c r="Q687" s="18">
        <f t="shared" si="54"/>
        <v>1</v>
      </c>
    </row>
    <row r="688" spans="1:17" x14ac:dyDescent="0.25">
      <c r="A688" s="14">
        <f>[1]FINAL!$A686</f>
        <v>0</v>
      </c>
      <c r="B688" s="20" t="str">
        <f>IFERROR(VLOOKUP($A688,[1]FINAL!$A$1:$Z$1000,MATCH([1]FINAL!$T$1,[1]FINAL!$A$1:$Z$1,0),0),"")</f>
        <v/>
      </c>
      <c r="C688" s="3" t="str">
        <f>IFERROR(VLOOKUP($A688,[1]FINAL!$A$1:$Z$1000,MATCH([1]FINAL!$U$1,[1]FINAL!$A$1:$Z$1,0),0),"")</f>
        <v/>
      </c>
      <c r="D688" s="3" t="str">
        <f>IFERROR(VLOOKUP($A688,[1]FINAL!$A$1:$Z$1000,MATCH([1]FINAL!$V$1,[1]FINAL!$A$1:$Z$1,0),0),"")</f>
        <v/>
      </c>
      <c r="E688" s="6">
        <f t="shared" si="50"/>
        <v>0</v>
      </c>
      <c r="F688" s="5">
        <f t="shared" si="51"/>
        <v>0</v>
      </c>
      <c r="G688" s="5">
        <f>IFERROR(IF(H688&lt;&gt;"",H688,VLOOKUP($A688,[1]FINAL!$A$1:$BZ$1000,MATCH([1]FINAL!$BL$1,[1]FINAL!$A$1:$BZ$1,0),0)),0)</f>
        <v>0</v>
      </c>
      <c r="I688" s="5">
        <f>IFERROR(IF(J688&lt;&gt;"",J688,(IF(VLOOKUP($A688,#REF!,MATCH(#REF!,#REF!,0),0)=0,G688,VLOOKUP($A688,#REF!,MATCH(#REF!,#REF!,0),0)))),G688)</f>
        <v>0</v>
      </c>
      <c r="K688" s="6">
        <f>IFERROR(VLOOKUP($A688,#REF!,MATCH(#REF!,#REF!,0),0),0)</f>
        <v>0</v>
      </c>
      <c r="L688" s="6">
        <f>IFERROR(VLOOKUP($A688,[1]FINAL!$A$1:$BZ$1000,MATCH([1]FINAL!$BF$1,[1]FINAL!$A$1:$BZ$1,0),0),0)</f>
        <v>0</v>
      </c>
      <c r="M688" s="7">
        <f t="shared" si="52"/>
        <v>0</v>
      </c>
      <c r="N688" s="6">
        <f>IFERROR(VLOOKUP($A688,#REF!,MATCH(#REF!,#REF!,0),0),0)</f>
        <v>0</v>
      </c>
      <c r="O688" s="7">
        <f t="shared" si="53"/>
        <v>0</v>
      </c>
      <c r="P688" s="10" t="str">
        <f>IFERROR(VLOOKUP($A688,[1]FINAL!$A$1:$BZ$1000,MATCH([1]FINAL!$BB$1,[1]FINAL!$A$1:$BZ$1,0),0),"")</f>
        <v/>
      </c>
      <c r="Q688" s="18">
        <f t="shared" si="54"/>
        <v>1</v>
      </c>
    </row>
    <row r="689" spans="1:17" x14ac:dyDescent="0.25">
      <c r="A689" s="14">
        <f>[1]FINAL!$A687</f>
        <v>0</v>
      </c>
      <c r="B689" s="20" t="str">
        <f>IFERROR(VLOOKUP($A689,[1]FINAL!$A$1:$Z$1000,MATCH([1]FINAL!$T$1,[1]FINAL!$A$1:$Z$1,0),0),"")</f>
        <v/>
      </c>
      <c r="C689" s="3" t="str">
        <f>IFERROR(VLOOKUP($A689,[1]FINAL!$A$1:$Z$1000,MATCH([1]FINAL!$U$1,[1]FINAL!$A$1:$Z$1,0),0),"")</f>
        <v/>
      </c>
      <c r="D689" s="3" t="str">
        <f>IFERROR(VLOOKUP($A689,[1]FINAL!$A$1:$Z$1000,MATCH([1]FINAL!$V$1,[1]FINAL!$A$1:$Z$1,0),0),"")</f>
        <v/>
      </c>
      <c r="E689" s="6">
        <f t="shared" si="50"/>
        <v>0</v>
      </c>
      <c r="F689" s="5">
        <f t="shared" si="51"/>
        <v>0</v>
      </c>
      <c r="G689" s="5">
        <f>IFERROR(IF(H689&lt;&gt;"",H689,VLOOKUP($A689,[1]FINAL!$A$1:$BZ$1000,MATCH([1]FINAL!$BL$1,[1]FINAL!$A$1:$BZ$1,0),0)),0)</f>
        <v>0</v>
      </c>
      <c r="I689" s="5">
        <f>IFERROR(IF(J689&lt;&gt;"",J689,(IF(VLOOKUP($A689,#REF!,MATCH(#REF!,#REF!,0),0)=0,G689,VLOOKUP($A689,#REF!,MATCH(#REF!,#REF!,0),0)))),G689)</f>
        <v>0</v>
      </c>
      <c r="K689" s="6">
        <f>IFERROR(VLOOKUP($A689,#REF!,MATCH(#REF!,#REF!,0),0),0)</f>
        <v>0</v>
      </c>
      <c r="L689" s="6">
        <f>IFERROR(VLOOKUP($A689,[1]FINAL!$A$1:$BZ$1000,MATCH([1]FINAL!$BF$1,[1]FINAL!$A$1:$BZ$1,0),0),0)</f>
        <v>0</v>
      </c>
      <c r="M689" s="7">
        <f t="shared" si="52"/>
        <v>0</v>
      </c>
      <c r="N689" s="6">
        <f>IFERROR(VLOOKUP($A689,#REF!,MATCH(#REF!,#REF!,0),0),0)</f>
        <v>0</v>
      </c>
      <c r="O689" s="7">
        <f t="shared" si="53"/>
        <v>0</v>
      </c>
      <c r="P689" s="10" t="str">
        <f>IFERROR(VLOOKUP($A689,[1]FINAL!$A$1:$BZ$1000,MATCH([1]FINAL!$BB$1,[1]FINAL!$A$1:$BZ$1,0),0),"")</f>
        <v/>
      </c>
      <c r="Q689" s="18">
        <f t="shared" si="54"/>
        <v>1</v>
      </c>
    </row>
    <row r="690" spans="1:17" x14ac:dyDescent="0.25">
      <c r="A690" s="14">
        <f>[1]FINAL!$A688</f>
        <v>0</v>
      </c>
      <c r="B690" s="20" t="str">
        <f>IFERROR(VLOOKUP($A690,[1]FINAL!$A$1:$Z$1000,MATCH([1]FINAL!$T$1,[1]FINAL!$A$1:$Z$1,0),0),"")</f>
        <v/>
      </c>
      <c r="C690" s="3" t="str">
        <f>IFERROR(VLOOKUP($A690,[1]FINAL!$A$1:$Z$1000,MATCH([1]FINAL!$U$1,[1]FINAL!$A$1:$Z$1,0),0),"")</f>
        <v/>
      </c>
      <c r="D690" s="3" t="str">
        <f>IFERROR(VLOOKUP($A690,[1]FINAL!$A$1:$Z$1000,MATCH([1]FINAL!$V$1,[1]FINAL!$A$1:$Z$1,0),0),"")</f>
        <v/>
      </c>
      <c r="E690" s="6">
        <f t="shared" si="50"/>
        <v>0</v>
      </c>
      <c r="F690" s="5">
        <f t="shared" si="51"/>
        <v>0</v>
      </c>
      <c r="G690" s="5">
        <f>IFERROR(IF(H690&lt;&gt;"",H690,VLOOKUP($A690,[1]FINAL!$A$1:$BZ$1000,MATCH([1]FINAL!$BL$1,[1]FINAL!$A$1:$BZ$1,0),0)),0)</f>
        <v>0</v>
      </c>
      <c r="I690" s="5">
        <f>IFERROR(IF(J690&lt;&gt;"",J690,(IF(VLOOKUP($A690,#REF!,MATCH(#REF!,#REF!,0),0)=0,G690,VLOOKUP($A690,#REF!,MATCH(#REF!,#REF!,0),0)))),G690)</f>
        <v>0</v>
      </c>
      <c r="K690" s="6">
        <f>IFERROR(VLOOKUP($A690,#REF!,MATCH(#REF!,#REF!,0),0),0)</f>
        <v>0</v>
      </c>
      <c r="L690" s="6">
        <f>IFERROR(VLOOKUP($A690,[1]FINAL!$A$1:$BZ$1000,MATCH([1]FINAL!$BF$1,[1]FINAL!$A$1:$BZ$1,0),0),0)</f>
        <v>0</v>
      </c>
      <c r="M690" s="7">
        <f t="shared" si="52"/>
        <v>0</v>
      </c>
      <c r="N690" s="6">
        <f>IFERROR(VLOOKUP($A690,#REF!,MATCH(#REF!,#REF!,0),0),0)</f>
        <v>0</v>
      </c>
      <c r="O690" s="7">
        <f t="shared" si="53"/>
        <v>0</v>
      </c>
      <c r="P690" s="10" t="str">
        <f>IFERROR(VLOOKUP($A690,[1]FINAL!$A$1:$BZ$1000,MATCH([1]FINAL!$BB$1,[1]FINAL!$A$1:$BZ$1,0),0),"")</f>
        <v/>
      </c>
      <c r="Q690" s="18">
        <f t="shared" si="54"/>
        <v>1</v>
      </c>
    </row>
    <row r="691" spans="1:17" x14ac:dyDescent="0.25">
      <c r="A691" s="14">
        <f>[1]FINAL!$A689</f>
        <v>0</v>
      </c>
      <c r="B691" s="20" t="str">
        <f>IFERROR(VLOOKUP($A691,[1]FINAL!$A$1:$Z$1000,MATCH([1]FINAL!$T$1,[1]FINAL!$A$1:$Z$1,0),0),"")</f>
        <v/>
      </c>
      <c r="C691" s="3" t="str">
        <f>IFERROR(VLOOKUP($A691,[1]FINAL!$A$1:$Z$1000,MATCH([1]FINAL!$U$1,[1]FINAL!$A$1:$Z$1,0),0),"")</f>
        <v/>
      </c>
      <c r="D691" s="3" t="str">
        <f>IFERROR(VLOOKUP($A691,[1]FINAL!$A$1:$Z$1000,MATCH([1]FINAL!$V$1,[1]FINAL!$A$1:$Z$1,0),0),"")</f>
        <v/>
      </c>
      <c r="E691" s="6">
        <f t="shared" si="50"/>
        <v>0</v>
      </c>
      <c r="F691" s="5">
        <f t="shared" si="51"/>
        <v>0</v>
      </c>
      <c r="G691" s="5">
        <f>IFERROR(IF(H691&lt;&gt;"",H691,VLOOKUP($A691,[1]FINAL!$A$1:$BZ$1000,MATCH([1]FINAL!$BL$1,[1]FINAL!$A$1:$BZ$1,0),0)),0)</f>
        <v>0</v>
      </c>
      <c r="I691" s="5">
        <f>IFERROR(IF(J691&lt;&gt;"",J691,(IF(VLOOKUP($A691,#REF!,MATCH(#REF!,#REF!,0),0)=0,G691,VLOOKUP($A691,#REF!,MATCH(#REF!,#REF!,0),0)))),G691)</f>
        <v>0</v>
      </c>
      <c r="K691" s="6">
        <f>IFERROR(VLOOKUP($A691,#REF!,MATCH(#REF!,#REF!,0),0),0)</f>
        <v>0</v>
      </c>
      <c r="L691" s="6">
        <f>IFERROR(VLOOKUP($A691,[1]FINAL!$A$1:$BZ$1000,MATCH([1]FINAL!$BF$1,[1]FINAL!$A$1:$BZ$1,0),0),0)</f>
        <v>0</v>
      </c>
      <c r="M691" s="7">
        <f t="shared" si="52"/>
        <v>0</v>
      </c>
      <c r="N691" s="6">
        <f>IFERROR(VLOOKUP($A691,#REF!,MATCH(#REF!,#REF!,0),0),0)</f>
        <v>0</v>
      </c>
      <c r="O691" s="7">
        <f t="shared" si="53"/>
        <v>0</v>
      </c>
      <c r="P691" s="10" t="str">
        <f>IFERROR(VLOOKUP($A691,[1]FINAL!$A$1:$BZ$1000,MATCH([1]FINAL!$BB$1,[1]FINAL!$A$1:$BZ$1,0),0),"")</f>
        <v/>
      </c>
      <c r="Q691" s="18">
        <f t="shared" si="54"/>
        <v>1</v>
      </c>
    </row>
    <row r="692" spans="1:17" x14ac:dyDescent="0.25">
      <c r="A692" s="14">
        <f>[1]FINAL!$A690</f>
        <v>0</v>
      </c>
      <c r="B692" s="20" t="str">
        <f>IFERROR(VLOOKUP($A692,[1]FINAL!$A$1:$Z$1000,MATCH([1]FINAL!$T$1,[1]FINAL!$A$1:$Z$1,0),0),"")</f>
        <v/>
      </c>
      <c r="C692" s="3" t="str">
        <f>IFERROR(VLOOKUP($A692,[1]FINAL!$A$1:$Z$1000,MATCH([1]FINAL!$U$1,[1]FINAL!$A$1:$Z$1,0),0),"")</f>
        <v/>
      </c>
      <c r="D692" s="3" t="str">
        <f>IFERROR(VLOOKUP($A692,[1]FINAL!$A$1:$Z$1000,MATCH([1]FINAL!$V$1,[1]FINAL!$A$1:$Z$1,0),0),"")</f>
        <v/>
      </c>
      <c r="E692" s="6">
        <f t="shared" si="50"/>
        <v>0</v>
      </c>
      <c r="F692" s="5">
        <f t="shared" si="51"/>
        <v>0</v>
      </c>
      <c r="G692" s="5">
        <f>IFERROR(IF(H692&lt;&gt;"",H692,VLOOKUP($A692,[1]FINAL!$A$1:$BZ$1000,MATCH([1]FINAL!$BL$1,[1]FINAL!$A$1:$BZ$1,0),0)),0)</f>
        <v>0</v>
      </c>
      <c r="I692" s="5">
        <f>IFERROR(IF(J692&lt;&gt;"",J692,(IF(VLOOKUP($A692,#REF!,MATCH(#REF!,#REF!,0),0)=0,G692,VLOOKUP($A692,#REF!,MATCH(#REF!,#REF!,0),0)))),G692)</f>
        <v>0</v>
      </c>
      <c r="K692" s="6">
        <f>IFERROR(VLOOKUP($A692,#REF!,MATCH(#REF!,#REF!,0),0),0)</f>
        <v>0</v>
      </c>
      <c r="L692" s="6">
        <f>IFERROR(VLOOKUP($A692,[1]FINAL!$A$1:$BZ$1000,MATCH([1]FINAL!$BF$1,[1]FINAL!$A$1:$BZ$1,0),0),0)</f>
        <v>0</v>
      </c>
      <c r="M692" s="7">
        <f t="shared" si="52"/>
        <v>0</v>
      </c>
      <c r="N692" s="6">
        <f>IFERROR(VLOOKUP($A692,#REF!,MATCH(#REF!,#REF!,0),0),0)</f>
        <v>0</v>
      </c>
      <c r="O692" s="7">
        <f t="shared" si="53"/>
        <v>0</v>
      </c>
      <c r="P692" s="10" t="str">
        <f>IFERROR(VLOOKUP($A692,[1]FINAL!$A$1:$BZ$1000,MATCH([1]FINAL!$BB$1,[1]FINAL!$A$1:$BZ$1,0),0),"")</f>
        <v/>
      </c>
      <c r="Q692" s="18">
        <f t="shared" si="54"/>
        <v>1</v>
      </c>
    </row>
    <row r="693" spans="1:17" x14ac:dyDescent="0.25">
      <c r="A693" s="14">
        <f>[1]FINAL!$A691</f>
        <v>0</v>
      </c>
      <c r="B693" s="20" t="str">
        <f>IFERROR(VLOOKUP($A693,[1]FINAL!$A$1:$Z$1000,MATCH([1]FINAL!$T$1,[1]FINAL!$A$1:$Z$1,0),0),"")</f>
        <v/>
      </c>
      <c r="C693" s="3" t="str">
        <f>IFERROR(VLOOKUP($A693,[1]FINAL!$A$1:$Z$1000,MATCH([1]FINAL!$U$1,[1]FINAL!$A$1:$Z$1,0),0),"")</f>
        <v/>
      </c>
      <c r="D693" s="3" t="str">
        <f>IFERROR(VLOOKUP($A693,[1]FINAL!$A$1:$Z$1000,MATCH([1]FINAL!$V$1,[1]FINAL!$A$1:$Z$1,0),0),"")</f>
        <v/>
      </c>
      <c r="E693" s="6">
        <f t="shared" si="50"/>
        <v>0</v>
      </c>
      <c r="F693" s="5">
        <f t="shared" si="51"/>
        <v>0</v>
      </c>
      <c r="G693" s="5">
        <f>IFERROR(IF(H693&lt;&gt;"",H693,VLOOKUP($A693,[1]FINAL!$A$1:$BZ$1000,MATCH([1]FINAL!$BL$1,[1]FINAL!$A$1:$BZ$1,0),0)),0)</f>
        <v>0</v>
      </c>
      <c r="I693" s="5">
        <f>IFERROR(IF(J693&lt;&gt;"",J693,(IF(VLOOKUP($A693,#REF!,MATCH(#REF!,#REF!,0),0)=0,G693,VLOOKUP($A693,#REF!,MATCH(#REF!,#REF!,0),0)))),G693)</f>
        <v>0</v>
      </c>
      <c r="K693" s="6">
        <f>IFERROR(VLOOKUP($A693,#REF!,MATCH(#REF!,#REF!,0),0),0)</f>
        <v>0</v>
      </c>
      <c r="L693" s="6">
        <f>IFERROR(VLOOKUP($A693,[1]FINAL!$A$1:$BZ$1000,MATCH([1]FINAL!$BF$1,[1]FINAL!$A$1:$BZ$1,0),0),0)</f>
        <v>0</v>
      </c>
      <c r="M693" s="7">
        <f t="shared" si="52"/>
        <v>0</v>
      </c>
      <c r="N693" s="6">
        <f>IFERROR(VLOOKUP($A693,#REF!,MATCH(#REF!,#REF!,0),0),0)</f>
        <v>0</v>
      </c>
      <c r="O693" s="7">
        <f t="shared" si="53"/>
        <v>0</v>
      </c>
      <c r="P693" s="10" t="str">
        <f>IFERROR(VLOOKUP($A693,[1]FINAL!$A$1:$BZ$1000,MATCH([1]FINAL!$BB$1,[1]FINAL!$A$1:$BZ$1,0),0),"")</f>
        <v/>
      </c>
      <c r="Q693" s="18">
        <f t="shared" si="54"/>
        <v>1</v>
      </c>
    </row>
    <row r="694" spans="1:17" x14ac:dyDescent="0.25">
      <c r="A694" s="14">
        <f>[1]FINAL!$A692</f>
        <v>0</v>
      </c>
      <c r="B694" s="20" t="str">
        <f>IFERROR(VLOOKUP($A694,[1]FINAL!$A$1:$Z$1000,MATCH([1]FINAL!$T$1,[1]FINAL!$A$1:$Z$1,0),0),"")</f>
        <v/>
      </c>
      <c r="C694" s="3" t="str">
        <f>IFERROR(VLOOKUP($A694,[1]FINAL!$A$1:$Z$1000,MATCH([1]FINAL!$U$1,[1]FINAL!$A$1:$Z$1,0),0),"")</f>
        <v/>
      </c>
      <c r="D694" s="3" t="str">
        <f>IFERROR(VLOOKUP($A694,[1]FINAL!$A$1:$Z$1000,MATCH([1]FINAL!$V$1,[1]FINAL!$A$1:$Z$1,0),0),"")</f>
        <v/>
      </c>
      <c r="E694" s="6">
        <f t="shared" si="50"/>
        <v>0</v>
      </c>
      <c r="F694" s="5">
        <f t="shared" si="51"/>
        <v>0</v>
      </c>
      <c r="G694" s="5">
        <f>IFERROR(IF(H694&lt;&gt;"",H694,VLOOKUP($A694,[1]FINAL!$A$1:$BZ$1000,MATCH([1]FINAL!$BL$1,[1]FINAL!$A$1:$BZ$1,0),0)),0)</f>
        <v>0</v>
      </c>
      <c r="I694" s="5">
        <f>IFERROR(IF(J694&lt;&gt;"",J694,(IF(VLOOKUP($A694,#REF!,MATCH(#REF!,#REF!,0),0)=0,G694,VLOOKUP($A694,#REF!,MATCH(#REF!,#REF!,0),0)))),G694)</f>
        <v>0</v>
      </c>
      <c r="K694" s="6">
        <f>IFERROR(VLOOKUP($A694,#REF!,MATCH(#REF!,#REF!,0),0),0)</f>
        <v>0</v>
      </c>
      <c r="L694" s="6">
        <f>IFERROR(VLOOKUP($A694,[1]FINAL!$A$1:$BZ$1000,MATCH([1]FINAL!$BF$1,[1]FINAL!$A$1:$BZ$1,0),0),0)</f>
        <v>0</v>
      </c>
      <c r="M694" s="7">
        <f t="shared" si="52"/>
        <v>0</v>
      </c>
      <c r="N694" s="6">
        <f>IFERROR(VLOOKUP($A694,#REF!,MATCH(#REF!,#REF!,0),0),0)</f>
        <v>0</v>
      </c>
      <c r="O694" s="7">
        <f t="shared" si="53"/>
        <v>0</v>
      </c>
      <c r="P694" s="10" t="str">
        <f>IFERROR(VLOOKUP($A694,[1]FINAL!$A$1:$BZ$1000,MATCH([1]FINAL!$BB$1,[1]FINAL!$A$1:$BZ$1,0),0),"")</f>
        <v/>
      </c>
      <c r="Q694" s="18">
        <f t="shared" si="54"/>
        <v>1</v>
      </c>
    </row>
    <row r="695" spans="1:17" x14ac:dyDescent="0.25">
      <c r="A695" s="14">
        <f>[1]FINAL!$A693</f>
        <v>0</v>
      </c>
      <c r="B695" s="20" t="str">
        <f>IFERROR(VLOOKUP($A695,[1]FINAL!$A$1:$Z$1000,MATCH([1]FINAL!$T$1,[1]FINAL!$A$1:$Z$1,0),0),"")</f>
        <v/>
      </c>
      <c r="C695" s="3" t="str">
        <f>IFERROR(VLOOKUP($A695,[1]FINAL!$A$1:$Z$1000,MATCH([1]FINAL!$U$1,[1]FINAL!$A$1:$Z$1,0),0),"")</f>
        <v/>
      </c>
      <c r="D695" s="3" t="str">
        <f>IFERROR(VLOOKUP($A695,[1]FINAL!$A$1:$Z$1000,MATCH([1]FINAL!$V$1,[1]FINAL!$A$1:$Z$1,0),0),"")</f>
        <v/>
      </c>
      <c r="E695" s="6">
        <f t="shared" si="50"/>
        <v>0</v>
      </c>
      <c r="F695" s="5">
        <f t="shared" si="51"/>
        <v>0</v>
      </c>
      <c r="G695" s="5">
        <f>IFERROR(IF(H695&lt;&gt;"",H695,VLOOKUP($A695,[1]FINAL!$A$1:$BZ$1000,MATCH([1]FINAL!$BL$1,[1]FINAL!$A$1:$BZ$1,0),0)),0)</f>
        <v>0</v>
      </c>
      <c r="I695" s="5">
        <f>IFERROR(IF(J695&lt;&gt;"",J695,(IF(VLOOKUP($A695,#REF!,MATCH(#REF!,#REF!,0),0)=0,G695,VLOOKUP($A695,#REF!,MATCH(#REF!,#REF!,0),0)))),G695)</f>
        <v>0</v>
      </c>
      <c r="K695" s="6">
        <f>IFERROR(VLOOKUP($A695,#REF!,MATCH(#REF!,#REF!,0),0),0)</f>
        <v>0</v>
      </c>
      <c r="L695" s="6">
        <f>IFERROR(VLOOKUP($A695,[1]FINAL!$A$1:$BZ$1000,MATCH([1]FINAL!$BF$1,[1]FINAL!$A$1:$BZ$1,0),0),0)</f>
        <v>0</v>
      </c>
      <c r="M695" s="7">
        <f t="shared" si="52"/>
        <v>0</v>
      </c>
      <c r="N695" s="6">
        <f>IFERROR(VLOOKUP($A695,#REF!,MATCH(#REF!,#REF!,0),0),0)</f>
        <v>0</v>
      </c>
      <c r="O695" s="7">
        <f t="shared" si="53"/>
        <v>0</v>
      </c>
      <c r="P695" s="10" t="str">
        <f>IFERROR(VLOOKUP($A695,[1]FINAL!$A$1:$BZ$1000,MATCH([1]FINAL!$BB$1,[1]FINAL!$A$1:$BZ$1,0),0),"")</f>
        <v/>
      </c>
      <c r="Q695" s="18">
        <f t="shared" si="54"/>
        <v>1</v>
      </c>
    </row>
    <row r="696" spans="1:17" x14ac:dyDescent="0.25">
      <c r="A696" s="14">
        <f>[1]FINAL!$A694</f>
        <v>0</v>
      </c>
      <c r="B696" s="20" t="str">
        <f>IFERROR(VLOOKUP($A696,[1]FINAL!$A$1:$Z$1000,MATCH([1]FINAL!$T$1,[1]FINAL!$A$1:$Z$1,0),0),"")</f>
        <v/>
      </c>
      <c r="C696" s="3" t="str">
        <f>IFERROR(VLOOKUP($A696,[1]FINAL!$A$1:$Z$1000,MATCH([1]FINAL!$U$1,[1]FINAL!$A$1:$Z$1,0),0),"")</f>
        <v/>
      </c>
      <c r="D696" s="3" t="str">
        <f>IFERROR(VLOOKUP($A696,[1]FINAL!$A$1:$Z$1000,MATCH([1]FINAL!$V$1,[1]FINAL!$A$1:$Z$1,0),0),"")</f>
        <v/>
      </c>
      <c r="E696" s="6">
        <f t="shared" si="50"/>
        <v>0</v>
      </c>
      <c r="F696" s="5">
        <f t="shared" si="51"/>
        <v>0</v>
      </c>
      <c r="G696" s="5">
        <f>IFERROR(IF(H696&lt;&gt;"",H696,VLOOKUP($A696,[1]FINAL!$A$1:$BZ$1000,MATCH([1]FINAL!$BL$1,[1]FINAL!$A$1:$BZ$1,0),0)),0)</f>
        <v>0</v>
      </c>
      <c r="I696" s="5">
        <f>IFERROR(IF(J696&lt;&gt;"",J696,(IF(VLOOKUP($A696,#REF!,MATCH(#REF!,#REF!,0),0)=0,G696,VLOOKUP($A696,#REF!,MATCH(#REF!,#REF!,0),0)))),G696)</f>
        <v>0</v>
      </c>
      <c r="K696" s="6">
        <f>IFERROR(VLOOKUP($A696,#REF!,MATCH(#REF!,#REF!,0),0),0)</f>
        <v>0</v>
      </c>
      <c r="L696" s="6">
        <f>IFERROR(VLOOKUP($A696,[1]FINAL!$A$1:$BZ$1000,MATCH([1]FINAL!$BF$1,[1]FINAL!$A$1:$BZ$1,0),0),0)</f>
        <v>0</v>
      </c>
      <c r="M696" s="7">
        <f t="shared" si="52"/>
        <v>0</v>
      </c>
      <c r="N696" s="6">
        <f>IFERROR(VLOOKUP($A696,#REF!,MATCH(#REF!,#REF!,0),0),0)</f>
        <v>0</v>
      </c>
      <c r="O696" s="7">
        <f t="shared" si="53"/>
        <v>0</v>
      </c>
      <c r="P696" s="10" t="str">
        <f>IFERROR(VLOOKUP($A696,[1]FINAL!$A$1:$BZ$1000,MATCH([1]FINAL!$BB$1,[1]FINAL!$A$1:$BZ$1,0),0),"")</f>
        <v/>
      </c>
      <c r="Q696" s="18">
        <f t="shared" si="54"/>
        <v>1</v>
      </c>
    </row>
    <row r="697" spans="1:17" x14ac:dyDescent="0.25">
      <c r="A697" s="14">
        <f>[1]FINAL!$A695</f>
        <v>0</v>
      </c>
      <c r="B697" s="20" t="str">
        <f>IFERROR(VLOOKUP($A697,[1]FINAL!$A$1:$Z$1000,MATCH([1]FINAL!$T$1,[1]FINAL!$A$1:$Z$1,0),0),"")</f>
        <v/>
      </c>
      <c r="C697" s="3" t="str">
        <f>IFERROR(VLOOKUP($A697,[1]FINAL!$A$1:$Z$1000,MATCH([1]FINAL!$U$1,[1]FINAL!$A$1:$Z$1,0),0),"")</f>
        <v/>
      </c>
      <c r="D697" s="3" t="str">
        <f>IFERROR(VLOOKUP($A697,[1]FINAL!$A$1:$Z$1000,MATCH([1]FINAL!$V$1,[1]FINAL!$A$1:$Z$1,0),0),"")</f>
        <v/>
      </c>
      <c r="E697" s="6">
        <f t="shared" si="50"/>
        <v>0</v>
      </c>
      <c r="F697" s="5">
        <f t="shared" si="51"/>
        <v>0</v>
      </c>
      <c r="G697" s="5">
        <f>IFERROR(IF(H697&lt;&gt;"",H697,VLOOKUP($A697,[1]FINAL!$A$1:$BZ$1000,MATCH([1]FINAL!$BL$1,[1]FINAL!$A$1:$BZ$1,0),0)),0)</f>
        <v>0</v>
      </c>
      <c r="I697" s="5">
        <f>IFERROR(IF(J697&lt;&gt;"",J697,(IF(VLOOKUP($A697,#REF!,MATCH(#REF!,#REF!,0),0)=0,G697,VLOOKUP($A697,#REF!,MATCH(#REF!,#REF!,0),0)))),G697)</f>
        <v>0</v>
      </c>
      <c r="K697" s="6">
        <f>IFERROR(VLOOKUP($A697,#REF!,MATCH(#REF!,#REF!,0),0),0)</f>
        <v>0</v>
      </c>
      <c r="L697" s="6">
        <f>IFERROR(VLOOKUP($A697,[1]FINAL!$A$1:$BZ$1000,MATCH([1]FINAL!$BF$1,[1]FINAL!$A$1:$BZ$1,0),0),0)</f>
        <v>0</v>
      </c>
      <c r="M697" s="7">
        <f t="shared" si="52"/>
        <v>0</v>
      </c>
      <c r="N697" s="6">
        <f>IFERROR(VLOOKUP($A697,#REF!,MATCH(#REF!,#REF!,0),0),0)</f>
        <v>0</v>
      </c>
      <c r="O697" s="7">
        <f t="shared" si="53"/>
        <v>0</v>
      </c>
      <c r="P697" s="10" t="str">
        <f>IFERROR(VLOOKUP($A697,[1]FINAL!$A$1:$BZ$1000,MATCH([1]FINAL!$BB$1,[1]FINAL!$A$1:$BZ$1,0),0),"")</f>
        <v/>
      </c>
      <c r="Q697" s="18">
        <f t="shared" si="54"/>
        <v>1</v>
      </c>
    </row>
    <row r="698" spans="1:17" x14ac:dyDescent="0.25">
      <c r="A698" s="14">
        <f>[1]FINAL!$A696</f>
        <v>0</v>
      </c>
      <c r="B698" s="20" t="str">
        <f>IFERROR(VLOOKUP($A698,[1]FINAL!$A$1:$Z$1000,MATCH([1]FINAL!$T$1,[1]FINAL!$A$1:$Z$1,0),0),"")</f>
        <v/>
      </c>
      <c r="C698" s="3" t="str">
        <f>IFERROR(VLOOKUP($A698,[1]FINAL!$A$1:$Z$1000,MATCH([1]FINAL!$U$1,[1]FINAL!$A$1:$Z$1,0),0),"")</f>
        <v/>
      </c>
      <c r="D698" s="3" t="str">
        <f>IFERROR(VLOOKUP($A698,[1]FINAL!$A$1:$Z$1000,MATCH([1]FINAL!$V$1,[1]FINAL!$A$1:$Z$1,0),0),"")</f>
        <v/>
      </c>
      <c r="E698" s="6">
        <f t="shared" si="50"/>
        <v>0</v>
      </c>
      <c r="F698" s="5">
        <f t="shared" si="51"/>
        <v>0</v>
      </c>
      <c r="G698" s="5">
        <f>IFERROR(IF(H698&lt;&gt;"",H698,VLOOKUP($A698,[1]FINAL!$A$1:$BZ$1000,MATCH([1]FINAL!$BL$1,[1]FINAL!$A$1:$BZ$1,0),0)),0)</f>
        <v>0</v>
      </c>
      <c r="I698" s="5">
        <f>IFERROR(IF(J698&lt;&gt;"",J698,(IF(VLOOKUP($A698,#REF!,MATCH(#REF!,#REF!,0),0)=0,G698,VLOOKUP($A698,#REF!,MATCH(#REF!,#REF!,0),0)))),G698)</f>
        <v>0</v>
      </c>
      <c r="K698" s="6">
        <f>IFERROR(VLOOKUP($A698,#REF!,MATCH(#REF!,#REF!,0),0),0)</f>
        <v>0</v>
      </c>
      <c r="L698" s="6">
        <f>IFERROR(VLOOKUP($A698,[1]FINAL!$A$1:$BZ$1000,MATCH([1]FINAL!$BF$1,[1]FINAL!$A$1:$BZ$1,0),0),0)</f>
        <v>0</v>
      </c>
      <c r="M698" s="7">
        <f t="shared" si="52"/>
        <v>0</v>
      </c>
      <c r="N698" s="6">
        <f>IFERROR(VLOOKUP($A698,#REF!,MATCH(#REF!,#REF!,0),0),0)</f>
        <v>0</v>
      </c>
      <c r="O698" s="7">
        <f t="shared" si="53"/>
        <v>0</v>
      </c>
      <c r="P698" s="10" t="str">
        <f>IFERROR(VLOOKUP($A698,[1]FINAL!$A$1:$BZ$1000,MATCH([1]FINAL!$BB$1,[1]FINAL!$A$1:$BZ$1,0),0),"")</f>
        <v/>
      </c>
      <c r="Q698" s="18">
        <f t="shared" si="54"/>
        <v>1</v>
      </c>
    </row>
    <row r="699" spans="1:17" x14ac:dyDescent="0.25">
      <c r="A699" s="14">
        <f>[1]FINAL!$A697</f>
        <v>0</v>
      </c>
      <c r="B699" s="20" t="str">
        <f>IFERROR(VLOOKUP($A699,[1]FINAL!$A$1:$Z$1000,MATCH([1]FINAL!$T$1,[1]FINAL!$A$1:$Z$1,0),0),"")</f>
        <v/>
      </c>
      <c r="C699" s="3" t="str">
        <f>IFERROR(VLOOKUP($A699,[1]FINAL!$A$1:$Z$1000,MATCH([1]FINAL!$U$1,[1]FINAL!$A$1:$Z$1,0),0),"")</f>
        <v/>
      </c>
      <c r="D699" s="3" t="str">
        <f>IFERROR(VLOOKUP($A699,[1]FINAL!$A$1:$Z$1000,MATCH([1]FINAL!$V$1,[1]FINAL!$A$1:$Z$1,0),0),"")</f>
        <v/>
      </c>
      <c r="E699" s="6">
        <f t="shared" si="50"/>
        <v>0</v>
      </c>
      <c r="F699" s="5">
        <f t="shared" si="51"/>
        <v>0</v>
      </c>
      <c r="G699" s="5">
        <f>IFERROR(IF(H699&lt;&gt;"",H699,VLOOKUP($A699,[1]FINAL!$A$1:$BZ$1000,MATCH([1]FINAL!$BL$1,[1]FINAL!$A$1:$BZ$1,0),0)),0)</f>
        <v>0</v>
      </c>
      <c r="I699" s="5">
        <f>IFERROR(IF(J699&lt;&gt;"",J699,(IF(VLOOKUP($A699,#REF!,MATCH(#REF!,#REF!,0),0)=0,G699,VLOOKUP($A699,#REF!,MATCH(#REF!,#REF!,0),0)))),G699)</f>
        <v>0</v>
      </c>
      <c r="K699" s="6">
        <f>IFERROR(VLOOKUP($A699,#REF!,MATCH(#REF!,#REF!,0),0),0)</f>
        <v>0</v>
      </c>
      <c r="L699" s="6">
        <f>IFERROR(VLOOKUP($A699,[1]FINAL!$A$1:$BZ$1000,MATCH([1]FINAL!$BF$1,[1]FINAL!$A$1:$BZ$1,0),0),0)</f>
        <v>0</v>
      </c>
      <c r="M699" s="7">
        <f t="shared" si="52"/>
        <v>0</v>
      </c>
      <c r="N699" s="6">
        <f>IFERROR(VLOOKUP($A699,#REF!,MATCH(#REF!,#REF!,0),0),0)</f>
        <v>0</v>
      </c>
      <c r="O699" s="7">
        <f t="shared" si="53"/>
        <v>0</v>
      </c>
      <c r="P699" s="10" t="str">
        <f>IFERROR(VLOOKUP($A699,[1]FINAL!$A$1:$BZ$1000,MATCH([1]FINAL!$BB$1,[1]FINAL!$A$1:$BZ$1,0),0),"")</f>
        <v/>
      </c>
      <c r="Q699" s="18">
        <f t="shared" si="54"/>
        <v>1</v>
      </c>
    </row>
    <row r="700" spans="1:17" x14ac:dyDescent="0.25">
      <c r="A700" s="14">
        <f>[1]FINAL!$A698</f>
        <v>0</v>
      </c>
      <c r="B700" s="20" t="str">
        <f>IFERROR(VLOOKUP($A700,[1]FINAL!$A$1:$Z$1000,MATCH([1]FINAL!$T$1,[1]FINAL!$A$1:$Z$1,0),0),"")</f>
        <v/>
      </c>
      <c r="C700" s="3" t="str">
        <f>IFERROR(VLOOKUP($A700,[1]FINAL!$A$1:$Z$1000,MATCH([1]FINAL!$U$1,[1]FINAL!$A$1:$Z$1,0),0),"")</f>
        <v/>
      </c>
      <c r="D700" s="3" t="str">
        <f>IFERROR(VLOOKUP($A700,[1]FINAL!$A$1:$Z$1000,MATCH([1]FINAL!$V$1,[1]FINAL!$A$1:$Z$1,0),0),"")</f>
        <v/>
      </c>
      <c r="E700" s="6">
        <f t="shared" si="50"/>
        <v>0</v>
      </c>
      <c r="F700" s="5">
        <f t="shared" si="51"/>
        <v>0</v>
      </c>
      <c r="G700" s="5">
        <f>IFERROR(IF(H700&lt;&gt;"",H700,VLOOKUP($A700,[1]FINAL!$A$1:$BZ$1000,MATCH([1]FINAL!$BL$1,[1]FINAL!$A$1:$BZ$1,0),0)),0)</f>
        <v>0</v>
      </c>
      <c r="I700" s="5">
        <f>IFERROR(IF(J700&lt;&gt;"",J700,(IF(VLOOKUP($A700,#REF!,MATCH(#REF!,#REF!,0),0)=0,G700,VLOOKUP($A700,#REF!,MATCH(#REF!,#REF!,0),0)))),G700)</f>
        <v>0</v>
      </c>
      <c r="K700" s="6">
        <f>IFERROR(VLOOKUP($A700,#REF!,MATCH(#REF!,#REF!,0),0),0)</f>
        <v>0</v>
      </c>
      <c r="L700" s="6">
        <f>IFERROR(VLOOKUP($A700,[1]FINAL!$A$1:$BZ$1000,MATCH([1]FINAL!$BF$1,[1]FINAL!$A$1:$BZ$1,0),0),0)</f>
        <v>0</v>
      </c>
      <c r="M700" s="7">
        <f t="shared" si="52"/>
        <v>0</v>
      </c>
      <c r="N700" s="6">
        <f>IFERROR(VLOOKUP($A700,#REF!,MATCH(#REF!,#REF!,0),0),0)</f>
        <v>0</v>
      </c>
      <c r="O700" s="7">
        <f t="shared" si="53"/>
        <v>0</v>
      </c>
      <c r="P700" s="10" t="str">
        <f>IFERROR(VLOOKUP($A700,[1]FINAL!$A$1:$BZ$1000,MATCH([1]FINAL!$BB$1,[1]FINAL!$A$1:$BZ$1,0),0),"")</f>
        <v/>
      </c>
      <c r="Q700" s="18">
        <f t="shared" si="54"/>
        <v>1</v>
      </c>
    </row>
    <row r="701" spans="1:17" x14ac:dyDescent="0.25">
      <c r="A701" s="14">
        <f>[1]FINAL!$A699</f>
        <v>0</v>
      </c>
      <c r="B701" s="20" t="str">
        <f>IFERROR(VLOOKUP($A701,[1]FINAL!$A$1:$Z$1000,MATCH([1]FINAL!$T$1,[1]FINAL!$A$1:$Z$1,0),0),"")</f>
        <v/>
      </c>
      <c r="C701" s="3" t="str">
        <f>IFERROR(VLOOKUP($A701,[1]FINAL!$A$1:$Z$1000,MATCH([1]FINAL!$U$1,[1]FINAL!$A$1:$Z$1,0),0),"")</f>
        <v/>
      </c>
      <c r="D701" s="3" t="str">
        <f>IFERROR(VLOOKUP($A701,[1]FINAL!$A$1:$Z$1000,MATCH([1]FINAL!$V$1,[1]FINAL!$A$1:$Z$1,0),0),"")</f>
        <v/>
      </c>
      <c r="E701" s="6">
        <f t="shared" si="50"/>
        <v>0</v>
      </c>
      <c r="F701" s="5">
        <f t="shared" si="51"/>
        <v>0</v>
      </c>
      <c r="G701" s="5">
        <f>IFERROR(IF(H701&lt;&gt;"",H701,VLOOKUP($A701,[1]FINAL!$A$1:$BZ$1000,MATCH([1]FINAL!$BL$1,[1]FINAL!$A$1:$BZ$1,0),0)),0)</f>
        <v>0</v>
      </c>
      <c r="I701" s="5">
        <f>IFERROR(IF(J701&lt;&gt;"",J701,(IF(VLOOKUP($A701,#REF!,MATCH(#REF!,#REF!,0),0)=0,G701,VLOOKUP($A701,#REF!,MATCH(#REF!,#REF!,0),0)))),G701)</f>
        <v>0</v>
      </c>
      <c r="K701" s="6">
        <f>IFERROR(VLOOKUP($A701,#REF!,MATCH(#REF!,#REF!,0),0),0)</f>
        <v>0</v>
      </c>
      <c r="L701" s="6">
        <f>IFERROR(VLOOKUP($A701,[1]FINAL!$A$1:$BZ$1000,MATCH([1]FINAL!$BF$1,[1]FINAL!$A$1:$BZ$1,0),0),0)</f>
        <v>0</v>
      </c>
      <c r="M701" s="7">
        <f t="shared" si="52"/>
        <v>0</v>
      </c>
      <c r="N701" s="6">
        <f>IFERROR(VLOOKUP($A701,#REF!,MATCH(#REF!,#REF!,0),0),0)</f>
        <v>0</v>
      </c>
      <c r="O701" s="7">
        <f t="shared" si="53"/>
        <v>0</v>
      </c>
      <c r="P701" s="10" t="str">
        <f>IFERROR(VLOOKUP($A701,[1]FINAL!$A$1:$BZ$1000,MATCH([1]FINAL!$BB$1,[1]FINAL!$A$1:$BZ$1,0),0),"")</f>
        <v/>
      </c>
      <c r="Q701" s="18">
        <f t="shared" si="54"/>
        <v>1</v>
      </c>
    </row>
    <row r="702" spans="1:17" x14ac:dyDescent="0.25">
      <c r="A702" s="14">
        <f>[1]FINAL!$A700</f>
        <v>0</v>
      </c>
      <c r="B702" s="20" t="str">
        <f>IFERROR(VLOOKUP($A702,[1]FINAL!$A$1:$Z$1000,MATCH([1]FINAL!$T$1,[1]FINAL!$A$1:$Z$1,0),0),"")</f>
        <v/>
      </c>
      <c r="C702" s="3" t="str">
        <f>IFERROR(VLOOKUP($A702,[1]FINAL!$A$1:$Z$1000,MATCH([1]FINAL!$U$1,[1]FINAL!$A$1:$Z$1,0),0),"")</f>
        <v/>
      </c>
      <c r="D702" s="3" t="str">
        <f>IFERROR(VLOOKUP($A702,[1]FINAL!$A$1:$Z$1000,MATCH([1]FINAL!$V$1,[1]FINAL!$A$1:$Z$1,0),0),"")</f>
        <v/>
      </c>
      <c r="E702" s="6">
        <f t="shared" si="50"/>
        <v>0</v>
      </c>
      <c r="F702" s="5">
        <f t="shared" si="51"/>
        <v>0</v>
      </c>
      <c r="G702" s="5">
        <f>IFERROR(IF(H702&lt;&gt;"",H702,VLOOKUP($A702,[1]FINAL!$A$1:$BZ$1000,MATCH([1]FINAL!$BL$1,[1]FINAL!$A$1:$BZ$1,0),0)),0)</f>
        <v>0</v>
      </c>
      <c r="I702" s="5">
        <f>IFERROR(IF(J702&lt;&gt;"",J702,(IF(VLOOKUP($A702,#REF!,MATCH(#REF!,#REF!,0),0)=0,G702,VLOOKUP($A702,#REF!,MATCH(#REF!,#REF!,0),0)))),G702)</f>
        <v>0</v>
      </c>
      <c r="K702" s="6">
        <f>IFERROR(VLOOKUP($A702,#REF!,MATCH(#REF!,#REF!,0),0),0)</f>
        <v>0</v>
      </c>
      <c r="L702" s="6">
        <f>IFERROR(VLOOKUP($A702,[1]FINAL!$A$1:$BZ$1000,MATCH([1]FINAL!$BF$1,[1]FINAL!$A$1:$BZ$1,0),0),0)</f>
        <v>0</v>
      </c>
      <c r="M702" s="7">
        <f t="shared" si="52"/>
        <v>0</v>
      </c>
      <c r="N702" s="6">
        <f>IFERROR(VLOOKUP($A702,#REF!,MATCH(#REF!,#REF!,0),0),0)</f>
        <v>0</v>
      </c>
      <c r="O702" s="7">
        <f t="shared" si="53"/>
        <v>0</v>
      </c>
      <c r="P702" s="10" t="str">
        <f>IFERROR(VLOOKUP($A702,[1]FINAL!$A$1:$BZ$1000,MATCH([1]FINAL!$BB$1,[1]FINAL!$A$1:$BZ$1,0),0),"")</f>
        <v/>
      </c>
      <c r="Q702" s="18">
        <f t="shared" si="54"/>
        <v>1</v>
      </c>
    </row>
    <row r="703" spans="1:17" x14ac:dyDescent="0.25">
      <c r="A703" s="14">
        <f>[1]FINAL!$A701</f>
        <v>0</v>
      </c>
      <c r="B703" s="20" t="str">
        <f>IFERROR(VLOOKUP($A703,[1]FINAL!$A$1:$Z$1000,MATCH([1]FINAL!$T$1,[1]FINAL!$A$1:$Z$1,0),0),"")</f>
        <v/>
      </c>
      <c r="C703" s="3" t="str">
        <f>IFERROR(VLOOKUP($A703,[1]FINAL!$A$1:$Z$1000,MATCH([1]FINAL!$U$1,[1]FINAL!$A$1:$Z$1,0),0),"")</f>
        <v/>
      </c>
      <c r="D703" s="3" t="str">
        <f>IFERROR(VLOOKUP($A703,[1]FINAL!$A$1:$Z$1000,MATCH([1]FINAL!$V$1,[1]FINAL!$A$1:$Z$1,0),0),"")</f>
        <v/>
      </c>
      <c r="E703" s="6">
        <f t="shared" si="50"/>
        <v>0</v>
      </c>
      <c r="F703" s="5">
        <f t="shared" si="51"/>
        <v>0</v>
      </c>
      <c r="G703" s="5">
        <f>IFERROR(IF(H703&lt;&gt;"",H703,VLOOKUP($A703,[1]FINAL!$A$1:$BZ$1000,MATCH([1]FINAL!$BL$1,[1]FINAL!$A$1:$BZ$1,0),0)),0)</f>
        <v>0</v>
      </c>
      <c r="I703" s="5">
        <f>IFERROR(IF(J703&lt;&gt;"",J703,(IF(VLOOKUP($A703,#REF!,MATCH(#REF!,#REF!,0),0)=0,G703,VLOOKUP($A703,#REF!,MATCH(#REF!,#REF!,0),0)))),G703)</f>
        <v>0</v>
      </c>
      <c r="K703" s="6">
        <f>IFERROR(VLOOKUP($A703,#REF!,MATCH(#REF!,#REF!,0),0),0)</f>
        <v>0</v>
      </c>
      <c r="L703" s="6">
        <f>IFERROR(VLOOKUP($A703,[1]FINAL!$A$1:$BZ$1000,MATCH([1]FINAL!$BF$1,[1]FINAL!$A$1:$BZ$1,0),0),0)</f>
        <v>0</v>
      </c>
      <c r="M703" s="7">
        <f t="shared" si="52"/>
        <v>0</v>
      </c>
      <c r="N703" s="6">
        <f>IFERROR(VLOOKUP($A703,#REF!,MATCH(#REF!,#REF!,0),0),0)</f>
        <v>0</v>
      </c>
      <c r="O703" s="7">
        <f t="shared" si="53"/>
        <v>0</v>
      </c>
      <c r="P703" s="10" t="str">
        <f>IFERROR(VLOOKUP($A703,[1]FINAL!$A$1:$BZ$1000,MATCH([1]FINAL!$BB$1,[1]FINAL!$A$1:$BZ$1,0),0),"")</f>
        <v/>
      </c>
      <c r="Q703" s="18">
        <f t="shared" si="54"/>
        <v>1</v>
      </c>
    </row>
    <row r="704" spans="1:17" x14ac:dyDescent="0.25">
      <c r="A704" s="14">
        <f>[1]FINAL!$A702</f>
        <v>0</v>
      </c>
      <c r="B704" s="20" t="str">
        <f>IFERROR(VLOOKUP($A704,[1]FINAL!$A$1:$Z$1000,MATCH([1]FINAL!$T$1,[1]FINAL!$A$1:$Z$1,0),0),"")</f>
        <v/>
      </c>
      <c r="C704" s="3" t="str">
        <f>IFERROR(VLOOKUP($A704,[1]FINAL!$A$1:$Z$1000,MATCH([1]FINAL!$U$1,[1]FINAL!$A$1:$Z$1,0),0),"")</f>
        <v/>
      </c>
      <c r="D704" s="3" t="str">
        <f>IFERROR(VLOOKUP($A704,[1]FINAL!$A$1:$Z$1000,MATCH([1]FINAL!$V$1,[1]FINAL!$A$1:$Z$1,0),0),"")</f>
        <v/>
      </c>
      <c r="E704" s="6">
        <f t="shared" si="50"/>
        <v>0</v>
      </c>
      <c r="F704" s="5">
        <f t="shared" si="51"/>
        <v>0</v>
      </c>
      <c r="G704" s="5">
        <f>IFERROR(IF(H704&lt;&gt;"",H704,VLOOKUP($A704,[1]FINAL!$A$1:$BZ$1000,MATCH([1]FINAL!$BL$1,[1]FINAL!$A$1:$BZ$1,0),0)),0)</f>
        <v>0</v>
      </c>
      <c r="I704" s="5">
        <f>IFERROR(IF(J704&lt;&gt;"",J704,(IF(VLOOKUP($A704,#REF!,MATCH(#REF!,#REF!,0),0)=0,G704,VLOOKUP($A704,#REF!,MATCH(#REF!,#REF!,0),0)))),G704)</f>
        <v>0</v>
      </c>
      <c r="K704" s="6">
        <f>IFERROR(VLOOKUP($A704,#REF!,MATCH(#REF!,#REF!,0),0),0)</f>
        <v>0</v>
      </c>
      <c r="L704" s="6">
        <f>IFERROR(VLOOKUP($A704,[1]FINAL!$A$1:$BZ$1000,MATCH([1]FINAL!$BF$1,[1]FINAL!$A$1:$BZ$1,0),0),0)</f>
        <v>0</v>
      </c>
      <c r="M704" s="7">
        <f t="shared" si="52"/>
        <v>0</v>
      </c>
      <c r="N704" s="6">
        <f>IFERROR(VLOOKUP($A704,#REF!,MATCH(#REF!,#REF!,0),0),0)</f>
        <v>0</v>
      </c>
      <c r="O704" s="7">
        <f t="shared" si="53"/>
        <v>0</v>
      </c>
      <c r="P704" s="10" t="str">
        <f>IFERROR(VLOOKUP($A704,[1]FINAL!$A$1:$BZ$1000,MATCH([1]FINAL!$BB$1,[1]FINAL!$A$1:$BZ$1,0),0),"")</f>
        <v/>
      </c>
      <c r="Q704" s="18">
        <f t="shared" si="54"/>
        <v>1</v>
      </c>
    </row>
    <row r="705" spans="1:17" x14ac:dyDescent="0.25">
      <c r="A705" s="14">
        <f>[1]FINAL!$A703</f>
        <v>0</v>
      </c>
      <c r="B705" s="20" t="str">
        <f>IFERROR(VLOOKUP($A705,[1]FINAL!$A$1:$Z$1000,MATCH([1]FINAL!$T$1,[1]FINAL!$A$1:$Z$1,0),0),"")</f>
        <v/>
      </c>
      <c r="C705" s="3" t="str">
        <f>IFERROR(VLOOKUP($A705,[1]FINAL!$A$1:$Z$1000,MATCH([1]FINAL!$U$1,[1]FINAL!$A$1:$Z$1,0),0),"")</f>
        <v/>
      </c>
      <c r="D705" s="3" t="str">
        <f>IFERROR(VLOOKUP($A705,[1]FINAL!$A$1:$Z$1000,MATCH([1]FINAL!$V$1,[1]FINAL!$A$1:$Z$1,0),0),"")</f>
        <v/>
      </c>
      <c r="E705" s="6">
        <f t="shared" si="50"/>
        <v>0</v>
      </c>
      <c r="F705" s="5">
        <f t="shared" si="51"/>
        <v>0</v>
      </c>
      <c r="G705" s="5">
        <f>IFERROR(IF(H705&lt;&gt;"",H705,VLOOKUP($A705,[1]FINAL!$A$1:$BZ$1000,MATCH([1]FINAL!$BL$1,[1]FINAL!$A$1:$BZ$1,0),0)),0)</f>
        <v>0</v>
      </c>
      <c r="I705" s="5">
        <f>IFERROR(IF(J705&lt;&gt;"",J705,(IF(VLOOKUP($A705,#REF!,MATCH(#REF!,#REF!,0),0)=0,G705,VLOOKUP($A705,#REF!,MATCH(#REF!,#REF!,0),0)))),G705)</f>
        <v>0</v>
      </c>
      <c r="K705" s="6">
        <f>IFERROR(VLOOKUP($A705,#REF!,MATCH(#REF!,#REF!,0),0),0)</f>
        <v>0</v>
      </c>
      <c r="L705" s="6">
        <f>IFERROR(VLOOKUP($A705,[1]FINAL!$A$1:$BZ$1000,MATCH([1]FINAL!$BF$1,[1]FINAL!$A$1:$BZ$1,0),0),0)</f>
        <v>0</v>
      </c>
      <c r="M705" s="7">
        <f t="shared" si="52"/>
        <v>0</v>
      </c>
      <c r="N705" s="6">
        <f>IFERROR(VLOOKUP($A705,#REF!,MATCH(#REF!,#REF!,0),0),0)</f>
        <v>0</v>
      </c>
      <c r="O705" s="7">
        <f t="shared" si="53"/>
        <v>0</v>
      </c>
      <c r="P705" s="10" t="str">
        <f>IFERROR(VLOOKUP($A705,[1]FINAL!$A$1:$BZ$1000,MATCH([1]FINAL!$BB$1,[1]FINAL!$A$1:$BZ$1,0),0),"")</f>
        <v/>
      </c>
      <c r="Q705" s="18">
        <f t="shared" si="54"/>
        <v>1</v>
      </c>
    </row>
    <row r="706" spans="1:17" x14ac:dyDescent="0.25">
      <c r="A706" s="14">
        <f>[1]FINAL!$A704</f>
        <v>0</v>
      </c>
      <c r="B706" s="20" t="str">
        <f>IFERROR(VLOOKUP($A706,[1]FINAL!$A$1:$Z$1000,MATCH([1]FINAL!$T$1,[1]FINAL!$A$1:$Z$1,0),0),"")</f>
        <v/>
      </c>
      <c r="C706" s="3" t="str">
        <f>IFERROR(VLOOKUP($A706,[1]FINAL!$A$1:$Z$1000,MATCH([1]FINAL!$U$1,[1]FINAL!$A$1:$Z$1,0),0),"")</f>
        <v/>
      </c>
      <c r="D706" s="3" t="str">
        <f>IFERROR(VLOOKUP($A706,[1]FINAL!$A$1:$Z$1000,MATCH([1]FINAL!$V$1,[1]FINAL!$A$1:$Z$1,0),0),"")</f>
        <v/>
      </c>
      <c r="E706" s="6">
        <f t="shared" ref="E706:E769" si="55">IF($Q$1="ON",((G706*100000)+(I706*100000)+(M706*10000)+(O706*10000)+(K706*10))*Q706,((G706*100000)+(I706*100000)+(M706*10000)+(O706*10000)+(K706*10)))</f>
        <v>0</v>
      </c>
      <c r="F706" s="5">
        <f t="shared" ref="F706:F769" si="56">IFERROR(IF($Q$1="ON",((G706*$W$1)+(I706*$U$1))*Q706,((G706*$W$1)+(I706*$U$1))),0)</f>
        <v>0</v>
      </c>
      <c r="G706" s="5">
        <f>IFERROR(IF(H706&lt;&gt;"",H706,VLOOKUP($A706,[1]FINAL!$A$1:$BZ$1000,MATCH([1]FINAL!$BL$1,[1]FINAL!$A$1:$BZ$1,0),0)),0)</f>
        <v>0</v>
      </c>
      <c r="I706" s="5">
        <f>IFERROR(IF(J706&lt;&gt;"",J706,(IF(VLOOKUP($A706,#REF!,MATCH(#REF!,#REF!,0),0)=0,G706,VLOOKUP($A706,#REF!,MATCH(#REF!,#REF!,0),0)))),G706)</f>
        <v>0</v>
      </c>
      <c r="K706" s="6">
        <f>IFERROR(VLOOKUP($A706,#REF!,MATCH(#REF!,#REF!,0),0),0)</f>
        <v>0</v>
      </c>
      <c r="L706" s="6">
        <f>IFERROR(VLOOKUP($A706,[1]FINAL!$A$1:$BZ$1000,MATCH([1]FINAL!$BF$1,[1]FINAL!$A$1:$BZ$1,0),0),0)</f>
        <v>0</v>
      </c>
      <c r="M706" s="7">
        <f t="shared" ref="M706:M769" si="57">L706/90</f>
        <v>0</v>
      </c>
      <c r="N706" s="6">
        <f>IFERROR(VLOOKUP($A706,#REF!,MATCH(#REF!,#REF!,0),0),0)</f>
        <v>0</v>
      </c>
      <c r="O706" s="7">
        <f t="shared" ref="O706:O769" si="58">N706/90</f>
        <v>0</v>
      </c>
      <c r="P706" s="10" t="str">
        <f>IFERROR(VLOOKUP($A706,[1]FINAL!$A$1:$BZ$1000,MATCH([1]FINAL!$BB$1,[1]FINAL!$A$1:$BZ$1,0),0),"")</f>
        <v/>
      </c>
      <c r="Q706" s="18">
        <f t="shared" ref="Q706:Q769" si="59">IF(P706="",1,IF(P706=0,0.0001,P706/100))</f>
        <v>1</v>
      </c>
    </row>
    <row r="707" spans="1:17" x14ac:dyDescent="0.25">
      <c r="A707" s="14">
        <f>[1]FINAL!$A705</f>
        <v>0</v>
      </c>
      <c r="B707" s="20" t="str">
        <f>IFERROR(VLOOKUP($A707,[1]FINAL!$A$1:$Z$1000,MATCH([1]FINAL!$T$1,[1]FINAL!$A$1:$Z$1,0),0),"")</f>
        <v/>
      </c>
      <c r="C707" s="3" t="str">
        <f>IFERROR(VLOOKUP($A707,[1]FINAL!$A$1:$Z$1000,MATCH([1]FINAL!$U$1,[1]FINAL!$A$1:$Z$1,0),0),"")</f>
        <v/>
      </c>
      <c r="D707" s="3" t="str">
        <f>IFERROR(VLOOKUP($A707,[1]FINAL!$A$1:$Z$1000,MATCH([1]FINAL!$V$1,[1]FINAL!$A$1:$Z$1,0),0),"")</f>
        <v/>
      </c>
      <c r="E707" s="6">
        <f t="shared" si="55"/>
        <v>0</v>
      </c>
      <c r="F707" s="5">
        <f t="shared" si="56"/>
        <v>0</v>
      </c>
      <c r="G707" s="5">
        <f>IFERROR(IF(H707&lt;&gt;"",H707,VLOOKUP($A707,[1]FINAL!$A$1:$BZ$1000,MATCH([1]FINAL!$BL$1,[1]FINAL!$A$1:$BZ$1,0),0)),0)</f>
        <v>0</v>
      </c>
      <c r="I707" s="5">
        <f>IFERROR(IF(J707&lt;&gt;"",J707,(IF(VLOOKUP($A707,#REF!,MATCH(#REF!,#REF!,0),0)=0,G707,VLOOKUP($A707,#REF!,MATCH(#REF!,#REF!,0),0)))),G707)</f>
        <v>0</v>
      </c>
      <c r="K707" s="6">
        <f>IFERROR(VLOOKUP($A707,#REF!,MATCH(#REF!,#REF!,0),0),0)</f>
        <v>0</v>
      </c>
      <c r="L707" s="6">
        <f>IFERROR(VLOOKUP($A707,[1]FINAL!$A$1:$BZ$1000,MATCH([1]FINAL!$BF$1,[1]FINAL!$A$1:$BZ$1,0),0),0)</f>
        <v>0</v>
      </c>
      <c r="M707" s="7">
        <f t="shared" si="57"/>
        <v>0</v>
      </c>
      <c r="N707" s="6">
        <f>IFERROR(VLOOKUP($A707,#REF!,MATCH(#REF!,#REF!,0),0),0)</f>
        <v>0</v>
      </c>
      <c r="O707" s="7">
        <f t="shared" si="58"/>
        <v>0</v>
      </c>
      <c r="P707" s="10" t="str">
        <f>IFERROR(VLOOKUP($A707,[1]FINAL!$A$1:$BZ$1000,MATCH([1]FINAL!$BB$1,[1]FINAL!$A$1:$BZ$1,0),0),"")</f>
        <v/>
      </c>
      <c r="Q707" s="18">
        <f t="shared" si="59"/>
        <v>1</v>
      </c>
    </row>
    <row r="708" spans="1:17" x14ac:dyDescent="0.25">
      <c r="A708" s="14">
        <f>[1]FINAL!$A706</f>
        <v>0</v>
      </c>
      <c r="B708" s="20" t="str">
        <f>IFERROR(VLOOKUP($A708,[1]FINAL!$A$1:$Z$1000,MATCH([1]FINAL!$T$1,[1]FINAL!$A$1:$Z$1,0),0),"")</f>
        <v/>
      </c>
      <c r="C708" s="3" t="str">
        <f>IFERROR(VLOOKUP($A708,[1]FINAL!$A$1:$Z$1000,MATCH([1]FINAL!$U$1,[1]FINAL!$A$1:$Z$1,0),0),"")</f>
        <v/>
      </c>
      <c r="D708" s="3" t="str">
        <f>IFERROR(VLOOKUP($A708,[1]FINAL!$A$1:$Z$1000,MATCH([1]FINAL!$V$1,[1]FINAL!$A$1:$Z$1,0),0),"")</f>
        <v/>
      </c>
      <c r="E708" s="6">
        <f t="shared" si="55"/>
        <v>0</v>
      </c>
      <c r="F708" s="5">
        <f t="shared" si="56"/>
        <v>0</v>
      </c>
      <c r="G708" s="5">
        <f>IFERROR(IF(H708&lt;&gt;"",H708,VLOOKUP($A708,[1]FINAL!$A$1:$BZ$1000,MATCH([1]FINAL!$BL$1,[1]FINAL!$A$1:$BZ$1,0),0)),0)</f>
        <v>0</v>
      </c>
      <c r="I708" s="5">
        <f>IFERROR(IF(J708&lt;&gt;"",J708,(IF(VLOOKUP($A708,#REF!,MATCH(#REF!,#REF!,0),0)=0,G708,VLOOKUP($A708,#REF!,MATCH(#REF!,#REF!,0),0)))),G708)</f>
        <v>0</v>
      </c>
      <c r="K708" s="6">
        <f>IFERROR(VLOOKUP($A708,#REF!,MATCH(#REF!,#REF!,0),0),0)</f>
        <v>0</v>
      </c>
      <c r="L708" s="6">
        <f>IFERROR(VLOOKUP($A708,[1]FINAL!$A$1:$BZ$1000,MATCH([1]FINAL!$BF$1,[1]FINAL!$A$1:$BZ$1,0),0),0)</f>
        <v>0</v>
      </c>
      <c r="M708" s="7">
        <f t="shared" si="57"/>
        <v>0</v>
      </c>
      <c r="N708" s="6">
        <f>IFERROR(VLOOKUP($A708,#REF!,MATCH(#REF!,#REF!,0),0),0)</f>
        <v>0</v>
      </c>
      <c r="O708" s="7">
        <f t="shared" si="58"/>
        <v>0</v>
      </c>
      <c r="P708" s="10" t="str">
        <f>IFERROR(VLOOKUP($A708,[1]FINAL!$A$1:$BZ$1000,MATCH([1]FINAL!$BB$1,[1]FINAL!$A$1:$BZ$1,0),0),"")</f>
        <v/>
      </c>
      <c r="Q708" s="18">
        <f t="shared" si="59"/>
        <v>1</v>
      </c>
    </row>
    <row r="709" spans="1:17" x14ac:dyDescent="0.25">
      <c r="A709" s="14">
        <f>[1]FINAL!$A707</f>
        <v>0</v>
      </c>
      <c r="B709" s="20" t="str">
        <f>IFERROR(VLOOKUP($A709,[1]FINAL!$A$1:$Z$1000,MATCH([1]FINAL!$T$1,[1]FINAL!$A$1:$Z$1,0),0),"")</f>
        <v/>
      </c>
      <c r="C709" s="3" t="str">
        <f>IFERROR(VLOOKUP($A709,[1]FINAL!$A$1:$Z$1000,MATCH([1]FINAL!$U$1,[1]FINAL!$A$1:$Z$1,0),0),"")</f>
        <v/>
      </c>
      <c r="D709" s="3" t="str">
        <f>IFERROR(VLOOKUP($A709,[1]FINAL!$A$1:$Z$1000,MATCH([1]FINAL!$V$1,[1]FINAL!$A$1:$Z$1,0),0),"")</f>
        <v/>
      </c>
      <c r="E709" s="6">
        <f t="shared" si="55"/>
        <v>0</v>
      </c>
      <c r="F709" s="5">
        <f t="shared" si="56"/>
        <v>0</v>
      </c>
      <c r="G709" s="5">
        <f>IFERROR(IF(H709&lt;&gt;"",H709,VLOOKUP($A709,[1]FINAL!$A$1:$BZ$1000,MATCH([1]FINAL!$BL$1,[1]FINAL!$A$1:$BZ$1,0),0)),0)</f>
        <v>0</v>
      </c>
      <c r="I709" s="5">
        <f>IFERROR(IF(J709&lt;&gt;"",J709,(IF(VLOOKUP($A709,#REF!,MATCH(#REF!,#REF!,0),0)=0,G709,VLOOKUP($A709,#REF!,MATCH(#REF!,#REF!,0),0)))),G709)</f>
        <v>0</v>
      </c>
      <c r="K709" s="6">
        <f>IFERROR(VLOOKUP($A709,#REF!,MATCH(#REF!,#REF!,0),0),0)</f>
        <v>0</v>
      </c>
      <c r="L709" s="6">
        <f>IFERROR(VLOOKUP($A709,[1]FINAL!$A$1:$BZ$1000,MATCH([1]FINAL!$BF$1,[1]FINAL!$A$1:$BZ$1,0),0),0)</f>
        <v>0</v>
      </c>
      <c r="M709" s="7">
        <f t="shared" si="57"/>
        <v>0</v>
      </c>
      <c r="N709" s="6">
        <f>IFERROR(VLOOKUP($A709,#REF!,MATCH(#REF!,#REF!,0),0),0)</f>
        <v>0</v>
      </c>
      <c r="O709" s="7">
        <f t="shared" si="58"/>
        <v>0</v>
      </c>
      <c r="P709" s="10" t="str">
        <f>IFERROR(VLOOKUP($A709,[1]FINAL!$A$1:$BZ$1000,MATCH([1]FINAL!$BB$1,[1]FINAL!$A$1:$BZ$1,0),0),"")</f>
        <v/>
      </c>
      <c r="Q709" s="18">
        <f t="shared" si="59"/>
        <v>1</v>
      </c>
    </row>
    <row r="710" spans="1:17" x14ac:dyDescent="0.25">
      <c r="A710" s="14">
        <f>[1]FINAL!$A708</f>
        <v>0</v>
      </c>
      <c r="B710" s="20" t="str">
        <f>IFERROR(VLOOKUP($A710,[1]FINAL!$A$1:$Z$1000,MATCH([1]FINAL!$T$1,[1]FINAL!$A$1:$Z$1,0),0),"")</f>
        <v/>
      </c>
      <c r="C710" s="3" t="str">
        <f>IFERROR(VLOOKUP($A710,[1]FINAL!$A$1:$Z$1000,MATCH([1]FINAL!$U$1,[1]FINAL!$A$1:$Z$1,0),0),"")</f>
        <v/>
      </c>
      <c r="D710" s="3" t="str">
        <f>IFERROR(VLOOKUP($A710,[1]FINAL!$A$1:$Z$1000,MATCH([1]FINAL!$V$1,[1]FINAL!$A$1:$Z$1,0),0),"")</f>
        <v/>
      </c>
      <c r="E710" s="6">
        <f t="shared" si="55"/>
        <v>0</v>
      </c>
      <c r="F710" s="5">
        <f t="shared" si="56"/>
        <v>0</v>
      </c>
      <c r="G710" s="5">
        <f>IFERROR(IF(H710&lt;&gt;"",H710,VLOOKUP($A710,[1]FINAL!$A$1:$BZ$1000,MATCH([1]FINAL!$BL$1,[1]FINAL!$A$1:$BZ$1,0),0)),0)</f>
        <v>0</v>
      </c>
      <c r="I710" s="5">
        <f>IFERROR(IF(J710&lt;&gt;"",J710,(IF(VLOOKUP($A710,#REF!,MATCH(#REF!,#REF!,0),0)=0,G710,VLOOKUP($A710,#REF!,MATCH(#REF!,#REF!,0),0)))),G710)</f>
        <v>0</v>
      </c>
      <c r="K710" s="6">
        <f>IFERROR(VLOOKUP($A710,#REF!,MATCH(#REF!,#REF!,0),0),0)</f>
        <v>0</v>
      </c>
      <c r="L710" s="6">
        <f>IFERROR(VLOOKUP($A710,[1]FINAL!$A$1:$BZ$1000,MATCH([1]FINAL!$BF$1,[1]FINAL!$A$1:$BZ$1,0),0),0)</f>
        <v>0</v>
      </c>
      <c r="M710" s="7">
        <f t="shared" si="57"/>
        <v>0</v>
      </c>
      <c r="N710" s="6">
        <f>IFERROR(VLOOKUP($A710,#REF!,MATCH(#REF!,#REF!,0),0),0)</f>
        <v>0</v>
      </c>
      <c r="O710" s="7">
        <f t="shared" si="58"/>
        <v>0</v>
      </c>
      <c r="P710" s="10" t="str">
        <f>IFERROR(VLOOKUP($A710,[1]FINAL!$A$1:$BZ$1000,MATCH([1]FINAL!$BB$1,[1]FINAL!$A$1:$BZ$1,0),0),"")</f>
        <v/>
      </c>
      <c r="Q710" s="18">
        <f t="shared" si="59"/>
        <v>1</v>
      </c>
    </row>
    <row r="711" spans="1:17" x14ac:dyDescent="0.25">
      <c r="A711" s="14">
        <f>[1]FINAL!$A709</f>
        <v>0</v>
      </c>
      <c r="B711" s="20" t="str">
        <f>IFERROR(VLOOKUP($A711,[1]FINAL!$A$1:$Z$1000,MATCH([1]FINAL!$T$1,[1]FINAL!$A$1:$Z$1,0),0),"")</f>
        <v/>
      </c>
      <c r="C711" s="3" t="str">
        <f>IFERROR(VLOOKUP($A711,[1]FINAL!$A$1:$Z$1000,MATCH([1]FINAL!$U$1,[1]FINAL!$A$1:$Z$1,0),0),"")</f>
        <v/>
      </c>
      <c r="D711" s="3" t="str">
        <f>IFERROR(VLOOKUP($A711,[1]FINAL!$A$1:$Z$1000,MATCH([1]FINAL!$V$1,[1]FINAL!$A$1:$Z$1,0),0),"")</f>
        <v/>
      </c>
      <c r="E711" s="6">
        <f t="shared" si="55"/>
        <v>0</v>
      </c>
      <c r="F711" s="5">
        <f t="shared" si="56"/>
        <v>0</v>
      </c>
      <c r="G711" s="5">
        <f>IFERROR(IF(H711&lt;&gt;"",H711,VLOOKUP($A711,[1]FINAL!$A$1:$BZ$1000,MATCH([1]FINAL!$BL$1,[1]FINAL!$A$1:$BZ$1,0),0)),0)</f>
        <v>0</v>
      </c>
      <c r="I711" s="5">
        <f>IFERROR(IF(J711&lt;&gt;"",J711,(IF(VLOOKUP($A711,#REF!,MATCH(#REF!,#REF!,0),0)=0,G711,VLOOKUP($A711,#REF!,MATCH(#REF!,#REF!,0),0)))),G711)</f>
        <v>0</v>
      </c>
      <c r="K711" s="6">
        <f>IFERROR(VLOOKUP($A711,#REF!,MATCH(#REF!,#REF!,0),0),0)</f>
        <v>0</v>
      </c>
      <c r="L711" s="6">
        <f>IFERROR(VLOOKUP($A711,[1]FINAL!$A$1:$BZ$1000,MATCH([1]FINAL!$BF$1,[1]FINAL!$A$1:$BZ$1,0),0),0)</f>
        <v>0</v>
      </c>
      <c r="M711" s="7">
        <f t="shared" si="57"/>
        <v>0</v>
      </c>
      <c r="N711" s="6">
        <f>IFERROR(VLOOKUP($A711,#REF!,MATCH(#REF!,#REF!,0),0),0)</f>
        <v>0</v>
      </c>
      <c r="O711" s="7">
        <f t="shared" si="58"/>
        <v>0</v>
      </c>
      <c r="P711" s="10" t="str">
        <f>IFERROR(VLOOKUP($A711,[1]FINAL!$A$1:$BZ$1000,MATCH([1]FINAL!$BB$1,[1]FINAL!$A$1:$BZ$1,0),0),"")</f>
        <v/>
      </c>
      <c r="Q711" s="18">
        <f t="shared" si="59"/>
        <v>1</v>
      </c>
    </row>
    <row r="712" spans="1:17" x14ac:dyDescent="0.25">
      <c r="A712" s="14">
        <f>[1]FINAL!$A710</f>
        <v>0</v>
      </c>
      <c r="B712" s="20" t="str">
        <f>IFERROR(VLOOKUP($A712,[1]FINAL!$A$1:$Z$1000,MATCH([1]FINAL!$T$1,[1]FINAL!$A$1:$Z$1,0),0),"")</f>
        <v/>
      </c>
      <c r="C712" s="3" t="str">
        <f>IFERROR(VLOOKUP($A712,[1]FINAL!$A$1:$Z$1000,MATCH([1]FINAL!$U$1,[1]FINAL!$A$1:$Z$1,0),0),"")</f>
        <v/>
      </c>
      <c r="D712" s="3" t="str">
        <f>IFERROR(VLOOKUP($A712,[1]FINAL!$A$1:$Z$1000,MATCH([1]FINAL!$V$1,[1]FINAL!$A$1:$Z$1,0),0),"")</f>
        <v/>
      </c>
      <c r="E712" s="6">
        <f t="shared" si="55"/>
        <v>0</v>
      </c>
      <c r="F712" s="5">
        <f t="shared" si="56"/>
        <v>0</v>
      </c>
      <c r="G712" s="5">
        <f>IFERROR(IF(H712&lt;&gt;"",H712,VLOOKUP($A712,[1]FINAL!$A$1:$BZ$1000,MATCH([1]FINAL!$BL$1,[1]FINAL!$A$1:$BZ$1,0),0)),0)</f>
        <v>0</v>
      </c>
      <c r="I712" s="5">
        <f>IFERROR(IF(J712&lt;&gt;"",J712,(IF(VLOOKUP($A712,#REF!,MATCH(#REF!,#REF!,0),0)=0,G712,VLOOKUP($A712,#REF!,MATCH(#REF!,#REF!,0),0)))),G712)</f>
        <v>0</v>
      </c>
      <c r="K712" s="6">
        <f>IFERROR(VLOOKUP($A712,#REF!,MATCH(#REF!,#REF!,0),0),0)</f>
        <v>0</v>
      </c>
      <c r="L712" s="6">
        <f>IFERROR(VLOOKUP($A712,[1]FINAL!$A$1:$BZ$1000,MATCH([1]FINAL!$BF$1,[1]FINAL!$A$1:$BZ$1,0),0),0)</f>
        <v>0</v>
      </c>
      <c r="M712" s="7">
        <f t="shared" si="57"/>
        <v>0</v>
      </c>
      <c r="N712" s="6">
        <f>IFERROR(VLOOKUP($A712,#REF!,MATCH(#REF!,#REF!,0),0),0)</f>
        <v>0</v>
      </c>
      <c r="O712" s="7">
        <f t="shared" si="58"/>
        <v>0</v>
      </c>
      <c r="P712" s="10" t="str">
        <f>IFERROR(VLOOKUP($A712,[1]FINAL!$A$1:$BZ$1000,MATCH([1]FINAL!$BB$1,[1]FINAL!$A$1:$BZ$1,0),0),"")</f>
        <v/>
      </c>
      <c r="Q712" s="18">
        <f t="shared" si="59"/>
        <v>1</v>
      </c>
    </row>
    <row r="713" spans="1:17" x14ac:dyDescent="0.25">
      <c r="A713" s="14">
        <f>[1]FINAL!$A711</f>
        <v>0</v>
      </c>
      <c r="B713" s="20" t="str">
        <f>IFERROR(VLOOKUP($A713,[1]FINAL!$A$1:$Z$1000,MATCH([1]FINAL!$T$1,[1]FINAL!$A$1:$Z$1,0),0),"")</f>
        <v/>
      </c>
      <c r="C713" s="3" t="str">
        <f>IFERROR(VLOOKUP($A713,[1]FINAL!$A$1:$Z$1000,MATCH([1]FINAL!$U$1,[1]FINAL!$A$1:$Z$1,0),0),"")</f>
        <v/>
      </c>
      <c r="D713" s="3" t="str">
        <f>IFERROR(VLOOKUP($A713,[1]FINAL!$A$1:$Z$1000,MATCH([1]FINAL!$V$1,[1]FINAL!$A$1:$Z$1,0),0),"")</f>
        <v/>
      </c>
      <c r="E713" s="6">
        <f t="shared" si="55"/>
        <v>0</v>
      </c>
      <c r="F713" s="5">
        <f t="shared" si="56"/>
        <v>0</v>
      </c>
      <c r="G713" s="5">
        <f>IFERROR(IF(H713&lt;&gt;"",H713,VLOOKUP($A713,[1]FINAL!$A$1:$BZ$1000,MATCH([1]FINAL!$BL$1,[1]FINAL!$A$1:$BZ$1,0),0)),0)</f>
        <v>0</v>
      </c>
      <c r="I713" s="5">
        <f>IFERROR(IF(J713&lt;&gt;"",J713,(IF(VLOOKUP($A713,#REF!,MATCH(#REF!,#REF!,0),0)=0,G713,VLOOKUP($A713,#REF!,MATCH(#REF!,#REF!,0),0)))),G713)</f>
        <v>0</v>
      </c>
      <c r="K713" s="6">
        <f>IFERROR(VLOOKUP($A713,#REF!,MATCH(#REF!,#REF!,0),0),0)</f>
        <v>0</v>
      </c>
      <c r="L713" s="6">
        <f>IFERROR(VLOOKUP($A713,[1]FINAL!$A$1:$BZ$1000,MATCH([1]FINAL!$BF$1,[1]FINAL!$A$1:$BZ$1,0),0),0)</f>
        <v>0</v>
      </c>
      <c r="M713" s="7">
        <f t="shared" si="57"/>
        <v>0</v>
      </c>
      <c r="N713" s="6">
        <f>IFERROR(VLOOKUP($A713,#REF!,MATCH(#REF!,#REF!,0),0),0)</f>
        <v>0</v>
      </c>
      <c r="O713" s="7">
        <f t="shared" si="58"/>
        <v>0</v>
      </c>
      <c r="P713" s="10" t="str">
        <f>IFERROR(VLOOKUP($A713,[1]FINAL!$A$1:$BZ$1000,MATCH([1]FINAL!$BB$1,[1]FINAL!$A$1:$BZ$1,0),0),"")</f>
        <v/>
      </c>
      <c r="Q713" s="18">
        <f t="shared" si="59"/>
        <v>1</v>
      </c>
    </row>
    <row r="714" spans="1:17" x14ac:dyDescent="0.25">
      <c r="A714" s="14">
        <f>[1]FINAL!$A712</f>
        <v>0</v>
      </c>
      <c r="B714" s="20" t="str">
        <f>IFERROR(VLOOKUP($A714,[1]FINAL!$A$1:$Z$1000,MATCH([1]FINAL!$T$1,[1]FINAL!$A$1:$Z$1,0),0),"")</f>
        <v/>
      </c>
      <c r="C714" s="3" t="str">
        <f>IFERROR(VLOOKUP($A714,[1]FINAL!$A$1:$Z$1000,MATCH([1]FINAL!$U$1,[1]FINAL!$A$1:$Z$1,0),0),"")</f>
        <v/>
      </c>
      <c r="D714" s="3" t="str">
        <f>IFERROR(VLOOKUP($A714,[1]FINAL!$A$1:$Z$1000,MATCH([1]FINAL!$V$1,[1]FINAL!$A$1:$Z$1,0),0),"")</f>
        <v/>
      </c>
      <c r="E714" s="6">
        <f t="shared" si="55"/>
        <v>0</v>
      </c>
      <c r="F714" s="5">
        <f t="shared" si="56"/>
        <v>0</v>
      </c>
      <c r="G714" s="5">
        <f>IFERROR(IF(H714&lt;&gt;"",H714,VLOOKUP($A714,[1]FINAL!$A$1:$BZ$1000,MATCH([1]FINAL!$BL$1,[1]FINAL!$A$1:$BZ$1,0),0)),0)</f>
        <v>0</v>
      </c>
      <c r="I714" s="5">
        <f>IFERROR(IF(J714&lt;&gt;"",J714,(IF(VLOOKUP($A714,#REF!,MATCH(#REF!,#REF!,0),0)=0,G714,VLOOKUP($A714,#REF!,MATCH(#REF!,#REF!,0),0)))),G714)</f>
        <v>0</v>
      </c>
      <c r="K714" s="6">
        <f>IFERROR(VLOOKUP($A714,#REF!,MATCH(#REF!,#REF!,0),0),0)</f>
        <v>0</v>
      </c>
      <c r="L714" s="6">
        <f>IFERROR(VLOOKUP($A714,[1]FINAL!$A$1:$BZ$1000,MATCH([1]FINAL!$BF$1,[1]FINAL!$A$1:$BZ$1,0),0),0)</f>
        <v>0</v>
      </c>
      <c r="M714" s="7">
        <f t="shared" si="57"/>
        <v>0</v>
      </c>
      <c r="N714" s="6">
        <f>IFERROR(VLOOKUP($A714,#REF!,MATCH(#REF!,#REF!,0),0),0)</f>
        <v>0</v>
      </c>
      <c r="O714" s="7">
        <f t="shared" si="58"/>
        <v>0</v>
      </c>
      <c r="P714" s="10" t="str">
        <f>IFERROR(VLOOKUP($A714,[1]FINAL!$A$1:$BZ$1000,MATCH([1]FINAL!$BB$1,[1]FINAL!$A$1:$BZ$1,0),0),"")</f>
        <v/>
      </c>
      <c r="Q714" s="18">
        <f t="shared" si="59"/>
        <v>1</v>
      </c>
    </row>
    <row r="715" spans="1:17" x14ac:dyDescent="0.25">
      <c r="A715" s="14">
        <f>[1]FINAL!$A713</f>
        <v>0</v>
      </c>
      <c r="B715" s="20" t="str">
        <f>IFERROR(VLOOKUP($A715,[1]FINAL!$A$1:$Z$1000,MATCH([1]FINAL!$T$1,[1]FINAL!$A$1:$Z$1,0),0),"")</f>
        <v/>
      </c>
      <c r="C715" s="3" t="str">
        <f>IFERROR(VLOOKUP($A715,[1]FINAL!$A$1:$Z$1000,MATCH([1]FINAL!$U$1,[1]FINAL!$A$1:$Z$1,0),0),"")</f>
        <v/>
      </c>
      <c r="D715" s="3" t="str">
        <f>IFERROR(VLOOKUP($A715,[1]FINAL!$A$1:$Z$1000,MATCH([1]FINAL!$V$1,[1]FINAL!$A$1:$Z$1,0),0),"")</f>
        <v/>
      </c>
      <c r="E715" s="6">
        <f t="shared" si="55"/>
        <v>0</v>
      </c>
      <c r="F715" s="5">
        <f t="shared" si="56"/>
        <v>0</v>
      </c>
      <c r="G715" s="5">
        <f>IFERROR(IF(H715&lt;&gt;"",H715,VLOOKUP($A715,[1]FINAL!$A$1:$BZ$1000,MATCH([1]FINAL!$BL$1,[1]FINAL!$A$1:$BZ$1,0),0)),0)</f>
        <v>0</v>
      </c>
      <c r="I715" s="5">
        <f>IFERROR(IF(J715&lt;&gt;"",J715,(IF(VLOOKUP($A715,#REF!,MATCH(#REF!,#REF!,0),0)=0,G715,VLOOKUP($A715,#REF!,MATCH(#REF!,#REF!,0),0)))),G715)</f>
        <v>0</v>
      </c>
      <c r="K715" s="6">
        <f>IFERROR(VLOOKUP($A715,#REF!,MATCH(#REF!,#REF!,0),0),0)</f>
        <v>0</v>
      </c>
      <c r="L715" s="6">
        <f>IFERROR(VLOOKUP($A715,[1]FINAL!$A$1:$BZ$1000,MATCH([1]FINAL!$BF$1,[1]FINAL!$A$1:$BZ$1,0),0),0)</f>
        <v>0</v>
      </c>
      <c r="M715" s="7">
        <f t="shared" si="57"/>
        <v>0</v>
      </c>
      <c r="N715" s="6">
        <f>IFERROR(VLOOKUP($A715,#REF!,MATCH(#REF!,#REF!,0),0),0)</f>
        <v>0</v>
      </c>
      <c r="O715" s="7">
        <f t="shared" si="58"/>
        <v>0</v>
      </c>
      <c r="P715" s="10" t="str">
        <f>IFERROR(VLOOKUP($A715,[1]FINAL!$A$1:$BZ$1000,MATCH([1]FINAL!$BB$1,[1]FINAL!$A$1:$BZ$1,0),0),"")</f>
        <v/>
      </c>
      <c r="Q715" s="18">
        <f t="shared" si="59"/>
        <v>1</v>
      </c>
    </row>
    <row r="716" spans="1:17" x14ac:dyDescent="0.25">
      <c r="A716" s="14">
        <f>[1]FINAL!$A714</f>
        <v>0</v>
      </c>
      <c r="B716" s="20" t="str">
        <f>IFERROR(VLOOKUP($A716,[1]FINAL!$A$1:$Z$1000,MATCH([1]FINAL!$T$1,[1]FINAL!$A$1:$Z$1,0),0),"")</f>
        <v/>
      </c>
      <c r="C716" s="3" t="str">
        <f>IFERROR(VLOOKUP($A716,[1]FINAL!$A$1:$Z$1000,MATCH([1]FINAL!$U$1,[1]FINAL!$A$1:$Z$1,0),0),"")</f>
        <v/>
      </c>
      <c r="D716" s="3" t="str">
        <f>IFERROR(VLOOKUP($A716,[1]FINAL!$A$1:$Z$1000,MATCH([1]FINAL!$V$1,[1]FINAL!$A$1:$Z$1,0),0),"")</f>
        <v/>
      </c>
      <c r="E716" s="6">
        <f t="shared" si="55"/>
        <v>0</v>
      </c>
      <c r="F716" s="5">
        <f t="shared" si="56"/>
        <v>0</v>
      </c>
      <c r="G716" s="5">
        <f>IFERROR(IF(H716&lt;&gt;"",H716,VLOOKUP($A716,[1]FINAL!$A$1:$BZ$1000,MATCH([1]FINAL!$BL$1,[1]FINAL!$A$1:$BZ$1,0),0)),0)</f>
        <v>0</v>
      </c>
      <c r="I716" s="5">
        <f>IFERROR(IF(J716&lt;&gt;"",J716,(IF(VLOOKUP($A716,#REF!,MATCH(#REF!,#REF!,0),0)=0,G716,VLOOKUP($A716,#REF!,MATCH(#REF!,#REF!,0),0)))),G716)</f>
        <v>0</v>
      </c>
      <c r="K716" s="6">
        <f>IFERROR(VLOOKUP($A716,#REF!,MATCH(#REF!,#REF!,0),0),0)</f>
        <v>0</v>
      </c>
      <c r="L716" s="6">
        <f>IFERROR(VLOOKUP($A716,[1]FINAL!$A$1:$BZ$1000,MATCH([1]FINAL!$BF$1,[1]FINAL!$A$1:$BZ$1,0),0),0)</f>
        <v>0</v>
      </c>
      <c r="M716" s="7">
        <f t="shared" si="57"/>
        <v>0</v>
      </c>
      <c r="N716" s="6">
        <f>IFERROR(VLOOKUP($A716,#REF!,MATCH(#REF!,#REF!,0),0),0)</f>
        <v>0</v>
      </c>
      <c r="O716" s="7">
        <f t="shared" si="58"/>
        <v>0</v>
      </c>
      <c r="P716" s="10" t="str">
        <f>IFERROR(VLOOKUP($A716,[1]FINAL!$A$1:$BZ$1000,MATCH([1]FINAL!$BB$1,[1]FINAL!$A$1:$BZ$1,0),0),"")</f>
        <v/>
      </c>
      <c r="Q716" s="18">
        <f t="shared" si="59"/>
        <v>1</v>
      </c>
    </row>
    <row r="717" spans="1:17" x14ac:dyDescent="0.25">
      <c r="A717" s="14">
        <f>[1]FINAL!$A715</f>
        <v>0</v>
      </c>
      <c r="B717" s="20" t="str">
        <f>IFERROR(VLOOKUP($A717,[1]FINAL!$A$1:$Z$1000,MATCH([1]FINAL!$T$1,[1]FINAL!$A$1:$Z$1,0),0),"")</f>
        <v/>
      </c>
      <c r="C717" s="3" t="str">
        <f>IFERROR(VLOOKUP($A717,[1]FINAL!$A$1:$Z$1000,MATCH([1]FINAL!$U$1,[1]FINAL!$A$1:$Z$1,0),0),"")</f>
        <v/>
      </c>
      <c r="D717" s="3" t="str">
        <f>IFERROR(VLOOKUP($A717,[1]FINAL!$A$1:$Z$1000,MATCH([1]FINAL!$V$1,[1]FINAL!$A$1:$Z$1,0),0),"")</f>
        <v/>
      </c>
      <c r="E717" s="6">
        <f t="shared" si="55"/>
        <v>0</v>
      </c>
      <c r="F717" s="5">
        <f t="shared" si="56"/>
        <v>0</v>
      </c>
      <c r="G717" s="5">
        <f>IFERROR(IF(H717&lt;&gt;"",H717,VLOOKUP($A717,[1]FINAL!$A$1:$BZ$1000,MATCH([1]FINAL!$BL$1,[1]FINAL!$A$1:$BZ$1,0),0)),0)</f>
        <v>0</v>
      </c>
      <c r="I717" s="5">
        <f>IFERROR(IF(J717&lt;&gt;"",J717,(IF(VLOOKUP($A717,#REF!,MATCH(#REF!,#REF!,0),0)=0,G717,VLOOKUP($A717,#REF!,MATCH(#REF!,#REF!,0),0)))),G717)</f>
        <v>0</v>
      </c>
      <c r="K717" s="6">
        <f>IFERROR(VLOOKUP($A717,#REF!,MATCH(#REF!,#REF!,0),0),0)</f>
        <v>0</v>
      </c>
      <c r="L717" s="6">
        <f>IFERROR(VLOOKUP($A717,[1]FINAL!$A$1:$BZ$1000,MATCH([1]FINAL!$BF$1,[1]FINAL!$A$1:$BZ$1,0),0),0)</f>
        <v>0</v>
      </c>
      <c r="M717" s="7">
        <f t="shared" si="57"/>
        <v>0</v>
      </c>
      <c r="N717" s="6">
        <f>IFERROR(VLOOKUP($A717,#REF!,MATCH(#REF!,#REF!,0),0),0)</f>
        <v>0</v>
      </c>
      <c r="O717" s="7">
        <f t="shared" si="58"/>
        <v>0</v>
      </c>
      <c r="P717" s="10" t="str">
        <f>IFERROR(VLOOKUP($A717,[1]FINAL!$A$1:$BZ$1000,MATCH([1]FINAL!$BB$1,[1]FINAL!$A$1:$BZ$1,0),0),"")</f>
        <v/>
      </c>
      <c r="Q717" s="18">
        <f t="shared" si="59"/>
        <v>1</v>
      </c>
    </row>
    <row r="718" spans="1:17" x14ac:dyDescent="0.25">
      <c r="A718" s="14">
        <f>[1]FINAL!$A716</f>
        <v>0</v>
      </c>
      <c r="B718" s="20" t="str">
        <f>IFERROR(VLOOKUP($A718,[1]FINAL!$A$1:$Z$1000,MATCH([1]FINAL!$T$1,[1]FINAL!$A$1:$Z$1,0),0),"")</f>
        <v/>
      </c>
      <c r="C718" s="3" t="str">
        <f>IFERROR(VLOOKUP($A718,[1]FINAL!$A$1:$Z$1000,MATCH([1]FINAL!$U$1,[1]FINAL!$A$1:$Z$1,0),0),"")</f>
        <v/>
      </c>
      <c r="D718" s="3" t="str">
        <f>IFERROR(VLOOKUP($A718,[1]FINAL!$A$1:$Z$1000,MATCH([1]FINAL!$V$1,[1]FINAL!$A$1:$Z$1,0),0),"")</f>
        <v/>
      </c>
      <c r="E718" s="6">
        <f t="shared" si="55"/>
        <v>0</v>
      </c>
      <c r="F718" s="5">
        <f t="shared" si="56"/>
        <v>0</v>
      </c>
      <c r="G718" s="5">
        <f>IFERROR(IF(H718&lt;&gt;"",H718,VLOOKUP($A718,[1]FINAL!$A$1:$BZ$1000,MATCH([1]FINAL!$BL$1,[1]FINAL!$A$1:$BZ$1,0),0)),0)</f>
        <v>0</v>
      </c>
      <c r="I718" s="5">
        <f>IFERROR(IF(J718&lt;&gt;"",J718,(IF(VLOOKUP($A718,#REF!,MATCH(#REF!,#REF!,0),0)=0,G718,VLOOKUP($A718,#REF!,MATCH(#REF!,#REF!,0),0)))),G718)</f>
        <v>0</v>
      </c>
      <c r="K718" s="6">
        <f>IFERROR(VLOOKUP($A718,#REF!,MATCH(#REF!,#REF!,0),0),0)</f>
        <v>0</v>
      </c>
      <c r="L718" s="6">
        <f>IFERROR(VLOOKUP($A718,[1]FINAL!$A$1:$BZ$1000,MATCH([1]FINAL!$BF$1,[1]FINAL!$A$1:$BZ$1,0),0),0)</f>
        <v>0</v>
      </c>
      <c r="M718" s="7">
        <f t="shared" si="57"/>
        <v>0</v>
      </c>
      <c r="N718" s="6">
        <f>IFERROR(VLOOKUP($A718,#REF!,MATCH(#REF!,#REF!,0),0),0)</f>
        <v>0</v>
      </c>
      <c r="O718" s="7">
        <f t="shared" si="58"/>
        <v>0</v>
      </c>
      <c r="P718" s="10" t="str">
        <f>IFERROR(VLOOKUP($A718,[1]FINAL!$A$1:$BZ$1000,MATCH([1]FINAL!$BB$1,[1]FINAL!$A$1:$BZ$1,0),0),"")</f>
        <v/>
      </c>
      <c r="Q718" s="18">
        <f t="shared" si="59"/>
        <v>1</v>
      </c>
    </row>
    <row r="719" spans="1:17" x14ac:dyDescent="0.25">
      <c r="A719" s="14">
        <f>[1]FINAL!$A717</f>
        <v>0</v>
      </c>
      <c r="B719" s="20" t="str">
        <f>IFERROR(VLOOKUP($A719,[1]FINAL!$A$1:$Z$1000,MATCH([1]FINAL!$T$1,[1]FINAL!$A$1:$Z$1,0),0),"")</f>
        <v/>
      </c>
      <c r="C719" s="3" t="str">
        <f>IFERROR(VLOOKUP($A719,[1]FINAL!$A$1:$Z$1000,MATCH([1]FINAL!$U$1,[1]FINAL!$A$1:$Z$1,0),0),"")</f>
        <v/>
      </c>
      <c r="D719" s="3" t="str">
        <f>IFERROR(VLOOKUP($A719,[1]FINAL!$A$1:$Z$1000,MATCH([1]FINAL!$V$1,[1]FINAL!$A$1:$Z$1,0),0),"")</f>
        <v/>
      </c>
      <c r="E719" s="6">
        <f t="shared" si="55"/>
        <v>0</v>
      </c>
      <c r="F719" s="5">
        <f t="shared" si="56"/>
        <v>0</v>
      </c>
      <c r="G719" s="5">
        <f>IFERROR(IF(H719&lt;&gt;"",H719,VLOOKUP($A719,[1]FINAL!$A$1:$BZ$1000,MATCH([1]FINAL!$BL$1,[1]FINAL!$A$1:$BZ$1,0),0)),0)</f>
        <v>0</v>
      </c>
      <c r="I719" s="5">
        <f>IFERROR(IF(J719&lt;&gt;"",J719,(IF(VLOOKUP($A719,#REF!,MATCH(#REF!,#REF!,0),0)=0,G719,VLOOKUP($A719,#REF!,MATCH(#REF!,#REF!,0),0)))),G719)</f>
        <v>0</v>
      </c>
      <c r="K719" s="6">
        <f>IFERROR(VLOOKUP($A719,#REF!,MATCH(#REF!,#REF!,0),0),0)</f>
        <v>0</v>
      </c>
      <c r="L719" s="6">
        <f>IFERROR(VLOOKUP($A719,[1]FINAL!$A$1:$BZ$1000,MATCH([1]FINAL!$BF$1,[1]FINAL!$A$1:$BZ$1,0),0),0)</f>
        <v>0</v>
      </c>
      <c r="M719" s="7">
        <f t="shared" si="57"/>
        <v>0</v>
      </c>
      <c r="N719" s="6">
        <f>IFERROR(VLOOKUP($A719,#REF!,MATCH(#REF!,#REF!,0),0),0)</f>
        <v>0</v>
      </c>
      <c r="O719" s="7">
        <f t="shared" si="58"/>
        <v>0</v>
      </c>
      <c r="P719" s="10" t="str">
        <f>IFERROR(VLOOKUP($A719,[1]FINAL!$A$1:$BZ$1000,MATCH([1]FINAL!$BB$1,[1]FINAL!$A$1:$BZ$1,0),0),"")</f>
        <v/>
      </c>
      <c r="Q719" s="18">
        <f t="shared" si="59"/>
        <v>1</v>
      </c>
    </row>
    <row r="720" spans="1:17" x14ac:dyDescent="0.25">
      <c r="A720" s="14">
        <f>[1]FINAL!$A718</f>
        <v>0</v>
      </c>
      <c r="B720" s="20" t="str">
        <f>IFERROR(VLOOKUP($A720,[1]FINAL!$A$1:$Z$1000,MATCH([1]FINAL!$T$1,[1]FINAL!$A$1:$Z$1,0),0),"")</f>
        <v/>
      </c>
      <c r="C720" s="3" t="str">
        <f>IFERROR(VLOOKUP($A720,[1]FINAL!$A$1:$Z$1000,MATCH([1]FINAL!$U$1,[1]FINAL!$A$1:$Z$1,0),0),"")</f>
        <v/>
      </c>
      <c r="D720" s="3" t="str">
        <f>IFERROR(VLOOKUP($A720,[1]FINAL!$A$1:$Z$1000,MATCH([1]FINAL!$V$1,[1]FINAL!$A$1:$Z$1,0),0),"")</f>
        <v/>
      </c>
      <c r="E720" s="6">
        <f t="shared" si="55"/>
        <v>0</v>
      </c>
      <c r="F720" s="5">
        <f t="shared" si="56"/>
        <v>0</v>
      </c>
      <c r="G720" s="5">
        <f>IFERROR(IF(H720&lt;&gt;"",H720,VLOOKUP($A720,[1]FINAL!$A$1:$BZ$1000,MATCH([1]FINAL!$BL$1,[1]FINAL!$A$1:$BZ$1,0),0)),0)</f>
        <v>0</v>
      </c>
      <c r="I720" s="5">
        <f>IFERROR(IF(J720&lt;&gt;"",J720,(IF(VLOOKUP($A720,#REF!,MATCH(#REF!,#REF!,0),0)=0,G720,VLOOKUP($A720,#REF!,MATCH(#REF!,#REF!,0),0)))),G720)</f>
        <v>0</v>
      </c>
      <c r="K720" s="6">
        <f>IFERROR(VLOOKUP($A720,#REF!,MATCH(#REF!,#REF!,0),0),0)</f>
        <v>0</v>
      </c>
      <c r="L720" s="6">
        <f>IFERROR(VLOOKUP($A720,[1]FINAL!$A$1:$BZ$1000,MATCH([1]FINAL!$BF$1,[1]FINAL!$A$1:$BZ$1,0),0),0)</f>
        <v>0</v>
      </c>
      <c r="M720" s="7">
        <f t="shared" si="57"/>
        <v>0</v>
      </c>
      <c r="N720" s="6">
        <f>IFERROR(VLOOKUP($A720,#REF!,MATCH(#REF!,#REF!,0),0),0)</f>
        <v>0</v>
      </c>
      <c r="O720" s="7">
        <f t="shared" si="58"/>
        <v>0</v>
      </c>
      <c r="P720" s="10" t="str">
        <f>IFERROR(VLOOKUP($A720,[1]FINAL!$A$1:$BZ$1000,MATCH([1]FINAL!$BB$1,[1]FINAL!$A$1:$BZ$1,0),0),"")</f>
        <v/>
      </c>
      <c r="Q720" s="18">
        <f t="shared" si="59"/>
        <v>1</v>
      </c>
    </row>
    <row r="721" spans="1:17" x14ac:dyDescent="0.25">
      <c r="A721" s="14">
        <f>[1]FINAL!$A719</f>
        <v>0</v>
      </c>
      <c r="B721" s="20" t="str">
        <f>IFERROR(VLOOKUP($A721,[1]FINAL!$A$1:$Z$1000,MATCH([1]FINAL!$T$1,[1]FINAL!$A$1:$Z$1,0),0),"")</f>
        <v/>
      </c>
      <c r="C721" s="3" t="str">
        <f>IFERROR(VLOOKUP($A721,[1]FINAL!$A$1:$Z$1000,MATCH([1]FINAL!$U$1,[1]FINAL!$A$1:$Z$1,0),0),"")</f>
        <v/>
      </c>
      <c r="D721" s="3" t="str">
        <f>IFERROR(VLOOKUP($A721,[1]FINAL!$A$1:$Z$1000,MATCH([1]FINAL!$V$1,[1]FINAL!$A$1:$Z$1,0),0),"")</f>
        <v/>
      </c>
      <c r="E721" s="6">
        <f t="shared" si="55"/>
        <v>0</v>
      </c>
      <c r="F721" s="5">
        <f t="shared" si="56"/>
        <v>0</v>
      </c>
      <c r="G721" s="5">
        <f>IFERROR(IF(H721&lt;&gt;"",H721,VLOOKUP($A721,[1]FINAL!$A$1:$BZ$1000,MATCH([1]FINAL!$BL$1,[1]FINAL!$A$1:$BZ$1,0),0)),0)</f>
        <v>0</v>
      </c>
      <c r="I721" s="5">
        <f>IFERROR(IF(J721&lt;&gt;"",J721,(IF(VLOOKUP($A721,#REF!,MATCH(#REF!,#REF!,0),0)=0,G721,VLOOKUP($A721,#REF!,MATCH(#REF!,#REF!,0),0)))),G721)</f>
        <v>0</v>
      </c>
      <c r="K721" s="6">
        <f>IFERROR(VLOOKUP($A721,#REF!,MATCH(#REF!,#REF!,0),0),0)</f>
        <v>0</v>
      </c>
      <c r="L721" s="6">
        <f>IFERROR(VLOOKUP($A721,[1]FINAL!$A$1:$BZ$1000,MATCH([1]FINAL!$BF$1,[1]FINAL!$A$1:$BZ$1,0),0),0)</f>
        <v>0</v>
      </c>
      <c r="M721" s="7">
        <f t="shared" si="57"/>
        <v>0</v>
      </c>
      <c r="N721" s="6">
        <f>IFERROR(VLOOKUP($A721,#REF!,MATCH(#REF!,#REF!,0),0),0)</f>
        <v>0</v>
      </c>
      <c r="O721" s="7">
        <f t="shared" si="58"/>
        <v>0</v>
      </c>
      <c r="P721" s="10" t="str">
        <f>IFERROR(VLOOKUP($A721,[1]FINAL!$A$1:$BZ$1000,MATCH([1]FINAL!$BB$1,[1]FINAL!$A$1:$BZ$1,0),0),"")</f>
        <v/>
      </c>
      <c r="Q721" s="18">
        <f t="shared" si="59"/>
        <v>1</v>
      </c>
    </row>
    <row r="722" spans="1:17" x14ac:dyDescent="0.25">
      <c r="A722" s="14">
        <f>[1]FINAL!$A720</f>
        <v>0</v>
      </c>
      <c r="B722" s="20" t="str">
        <f>IFERROR(VLOOKUP($A722,[1]FINAL!$A$1:$Z$1000,MATCH([1]FINAL!$T$1,[1]FINAL!$A$1:$Z$1,0),0),"")</f>
        <v/>
      </c>
      <c r="C722" s="3" t="str">
        <f>IFERROR(VLOOKUP($A722,[1]FINAL!$A$1:$Z$1000,MATCH([1]FINAL!$U$1,[1]FINAL!$A$1:$Z$1,0),0),"")</f>
        <v/>
      </c>
      <c r="D722" s="3" t="str">
        <f>IFERROR(VLOOKUP($A722,[1]FINAL!$A$1:$Z$1000,MATCH([1]FINAL!$V$1,[1]FINAL!$A$1:$Z$1,0),0),"")</f>
        <v/>
      </c>
      <c r="E722" s="6">
        <f t="shared" si="55"/>
        <v>0</v>
      </c>
      <c r="F722" s="5">
        <f t="shared" si="56"/>
        <v>0</v>
      </c>
      <c r="G722" s="5">
        <f>IFERROR(IF(H722&lt;&gt;"",H722,VLOOKUP($A722,[1]FINAL!$A$1:$BZ$1000,MATCH([1]FINAL!$BL$1,[1]FINAL!$A$1:$BZ$1,0),0)),0)</f>
        <v>0</v>
      </c>
      <c r="I722" s="5">
        <f>IFERROR(IF(J722&lt;&gt;"",J722,(IF(VLOOKUP($A722,#REF!,MATCH(#REF!,#REF!,0),0)=0,G722,VLOOKUP($A722,#REF!,MATCH(#REF!,#REF!,0),0)))),G722)</f>
        <v>0</v>
      </c>
      <c r="K722" s="6">
        <f>IFERROR(VLOOKUP($A722,#REF!,MATCH(#REF!,#REF!,0),0),0)</f>
        <v>0</v>
      </c>
      <c r="L722" s="6">
        <f>IFERROR(VLOOKUP($A722,[1]FINAL!$A$1:$BZ$1000,MATCH([1]FINAL!$BF$1,[1]FINAL!$A$1:$BZ$1,0),0),0)</f>
        <v>0</v>
      </c>
      <c r="M722" s="7">
        <f t="shared" si="57"/>
        <v>0</v>
      </c>
      <c r="N722" s="6">
        <f>IFERROR(VLOOKUP($A722,#REF!,MATCH(#REF!,#REF!,0),0),0)</f>
        <v>0</v>
      </c>
      <c r="O722" s="7">
        <f t="shared" si="58"/>
        <v>0</v>
      </c>
      <c r="P722" s="10" t="str">
        <f>IFERROR(VLOOKUP($A722,[1]FINAL!$A$1:$BZ$1000,MATCH([1]FINAL!$BB$1,[1]FINAL!$A$1:$BZ$1,0),0),"")</f>
        <v/>
      </c>
      <c r="Q722" s="18">
        <f t="shared" si="59"/>
        <v>1</v>
      </c>
    </row>
    <row r="723" spans="1:17" x14ac:dyDescent="0.25">
      <c r="A723" s="14">
        <f>[1]FINAL!$A721</f>
        <v>0</v>
      </c>
      <c r="B723" s="20" t="str">
        <f>IFERROR(VLOOKUP($A723,[1]FINAL!$A$1:$Z$1000,MATCH([1]FINAL!$T$1,[1]FINAL!$A$1:$Z$1,0),0),"")</f>
        <v/>
      </c>
      <c r="C723" s="3" t="str">
        <f>IFERROR(VLOOKUP($A723,[1]FINAL!$A$1:$Z$1000,MATCH([1]FINAL!$U$1,[1]FINAL!$A$1:$Z$1,0),0),"")</f>
        <v/>
      </c>
      <c r="D723" s="3" t="str">
        <f>IFERROR(VLOOKUP($A723,[1]FINAL!$A$1:$Z$1000,MATCH([1]FINAL!$V$1,[1]FINAL!$A$1:$Z$1,0),0),"")</f>
        <v/>
      </c>
      <c r="E723" s="6">
        <f t="shared" si="55"/>
        <v>0</v>
      </c>
      <c r="F723" s="5">
        <f t="shared" si="56"/>
        <v>0</v>
      </c>
      <c r="G723" s="5">
        <f>IFERROR(IF(H723&lt;&gt;"",H723,VLOOKUP($A723,[1]FINAL!$A$1:$BZ$1000,MATCH([1]FINAL!$BL$1,[1]FINAL!$A$1:$BZ$1,0),0)),0)</f>
        <v>0</v>
      </c>
      <c r="I723" s="5">
        <f>IFERROR(IF(J723&lt;&gt;"",J723,(IF(VLOOKUP($A723,#REF!,MATCH(#REF!,#REF!,0),0)=0,G723,VLOOKUP($A723,#REF!,MATCH(#REF!,#REF!,0),0)))),G723)</f>
        <v>0</v>
      </c>
      <c r="K723" s="6">
        <f>IFERROR(VLOOKUP($A723,#REF!,MATCH(#REF!,#REF!,0),0),0)</f>
        <v>0</v>
      </c>
      <c r="L723" s="6">
        <f>IFERROR(VLOOKUP($A723,[1]FINAL!$A$1:$BZ$1000,MATCH([1]FINAL!$BF$1,[1]FINAL!$A$1:$BZ$1,0),0),0)</f>
        <v>0</v>
      </c>
      <c r="M723" s="7">
        <f t="shared" si="57"/>
        <v>0</v>
      </c>
      <c r="N723" s="6">
        <f>IFERROR(VLOOKUP($A723,#REF!,MATCH(#REF!,#REF!,0),0),0)</f>
        <v>0</v>
      </c>
      <c r="O723" s="7">
        <f t="shared" si="58"/>
        <v>0</v>
      </c>
      <c r="P723" s="10" t="str">
        <f>IFERROR(VLOOKUP($A723,[1]FINAL!$A$1:$BZ$1000,MATCH([1]FINAL!$BB$1,[1]FINAL!$A$1:$BZ$1,0),0),"")</f>
        <v/>
      </c>
      <c r="Q723" s="18">
        <f t="shared" si="59"/>
        <v>1</v>
      </c>
    </row>
    <row r="724" spans="1:17" x14ac:dyDescent="0.25">
      <c r="A724" s="14">
        <f>[1]FINAL!$A722</f>
        <v>0</v>
      </c>
      <c r="B724" s="20" t="str">
        <f>IFERROR(VLOOKUP($A724,[1]FINAL!$A$1:$Z$1000,MATCH([1]FINAL!$T$1,[1]FINAL!$A$1:$Z$1,0),0),"")</f>
        <v/>
      </c>
      <c r="C724" s="3" t="str">
        <f>IFERROR(VLOOKUP($A724,[1]FINAL!$A$1:$Z$1000,MATCH([1]FINAL!$U$1,[1]FINAL!$A$1:$Z$1,0),0),"")</f>
        <v/>
      </c>
      <c r="D724" s="3" t="str">
        <f>IFERROR(VLOOKUP($A724,[1]FINAL!$A$1:$Z$1000,MATCH([1]FINAL!$V$1,[1]FINAL!$A$1:$Z$1,0),0),"")</f>
        <v/>
      </c>
      <c r="E724" s="6">
        <f t="shared" si="55"/>
        <v>0</v>
      </c>
      <c r="F724" s="5">
        <f t="shared" si="56"/>
        <v>0</v>
      </c>
      <c r="G724" s="5">
        <f>IFERROR(IF(H724&lt;&gt;"",H724,VLOOKUP($A724,[1]FINAL!$A$1:$BZ$1000,MATCH([1]FINAL!$BL$1,[1]FINAL!$A$1:$BZ$1,0),0)),0)</f>
        <v>0</v>
      </c>
      <c r="I724" s="5">
        <f>IFERROR(IF(J724&lt;&gt;"",J724,(IF(VLOOKUP($A724,#REF!,MATCH(#REF!,#REF!,0),0)=0,G724,VLOOKUP($A724,#REF!,MATCH(#REF!,#REF!,0),0)))),G724)</f>
        <v>0</v>
      </c>
      <c r="K724" s="6">
        <f>IFERROR(VLOOKUP($A724,#REF!,MATCH(#REF!,#REF!,0),0),0)</f>
        <v>0</v>
      </c>
      <c r="L724" s="6">
        <f>IFERROR(VLOOKUP($A724,[1]FINAL!$A$1:$BZ$1000,MATCH([1]FINAL!$BF$1,[1]FINAL!$A$1:$BZ$1,0),0),0)</f>
        <v>0</v>
      </c>
      <c r="M724" s="7">
        <f t="shared" si="57"/>
        <v>0</v>
      </c>
      <c r="N724" s="6">
        <f>IFERROR(VLOOKUP($A724,#REF!,MATCH(#REF!,#REF!,0),0),0)</f>
        <v>0</v>
      </c>
      <c r="O724" s="7">
        <f t="shared" si="58"/>
        <v>0</v>
      </c>
      <c r="P724" s="10" t="str">
        <f>IFERROR(VLOOKUP($A724,[1]FINAL!$A$1:$BZ$1000,MATCH([1]FINAL!$BB$1,[1]FINAL!$A$1:$BZ$1,0),0),"")</f>
        <v/>
      </c>
      <c r="Q724" s="18">
        <f t="shared" si="59"/>
        <v>1</v>
      </c>
    </row>
    <row r="725" spans="1:17" x14ac:dyDescent="0.25">
      <c r="A725" s="14">
        <f>[1]FINAL!$A723</f>
        <v>0</v>
      </c>
      <c r="B725" s="20" t="str">
        <f>IFERROR(VLOOKUP($A725,[1]FINAL!$A$1:$Z$1000,MATCH([1]FINAL!$T$1,[1]FINAL!$A$1:$Z$1,0),0),"")</f>
        <v/>
      </c>
      <c r="C725" s="3" t="str">
        <f>IFERROR(VLOOKUP($A725,[1]FINAL!$A$1:$Z$1000,MATCH([1]FINAL!$U$1,[1]FINAL!$A$1:$Z$1,0),0),"")</f>
        <v/>
      </c>
      <c r="D725" s="3" t="str">
        <f>IFERROR(VLOOKUP($A725,[1]FINAL!$A$1:$Z$1000,MATCH([1]FINAL!$V$1,[1]FINAL!$A$1:$Z$1,0),0),"")</f>
        <v/>
      </c>
      <c r="E725" s="6">
        <f t="shared" si="55"/>
        <v>0</v>
      </c>
      <c r="F725" s="5">
        <f t="shared" si="56"/>
        <v>0</v>
      </c>
      <c r="G725" s="5">
        <f>IFERROR(IF(H725&lt;&gt;"",H725,VLOOKUP($A725,[1]FINAL!$A$1:$BZ$1000,MATCH([1]FINAL!$BL$1,[1]FINAL!$A$1:$BZ$1,0),0)),0)</f>
        <v>0</v>
      </c>
      <c r="I725" s="5">
        <f>IFERROR(IF(J725&lt;&gt;"",J725,(IF(VLOOKUP($A725,#REF!,MATCH(#REF!,#REF!,0),0)=0,G725,VLOOKUP($A725,#REF!,MATCH(#REF!,#REF!,0),0)))),G725)</f>
        <v>0</v>
      </c>
      <c r="K725" s="6">
        <f>IFERROR(VLOOKUP($A725,#REF!,MATCH(#REF!,#REF!,0),0),0)</f>
        <v>0</v>
      </c>
      <c r="L725" s="6">
        <f>IFERROR(VLOOKUP($A725,[1]FINAL!$A$1:$BZ$1000,MATCH([1]FINAL!$BF$1,[1]FINAL!$A$1:$BZ$1,0),0),0)</f>
        <v>0</v>
      </c>
      <c r="M725" s="7">
        <f t="shared" si="57"/>
        <v>0</v>
      </c>
      <c r="N725" s="6">
        <f>IFERROR(VLOOKUP($A725,#REF!,MATCH(#REF!,#REF!,0),0),0)</f>
        <v>0</v>
      </c>
      <c r="O725" s="7">
        <f t="shared" si="58"/>
        <v>0</v>
      </c>
      <c r="P725" s="10" t="str">
        <f>IFERROR(VLOOKUP($A725,[1]FINAL!$A$1:$BZ$1000,MATCH([1]FINAL!$BB$1,[1]FINAL!$A$1:$BZ$1,0),0),"")</f>
        <v/>
      </c>
      <c r="Q725" s="18">
        <f t="shared" si="59"/>
        <v>1</v>
      </c>
    </row>
    <row r="726" spans="1:17" x14ac:dyDescent="0.25">
      <c r="A726" s="14">
        <f>[1]FINAL!$A724</f>
        <v>0</v>
      </c>
      <c r="B726" s="20" t="str">
        <f>IFERROR(VLOOKUP($A726,[1]FINAL!$A$1:$Z$1000,MATCH([1]FINAL!$T$1,[1]FINAL!$A$1:$Z$1,0),0),"")</f>
        <v/>
      </c>
      <c r="C726" s="3" t="str">
        <f>IFERROR(VLOOKUP($A726,[1]FINAL!$A$1:$Z$1000,MATCH([1]FINAL!$U$1,[1]FINAL!$A$1:$Z$1,0),0),"")</f>
        <v/>
      </c>
      <c r="D726" s="3" t="str">
        <f>IFERROR(VLOOKUP($A726,[1]FINAL!$A$1:$Z$1000,MATCH([1]FINAL!$V$1,[1]FINAL!$A$1:$Z$1,0),0),"")</f>
        <v/>
      </c>
      <c r="E726" s="6">
        <f t="shared" si="55"/>
        <v>0</v>
      </c>
      <c r="F726" s="5">
        <f t="shared" si="56"/>
        <v>0</v>
      </c>
      <c r="G726" s="5">
        <f>IFERROR(IF(H726&lt;&gt;"",H726,VLOOKUP($A726,[1]FINAL!$A$1:$BZ$1000,MATCH([1]FINAL!$BL$1,[1]FINAL!$A$1:$BZ$1,0),0)),0)</f>
        <v>0</v>
      </c>
      <c r="I726" s="5">
        <f>IFERROR(IF(J726&lt;&gt;"",J726,(IF(VLOOKUP($A726,#REF!,MATCH(#REF!,#REF!,0),0)=0,G726,VLOOKUP($A726,#REF!,MATCH(#REF!,#REF!,0),0)))),G726)</f>
        <v>0</v>
      </c>
      <c r="K726" s="6">
        <f>IFERROR(VLOOKUP($A726,#REF!,MATCH(#REF!,#REF!,0),0),0)</f>
        <v>0</v>
      </c>
      <c r="L726" s="6">
        <f>IFERROR(VLOOKUP($A726,[1]FINAL!$A$1:$BZ$1000,MATCH([1]FINAL!$BF$1,[1]FINAL!$A$1:$BZ$1,0),0),0)</f>
        <v>0</v>
      </c>
      <c r="M726" s="7">
        <f t="shared" si="57"/>
        <v>0</v>
      </c>
      <c r="N726" s="6">
        <f>IFERROR(VLOOKUP($A726,#REF!,MATCH(#REF!,#REF!,0),0),0)</f>
        <v>0</v>
      </c>
      <c r="O726" s="7">
        <f t="shared" si="58"/>
        <v>0</v>
      </c>
      <c r="P726" s="10" t="str">
        <f>IFERROR(VLOOKUP($A726,[1]FINAL!$A$1:$BZ$1000,MATCH([1]FINAL!$BB$1,[1]FINAL!$A$1:$BZ$1,0),0),"")</f>
        <v/>
      </c>
      <c r="Q726" s="18">
        <f t="shared" si="59"/>
        <v>1</v>
      </c>
    </row>
    <row r="727" spans="1:17" x14ac:dyDescent="0.25">
      <c r="A727" s="14">
        <f>[1]FINAL!$A725</f>
        <v>0</v>
      </c>
      <c r="B727" s="20" t="str">
        <f>IFERROR(VLOOKUP($A727,[1]FINAL!$A$1:$Z$1000,MATCH([1]FINAL!$T$1,[1]FINAL!$A$1:$Z$1,0),0),"")</f>
        <v/>
      </c>
      <c r="C727" s="3" t="str">
        <f>IFERROR(VLOOKUP($A727,[1]FINAL!$A$1:$Z$1000,MATCH([1]FINAL!$U$1,[1]FINAL!$A$1:$Z$1,0),0),"")</f>
        <v/>
      </c>
      <c r="D727" s="3" t="str">
        <f>IFERROR(VLOOKUP($A727,[1]FINAL!$A$1:$Z$1000,MATCH([1]FINAL!$V$1,[1]FINAL!$A$1:$Z$1,0),0),"")</f>
        <v/>
      </c>
      <c r="E727" s="6">
        <f t="shared" si="55"/>
        <v>0</v>
      </c>
      <c r="F727" s="5">
        <f t="shared" si="56"/>
        <v>0</v>
      </c>
      <c r="G727" s="5">
        <f>IFERROR(IF(H727&lt;&gt;"",H727,VLOOKUP($A727,[1]FINAL!$A$1:$BZ$1000,MATCH([1]FINAL!$BL$1,[1]FINAL!$A$1:$BZ$1,0),0)),0)</f>
        <v>0</v>
      </c>
      <c r="I727" s="5">
        <f>IFERROR(IF(J727&lt;&gt;"",J727,(IF(VLOOKUP($A727,#REF!,MATCH(#REF!,#REF!,0),0)=0,G727,VLOOKUP($A727,#REF!,MATCH(#REF!,#REF!,0),0)))),G727)</f>
        <v>0</v>
      </c>
      <c r="K727" s="6">
        <f>IFERROR(VLOOKUP($A727,#REF!,MATCH(#REF!,#REF!,0),0),0)</f>
        <v>0</v>
      </c>
      <c r="L727" s="6">
        <f>IFERROR(VLOOKUP($A727,[1]FINAL!$A$1:$BZ$1000,MATCH([1]FINAL!$BF$1,[1]FINAL!$A$1:$BZ$1,0),0),0)</f>
        <v>0</v>
      </c>
      <c r="M727" s="7">
        <f t="shared" si="57"/>
        <v>0</v>
      </c>
      <c r="N727" s="6">
        <f>IFERROR(VLOOKUP($A727,#REF!,MATCH(#REF!,#REF!,0),0),0)</f>
        <v>0</v>
      </c>
      <c r="O727" s="7">
        <f t="shared" si="58"/>
        <v>0</v>
      </c>
      <c r="P727" s="10" t="str">
        <f>IFERROR(VLOOKUP($A727,[1]FINAL!$A$1:$BZ$1000,MATCH([1]FINAL!$BB$1,[1]FINAL!$A$1:$BZ$1,0),0),"")</f>
        <v/>
      </c>
      <c r="Q727" s="18">
        <f t="shared" si="59"/>
        <v>1</v>
      </c>
    </row>
    <row r="728" spans="1:17" x14ac:dyDescent="0.25">
      <c r="A728" s="14">
        <f>[1]FINAL!$A726</f>
        <v>0</v>
      </c>
      <c r="B728" s="20" t="str">
        <f>IFERROR(VLOOKUP($A728,[1]FINAL!$A$1:$Z$1000,MATCH([1]FINAL!$T$1,[1]FINAL!$A$1:$Z$1,0),0),"")</f>
        <v/>
      </c>
      <c r="C728" s="3" t="str">
        <f>IFERROR(VLOOKUP($A728,[1]FINAL!$A$1:$Z$1000,MATCH([1]FINAL!$U$1,[1]FINAL!$A$1:$Z$1,0),0),"")</f>
        <v/>
      </c>
      <c r="D728" s="3" t="str">
        <f>IFERROR(VLOOKUP($A728,[1]FINAL!$A$1:$Z$1000,MATCH([1]FINAL!$V$1,[1]FINAL!$A$1:$Z$1,0),0),"")</f>
        <v/>
      </c>
      <c r="E728" s="6">
        <f t="shared" si="55"/>
        <v>0</v>
      </c>
      <c r="F728" s="5">
        <f t="shared" si="56"/>
        <v>0</v>
      </c>
      <c r="G728" s="5">
        <f>IFERROR(IF(H728&lt;&gt;"",H728,VLOOKUP($A728,[1]FINAL!$A$1:$BZ$1000,MATCH([1]FINAL!$BL$1,[1]FINAL!$A$1:$BZ$1,0),0)),0)</f>
        <v>0</v>
      </c>
      <c r="I728" s="5">
        <f>IFERROR(IF(J728&lt;&gt;"",J728,(IF(VLOOKUP($A728,#REF!,MATCH(#REF!,#REF!,0),0)=0,G728,VLOOKUP($A728,#REF!,MATCH(#REF!,#REF!,0),0)))),G728)</f>
        <v>0</v>
      </c>
      <c r="K728" s="6">
        <f>IFERROR(VLOOKUP($A728,#REF!,MATCH(#REF!,#REF!,0),0),0)</f>
        <v>0</v>
      </c>
      <c r="L728" s="6">
        <f>IFERROR(VLOOKUP($A728,[1]FINAL!$A$1:$BZ$1000,MATCH([1]FINAL!$BF$1,[1]FINAL!$A$1:$BZ$1,0),0),0)</f>
        <v>0</v>
      </c>
      <c r="M728" s="7">
        <f t="shared" si="57"/>
        <v>0</v>
      </c>
      <c r="N728" s="6">
        <f>IFERROR(VLOOKUP($A728,#REF!,MATCH(#REF!,#REF!,0),0),0)</f>
        <v>0</v>
      </c>
      <c r="O728" s="7">
        <f t="shared" si="58"/>
        <v>0</v>
      </c>
      <c r="P728" s="10" t="str">
        <f>IFERROR(VLOOKUP($A728,[1]FINAL!$A$1:$BZ$1000,MATCH([1]FINAL!$BB$1,[1]FINAL!$A$1:$BZ$1,0),0),"")</f>
        <v/>
      </c>
      <c r="Q728" s="18">
        <f t="shared" si="59"/>
        <v>1</v>
      </c>
    </row>
    <row r="729" spans="1:17" x14ac:dyDescent="0.25">
      <c r="A729" s="14">
        <f>[1]FINAL!$A727</f>
        <v>0</v>
      </c>
      <c r="B729" s="20" t="str">
        <f>IFERROR(VLOOKUP($A729,[1]FINAL!$A$1:$Z$1000,MATCH([1]FINAL!$T$1,[1]FINAL!$A$1:$Z$1,0),0),"")</f>
        <v/>
      </c>
      <c r="C729" s="3" t="str">
        <f>IFERROR(VLOOKUP($A729,[1]FINAL!$A$1:$Z$1000,MATCH([1]FINAL!$U$1,[1]FINAL!$A$1:$Z$1,0),0),"")</f>
        <v/>
      </c>
      <c r="D729" s="3" t="str">
        <f>IFERROR(VLOOKUP($A729,[1]FINAL!$A$1:$Z$1000,MATCH([1]FINAL!$V$1,[1]FINAL!$A$1:$Z$1,0),0),"")</f>
        <v/>
      </c>
      <c r="E729" s="6">
        <f t="shared" si="55"/>
        <v>0</v>
      </c>
      <c r="F729" s="5">
        <f t="shared" si="56"/>
        <v>0</v>
      </c>
      <c r="G729" s="5">
        <f>IFERROR(IF(H729&lt;&gt;"",H729,VLOOKUP($A729,[1]FINAL!$A$1:$BZ$1000,MATCH([1]FINAL!$BL$1,[1]FINAL!$A$1:$BZ$1,0),0)),0)</f>
        <v>0</v>
      </c>
      <c r="I729" s="5">
        <f>IFERROR(IF(J729&lt;&gt;"",J729,(IF(VLOOKUP($A729,#REF!,MATCH(#REF!,#REF!,0),0)=0,G729,VLOOKUP($A729,#REF!,MATCH(#REF!,#REF!,0),0)))),G729)</f>
        <v>0</v>
      </c>
      <c r="K729" s="6">
        <f>IFERROR(VLOOKUP($A729,#REF!,MATCH(#REF!,#REF!,0),0),0)</f>
        <v>0</v>
      </c>
      <c r="L729" s="6">
        <f>IFERROR(VLOOKUP($A729,[1]FINAL!$A$1:$BZ$1000,MATCH([1]FINAL!$BF$1,[1]FINAL!$A$1:$BZ$1,0),0),0)</f>
        <v>0</v>
      </c>
      <c r="M729" s="7">
        <f t="shared" si="57"/>
        <v>0</v>
      </c>
      <c r="N729" s="6">
        <f>IFERROR(VLOOKUP($A729,#REF!,MATCH(#REF!,#REF!,0),0),0)</f>
        <v>0</v>
      </c>
      <c r="O729" s="7">
        <f t="shared" si="58"/>
        <v>0</v>
      </c>
      <c r="P729" s="10" t="str">
        <f>IFERROR(VLOOKUP($A729,[1]FINAL!$A$1:$BZ$1000,MATCH([1]FINAL!$BB$1,[1]FINAL!$A$1:$BZ$1,0),0),"")</f>
        <v/>
      </c>
      <c r="Q729" s="18">
        <f t="shared" si="59"/>
        <v>1</v>
      </c>
    </row>
    <row r="730" spans="1:17" x14ac:dyDescent="0.25">
      <c r="A730" s="14">
        <f>[1]FINAL!$A728</f>
        <v>0</v>
      </c>
      <c r="B730" s="20" t="str">
        <f>IFERROR(VLOOKUP($A730,[1]FINAL!$A$1:$Z$1000,MATCH([1]FINAL!$T$1,[1]FINAL!$A$1:$Z$1,0),0),"")</f>
        <v/>
      </c>
      <c r="C730" s="3" t="str">
        <f>IFERROR(VLOOKUP($A730,[1]FINAL!$A$1:$Z$1000,MATCH([1]FINAL!$U$1,[1]FINAL!$A$1:$Z$1,0),0),"")</f>
        <v/>
      </c>
      <c r="D730" s="3" t="str">
        <f>IFERROR(VLOOKUP($A730,[1]FINAL!$A$1:$Z$1000,MATCH([1]FINAL!$V$1,[1]FINAL!$A$1:$Z$1,0),0),"")</f>
        <v/>
      </c>
      <c r="E730" s="6">
        <f t="shared" si="55"/>
        <v>0</v>
      </c>
      <c r="F730" s="5">
        <f t="shared" si="56"/>
        <v>0</v>
      </c>
      <c r="G730" s="5">
        <f>IFERROR(IF(H730&lt;&gt;"",H730,VLOOKUP($A730,[1]FINAL!$A$1:$BZ$1000,MATCH([1]FINAL!$BL$1,[1]FINAL!$A$1:$BZ$1,0),0)),0)</f>
        <v>0</v>
      </c>
      <c r="I730" s="5">
        <f>IFERROR(IF(J730&lt;&gt;"",J730,(IF(VLOOKUP($A730,#REF!,MATCH(#REF!,#REF!,0),0)=0,G730,VLOOKUP($A730,#REF!,MATCH(#REF!,#REF!,0),0)))),G730)</f>
        <v>0</v>
      </c>
      <c r="K730" s="6">
        <f>IFERROR(VLOOKUP($A730,#REF!,MATCH(#REF!,#REF!,0),0),0)</f>
        <v>0</v>
      </c>
      <c r="L730" s="6">
        <f>IFERROR(VLOOKUP($A730,[1]FINAL!$A$1:$BZ$1000,MATCH([1]FINAL!$BF$1,[1]FINAL!$A$1:$BZ$1,0),0),0)</f>
        <v>0</v>
      </c>
      <c r="M730" s="7">
        <f t="shared" si="57"/>
        <v>0</v>
      </c>
      <c r="N730" s="6">
        <f>IFERROR(VLOOKUP($A730,#REF!,MATCH(#REF!,#REF!,0),0),0)</f>
        <v>0</v>
      </c>
      <c r="O730" s="7">
        <f t="shared" si="58"/>
        <v>0</v>
      </c>
      <c r="P730" s="10" t="str">
        <f>IFERROR(VLOOKUP($A730,[1]FINAL!$A$1:$BZ$1000,MATCH([1]FINAL!$BB$1,[1]FINAL!$A$1:$BZ$1,0),0),"")</f>
        <v/>
      </c>
      <c r="Q730" s="18">
        <f t="shared" si="59"/>
        <v>1</v>
      </c>
    </row>
    <row r="731" spans="1:17" x14ac:dyDescent="0.25">
      <c r="A731" s="14">
        <f>[1]FINAL!$A729</f>
        <v>0</v>
      </c>
      <c r="B731" s="20" t="str">
        <f>IFERROR(VLOOKUP($A731,[1]FINAL!$A$1:$Z$1000,MATCH([1]FINAL!$T$1,[1]FINAL!$A$1:$Z$1,0),0),"")</f>
        <v/>
      </c>
      <c r="C731" s="3" t="str">
        <f>IFERROR(VLOOKUP($A731,[1]FINAL!$A$1:$Z$1000,MATCH([1]FINAL!$U$1,[1]FINAL!$A$1:$Z$1,0),0),"")</f>
        <v/>
      </c>
      <c r="D731" s="3" t="str">
        <f>IFERROR(VLOOKUP($A731,[1]FINAL!$A$1:$Z$1000,MATCH([1]FINAL!$V$1,[1]FINAL!$A$1:$Z$1,0),0),"")</f>
        <v/>
      </c>
      <c r="E731" s="6">
        <f t="shared" si="55"/>
        <v>0</v>
      </c>
      <c r="F731" s="5">
        <f t="shared" si="56"/>
        <v>0</v>
      </c>
      <c r="G731" s="5">
        <f>IFERROR(IF(H731&lt;&gt;"",H731,VLOOKUP($A731,[1]FINAL!$A$1:$BZ$1000,MATCH([1]FINAL!$BL$1,[1]FINAL!$A$1:$BZ$1,0),0)),0)</f>
        <v>0</v>
      </c>
      <c r="I731" s="5">
        <f>IFERROR(IF(J731&lt;&gt;"",J731,(IF(VLOOKUP($A731,#REF!,MATCH(#REF!,#REF!,0),0)=0,G731,VLOOKUP($A731,#REF!,MATCH(#REF!,#REF!,0),0)))),G731)</f>
        <v>0</v>
      </c>
      <c r="K731" s="6">
        <f>IFERROR(VLOOKUP($A731,#REF!,MATCH(#REF!,#REF!,0),0),0)</f>
        <v>0</v>
      </c>
      <c r="L731" s="6">
        <f>IFERROR(VLOOKUP($A731,[1]FINAL!$A$1:$BZ$1000,MATCH([1]FINAL!$BF$1,[1]FINAL!$A$1:$BZ$1,0),0),0)</f>
        <v>0</v>
      </c>
      <c r="M731" s="7">
        <f t="shared" si="57"/>
        <v>0</v>
      </c>
      <c r="N731" s="6">
        <f>IFERROR(VLOOKUP($A731,#REF!,MATCH(#REF!,#REF!,0),0),0)</f>
        <v>0</v>
      </c>
      <c r="O731" s="7">
        <f t="shared" si="58"/>
        <v>0</v>
      </c>
      <c r="P731" s="10" t="str">
        <f>IFERROR(VLOOKUP($A731,[1]FINAL!$A$1:$BZ$1000,MATCH([1]FINAL!$BB$1,[1]FINAL!$A$1:$BZ$1,0),0),"")</f>
        <v/>
      </c>
      <c r="Q731" s="18">
        <f t="shared" si="59"/>
        <v>1</v>
      </c>
    </row>
    <row r="732" spans="1:17" x14ac:dyDescent="0.25">
      <c r="A732" s="14">
        <f>[1]FINAL!$A730</f>
        <v>0</v>
      </c>
      <c r="B732" s="20" t="str">
        <f>IFERROR(VLOOKUP($A732,[1]FINAL!$A$1:$Z$1000,MATCH([1]FINAL!$T$1,[1]FINAL!$A$1:$Z$1,0),0),"")</f>
        <v/>
      </c>
      <c r="C732" s="3" t="str">
        <f>IFERROR(VLOOKUP($A732,[1]FINAL!$A$1:$Z$1000,MATCH([1]FINAL!$U$1,[1]FINAL!$A$1:$Z$1,0),0),"")</f>
        <v/>
      </c>
      <c r="D732" s="3" t="str">
        <f>IFERROR(VLOOKUP($A732,[1]FINAL!$A$1:$Z$1000,MATCH([1]FINAL!$V$1,[1]FINAL!$A$1:$Z$1,0),0),"")</f>
        <v/>
      </c>
      <c r="E732" s="6">
        <f t="shared" si="55"/>
        <v>0</v>
      </c>
      <c r="F732" s="5">
        <f t="shared" si="56"/>
        <v>0</v>
      </c>
      <c r="G732" s="5">
        <f>IFERROR(IF(H732&lt;&gt;"",H732,VLOOKUP($A732,[1]FINAL!$A$1:$BZ$1000,MATCH([1]FINAL!$BL$1,[1]FINAL!$A$1:$BZ$1,0),0)),0)</f>
        <v>0</v>
      </c>
      <c r="I732" s="5">
        <f>IFERROR(IF(J732&lt;&gt;"",J732,(IF(VLOOKUP($A732,#REF!,MATCH(#REF!,#REF!,0),0)=0,G732,VLOOKUP($A732,#REF!,MATCH(#REF!,#REF!,0),0)))),G732)</f>
        <v>0</v>
      </c>
      <c r="K732" s="6">
        <f>IFERROR(VLOOKUP($A732,#REF!,MATCH(#REF!,#REF!,0),0),0)</f>
        <v>0</v>
      </c>
      <c r="L732" s="6">
        <f>IFERROR(VLOOKUP($A732,[1]FINAL!$A$1:$BZ$1000,MATCH([1]FINAL!$BF$1,[1]FINAL!$A$1:$BZ$1,0),0),0)</f>
        <v>0</v>
      </c>
      <c r="M732" s="7">
        <f t="shared" si="57"/>
        <v>0</v>
      </c>
      <c r="N732" s="6">
        <f>IFERROR(VLOOKUP($A732,#REF!,MATCH(#REF!,#REF!,0),0),0)</f>
        <v>0</v>
      </c>
      <c r="O732" s="7">
        <f t="shared" si="58"/>
        <v>0</v>
      </c>
      <c r="P732" s="10" t="str">
        <f>IFERROR(VLOOKUP($A732,[1]FINAL!$A$1:$BZ$1000,MATCH([1]FINAL!$BB$1,[1]FINAL!$A$1:$BZ$1,0),0),"")</f>
        <v/>
      </c>
      <c r="Q732" s="18">
        <f t="shared" si="59"/>
        <v>1</v>
      </c>
    </row>
    <row r="733" spans="1:17" x14ac:dyDescent="0.25">
      <c r="A733" s="14">
        <f>[1]FINAL!$A731</f>
        <v>0</v>
      </c>
      <c r="B733" s="20" t="str">
        <f>IFERROR(VLOOKUP($A733,[1]FINAL!$A$1:$Z$1000,MATCH([1]FINAL!$T$1,[1]FINAL!$A$1:$Z$1,0),0),"")</f>
        <v/>
      </c>
      <c r="C733" s="3" t="str">
        <f>IFERROR(VLOOKUP($A733,[1]FINAL!$A$1:$Z$1000,MATCH([1]FINAL!$U$1,[1]FINAL!$A$1:$Z$1,0),0),"")</f>
        <v/>
      </c>
      <c r="D733" s="3" t="str">
        <f>IFERROR(VLOOKUP($A733,[1]FINAL!$A$1:$Z$1000,MATCH([1]FINAL!$V$1,[1]FINAL!$A$1:$Z$1,0),0),"")</f>
        <v/>
      </c>
      <c r="E733" s="6">
        <f t="shared" si="55"/>
        <v>0</v>
      </c>
      <c r="F733" s="5">
        <f t="shared" si="56"/>
        <v>0</v>
      </c>
      <c r="G733" s="5">
        <f>IFERROR(IF(H733&lt;&gt;"",H733,VLOOKUP($A733,[1]FINAL!$A$1:$BZ$1000,MATCH([1]FINAL!$BL$1,[1]FINAL!$A$1:$BZ$1,0),0)),0)</f>
        <v>0</v>
      </c>
      <c r="I733" s="5">
        <f>IFERROR(IF(J733&lt;&gt;"",J733,(IF(VLOOKUP($A733,#REF!,MATCH(#REF!,#REF!,0),0)=0,G733,VLOOKUP($A733,#REF!,MATCH(#REF!,#REF!,0),0)))),G733)</f>
        <v>0</v>
      </c>
      <c r="K733" s="6">
        <f>IFERROR(VLOOKUP($A733,#REF!,MATCH(#REF!,#REF!,0),0),0)</f>
        <v>0</v>
      </c>
      <c r="L733" s="6">
        <f>IFERROR(VLOOKUP($A733,[1]FINAL!$A$1:$BZ$1000,MATCH([1]FINAL!$BF$1,[1]FINAL!$A$1:$BZ$1,0),0),0)</f>
        <v>0</v>
      </c>
      <c r="M733" s="7">
        <f t="shared" si="57"/>
        <v>0</v>
      </c>
      <c r="N733" s="6">
        <f>IFERROR(VLOOKUP($A733,#REF!,MATCH(#REF!,#REF!,0),0),0)</f>
        <v>0</v>
      </c>
      <c r="O733" s="7">
        <f t="shared" si="58"/>
        <v>0</v>
      </c>
      <c r="P733" s="10" t="str">
        <f>IFERROR(VLOOKUP($A733,[1]FINAL!$A$1:$BZ$1000,MATCH([1]FINAL!$BB$1,[1]FINAL!$A$1:$BZ$1,0),0),"")</f>
        <v/>
      </c>
      <c r="Q733" s="18">
        <f t="shared" si="59"/>
        <v>1</v>
      </c>
    </row>
    <row r="734" spans="1:17" x14ac:dyDescent="0.25">
      <c r="A734" s="14">
        <f>[1]FINAL!$A732</f>
        <v>0</v>
      </c>
      <c r="B734" s="20" t="str">
        <f>IFERROR(VLOOKUP($A734,[1]FINAL!$A$1:$Z$1000,MATCH([1]FINAL!$T$1,[1]FINAL!$A$1:$Z$1,0),0),"")</f>
        <v/>
      </c>
      <c r="C734" s="3" t="str">
        <f>IFERROR(VLOOKUP($A734,[1]FINAL!$A$1:$Z$1000,MATCH([1]FINAL!$U$1,[1]FINAL!$A$1:$Z$1,0),0),"")</f>
        <v/>
      </c>
      <c r="D734" s="3" t="str">
        <f>IFERROR(VLOOKUP($A734,[1]FINAL!$A$1:$Z$1000,MATCH([1]FINAL!$V$1,[1]FINAL!$A$1:$Z$1,0),0),"")</f>
        <v/>
      </c>
      <c r="E734" s="6">
        <f t="shared" si="55"/>
        <v>0</v>
      </c>
      <c r="F734" s="5">
        <f t="shared" si="56"/>
        <v>0</v>
      </c>
      <c r="G734" s="5">
        <f>IFERROR(IF(H734&lt;&gt;"",H734,VLOOKUP($A734,[1]FINAL!$A$1:$BZ$1000,MATCH([1]FINAL!$BL$1,[1]FINAL!$A$1:$BZ$1,0),0)),0)</f>
        <v>0</v>
      </c>
      <c r="I734" s="5">
        <f>IFERROR(IF(J734&lt;&gt;"",J734,(IF(VLOOKUP($A734,#REF!,MATCH(#REF!,#REF!,0),0)=0,G734,VLOOKUP($A734,#REF!,MATCH(#REF!,#REF!,0),0)))),G734)</f>
        <v>0</v>
      </c>
      <c r="K734" s="6">
        <f>IFERROR(VLOOKUP($A734,#REF!,MATCH(#REF!,#REF!,0),0),0)</f>
        <v>0</v>
      </c>
      <c r="L734" s="6">
        <f>IFERROR(VLOOKUP($A734,[1]FINAL!$A$1:$BZ$1000,MATCH([1]FINAL!$BF$1,[1]FINAL!$A$1:$BZ$1,0),0),0)</f>
        <v>0</v>
      </c>
      <c r="M734" s="7">
        <f t="shared" si="57"/>
        <v>0</v>
      </c>
      <c r="N734" s="6">
        <f>IFERROR(VLOOKUP($A734,#REF!,MATCH(#REF!,#REF!,0),0),0)</f>
        <v>0</v>
      </c>
      <c r="O734" s="7">
        <f t="shared" si="58"/>
        <v>0</v>
      </c>
      <c r="P734" s="10" t="str">
        <f>IFERROR(VLOOKUP($A734,[1]FINAL!$A$1:$BZ$1000,MATCH([1]FINAL!$BB$1,[1]FINAL!$A$1:$BZ$1,0),0),"")</f>
        <v/>
      </c>
      <c r="Q734" s="18">
        <f t="shared" si="59"/>
        <v>1</v>
      </c>
    </row>
    <row r="735" spans="1:17" x14ac:dyDescent="0.25">
      <c r="A735" s="14">
        <f>[1]FINAL!$A733</f>
        <v>0</v>
      </c>
      <c r="B735" s="20" t="str">
        <f>IFERROR(VLOOKUP($A735,[1]FINAL!$A$1:$Z$1000,MATCH([1]FINAL!$T$1,[1]FINAL!$A$1:$Z$1,0),0),"")</f>
        <v/>
      </c>
      <c r="C735" s="3" t="str">
        <f>IFERROR(VLOOKUP($A735,[1]FINAL!$A$1:$Z$1000,MATCH([1]FINAL!$U$1,[1]FINAL!$A$1:$Z$1,0),0),"")</f>
        <v/>
      </c>
      <c r="D735" s="3" t="str">
        <f>IFERROR(VLOOKUP($A735,[1]FINAL!$A$1:$Z$1000,MATCH([1]FINAL!$V$1,[1]FINAL!$A$1:$Z$1,0),0),"")</f>
        <v/>
      </c>
      <c r="E735" s="6">
        <f t="shared" si="55"/>
        <v>0</v>
      </c>
      <c r="F735" s="5">
        <f t="shared" si="56"/>
        <v>0</v>
      </c>
      <c r="G735" s="5">
        <f>IFERROR(IF(H735&lt;&gt;"",H735,VLOOKUP($A735,[1]FINAL!$A$1:$BZ$1000,MATCH([1]FINAL!$BL$1,[1]FINAL!$A$1:$BZ$1,0),0)),0)</f>
        <v>0</v>
      </c>
      <c r="I735" s="5">
        <f>IFERROR(IF(J735&lt;&gt;"",J735,(IF(VLOOKUP($A735,#REF!,MATCH(#REF!,#REF!,0),0)=0,G735,VLOOKUP($A735,#REF!,MATCH(#REF!,#REF!,0),0)))),G735)</f>
        <v>0</v>
      </c>
      <c r="K735" s="6">
        <f>IFERROR(VLOOKUP($A735,#REF!,MATCH(#REF!,#REF!,0),0),0)</f>
        <v>0</v>
      </c>
      <c r="L735" s="6">
        <f>IFERROR(VLOOKUP($A735,[1]FINAL!$A$1:$BZ$1000,MATCH([1]FINAL!$BF$1,[1]FINAL!$A$1:$BZ$1,0),0),0)</f>
        <v>0</v>
      </c>
      <c r="M735" s="7">
        <f t="shared" si="57"/>
        <v>0</v>
      </c>
      <c r="N735" s="6">
        <f>IFERROR(VLOOKUP($A735,#REF!,MATCH(#REF!,#REF!,0),0),0)</f>
        <v>0</v>
      </c>
      <c r="O735" s="7">
        <f t="shared" si="58"/>
        <v>0</v>
      </c>
      <c r="P735" s="10" t="str">
        <f>IFERROR(VLOOKUP($A735,[1]FINAL!$A$1:$BZ$1000,MATCH([1]FINAL!$BB$1,[1]FINAL!$A$1:$BZ$1,0),0),"")</f>
        <v/>
      </c>
      <c r="Q735" s="18">
        <f t="shared" si="59"/>
        <v>1</v>
      </c>
    </row>
    <row r="736" spans="1:17" x14ac:dyDescent="0.25">
      <c r="A736" s="14">
        <f>[1]FINAL!$A734</f>
        <v>0</v>
      </c>
      <c r="B736" s="20" t="str">
        <f>IFERROR(VLOOKUP($A736,[1]FINAL!$A$1:$Z$1000,MATCH([1]FINAL!$T$1,[1]FINAL!$A$1:$Z$1,0),0),"")</f>
        <v/>
      </c>
      <c r="C736" s="3" t="str">
        <f>IFERROR(VLOOKUP($A736,[1]FINAL!$A$1:$Z$1000,MATCH([1]FINAL!$U$1,[1]FINAL!$A$1:$Z$1,0),0),"")</f>
        <v/>
      </c>
      <c r="D736" s="3" t="str">
        <f>IFERROR(VLOOKUP($A736,[1]FINAL!$A$1:$Z$1000,MATCH([1]FINAL!$V$1,[1]FINAL!$A$1:$Z$1,0),0),"")</f>
        <v/>
      </c>
      <c r="E736" s="6">
        <f t="shared" si="55"/>
        <v>0</v>
      </c>
      <c r="F736" s="5">
        <f t="shared" si="56"/>
        <v>0</v>
      </c>
      <c r="G736" s="5">
        <f>IFERROR(IF(H736&lt;&gt;"",H736,VLOOKUP($A736,[1]FINAL!$A$1:$BZ$1000,MATCH([1]FINAL!$BL$1,[1]FINAL!$A$1:$BZ$1,0),0)),0)</f>
        <v>0</v>
      </c>
      <c r="I736" s="5">
        <f>IFERROR(IF(J736&lt;&gt;"",J736,(IF(VLOOKUP($A736,#REF!,MATCH(#REF!,#REF!,0),0)=0,G736,VLOOKUP($A736,#REF!,MATCH(#REF!,#REF!,0),0)))),G736)</f>
        <v>0</v>
      </c>
      <c r="K736" s="6">
        <f>IFERROR(VLOOKUP($A736,#REF!,MATCH(#REF!,#REF!,0),0),0)</f>
        <v>0</v>
      </c>
      <c r="L736" s="6">
        <f>IFERROR(VLOOKUP($A736,[1]FINAL!$A$1:$BZ$1000,MATCH([1]FINAL!$BF$1,[1]FINAL!$A$1:$BZ$1,0),0),0)</f>
        <v>0</v>
      </c>
      <c r="M736" s="7">
        <f t="shared" si="57"/>
        <v>0</v>
      </c>
      <c r="N736" s="6">
        <f>IFERROR(VLOOKUP($A736,#REF!,MATCH(#REF!,#REF!,0),0),0)</f>
        <v>0</v>
      </c>
      <c r="O736" s="7">
        <f t="shared" si="58"/>
        <v>0</v>
      </c>
      <c r="P736" s="10" t="str">
        <f>IFERROR(VLOOKUP($A736,[1]FINAL!$A$1:$BZ$1000,MATCH([1]FINAL!$BB$1,[1]FINAL!$A$1:$BZ$1,0),0),"")</f>
        <v/>
      </c>
      <c r="Q736" s="18">
        <f t="shared" si="59"/>
        <v>1</v>
      </c>
    </row>
    <row r="737" spans="1:17" x14ac:dyDescent="0.25">
      <c r="A737" s="14">
        <f>[1]FINAL!$A735</f>
        <v>0</v>
      </c>
      <c r="B737" s="20" t="str">
        <f>IFERROR(VLOOKUP($A737,[1]FINAL!$A$1:$Z$1000,MATCH([1]FINAL!$T$1,[1]FINAL!$A$1:$Z$1,0),0),"")</f>
        <v/>
      </c>
      <c r="C737" s="3" t="str">
        <f>IFERROR(VLOOKUP($A737,[1]FINAL!$A$1:$Z$1000,MATCH([1]FINAL!$U$1,[1]FINAL!$A$1:$Z$1,0),0),"")</f>
        <v/>
      </c>
      <c r="D737" s="3" t="str">
        <f>IFERROR(VLOOKUP($A737,[1]FINAL!$A$1:$Z$1000,MATCH([1]FINAL!$V$1,[1]FINAL!$A$1:$Z$1,0),0),"")</f>
        <v/>
      </c>
      <c r="E737" s="6">
        <f t="shared" si="55"/>
        <v>0</v>
      </c>
      <c r="F737" s="5">
        <f t="shared" si="56"/>
        <v>0</v>
      </c>
      <c r="G737" s="5">
        <f>IFERROR(IF(H737&lt;&gt;"",H737,VLOOKUP($A737,[1]FINAL!$A$1:$BZ$1000,MATCH([1]FINAL!$BL$1,[1]FINAL!$A$1:$BZ$1,0),0)),0)</f>
        <v>0</v>
      </c>
      <c r="I737" s="5">
        <f>IFERROR(IF(J737&lt;&gt;"",J737,(IF(VLOOKUP($A737,#REF!,MATCH(#REF!,#REF!,0),0)=0,G737,VLOOKUP($A737,#REF!,MATCH(#REF!,#REF!,0),0)))),G737)</f>
        <v>0</v>
      </c>
      <c r="K737" s="6">
        <f>IFERROR(VLOOKUP($A737,#REF!,MATCH(#REF!,#REF!,0),0),0)</f>
        <v>0</v>
      </c>
      <c r="L737" s="6">
        <f>IFERROR(VLOOKUP($A737,[1]FINAL!$A$1:$BZ$1000,MATCH([1]FINAL!$BF$1,[1]FINAL!$A$1:$BZ$1,0),0),0)</f>
        <v>0</v>
      </c>
      <c r="M737" s="7">
        <f t="shared" si="57"/>
        <v>0</v>
      </c>
      <c r="N737" s="6">
        <f>IFERROR(VLOOKUP($A737,#REF!,MATCH(#REF!,#REF!,0),0),0)</f>
        <v>0</v>
      </c>
      <c r="O737" s="7">
        <f t="shared" si="58"/>
        <v>0</v>
      </c>
      <c r="P737" s="10" t="str">
        <f>IFERROR(VLOOKUP($A737,[1]FINAL!$A$1:$BZ$1000,MATCH([1]FINAL!$BB$1,[1]FINAL!$A$1:$BZ$1,0),0),"")</f>
        <v/>
      </c>
      <c r="Q737" s="18">
        <f t="shared" si="59"/>
        <v>1</v>
      </c>
    </row>
    <row r="738" spans="1:17" x14ac:dyDescent="0.25">
      <c r="A738" s="14">
        <f>[1]FINAL!$A736</f>
        <v>0</v>
      </c>
      <c r="B738" s="20" t="str">
        <f>IFERROR(VLOOKUP($A738,[1]FINAL!$A$1:$Z$1000,MATCH([1]FINAL!$T$1,[1]FINAL!$A$1:$Z$1,0),0),"")</f>
        <v/>
      </c>
      <c r="C738" s="3" t="str">
        <f>IFERROR(VLOOKUP($A738,[1]FINAL!$A$1:$Z$1000,MATCH([1]FINAL!$U$1,[1]FINAL!$A$1:$Z$1,0),0),"")</f>
        <v/>
      </c>
      <c r="D738" s="3" t="str">
        <f>IFERROR(VLOOKUP($A738,[1]FINAL!$A$1:$Z$1000,MATCH([1]FINAL!$V$1,[1]FINAL!$A$1:$Z$1,0),0),"")</f>
        <v/>
      </c>
      <c r="E738" s="6">
        <f t="shared" si="55"/>
        <v>0</v>
      </c>
      <c r="F738" s="5">
        <f t="shared" si="56"/>
        <v>0</v>
      </c>
      <c r="G738" s="5">
        <f>IFERROR(IF(H738&lt;&gt;"",H738,VLOOKUP($A738,[1]FINAL!$A$1:$BZ$1000,MATCH([1]FINAL!$BL$1,[1]FINAL!$A$1:$BZ$1,0),0)),0)</f>
        <v>0</v>
      </c>
      <c r="I738" s="5">
        <f>IFERROR(IF(J738&lt;&gt;"",J738,(IF(VLOOKUP($A738,#REF!,MATCH(#REF!,#REF!,0),0)=0,G738,VLOOKUP($A738,#REF!,MATCH(#REF!,#REF!,0),0)))),G738)</f>
        <v>0</v>
      </c>
      <c r="K738" s="6">
        <f>IFERROR(VLOOKUP($A738,#REF!,MATCH(#REF!,#REF!,0),0),0)</f>
        <v>0</v>
      </c>
      <c r="L738" s="6">
        <f>IFERROR(VLOOKUP($A738,[1]FINAL!$A$1:$BZ$1000,MATCH([1]FINAL!$BF$1,[1]FINAL!$A$1:$BZ$1,0),0),0)</f>
        <v>0</v>
      </c>
      <c r="M738" s="7">
        <f t="shared" si="57"/>
        <v>0</v>
      </c>
      <c r="N738" s="6">
        <f>IFERROR(VLOOKUP($A738,#REF!,MATCH(#REF!,#REF!,0),0),0)</f>
        <v>0</v>
      </c>
      <c r="O738" s="7">
        <f t="shared" si="58"/>
        <v>0</v>
      </c>
      <c r="P738" s="10" t="str">
        <f>IFERROR(VLOOKUP($A738,[1]FINAL!$A$1:$BZ$1000,MATCH([1]FINAL!$BB$1,[1]FINAL!$A$1:$BZ$1,0),0),"")</f>
        <v/>
      </c>
      <c r="Q738" s="18">
        <f t="shared" si="59"/>
        <v>1</v>
      </c>
    </row>
    <row r="739" spans="1:17" x14ac:dyDescent="0.25">
      <c r="A739" s="14">
        <f>[1]FINAL!$A737</f>
        <v>0</v>
      </c>
      <c r="B739" s="20" t="str">
        <f>IFERROR(VLOOKUP($A739,[1]FINAL!$A$1:$Z$1000,MATCH([1]FINAL!$T$1,[1]FINAL!$A$1:$Z$1,0),0),"")</f>
        <v/>
      </c>
      <c r="C739" s="3" t="str">
        <f>IFERROR(VLOOKUP($A739,[1]FINAL!$A$1:$Z$1000,MATCH([1]FINAL!$U$1,[1]FINAL!$A$1:$Z$1,0),0),"")</f>
        <v/>
      </c>
      <c r="D739" s="3" t="str">
        <f>IFERROR(VLOOKUP($A739,[1]FINAL!$A$1:$Z$1000,MATCH([1]FINAL!$V$1,[1]FINAL!$A$1:$Z$1,0),0),"")</f>
        <v/>
      </c>
      <c r="E739" s="6">
        <f t="shared" si="55"/>
        <v>0</v>
      </c>
      <c r="F739" s="5">
        <f t="shared" si="56"/>
        <v>0</v>
      </c>
      <c r="G739" s="5">
        <f>IFERROR(IF(H739&lt;&gt;"",H739,VLOOKUP($A739,[1]FINAL!$A$1:$BZ$1000,MATCH([1]FINAL!$BL$1,[1]FINAL!$A$1:$BZ$1,0),0)),0)</f>
        <v>0</v>
      </c>
      <c r="I739" s="5">
        <f>IFERROR(IF(J739&lt;&gt;"",J739,(IF(VLOOKUP($A739,#REF!,MATCH(#REF!,#REF!,0),0)=0,G739,VLOOKUP($A739,#REF!,MATCH(#REF!,#REF!,0),0)))),G739)</f>
        <v>0</v>
      </c>
      <c r="K739" s="6">
        <f>IFERROR(VLOOKUP($A739,#REF!,MATCH(#REF!,#REF!,0),0),0)</f>
        <v>0</v>
      </c>
      <c r="L739" s="6">
        <f>IFERROR(VLOOKUP($A739,[1]FINAL!$A$1:$BZ$1000,MATCH([1]FINAL!$BF$1,[1]FINAL!$A$1:$BZ$1,0),0),0)</f>
        <v>0</v>
      </c>
      <c r="M739" s="7">
        <f t="shared" si="57"/>
        <v>0</v>
      </c>
      <c r="N739" s="6">
        <f>IFERROR(VLOOKUP($A739,#REF!,MATCH(#REF!,#REF!,0),0),0)</f>
        <v>0</v>
      </c>
      <c r="O739" s="7">
        <f t="shared" si="58"/>
        <v>0</v>
      </c>
      <c r="P739" s="10" t="str">
        <f>IFERROR(VLOOKUP($A739,[1]FINAL!$A$1:$BZ$1000,MATCH([1]FINAL!$BB$1,[1]FINAL!$A$1:$BZ$1,0),0),"")</f>
        <v/>
      </c>
      <c r="Q739" s="18">
        <f t="shared" si="59"/>
        <v>1</v>
      </c>
    </row>
    <row r="740" spans="1:17" x14ac:dyDescent="0.25">
      <c r="A740" s="14">
        <f>[1]FINAL!$A738</f>
        <v>0</v>
      </c>
      <c r="B740" s="20" t="str">
        <f>IFERROR(VLOOKUP($A740,[1]FINAL!$A$1:$Z$1000,MATCH([1]FINAL!$T$1,[1]FINAL!$A$1:$Z$1,0),0),"")</f>
        <v/>
      </c>
      <c r="C740" s="3" t="str">
        <f>IFERROR(VLOOKUP($A740,[1]FINAL!$A$1:$Z$1000,MATCH([1]FINAL!$U$1,[1]FINAL!$A$1:$Z$1,0),0),"")</f>
        <v/>
      </c>
      <c r="D740" s="3" t="str">
        <f>IFERROR(VLOOKUP($A740,[1]FINAL!$A$1:$Z$1000,MATCH([1]FINAL!$V$1,[1]FINAL!$A$1:$Z$1,0),0),"")</f>
        <v/>
      </c>
      <c r="E740" s="6">
        <f t="shared" si="55"/>
        <v>0</v>
      </c>
      <c r="F740" s="5">
        <f t="shared" si="56"/>
        <v>0</v>
      </c>
      <c r="G740" s="5">
        <f>IFERROR(IF(H740&lt;&gt;"",H740,VLOOKUP($A740,[1]FINAL!$A$1:$BZ$1000,MATCH([1]FINAL!$BL$1,[1]FINAL!$A$1:$BZ$1,0),0)),0)</f>
        <v>0</v>
      </c>
      <c r="I740" s="5">
        <f>IFERROR(IF(J740&lt;&gt;"",J740,(IF(VLOOKUP($A740,#REF!,MATCH(#REF!,#REF!,0),0)=0,G740,VLOOKUP($A740,#REF!,MATCH(#REF!,#REF!,0),0)))),G740)</f>
        <v>0</v>
      </c>
      <c r="K740" s="6">
        <f>IFERROR(VLOOKUP($A740,#REF!,MATCH(#REF!,#REF!,0),0),0)</f>
        <v>0</v>
      </c>
      <c r="L740" s="6">
        <f>IFERROR(VLOOKUP($A740,[1]FINAL!$A$1:$BZ$1000,MATCH([1]FINAL!$BF$1,[1]FINAL!$A$1:$BZ$1,0),0),0)</f>
        <v>0</v>
      </c>
      <c r="M740" s="7">
        <f t="shared" si="57"/>
        <v>0</v>
      </c>
      <c r="N740" s="6">
        <f>IFERROR(VLOOKUP($A740,#REF!,MATCH(#REF!,#REF!,0),0),0)</f>
        <v>0</v>
      </c>
      <c r="O740" s="7">
        <f t="shared" si="58"/>
        <v>0</v>
      </c>
      <c r="P740" s="10" t="str">
        <f>IFERROR(VLOOKUP($A740,[1]FINAL!$A$1:$BZ$1000,MATCH([1]FINAL!$BB$1,[1]FINAL!$A$1:$BZ$1,0),0),"")</f>
        <v/>
      </c>
      <c r="Q740" s="18">
        <f t="shared" si="59"/>
        <v>1</v>
      </c>
    </row>
    <row r="741" spans="1:17" x14ac:dyDescent="0.25">
      <c r="A741" s="14">
        <f>[1]FINAL!$A739</f>
        <v>0</v>
      </c>
      <c r="B741" s="20" t="str">
        <f>IFERROR(VLOOKUP($A741,[1]FINAL!$A$1:$Z$1000,MATCH([1]FINAL!$T$1,[1]FINAL!$A$1:$Z$1,0),0),"")</f>
        <v/>
      </c>
      <c r="C741" s="3" t="str">
        <f>IFERROR(VLOOKUP($A741,[1]FINAL!$A$1:$Z$1000,MATCH([1]FINAL!$U$1,[1]FINAL!$A$1:$Z$1,0),0),"")</f>
        <v/>
      </c>
      <c r="D741" s="3" t="str">
        <f>IFERROR(VLOOKUP($A741,[1]FINAL!$A$1:$Z$1000,MATCH([1]FINAL!$V$1,[1]FINAL!$A$1:$Z$1,0),0),"")</f>
        <v/>
      </c>
      <c r="E741" s="6">
        <f t="shared" si="55"/>
        <v>0</v>
      </c>
      <c r="F741" s="5">
        <f t="shared" si="56"/>
        <v>0</v>
      </c>
      <c r="G741" s="5">
        <f>IFERROR(IF(H741&lt;&gt;"",H741,VLOOKUP($A741,[1]FINAL!$A$1:$BZ$1000,MATCH([1]FINAL!$BL$1,[1]FINAL!$A$1:$BZ$1,0),0)),0)</f>
        <v>0</v>
      </c>
      <c r="I741" s="5">
        <f>IFERROR(IF(J741&lt;&gt;"",J741,(IF(VLOOKUP($A741,#REF!,MATCH(#REF!,#REF!,0),0)=0,G741,VLOOKUP($A741,#REF!,MATCH(#REF!,#REF!,0),0)))),G741)</f>
        <v>0</v>
      </c>
      <c r="K741" s="6">
        <f>IFERROR(VLOOKUP($A741,#REF!,MATCH(#REF!,#REF!,0),0),0)</f>
        <v>0</v>
      </c>
      <c r="L741" s="6">
        <f>IFERROR(VLOOKUP($A741,[1]FINAL!$A$1:$BZ$1000,MATCH([1]FINAL!$BF$1,[1]FINAL!$A$1:$BZ$1,0),0),0)</f>
        <v>0</v>
      </c>
      <c r="M741" s="7">
        <f t="shared" si="57"/>
        <v>0</v>
      </c>
      <c r="N741" s="6">
        <f>IFERROR(VLOOKUP($A741,#REF!,MATCH(#REF!,#REF!,0),0),0)</f>
        <v>0</v>
      </c>
      <c r="O741" s="7">
        <f t="shared" si="58"/>
        <v>0</v>
      </c>
      <c r="P741" s="10" t="str">
        <f>IFERROR(VLOOKUP($A741,[1]FINAL!$A$1:$BZ$1000,MATCH([1]FINAL!$BB$1,[1]FINAL!$A$1:$BZ$1,0),0),"")</f>
        <v/>
      </c>
      <c r="Q741" s="18">
        <f t="shared" si="59"/>
        <v>1</v>
      </c>
    </row>
    <row r="742" spans="1:17" x14ac:dyDescent="0.25">
      <c r="A742" s="14">
        <f>[1]FINAL!$A740</f>
        <v>0</v>
      </c>
      <c r="B742" s="20" t="str">
        <f>IFERROR(VLOOKUP($A742,[1]FINAL!$A$1:$Z$1000,MATCH([1]FINAL!$T$1,[1]FINAL!$A$1:$Z$1,0),0),"")</f>
        <v/>
      </c>
      <c r="C742" s="3" t="str">
        <f>IFERROR(VLOOKUP($A742,[1]FINAL!$A$1:$Z$1000,MATCH([1]FINAL!$U$1,[1]FINAL!$A$1:$Z$1,0),0),"")</f>
        <v/>
      </c>
      <c r="D742" s="3" t="str">
        <f>IFERROR(VLOOKUP($A742,[1]FINAL!$A$1:$Z$1000,MATCH([1]FINAL!$V$1,[1]FINAL!$A$1:$Z$1,0),0),"")</f>
        <v/>
      </c>
      <c r="E742" s="6">
        <f t="shared" si="55"/>
        <v>0</v>
      </c>
      <c r="F742" s="5">
        <f t="shared" si="56"/>
        <v>0</v>
      </c>
      <c r="G742" s="5">
        <f>IFERROR(IF(H742&lt;&gt;"",H742,VLOOKUP($A742,[1]FINAL!$A$1:$BZ$1000,MATCH([1]FINAL!$BL$1,[1]FINAL!$A$1:$BZ$1,0),0)),0)</f>
        <v>0</v>
      </c>
      <c r="I742" s="5">
        <f>IFERROR(IF(J742&lt;&gt;"",J742,(IF(VLOOKUP($A742,#REF!,MATCH(#REF!,#REF!,0),0)=0,G742,VLOOKUP($A742,#REF!,MATCH(#REF!,#REF!,0),0)))),G742)</f>
        <v>0</v>
      </c>
      <c r="K742" s="6">
        <f>IFERROR(VLOOKUP($A742,#REF!,MATCH(#REF!,#REF!,0),0),0)</f>
        <v>0</v>
      </c>
      <c r="L742" s="6">
        <f>IFERROR(VLOOKUP($A742,[1]FINAL!$A$1:$BZ$1000,MATCH([1]FINAL!$BF$1,[1]FINAL!$A$1:$BZ$1,0),0),0)</f>
        <v>0</v>
      </c>
      <c r="M742" s="7">
        <f t="shared" si="57"/>
        <v>0</v>
      </c>
      <c r="N742" s="6">
        <f>IFERROR(VLOOKUP($A742,#REF!,MATCH(#REF!,#REF!,0),0),0)</f>
        <v>0</v>
      </c>
      <c r="O742" s="7">
        <f t="shared" si="58"/>
        <v>0</v>
      </c>
      <c r="P742" s="10" t="str">
        <f>IFERROR(VLOOKUP($A742,[1]FINAL!$A$1:$BZ$1000,MATCH([1]FINAL!$BB$1,[1]FINAL!$A$1:$BZ$1,0),0),"")</f>
        <v/>
      </c>
      <c r="Q742" s="18">
        <f t="shared" si="59"/>
        <v>1</v>
      </c>
    </row>
    <row r="743" spans="1:17" x14ac:dyDescent="0.25">
      <c r="A743" s="14">
        <f>[1]FINAL!$A741</f>
        <v>0</v>
      </c>
      <c r="B743" s="20" t="str">
        <f>IFERROR(VLOOKUP($A743,[1]FINAL!$A$1:$Z$1000,MATCH([1]FINAL!$T$1,[1]FINAL!$A$1:$Z$1,0),0),"")</f>
        <v/>
      </c>
      <c r="C743" s="3" t="str">
        <f>IFERROR(VLOOKUP($A743,[1]FINAL!$A$1:$Z$1000,MATCH([1]FINAL!$U$1,[1]FINAL!$A$1:$Z$1,0),0),"")</f>
        <v/>
      </c>
      <c r="D743" s="3" t="str">
        <f>IFERROR(VLOOKUP($A743,[1]FINAL!$A$1:$Z$1000,MATCH([1]FINAL!$V$1,[1]FINAL!$A$1:$Z$1,0),0),"")</f>
        <v/>
      </c>
      <c r="E743" s="6">
        <f t="shared" si="55"/>
        <v>0</v>
      </c>
      <c r="F743" s="5">
        <f t="shared" si="56"/>
        <v>0</v>
      </c>
      <c r="G743" s="5">
        <f>IFERROR(IF(H743&lt;&gt;"",H743,VLOOKUP($A743,[1]FINAL!$A$1:$BZ$1000,MATCH([1]FINAL!$BL$1,[1]FINAL!$A$1:$BZ$1,0),0)),0)</f>
        <v>0</v>
      </c>
      <c r="I743" s="5">
        <f>IFERROR(IF(J743&lt;&gt;"",J743,(IF(VLOOKUP($A743,#REF!,MATCH(#REF!,#REF!,0),0)=0,G743,VLOOKUP($A743,#REF!,MATCH(#REF!,#REF!,0),0)))),G743)</f>
        <v>0</v>
      </c>
      <c r="K743" s="6">
        <f>IFERROR(VLOOKUP($A743,#REF!,MATCH(#REF!,#REF!,0),0),0)</f>
        <v>0</v>
      </c>
      <c r="L743" s="6">
        <f>IFERROR(VLOOKUP($A743,[1]FINAL!$A$1:$BZ$1000,MATCH([1]FINAL!$BF$1,[1]FINAL!$A$1:$BZ$1,0),0),0)</f>
        <v>0</v>
      </c>
      <c r="M743" s="7">
        <f t="shared" si="57"/>
        <v>0</v>
      </c>
      <c r="N743" s="6">
        <f>IFERROR(VLOOKUP($A743,#REF!,MATCH(#REF!,#REF!,0),0),0)</f>
        <v>0</v>
      </c>
      <c r="O743" s="7">
        <f t="shared" si="58"/>
        <v>0</v>
      </c>
      <c r="P743" s="10" t="str">
        <f>IFERROR(VLOOKUP($A743,[1]FINAL!$A$1:$BZ$1000,MATCH([1]FINAL!$BB$1,[1]FINAL!$A$1:$BZ$1,0),0),"")</f>
        <v/>
      </c>
      <c r="Q743" s="18">
        <f t="shared" si="59"/>
        <v>1</v>
      </c>
    </row>
    <row r="744" spans="1:17" x14ac:dyDescent="0.25">
      <c r="A744" s="14">
        <f>[1]FINAL!$A742</f>
        <v>0</v>
      </c>
      <c r="B744" s="20" t="str">
        <f>IFERROR(VLOOKUP($A744,[1]FINAL!$A$1:$Z$1000,MATCH([1]FINAL!$T$1,[1]FINAL!$A$1:$Z$1,0),0),"")</f>
        <v/>
      </c>
      <c r="C744" s="3" t="str">
        <f>IFERROR(VLOOKUP($A744,[1]FINAL!$A$1:$Z$1000,MATCH([1]FINAL!$U$1,[1]FINAL!$A$1:$Z$1,0),0),"")</f>
        <v/>
      </c>
      <c r="D744" s="3" t="str">
        <f>IFERROR(VLOOKUP($A744,[1]FINAL!$A$1:$Z$1000,MATCH([1]FINAL!$V$1,[1]FINAL!$A$1:$Z$1,0),0),"")</f>
        <v/>
      </c>
      <c r="E744" s="6">
        <f t="shared" si="55"/>
        <v>0</v>
      </c>
      <c r="F744" s="5">
        <f t="shared" si="56"/>
        <v>0</v>
      </c>
      <c r="G744" s="5">
        <f>IFERROR(IF(H744&lt;&gt;"",H744,VLOOKUP($A744,[1]FINAL!$A$1:$BZ$1000,MATCH([1]FINAL!$BL$1,[1]FINAL!$A$1:$BZ$1,0),0)),0)</f>
        <v>0</v>
      </c>
      <c r="I744" s="5">
        <f>IFERROR(IF(J744&lt;&gt;"",J744,(IF(VLOOKUP($A744,#REF!,MATCH(#REF!,#REF!,0),0)=0,G744,VLOOKUP($A744,#REF!,MATCH(#REF!,#REF!,0),0)))),G744)</f>
        <v>0</v>
      </c>
      <c r="K744" s="6">
        <f>IFERROR(VLOOKUP($A744,#REF!,MATCH(#REF!,#REF!,0),0),0)</f>
        <v>0</v>
      </c>
      <c r="L744" s="6">
        <f>IFERROR(VLOOKUP($A744,[1]FINAL!$A$1:$BZ$1000,MATCH([1]FINAL!$BF$1,[1]FINAL!$A$1:$BZ$1,0),0),0)</f>
        <v>0</v>
      </c>
      <c r="M744" s="7">
        <f t="shared" si="57"/>
        <v>0</v>
      </c>
      <c r="N744" s="6">
        <f>IFERROR(VLOOKUP($A744,#REF!,MATCH(#REF!,#REF!,0),0),0)</f>
        <v>0</v>
      </c>
      <c r="O744" s="7">
        <f t="shared" si="58"/>
        <v>0</v>
      </c>
      <c r="P744" s="10" t="str">
        <f>IFERROR(VLOOKUP($A744,[1]FINAL!$A$1:$BZ$1000,MATCH([1]FINAL!$BB$1,[1]FINAL!$A$1:$BZ$1,0),0),"")</f>
        <v/>
      </c>
      <c r="Q744" s="18">
        <f t="shared" si="59"/>
        <v>1</v>
      </c>
    </row>
    <row r="745" spans="1:17" x14ac:dyDescent="0.25">
      <c r="A745" s="14">
        <f>[1]FINAL!$A743</f>
        <v>0</v>
      </c>
      <c r="B745" s="20" t="str">
        <f>IFERROR(VLOOKUP($A745,[1]FINAL!$A$1:$Z$1000,MATCH([1]FINAL!$T$1,[1]FINAL!$A$1:$Z$1,0),0),"")</f>
        <v/>
      </c>
      <c r="C745" s="3" t="str">
        <f>IFERROR(VLOOKUP($A745,[1]FINAL!$A$1:$Z$1000,MATCH([1]FINAL!$U$1,[1]FINAL!$A$1:$Z$1,0),0),"")</f>
        <v/>
      </c>
      <c r="D745" s="3" t="str">
        <f>IFERROR(VLOOKUP($A745,[1]FINAL!$A$1:$Z$1000,MATCH([1]FINAL!$V$1,[1]FINAL!$A$1:$Z$1,0),0),"")</f>
        <v/>
      </c>
      <c r="E745" s="6">
        <f t="shared" si="55"/>
        <v>0</v>
      </c>
      <c r="F745" s="5">
        <f t="shared" si="56"/>
        <v>0</v>
      </c>
      <c r="G745" s="5">
        <f>IFERROR(IF(H745&lt;&gt;"",H745,VLOOKUP($A745,[1]FINAL!$A$1:$BZ$1000,MATCH([1]FINAL!$BL$1,[1]FINAL!$A$1:$BZ$1,0),0)),0)</f>
        <v>0</v>
      </c>
      <c r="I745" s="5">
        <f>IFERROR(IF(J745&lt;&gt;"",J745,(IF(VLOOKUP($A745,#REF!,MATCH(#REF!,#REF!,0),0)=0,G745,VLOOKUP($A745,#REF!,MATCH(#REF!,#REF!,0),0)))),G745)</f>
        <v>0</v>
      </c>
      <c r="K745" s="6">
        <f>IFERROR(VLOOKUP($A745,#REF!,MATCH(#REF!,#REF!,0),0),0)</f>
        <v>0</v>
      </c>
      <c r="L745" s="6">
        <f>IFERROR(VLOOKUP($A745,[1]FINAL!$A$1:$BZ$1000,MATCH([1]FINAL!$BF$1,[1]FINAL!$A$1:$BZ$1,0),0),0)</f>
        <v>0</v>
      </c>
      <c r="M745" s="7">
        <f t="shared" si="57"/>
        <v>0</v>
      </c>
      <c r="N745" s="6">
        <f>IFERROR(VLOOKUP($A745,#REF!,MATCH(#REF!,#REF!,0),0),0)</f>
        <v>0</v>
      </c>
      <c r="O745" s="7">
        <f t="shared" si="58"/>
        <v>0</v>
      </c>
      <c r="P745" s="10" t="str">
        <f>IFERROR(VLOOKUP($A745,[1]FINAL!$A$1:$BZ$1000,MATCH([1]FINAL!$BB$1,[1]FINAL!$A$1:$BZ$1,0),0),"")</f>
        <v/>
      </c>
      <c r="Q745" s="18">
        <f t="shared" si="59"/>
        <v>1</v>
      </c>
    </row>
    <row r="746" spans="1:17" x14ac:dyDescent="0.25">
      <c r="A746" s="14">
        <f>[1]FINAL!$A744</f>
        <v>0</v>
      </c>
      <c r="B746" s="20" t="str">
        <f>IFERROR(VLOOKUP($A746,[1]FINAL!$A$1:$Z$1000,MATCH([1]FINAL!$T$1,[1]FINAL!$A$1:$Z$1,0),0),"")</f>
        <v/>
      </c>
      <c r="C746" s="3" t="str">
        <f>IFERROR(VLOOKUP($A746,[1]FINAL!$A$1:$Z$1000,MATCH([1]FINAL!$U$1,[1]FINAL!$A$1:$Z$1,0),0),"")</f>
        <v/>
      </c>
      <c r="D746" s="3" t="str">
        <f>IFERROR(VLOOKUP($A746,[1]FINAL!$A$1:$Z$1000,MATCH([1]FINAL!$V$1,[1]FINAL!$A$1:$Z$1,0),0),"")</f>
        <v/>
      </c>
      <c r="E746" s="6">
        <f t="shared" si="55"/>
        <v>0</v>
      </c>
      <c r="F746" s="5">
        <f t="shared" si="56"/>
        <v>0</v>
      </c>
      <c r="G746" s="5">
        <f>IFERROR(IF(H746&lt;&gt;"",H746,VLOOKUP($A746,[1]FINAL!$A$1:$BZ$1000,MATCH([1]FINAL!$BL$1,[1]FINAL!$A$1:$BZ$1,0),0)),0)</f>
        <v>0</v>
      </c>
      <c r="I746" s="5">
        <f>IFERROR(IF(J746&lt;&gt;"",J746,(IF(VLOOKUP($A746,#REF!,MATCH(#REF!,#REF!,0),0)=0,G746,VLOOKUP($A746,#REF!,MATCH(#REF!,#REF!,0),0)))),G746)</f>
        <v>0</v>
      </c>
      <c r="K746" s="6">
        <f>IFERROR(VLOOKUP($A746,#REF!,MATCH(#REF!,#REF!,0),0),0)</f>
        <v>0</v>
      </c>
      <c r="L746" s="6">
        <f>IFERROR(VLOOKUP($A746,[1]FINAL!$A$1:$BZ$1000,MATCH([1]FINAL!$BF$1,[1]FINAL!$A$1:$BZ$1,0),0),0)</f>
        <v>0</v>
      </c>
      <c r="M746" s="7">
        <f t="shared" si="57"/>
        <v>0</v>
      </c>
      <c r="N746" s="6">
        <f>IFERROR(VLOOKUP($A746,#REF!,MATCH(#REF!,#REF!,0),0),0)</f>
        <v>0</v>
      </c>
      <c r="O746" s="7">
        <f t="shared" si="58"/>
        <v>0</v>
      </c>
      <c r="P746" s="10" t="str">
        <f>IFERROR(VLOOKUP($A746,[1]FINAL!$A$1:$BZ$1000,MATCH([1]FINAL!$BB$1,[1]FINAL!$A$1:$BZ$1,0),0),"")</f>
        <v/>
      </c>
      <c r="Q746" s="18">
        <f t="shared" si="59"/>
        <v>1</v>
      </c>
    </row>
    <row r="747" spans="1:17" x14ac:dyDescent="0.25">
      <c r="A747" s="14">
        <f>[1]FINAL!$A745</f>
        <v>0</v>
      </c>
      <c r="B747" s="20" t="str">
        <f>IFERROR(VLOOKUP($A747,[1]FINAL!$A$1:$Z$1000,MATCH([1]FINAL!$T$1,[1]FINAL!$A$1:$Z$1,0),0),"")</f>
        <v/>
      </c>
      <c r="C747" s="3" t="str">
        <f>IFERROR(VLOOKUP($A747,[1]FINAL!$A$1:$Z$1000,MATCH([1]FINAL!$U$1,[1]FINAL!$A$1:$Z$1,0),0),"")</f>
        <v/>
      </c>
      <c r="D747" s="3" t="str">
        <f>IFERROR(VLOOKUP($A747,[1]FINAL!$A$1:$Z$1000,MATCH([1]FINAL!$V$1,[1]FINAL!$A$1:$Z$1,0),0),"")</f>
        <v/>
      </c>
      <c r="E747" s="6">
        <f t="shared" si="55"/>
        <v>0</v>
      </c>
      <c r="F747" s="5">
        <f t="shared" si="56"/>
        <v>0</v>
      </c>
      <c r="G747" s="5">
        <f>IFERROR(IF(H747&lt;&gt;"",H747,VLOOKUP($A747,[1]FINAL!$A$1:$BZ$1000,MATCH([1]FINAL!$BL$1,[1]FINAL!$A$1:$BZ$1,0),0)),0)</f>
        <v>0</v>
      </c>
      <c r="I747" s="5">
        <f>IFERROR(IF(J747&lt;&gt;"",J747,(IF(VLOOKUP($A747,#REF!,MATCH(#REF!,#REF!,0),0)=0,G747,VLOOKUP($A747,#REF!,MATCH(#REF!,#REF!,0),0)))),G747)</f>
        <v>0</v>
      </c>
      <c r="K747" s="6">
        <f>IFERROR(VLOOKUP($A747,#REF!,MATCH(#REF!,#REF!,0),0),0)</f>
        <v>0</v>
      </c>
      <c r="L747" s="6">
        <f>IFERROR(VLOOKUP($A747,[1]FINAL!$A$1:$BZ$1000,MATCH([1]FINAL!$BF$1,[1]FINAL!$A$1:$BZ$1,0),0),0)</f>
        <v>0</v>
      </c>
      <c r="M747" s="7">
        <f t="shared" si="57"/>
        <v>0</v>
      </c>
      <c r="N747" s="6">
        <f>IFERROR(VLOOKUP($A747,#REF!,MATCH(#REF!,#REF!,0),0),0)</f>
        <v>0</v>
      </c>
      <c r="O747" s="7">
        <f t="shared" si="58"/>
        <v>0</v>
      </c>
      <c r="P747" s="10" t="str">
        <f>IFERROR(VLOOKUP($A747,[1]FINAL!$A$1:$BZ$1000,MATCH([1]FINAL!$BB$1,[1]FINAL!$A$1:$BZ$1,0),0),"")</f>
        <v/>
      </c>
      <c r="Q747" s="18">
        <f t="shared" si="59"/>
        <v>1</v>
      </c>
    </row>
    <row r="748" spans="1:17" x14ac:dyDescent="0.25">
      <c r="A748" s="14">
        <f>[1]FINAL!$A746</f>
        <v>0</v>
      </c>
      <c r="B748" s="20" t="str">
        <f>IFERROR(VLOOKUP($A748,[1]FINAL!$A$1:$Z$1000,MATCH([1]FINAL!$T$1,[1]FINAL!$A$1:$Z$1,0),0),"")</f>
        <v/>
      </c>
      <c r="C748" s="3" t="str">
        <f>IFERROR(VLOOKUP($A748,[1]FINAL!$A$1:$Z$1000,MATCH([1]FINAL!$U$1,[1]FINAL!$A$1:$Z$1,0),0),"")</f>
        <v/>
      </c>
      <c r="D748" s="3" t="str">
        <f>IFERROR(VLOOKUP($A748,[1]FINAL!$A$1:$Z$1000,MATCH([1]FINAL!$V$1,[1]FINAL!$A$1:$Z$1,0),0),"")</f>
        <v/>
      </c>
      <c r="E748" s="6">
        <f t="shared" si="55"/>
        <v>0</v>
      </c>
      <c r="F748" s="5">
        <f t="shared" si="56"/>
        <v>0</v>
      </c>
      <c r="G748" s="5">
        <f>IFERROR(IF(H748&lt;&gt;"",H748,VLOOKUP($A748,[1]FINAL!$A$1:$BZ$1000,MATCH([1]FINAL!$BL$1,[1]FINAL!$A$1:$BZ$1,0),0)),0)</f>
        <v>0</v>
      </c>
      <c r="I748" s="5">
        <f>IFERROR(IF(J748&lt;&gt;"",J748,(IF(VLOOKUP($A748,#REF!,MATCH(#REF!,#REF!,0),0)=0,G748,VLOOKUP($A748,#REF!,MATCH(#REF!,#REF!,0),0)))),G748)</f>
        <v>0</v>
      </c>
      <c r="K748" s="6">
        <f>IFERROR(VLOOKUP($A748,#REF!,MATCH(#REF!,#REF!,0),0),0)</f>
        <v>0</v>
      </c>
      <c r="L748" s="6">
        <f>IFERROR(VLOOKUP($A748,[1]FINAL!$A$1:$BZ$1000,MATCH([1]FINAL!$BF$1,[1]FINAL!$A$1:$BZ$1,0),0),0)</f>
        <v>0</v>
      </c>
      <c r="M748" s="7">
        <f t="shared" si="57"/>
        <v>0</v>
      </c>
      <c r="N748" s="6">
        <f>IFERROR(VLOOKUP($A748,#REF!,MATCH(#REF!,#REF!,0),0),0)</f>
        <v>0</v>
      </c>
      <c r="O748" s="7">
        <f t="shared" si="58"/>
        <v>0</v>
      </c>
      <c r="P748" s="10" t="str">
        <f>IFERROR(VLOOKUP($A748,[1]FINAL!$A$1:$BZ$1000,MATCH([1]FINAL!$BB$1,[1]FINAL!$A$1:$BZ$1,0),0),"")</f>
        <v/>
      </c>
      <c r="Q748" s="18">
        <f t="shared" si="59"/>
        <v>1</v>
      </c>
    </row>
    <row r="749" spans="1:17" x14ac:dyDescent="0.25">
      <c r="A749" s="14">
        <f>[1]FINAL!$A747</f>
        <v>0</v>
      </c>
      <c r="B749" s="20" t="str">
        <f>IFERROR(VLOOKUP($A749,[1]FINAL!$A$1:$Z$1000,MATCH([1]FINAL!$T$1,[1]FINAL!$A$1:$Z$1,0),0),"")</f>
        <v/>
      </c>
      <c r="C749" s="3" t="str">
        <f>IFERROR(VLOOKUP($A749,[1]FINAL!$A$1:$Z$1000,MATCH([1]FINAL!$U$1,[1]FINAL!$A$1:$Z$1,0),0),"")</f>
        <v/>
      </c>
      <c r="D749" s="3" t="str">
        <f>IFERROR(VLOOKUP($A749,[1]FINAL!$A$1:$Z$1000,MATCH([1]FINAL!$V$1,[1]FINAL!$A$1:$Z$1,0),0),"")</f>
        <v/>
      </c>
      <c r="E749" s="6">
        <f t="shared" si="55"/>
        <v>0</v>
      </c>
      <c r="F749" s="5">
        <f t="shared" si="56"/>
        <v>0</v>
      </c>
      <c r="G749" s="5">
        <f>IFERROR(IF(H749&lt;&gt;"",H749,VLOOKUP($A749,[1]FINAL!$A$1:$BZ$1000,MATCH([1]FINAL!$BL$1,[1]FINAL!$A$1:$BZ$1,0),0)),0)</f>
        <v>0</v>
      </c>
      <c r="I749" s="5">
        <f>IFERROR(IF(J749&lt;&gt;"",J749,(IF(VLOOKUP($A749,#REF!,MATCH(#REF!,#REF!,0),0)=0,G749,VLOOKUP($A749,#REF!,MATCH(#REF!,#REF!,0),0)))),G749)</f>
        <v>0</v>
      </c>
      <c r="K749" s="6">
        <f>IFERROR(VLOOKUP($A749,#REF!,MATCH(#REF!,#REF!,0),0),0)</f>
        <v>0</v>
      </c>
      <c r="L749" s="6">
        <f>IFERROR(VLOOKUP($A749,[1]FINAL!$A$1:$BZ$1000,MATCH([1]FINAL!$BF$1,[1]FINAL!$A$1:$BZ$1,0),0),0)</f>
        <v>0</v>
      </c>
      <c r="M749" s="7">
        <f t="shared" si="57"/>
        <v>0</v>
      </c>
      <c r="N749" s="6">
        <f>IFERROR(VLOOKUP($A749,#REF!,MATCH(#REF!,#REF!,0),0),0)</f>
        <v>0</v>
      </c>
      <c r="O749" s="7">
        <f t="shared" si="58"/>
        <v>0</v>
      </c>
      <c r="P749" s="10" t="str">
        <f>IFERROR(VLOOKUP($A749,[1]FINAL!$A$1:$BZ$1000,MATCH([1]FINAL!$BB$1,[1]FINAL!$A$1:$BZ$1,0),0),"")</f>
        <v/>
      </c>
      <c r="Q749" s="18">
        <f t="shared" si="59"/>
        <v>1</v>
      </c>
    </row>
    <row r="750" spans="1:17" x14ac:dyDescent="0.25">
      <c r="A750" s="14">
        <f>[1]FINAL!$A748</f>
        <v>0</v>
      </c>
      <c r="B750" s="20" t="str">
        <f>IFERROR(VLOOKUP($A750,[1]FINAL!$A$1:$Z$1000,MATCH([1]FINAL!$T$1,[1]FINAL!$A$1:$Z$1,0),0),"")</f>
        <v/>
      </c>
      <c r="C750" s="3" t="str">
        <f>IFERROR(VLOOKUP($A750,[1]FINAL!$A$1:$Z$1000,MATCH([1]FINAL!$U$1,[1]FINAL!$A$1:$Z$1,0),0),"")</f>
        <v/>
      </c>
      <c r="D750" s="3" t="str">
        <f>IFERROR(VLOOKUP($A750,[1]FINAL!$A$1:$Z$1000,MATCH([1]FINAL!$V$1,[1]FINAL!$A$1:$Z$1,0),0),"")</f>
        <v/>
      </c>
      <c r="E750" s="6">
        <f t="shared" si="55"/>
        <v>0</v>
      </c>
      <c r="F750" s="5">
        <f t="shared" si="56"/>
        <v>0</v>
      </c>
      <c r="G750" s="5">
        <f>IFERROR(IF(H750&lt;&gt;"",H750,VLOOKUP($A750,[1]FINAL!$A$1:$BZ$1000,MATCH([1]FINAL!$BL$1,[1]FINAL!$A$1:$BZ$1,0),0)),0)</f>
        <v>0</v>
      </c>
      <c r="I750" s="5">
        <f>IFERROR(IF(J750&lt;&gt;"",J750,(IF(VLOOKUP($A750,#REF!,MATCH(#REF!,#REF!,0),0)=0,G750,VLOOKUP($A750,#REF!,MATCH(#REF!,#REF!,0),0)))),G750)</f>
        <v>0</v>
      </c>
      <c r="K750" s="6">
        <f>IFERROR(VLOOKUP($A750,#REF!,MATCH(#REF!,#REF!,0),0),0)</f>
        <v>0</v>
      </c>
      <c r="L750" s="6">
        <f>IFERROR(VLOOKUP($A750,[1]FINAL!$A$1:$BZ$1000,MATCH([1]FINAL!$BF$1,[1]FINAL!$A$1:$BZ$1,0),0),0)</f>
        <v>0</v>
      </c>
      <c r="M750" s="7">
        <f t="shared" si="57"/>
        <v>0</v>
      </c>
      <c r="N750" s="6">
        <f>IFERROR(VLOOKUP($A750,#REF!,MATCH(#REF!,#REF!,0),0),0)</f>
        <v>0</v>
      </c>
      <c r="O750" s="7">
        <f t="shared" si="58"/>
        <v>0</v>
      </c>
      <c r="P750" s="10" t="str">
        <f>IFERROR(VLOOKUP($A750,[1]FINAL!$A$1:$BZ$1000,MATCH([1]FINAL!$BB$1,[1]FINAL!$A$1:$BZ$1,0),0),"")</f>
        <v/>
      </c>
      <c r="Q750" s="18">
        <f t="shared" si="59"/>
        <v>1</v>
      </c>
    </row>
    <row r="751" spans="1:17" x14ac:dyDescent="0.25">
      <c r="A751" s="14">
        <f>[1]FINAL!$A749</f>
        <v>0</v>
      </c>
      <c r="B751" s="20" t="str">
        <f>IFERROR(VLOOKUP($A751,[1]FINAL!$A$1:$Z$1000,MATCH([1]FINAL!$T$1,[1]FINAL!$A$1:$Z$1,0),0),"")</f>
        <v/>
      </c>
      <c r="C751" s="3" t="str">
        <f>IFERROR(VLOOKUP($A751,[1]FINAL!$A$1:$Z$1000,MATCH([1]FINAL!$U$1,[1]FINAL!$A$1:$Z$1,0),0),"")</f>
        <v/>
      </c>
      <c r="D751" s="3" t="str">
        <f>IFERROR(VLOOKUP($A751,[1]FINAL!$A$1:$Z$1000,MATCH([1]FINAL!$V$1,[1]FINAL!$A$1:$Z$1,0),0),"")</f>
        <v/>
      </c>
      <c r="E751" s="6">
        <f t="shared" si="55"/>
        <v>0</v>
      </c>
      <c r="F751" s="5">
        <f t="shared" si="56"/>
        <v>0</v>
      </c>
      <c r="G751" s="5">
        <f>IFERROR(IF(H751&lt;&gt;"",H751,VLOOKUP($A751,[1]FINAL!$A$1:$BZ$1000,MATCH([1]FINAL!$BL$1,[1]FINAL!$A$1:$BZ$1,0),0)),0)</f>
        <v>0</v>
      </c>
      <c r="I751" s="5">
        <f>IFERROR(IF(J751&lt;&gt;"",J751,(IF(VLOOKUP($A751,#REF!,MATCH(#REF!,#REF!,0),0)=0,G751,VLOOKUP($A751,#REF!,MATCH(#REF!,#REF!,0),0)))),G751)</f>
        <v>0</v>
      </c>
      <c r="K751" s="6">
        <f>IFERROR(VLOOKUP($A751,#REF!,MATCH(#REF!,#REF!,0),0),0)</f>
        <v>0</v>
      </c>
      <c r="L751" s="6">
        <f>IFERROR(VLOOKUP($A751,[1]FINAL!$A$1:$BZ$1000,MATCH([1]FINAL!$BF$1,[1]FINAL!$A$1:$BZ$1,0),0),0)</f>
        <v>0</v>
      </c>
      <c r="M751" s="7">
        <f t="shared" si="57"/>
        <v>0</v>
      </c>
      <c r="N751" s="6">
        <f>IFERROR(VLOOKUP($A751,#REF!,MATCH(#REF!,#REF!,0),0),0)</f>
        <v>0</v>
      </c>
      <c r="O751" s="7">
        <f t="shared" si="58"/>
        <v>0</v>
      </c>
      <c r="P751" s="10" t="str">
        <f>IFERROR(VLOOKUP($A751,[1]FINAL!$A$1:$BZ$1000,MATCH([1]FINAL!$BB$1,[1]FINAL!$A$1:$BZ$1,0),0),"")</f>
        <v/>
      </c>
      <c r="Q751" s="18">
        <f t="shared" si="59"/>
        <v>1</v>
      </c>
    </row>
    <row r="752" spans="1:17" x14ac:dyDescent="0.25">
      <c r="A752" s="14">
        <f>[1]FINAL!$A750</f>
        <v>0</v>
      </c>
      <c r="B752" s="20" t="str">
        <f>IFERROR(VLOOKUP($A752,[1]FINAL!$A$1:$Z$1000,MATCH([1]FINAL!$T$1,[1]FINAL!$A$1:$Z$1,0),0),"")</f>
        <v/>
      </c>
      <c r="C752" s="3" t="str">
        <f>IFERROR(VLOOKUP($A752,[1]FINAL!$A$1:$Z$1000,MATCH([1]FINAL!$U$1,[1]FINAL!$A$1:$Z$1,0),0),"")</f>
        <v/>
      </c>
      <c r="D752" s="3" t="str">
        <f>IFERROR(VLOOKUP($A752,[1]FINAL!$A$1:$Z$1000,MATCH([1]FINAL!$V$1,[1]FINAL!$A$1:$Z$1,0),0),"")</f>
        <v/>
      </c>
      <c r="E752" s="6">
        <f t="shared" si="55"/>
        <v>0</v>
      </c>
      <c r="F752" s="5">
        <f t="shared" si="56"/>
        <v>0</v>
      </c>
      <c r="G752" s="5">
        <f>IFERROR(IF(H752&lt;&gt;"",H752,VLOOKUP($A752,[1]FINAL!$A$1:$BZ$1000,MATCH([1]FINAL!$BL$1,[1]FINAL!$A$1:$BZ$1,0),0)),0)</f>
        <v>0</v>
      </c>
      <c r="I752" s="5">
        <f>IFERROR(IF(J752&lt;&gt;"",J752,(IF(VLOOKUP($A752,#REF!,MATCH(#REF!,#REF!,0),0)=0,G752,VLOOKUP($A752,#REF!,MATCH(#REF!,#REF!,0),0)))),G752)</f>
        <v>0</v>
      </c>
      <c r="K752" s="6">
        <f>IFERROR(VLOOKUP($A752,#REF!,MATCH(#REF!,#REF!,0),0),0)</f>
        <v>0</v>
      </c>
      <c r="L752" s="6">
        <f>IFERROR(VLOOKUP($A752,[1]FINAL!$A$1:$BZ$1000,MATCH([1]FINAL!$BF$1,[1]FINAL!$A$1:$BZ$1,0),0),0)</f>
        <v>0</v>
      </c>
      <c r="M752" s="7">
        <f t="shared" si="57"/>
        <v>0</v>
      </c>
      <c r="N752" s="6">
        <f>IFERROR(VLOOKUP($A752,#REF!,MATCH(#REF!,#REF!,0),0),0)</f>
        <v>0</v>
      </c>
      <c r="O752" s="7">
        <f t="shared" si="58"/>
        <v>0</v>
      </c>
      <c r="P752" s="10" t="str">
        <f>IFERROR(VLOOKUP($A752,[1]FINAL!$A$1:$BZ$1000,MATCH([1]FINAL!$BB$1,[1]FINAL!$A$1:$BZ$1,0),0),"")</f>
        <v/>
      </c>
      <c r="Q752" s="18">
        <f t="shared" si="59"/>
        <v>1</v>
      </c>
    </row>
    <row r="753" spans="1:17" x14ac:dyDescent="0.25">
      <c r="A753" s="14">
        <f>[1]FINAL!$A751</f>
        <v>0</v>
      </c>
      <c r="B753" s="20" t="str">
        <f>IFERROR(VLOOKUP($A753,[1]FINAL!$A$1:$Z$1000,MATCH([1]FINAL!$T$1,[1]FINAL!$A$1:$Z$1,0),0),"")</f>
        <v/>
      </c>
      <c r="C753" s="3" t="str">
        <f>IFERROR(VLOOKUP($A753,[1]FINAL!$A$1:$Z$1000,MATCH([1]FINAL!$U$1,[1]FINAL!$A$1:$Z$1,0),0),"")</f>
        <v/>
      </c>
      <c r="D753" s="3" t="str">
        <f>IFERROR(VLOOKUP($A753,[1]FINAL!$A$1:$Z$1000,MATCH([1]FINAL!$V$1,[1]FINAL!$A$1:$Z$1,0),0),"")</f>
        <v/>
      </c>
      <c r="E753" s="6">
        <f t="shared" si="55"/>
        <v>0</v>
      </c>
      <c r="F753" s="5">
        <f t="shared" si="56"/>
        <v>0</v>
      </c>
      <c r="G753" s="5">
        <f>IFERROR(IF(H753&lt;&gt;"",H753,VLOOKUP($A753,[1]FINAL!$A$1:$BZ$1000,MATCH([1]FINAL!$BL$1,[1]FINAL!$A$1:$BZ$1,0),0)),0)</f>
        <v>0</v>
      </c>
      <c r="I753" s="5">
        <f>IFERROR(IF(J753&lt;&gt;"",J753,(IF(VLOOKUP($A753,#REF!,MATCH(#REF!,#REF!,0),0)=0,G753,VLOOKUP($A753,#REF!,MATCH(#REF!,#REF!,0),0)))),G753)</f>
        <v>0</v>
      </c>
      <c r="K753" s="6">
        <f>IFERROR(VLOOKUP($A753,#REF!,MATCH(#REF!,#REF!,0),0),0)</f>
        <v>0</v>
      </c>
      <c r="L753" s="6">
        <f>IFERROR(VLOOKUP($A753,[1]FINAL!$A$1:$BZ$1000,MATCH([1]FINAL!$BF$1,[1]FINAL!$A$1:$BZ$1,0),0),0)</f>
        <v>0</v>
      </c>
      <c r="M753" s="7">
        <f t="shared" si="57"/>
        <v>0</v>
      </c>
      <c r="N753" s="6">
        <f>IFERROR(VLOOKUP($A753,#REF!,MATCH(#REF!,#REF!,0),0),0)</f>
        <v>0</v>
      </c>
      <c r="O753" s="7">
        <f t="shared" si="58"/>
        <v>0</v>
      </c>
      <c r="P753" s="10" t="str">
        <f>IFERROR(VLOOKUP($A753,[1]FINAL!$A$1:$BZ$1000,MATCH([1]FINAL!$BB$1,[1]FINAL!$A$1:$BZ$1,0),0),"")</f>
        <v/>
      </c>
      <c r="Q753" s="18">
        <f t="shared" si="59"/>
        <v>1</v>
      </c>
    </row>
    <row r="754" spans="1:17" x14ac:dyDescent="0.25">
      <c r="A754" s="14">
        <f>[1]FINAL!$A752</f>
        <v>0</v>
      </c>
      <c r="B754" s="20" t="str">
        <f>IFERROR(VLOOKUP($A754,[1]FINAL!$A$1:$Z$1000,MATCH([1]FINAL!$T$1,[1]FINAL!$A$1:$Z$1,0),0),"")</f>
        <v/>
      </c>
      <c r="C754" s="3" t="str">
        <f>IFERROR(VLOOKUP($A754,[1]FINAL!$A$1:$Z$1000,MATCH([1]FINAL!$U$1,[1]FINAL!$A$1:$Z$1,0),0),"")</f>
        <v/>
      </c>
      <c r="D754" s="3" t="str">
        <f>IFERROR(VLOOKUP($A754,[1]FINAL!$A$1:$Z$1000,MATCH([1]FINAL!$V$1,[1]FINAL!$A$1:$Z$1,0),0),"")</f>
        <v/>
      </c>
      <c r="E754" s="6">
        <f t="shared" si="55"/>
        <v>0</v>
      </c>
      <c r="F754" s="5">
        <f t="shared" si="56"/>
        <v>0</v>
      </c>
      <c r="G754" s="5">
        <f>IFERROR(IF(H754&lt;&gt;"",H754,VLOOKUP($A754,[1]FINAL!$A$1:$BZ$1000,MATCH([1]FINAL!$BL$1,[1]FINAL!$A$1:$BZ$1,0),0)),0)</f>
        <v>0</v>
      </c>
      <c r="I754" s="5">
        <f>IFERROR(IF(J754&lt;&gt;"",J754,(IF(VLOOKUP($A754,#REF!,MATCH(#REF!,#REF!,0),0)=0,G754,VLOOKUP($A754,#REF!,MATCH(#REF!,#REF!,0),0)))),G754)</f>
        <v>0</v>
      </c>
      <c r="K754" s="6">
        <f>IFERROR(VLOOKUP($A754,#REF!,MATCH(#REF!,#REF!,0),0),0)</f>
        <v>0</v>
      </c>
      <c r="L754" s="6">
        <f>IFERROR(VLOOKUP($A754,[1]FINAL!$A$1:$BZ$1000,MATCH([1]FINAL!$BF$1,[1]FINAL!$A$1:$BZ$1,0),0),0)</f>
        <v>0</v>
      </c>
      <c r="M754" s="7">
        <f t="shared" si="57"/>
        <v>0</v>
      </c>
      <c r="N754" s="6">
        <f>IFERROR(VLOOKUP($A754,#REF!,MATCH(#REF!,#REF!,0),0),0)</f>
        <v>0</v>
      </c>
      <c r="O754" s="7">
        <f t="shared" si="58"/>
        <v>0</v>
      </c>
      <c r="P754" s="10" t="str">
        <f>IFERROR(VLOOKUP($A754,[1]FINAL!$A$1:$BZ$1000,MATCH([1]FINAL!$BB$1,[1]FINAL!$A$1:$BZ$1,0),0),"")</f>
        <v/>
      </c>
      <c r="Q754" s="18">
        <f t="shared" si="59"/>
        <v>1</v>
      </c>
    </row>
    <row r="755" spans="1:17" x14ac:dyDescent="0.25">
      <c r="A755" s="14">
        <f>[1]FINAL!$A753</f>
        <v>0</v>
      </c>
      <c r="B755" s="20" t="str">
        <f>IFERROR(VLOOKUP($A755,[1]FINAL!$A$1:$Z$1000,MATCH([1]FINAL!$T$1,[1]FINAL!$A$1:$Z$1,0),0),"")</f>
        <v/>
      </c>
      <c r="C755" s="3" t="str">
        <f>IFERROR(VLOOKUP($A755,[1]FINAL!$A$1:$Z$1000,MATCH([1]FINAL!$U$1,[1]FINAL!$A$1:$Z$1,0),0),"")</f>
        <v/>
      </c>
      <c r="D755" s="3" t="str">
        <f>IFERROR(VLOOKUP($A755,[1]FINAL!$A$1:$Z$1000,MATCH([1]FINAL!$V$1,[1]FINAL!$A$1:$Z$1,0),0),"")</f>
        <v/>
      </c>
      <c r="E755" s="6">
        <f t="shared" si="55"/>
        <v>0</v>
      </c>
      <c r="F755" s="5">
        <f t="shared" si="56"/>
        <v>0</v>
      </c>
      <c r="G755" s="5">
        <f>IFERROR(IF(H755&lt;&gt;"",H755,VLOOKUP($A755,[1]FINAL!$A$1:$BZ$1000,MATCH([1]FINAL!$BL$1,[1]FINAL!$A$1:$BZ$1,0),0)),0)</f>
        <v>0</v>
      </c>
      <c r="I755" s="5">
        <f>IFERROR(IF(J755&lt;&gt;"",J755,(IF(VLOOKUP($A755,#REF!,MATCH(#REF!,#REF!,0),0)=0,G755,VLOOKUP($A755,#REF!,MATCH(#REF!,#REF!,0),0)))),G755)</f>
        <v>0</v>
      </c>
      <c r="K755" s="6">
        <f>IFERROR(VLOOKUP($A755,#REF!,MATCH(#REF!,#REF!,0),0),0)</f>
        <v>0</v>
      </c>
      <c r="L755" s="6">
        <f>IFERROR(VLOOKUP($A755,[1]FINAL!$A$1:$BZ$1000,MATCH([1]FINAL!$BF$1,[1]FINAL!$A$1:$BZ$1,0),0),0)</f>
        <v>0</v>
      </c>
      <c r="M755" s="7">
        <f t="shared" si="57"/>
        <v>0</v>
      </c>
      <c r="N755" s="6">
        <f>IFERROR(VLOOKUP($A755,#REF!,MATCH(#REF!,#REF!,0),0),0)</f>
        <v>0</v>
      </c>
      <c r="O755" s="7">
        <f t="shared" si="58"/>
        <v>0</v>
      </c>
      <c r="P755" s="10" t="str">
        <f>IFERROR(VLOOKUP($A755,[1]FINAL!$A$1:$BZ$1000,MATCH([1]FINAL!$BB$1,[1]FINAL!$A$1:$BZ$1,0),0),"")</f>
        <v/>
      </c>
      <c r="Q755" s="18">
        <f t="shared" si="59"/>
        <v>1</v>
      </c>
    </row>
    <row r="756" spans="1:17" x14ac:dyDescent="0.25">
      <c r="A756" s="14">
        <f>[1]FINAL!$A754</f>
        <v>0</v>
      </c>
      <c r="B756" s="20" t="str">
        <f>IFERROR(VLOOKUP($A756,[1]FINAL!$A$1:$Z$1000,MATCH([1]FINAL!$T$1,[1]FINAL!$A$1:$Z$1,0),0),"")</f>
        <v/>
      </c>
      <c r="C756" s="3" t="str">
        <f>IFERROR(VLOOKUP($A756,[1]FINAL!$A$1:$Z$1000,MATCH([1]FINAL!$U$1,[1]FINAL!$A$1:$Z$1,0),0),"")</f>
        <v/>
      </c>
      <c r="D756" s="3" t="str">
        <f>IFERROR(VLOOKUP($A756,[1]FINAL!$A$1:$Z$1000,MATCH([1]FINAL!$V$1,[1]FINAL!$A$1:$Z$1,0),0),"")</f>
        <v/>
      </c>
      <c r="E756" s="6">
        <f t="shared" si="55"/>
        <v>0</v>
      </c>
      <c r="F756" s="5">
        <f t="shared" si="56"/>
        <v>0</v>
      </c>
      <c r="G756" s="5">
        <f>IFERROR(IF(H756&lt;&gt;"",H756,VLOOKUP($A756,[1]FINAL!$A$1:$BZ$1000,MATCH([1]FINAL!$BL$1,[1]FINAL!$A$1:$BZ$1,0),0)),0)</f>
        <v>0</v>
      </c>
      <c r="I756" s="5">
        <f>IFERROR(IF(J756&lt;&gt;"",J756,(IF(VLOOKUP($A756,#REF!,MATCH(#REF!,#REF!,0),0)=0,G756,VLOOKUP($A756,#REF!,MATCH(#REF!,#REF!,0),0)))),G756)</f>
        <v>0</v>
      </c>
      <c r="K756" s="6">
        <f>IFERROR(VLOOKUP($A756,#REF!,MATCH(#REF!,#REF!,0),0),0)</f>
        <v>0</v>
      </c>
      <c r="L756" s="6">
        <f>IFERROR(VLOOKUP($A756,[1]FINAL!$A$1:$BZ$1000,MATCH([1]FINAL!$BF$1,[1]FINAL!$A$1:$BZ$1,0),0),0)</f>
        <v>0</v>
      </c>
      <c r="M756" s="7">
        <f t="shared" si="57"/>
        <v>0</v>
      </c>
      <c r="N756" s="6">
        <f>IFERROR(VLOOKUP($A756,#REF!,MATCH(#REF!,#REF!,0),0),0)</f>
        <v>0</v>
      </c>
      <c r="O756" s="7">
        <f t="shared" si="58"/>
        <v>0</v>
      </c>
      <c r="P756" s="10" t="str">
        <f>IFERROR(VLOOKUP($A756,[1]FINAL!$A$1:$BZ$1000,MATCH([1]FINAL!$BB$1,[1]FINAL!$A$1:$BZ$1,0),0),"")</f>
        <v/>
      </c>
      <c r="Q756" s="18">
        <f t="shared" si="59"/>
        <v>1</v>
      </c>
    </row>
    <row r="757" spans="1:17" x14ac:dyDescent="0.25">
      <c r="A757" s="14">
        <f>[1]FINAL!$A755</f>
        <v>0</v>
      </c>
      <c r="B757" s="20" t="str">
        <f>IFERROR(VLOOKUP($A757,[1]FINAL!$A$1:$Z$1000,MATCH([1]FINAL!$T$1,[1]FINAL!$A$1:$Z$1,0),0),"")</f>
        <v/>
      </c>
      <c r="C757" s="3" t="str">
        <f>IFERROR(VLOOKUP($A757,[1]FINAL!$A$1:$Z$1000,MATCH([1]FINAL!$U$1,[1]FINAL!$A$1:$Z$1,0),0),"")</f>
        <v/>
      </c>
      <c r="D757" s="3" t="str">
        <f>IFERROR(VLOOKUP($A757,[1]FINAL!$A$1:$Z$1000,MATCH([1]FINAL!$V$1,[1]FINAL!$A$1:$Z$1,0),0),"")</f>
        <v/>
      </c>
      <c r="E757" s="6">
        <f t="shared" si="55"/>
        <v>0</v>
      </c>
      <c r="F757" s="5">
        <f t="shared" si="56"/>
        <v>0</v>
      </c>
      <c r="G757" s="5">
        <f>IFERROR(IF(H757&lt;&gt;"",H757,VLOOKUP($A757,[1]FINAL!$A$1:$BZ$1000,MATCH([1]FINAL!$BL$1,[1]FINAL!$A$1:$BZ$1,0),0)),0)</f>
        <v>0</v>
      </c>
      <c r="I757" s="5">
        <f>IFERROR(IF(J757&lt;&gt;"",J757,(IF(VLOOKUP($A757,#REF!,MATCH(#REF!,#REF!,0),0)=0,G757,VLOOKUP($A757,#REF!,MATCH(#REF!,#REF!,0),0)))),G757)</f>
        <v>0</v>
      </c>
      <c r="K757" s="6">
        <f>IFERROR(VLOOKUP($A757,#REF!,MATCH(#REF!,#REF!,0),0),0)</f>
        <v>0</v>
      </c>
      <c r="L757" s="6">
        <f>IFERROR(VLOOKUP($A757,[1]FINAL!$A$1:$BZ$1000,MATCH([1]FINAL!$BF$1,[1]FINAL!$A$1:$BZ$1,0),0),0)</f>
        <v>0</v>
      </c>
      <c r="M757" s="7">
        <f t="shared" si="57"/>
        <v>0</v>
      </c>
      <c r="N757" s="6">
        <f>IFERROR(VLOOKUP($A757,#REF!,MATCH(#REF!,#REF!,0),0),0)</f>
        <v>0</v>
      </c>
      <c r="O757" s="7">
        <f t="shared" si="58"/>
        <v>0</v>
      </c>
      <c r="P757" s="10" t="str">
        <f>IFERROR(VLOOKUP($A757,[1]FINAL!$A$1:$BZ$1000,MATCH([1]FINAL!$BB$1,[1]FINAL!$A$1:$BZ$1,0),0),"")</f>
        <v/>
      </c>
      <c r="Q757" s="18">
        <f t="shared" si="59"/>
        <v>1</v>
      </c>
    </row>
    <row r="758" spans="1:17" x14ac:dyDescent="0.25">
      <c r="A758" s="14">
        <f>[1]FINAL!$A756</f>
        <v>0</v>
      </c>
      <c r="B758" s="20" t="str">
        <f>IFERROR(VLOOKUP($A758,[1]FINAL!$A$1:$Z$1000,MATCH([1]FINAL!$T$1,[1]FINAL!$A$1:$Z$1,0),0),"")</f>
        <v/>
      </c>
      <c r="C758" s="3" t="str">
        <f>IFERROR(VLOOKUP($A758,[1]FINAL!$A$1:$Z$1000,MATCH([1]FINAL!$U$1,[1]FINAL!$A$1:$Z$1,0),0),"")</f>
        <v/>
      </c>
      <c r="D758" s="3" t="str">
        <f>IFERROR(VLOOKUP($A758,[1]FINAL!$A$1:$Z$1000,MATCH([1]FINAL!$V$1,[1]FINAL!$A$1:$Z$1,0),0),"")</f>
        <v/>
      </c>
      <c r="E758" s="6">
        <f t="shared" si="55"/>
        <v>0</v>
      </c>
      <c r="F758" s="5">
        <f t="shared" si="56"/>
        <v>0</v>
      </c>
      <c r="G758" s="5">
        <f>IFERROR(IF(H758&lt;&gt;"",H758,VLOOKUP($A758,[1]FINAL!$A$1:$BZ$1000,MATCH([1]FINAL!$BL$1,[1]FINAL!$A$1:$BZ$1,0),0)),0)</f>
        <v>0</v>
      </c>
      <c r="I758" s="5">
        <f>IFERROR(IF(J758&lt;&gt;"",J758,(IF(VLOOKUP($A758,#REF!,MATCH(#REF!,#REF!,0),0)=0,G758,VLOOKUP($A758,#REF!,MATCH(#REF!,#REF!,0),0)))),G758)</f>
        <v>0</v>
      </c>
      <c r="K758" s="6">
        <f>IFERROR(VLOOKUP($A758,#REF!,MATCH(#REF!,#REF!,0),0),0)</f>
        <v>0</v>
      </c>
      <c r="L758" s="6">
        <f>IFERROR(VLOOKUP($A758,[1]FINAL!$A$1:$BZ$1000,MATCH([1]FINAL!$BF$1,[1]FINAL!$A$1:$BZ$1,0),0),0)</f>
        <v>0</v>
      </c>
      <c r="M758" s="7">
        <f t="shared" si="57"/>
        <v>0</v>
      </c>
      <c r="N758" s="6">
        <f>IFERROR(VLOOKUP($A758,#REF!,MATCH(#REF!,#REF!,0),0),0)</f>
        <v>0</v>
      </c>
      <c r="O758" s="7">
        <f t="shared" si="58"/>
        <v>0</v>
      </c>
      <c r="P758" s="10" t="str">
        <f>IFERROR(VLOOKUP($A758,[1]FINAL!$A$1:$BZ$1000,MATCH([1]FINAL!$BB$1,[1]FINAL!$A$1:$BZ$1,0),0),"")</f>
        <v/>
      </c>
      <c r="Q758" s="18">
        <f t="shared" si="59"/>
        <v>1</v>
      </c>
    </row>
    <row r="759" spans="1:17" x14ac:dyDescent="0.25">
      <c r="A759" s="14">
        <f>[1]FINAL!$A757</f>
        <v>0</v>
      </c>
      <c r="B759" s="20" t="str">
        <f>IFERROR(VLOOKUP($A759,[1]FINAL!$A$1:$Z$1000,MATCH([1]FINAL!$T$1,[1]FINAL!$A$1:$Z$1,0),0),"")</f>
        <v/>
      </c>
      <c r="C759" s="3" t="str">
        <f>IFERROR(VLOOKUP($A759,[1]FINAL!$A$1:$Z$1000,MATCH([1]FINAL!$U$1,[1]FINAL!$A$1:$Z$1,0),0),"")</f>
        <v/>
      </c>
      <c r="D759" s="3" t="str">
        <f>IFERROR(VLOOKUP($A759,[1]FINAL!$A$1:$Z$1000,MATCH([1]FINAL!$V$1,[1]FINAL!$A$1:$Z$1,0),0),"")</f>
        <v/>
      </c>
      <c r="E759" s="6">
        <f t="shared" si="55"/>
        <v>0</v>
      </c>
      <c r="F759" s="5">
        <f t="shared" si="56"/>
        <v>0</v>
      </c>
      <c r="G759" s="5">
        <f>IFERROR(IF(H759&lt;&gt;"",H759,VLOOKUP($A759,[1]FINAL!$A$1:$BZ$1000,MATCH([1]FINAL!$BL$1,[1]FINAL!$A$1:$BZ$1,0),0)),0)</f>
        <v>0</v>
      </c>
      <c r="I759" s="5">
        <f>IFERROR(IF(J759&lt;&gt;"",J759,(IF(VLOOKUP($A759,#REF!,MATCH(#REF!,#REF!,0),0)=0,G759,VLOOKUP($A759,#REF!,MATCH(#REF!,#REF!,0),0)))),G759)</f>
        <v>0</v>
      </c>
      <c r="K759" s="6">
        <f>IFERROR(VLOOKUP($A759,#REF!,MATCH(#REF!,#REF!,0),0),0)</f>
        <v>0</v>
      </c>
      <c r="L759" s="6">
        <f>IFERROR(VLOOKUP($A759,[1]FINAL!$A$1:$BZ$1000,MATCH([1]FINAL!$BF$1,[1]FINAL!$A$1:$BZ$1,0),0),0)</f>
        <v>0</v>
      </c>
      <c r="M759" s="7">
        <f t="shared" si="57"/>
        <v>0</v>
      </c>
      <c r="N759" s="6">
        <f>IFERROR(VLOOKUP($A759,#REF!,MATCH(#REF!,#REF!,0),0),0)</f>
        <v>0</v>
      </c>
      <c r="O759" s="7">
        <f t="shared" si="58"/>
        <v>0</v>
      </c>
      <c r="P759" s="10" t="str">
        <f>IFERROR(VLOOKUP($A759,[1]FINAL!$A$1:$BZ$1000,MATCH([1]FINAL!$BB$1,[1]FINAL!$A$1:$BZ$1,0),0),"")</f>
        <v/>
      </c>
      <c r="Q759" s="18">
        <f t="shared" si="59"/>
        <v>1</v>
      </c>
    </row>
    <row r="760" spans="1:17" x14ac:dyDescent="0.25">
      <c r="A760" s="14">
        <f>[1]FINAL!$A758</f>
        <v>0</v>
      </c>
      <c r="B760" s="20" t="str">
        <f>IFERROR(VLOOKUP($A760,[1]FINAL!$A$1:$Z$1000,MATCH([1]FINAL!$T$1,[1]FINAL!$A$1:$Z$1,0),0),"")</f>
        <v/>
      </c>
      <c r="C760" s="3" t="str">
        <f>IFERROR(VLOOKUP($A760,[1]FINAL!$A$1:$Z$1000,MATCH([1]FINAL!$U$1,[1]FINAL!$A$1:$Z$1,0),0),"")</f>
        <v/>
      </c>
      <c r="D760" s="3" t="str">
        <f>IFERROR(VLOOKUP($A760,[1]FINAL!$A$1:$Z$1000,MATCH([1]FINAL!$V$1,[1]FINAL!$A$1:$Z$1,0),0),"")</f>
        <v/>
      </c>
      <c r="E760" s="6">
        <f t="shared" si="55"/>
        <v>0</v>
      </c>
      <c r="F760" s="5">
        <f t="shared" si="56"/>
        <v>0</v>
      </c>
      <c r="G760" s="5">
        <f>IFERROR(IF(H760&lt;&gt;"",H760,VLOOKUP($A760,[1]FINAL!$A$1:$BZ$1000,MATCH([1]FINAL!$BL$1,[1]FINAL!$A$1:$BZ$1,0),0)),0)</f>
        <v>0</v>
      </c>
      <c r="I760" s="5">
        <f>IFERROR(IF(J760&lt;&gt;"",J760,(IF(VLOOKUP($A760,#REF!,MATCH(#REF!,#REF!,0),0)=0,G760,VLOOKUP($A760,#REF!,MATCH(#REF!,#REF!,0),0)))),G760)</f>
        <v>0</v>
      </c>
      <c r="K760" s="6">
        <f>IFERROR(VLOOKUP($A760,#REF!,MATCH(#REF!,#REF!,0),0),0)</f>
        <v>0</v>
      </c>
      <c r="L760" s="6">
        <f>IFERROR(VLOOKUP($A760,[1]FINAL!$A$1:$BZ$1000,MATCH([1]FINAL!$BF$1,[1]FINAL!$A$1:$BZ$1,0),0),0)</f>
        <v>0</v>
      </c>
      <c r="M760" s="7">
        <f t="shared" si="57"/>
        <v>0</v>
      </c>
      <c r="N760" s="6">
        <f>IFERROR(VLOOKUP($A760,#REF!,MATCH(#REF!,#REF!,0),0),0)</f>
        <v>0</v>
      </c>
      <c r="O760" s="7">
        <f t="shared" si="58"/>
        <v>0</v>
      </c>
      <c r="P760" s="10" t="str">
        <f>IFERROR(VLOOKUP($A760,[1]FINAL!$A$1:$BZ$1000,MATCH([1]FINAL!$BB$1,[1]FINAL!$A$1:$BZ$1,0),0),"")</f>
        <v/>
      </c>
      <c r="Q760" s="18">
        <f t="shared" si="59"/>
        <v>1</v>
      </c>
    </row>
    <row r="761" spans="1:17" x14ac:dyDescent="0.25">
      <c r="A761" s="14">
        <f>[1]FINAL!$A759</f>
        <v>0</v>
      </c>
      <c r="B761" s="20" t="str">
        <f>IFERROR(VLOOKUP($A761,[1]FINAL!$A$1:$Z$1000,MATCH([1]FINAL!$T$1,[1]FINAL!$A$1:$Z$1,0),0),"")</f>
        <v/>
      </c>
      <c r="C761" s="3" t="str">
        <f>IFERROR(VLOOKUP($A761,[1]FINAL!$A$1:$Z$1000,MATCH([1]FINAL!$U$1,[1]FINAL!$A$1:$Z$1,0),0),"")</f>
        <v/>
      </c>
      <c r="D761" s="3" t="str">
        <f>IFERROR(VLOOKUP($A761,[1]FINAL!$A$1:$Z$1000,MATCH([1]FINAL!$V$1,[1]FINAL!$A$1:$Z$1,0),0),"")</f>
        <v/>
      </c>
      <c r="E761" s="6">
        <f t="shared" si="55"/>
        <v>0</v>
      </c>
      <c r="F761" s="5">
        <f t="shared" si="56"/>
        <v>0</v>
      </c>
      <c r="G761" s="5">
        <f>IFERROR(IF(H761&lt;&gt;"",H761,VLOOKUP($A761,[1]FINAL!$A$1:$BZ$1000,MATCH([1]FINAL!$BL$1,[1]FINAL!$A$1:$BZ$1,0),0)),0)</f>
        <v>0</v>
      </c>
      <c r="I761" s="5">
        <f>IFERROR(IF(J761&lt;&gt;"",J761,(IF(VLOOKUP($A761,#REF!,MATCH(#REF!,#REF!,0),0)=0,G761,VLOOKUP($A761,#REF!,MATCH(#REF!,#REF!,0),0)))),G761)</f>
        <v>0</v>
      </c>
      <c r="K761" s="6">
        <f>IFERROR(VLOOKUP($A761,#REF!,MATCH(#REF!,#REF!,0),0),0)</f>
        <v>0</v>
      </c>
      <c r="L761" s="6">
        <f>IFERROR(VLOOKUP($A761,[1]FINAL!$A$1:$BZ$1000,MATCH([1]FINAL!$BF$1,[1]FINAL!$A$1:$BZ$1,0),0),0)</f>
        <v>0</v>
      </c>
      <c r="M761" s="7">
        <f t="shared" si="57"/>
        <v>0</v>
      </c>
      <c r="N761" s="6">
        <f>IFERROR(VLOOKUP($A761,#REF!,MATCH(#REF!,#REF!,0),0),0)</f>
        <v>0</v>
      </c>
      <c r="O761" s="7">
        <f t="shared" si="58"/>
        <v>0</v>
      </c>
      <c r="P761" s="10" t="str">
        <f>IFERROR(VLOOKUP($A761,[1]FINAL!$A$1:$BZ$1000,MATCH([1]FINAL!$BB$1,[1]FINAL!$A$1:$BZ$1,0),0),"")</f>
        <v/>
      </c>
      <c r="Q761" s="18">
        <f t="shared" si="59"/>
        <v>1</v>
      </c>
    </row>
    <row r="762" spans="1:17" x14ac:dyDescent="0.25">
      <c r="A762" s="14">
        <f>[1]FINAL!$A760</f>
        <v>0</v>
      </c>
      <c r="B762" s="20" t="str">
        <f>IFERROR(VLOOKUP($A762,[1]FINAL!$A$1:$Z$1000,MATCH([1]FINAL!$T$1,[1]FINAL!$A$1:$Z$1,0),0),"")</f>
        <v/>
      </c>
      <c r="C762" s="3" t="str">
        <f>IFERROR(VLOOKUP($A762,[1]FINAL!$A$1:$Z$1000,MATCH([1]FINAL!$U$1,[1]FINAL!$A$1:$Z$1,0),0),"")</f>
        <v/>
      </c>
      <c r="D762" s="3" t="str">
        <f>IFERROR(VLOOKUP($A762,[1]FINAL!$A$1:$Z$1000,MATCH([1]FINAL!$V$1,[1]FINAL!$A$1:$Z$1,0),0),"")</f>
        <v/>
      </c>
      <c r="E762" s="6">
        <f t="shared" si="55"/>
        <v>0</v>
      </c>
      <c r="F762" s="5">
        <f t="shared" si="56"/>
        <v>0</v>
      </c>
      <c r="G762" s="5">
        <f>IFERROR(IF(H762&lt;&gt;"",H762,VLOOKUP($A762,[1]FINAL!$A$1:$BZ$1000,MATCH([1]FINAL!$BL$1,[1]FINAL!$A$1:$BZ$1,0),0)),0)</f>
        <v>0</v>
      </c>
      <c r="I762" s="5">
        <f>IFERROR(IF(J762&lt;&gt;"",J762,(IF(VLOOKUP($A762,#REF!,MATCH(#REF!,#REF!,0),0)=0,G762,VLOOKUP($A762,#REF!,MATCH(#REF!,#REF!,0),0)))),G762)</f>
        <v>0</v>
      </c>
      <c r="K762" s="6">
        <f>IFERROR(VLOOKUP($A762,#REF!,MATCH(#REF!,#REF!,0),0),0)</f>
        <v>0</v>
      </c>
      <c r="L762" s="6">
        <f>IFERROR(VLOOKUP($A762,[1]FINAL!$A$1:$BZ$1000,MATCH([1]FINAL!$BF$1,[1]FINAL!$A$1:$BZ$1,0),0),0)</f>
        <v>0</v>
      </c>
      <c r="M762" s="7">
        <f t="shared" si="57"/>
        <v>0</v>
      </c>
      <c r="N762" s="6">
        <f>IFERROR(VLOOKUP($A762,#REF!,MATCH(#REF!,#REF!,0),0),0)</f>
        <v>0</v>
      </c>
      <c r="O762" s="7">
        <f t="shared" si="58"/>
        <v>0</v>
      </c>
      <c r="P762" s="10" t="str">
        <f>IFERROR(VLOOKUP($A762,[1]FINAL!$A$1:$BZ$1000,MATCH([1]FINAL!$BB$1,[1]FINAL!$A$1:$BZ$1,0),0),"")</f>
        <v/>
      </c>
      <c r="Q762" s="18">
        <f t="shared" si="59"/>
        <v>1</v>
      </c>
    </row>
    <row r="763" spans="1:17" x14ac:dyDescent="0.25">
      <c r="A763" s="14">
        <f>[1]FINAL!$A761</f>
        <v>0</v>
      </c>
      <c r="B763" s="20" t="str">
        <f>IFERROR(VLOOKUP($A763,[1]FINAL!$A$1:$Z$1000,MATCH([1]FINAL!$T$1,[1]FINAL!$A$1:$Z$1,0),0),"")</f>
        <v/>
      </c>
      <c r="C763" s="3" t="str">
        <f>IFERROR(VLOOKUP($A763,[1]FINAL!$A$1:$Z$1000,MATCH([1]FINAL!$U$1,[1]FINAL!$A$1:$Z$1,0),0),"")</f>
        <v/>
      </c>
      <c r="D763" s="3" t="str">
        <f>IFERROR(VLOOKUP($A763,[1]FINAL!$A$1:$Z$1000,MATCH([1]FINAL!$V$1,[1]FINAL!$A$1:$Z$1,0),0),"")</f>
        <v/>
      </c>
      <c r="E763" s="6">
        <f t="shared" si="55"/>
        <v>0</v>
      </c>
      <c r="F763" s="5">
        <f t="shared" si="56"/>
        <v>0</v>
      </c>
      <c r="G763" s="5">
        <f>IFERROR(IF(H763&lt;&gt;"",H763,VLOOKUP($A763,[1]FINAL!$A$1:$BZ$1000,MATCH([1]FINAL!$BL$1,[1]FINAL!$A$1:$BZ$1,0),0)),0)</f>
        <v>0</v>
      </c>
      <c r="I763" s="5">
        <f>IFERROR(IF(J763&lt;&gt;"",J763,(IF(VLOOKUP($A763,#REF!,MATCH(#REF!,#REF!,0),0)=0,G763,VLOOKUP($A763,#REF!,MATCH(#REF!,#REF!,0),0)))),G763)</f>
        <v>0</v>
      </c>
      <c r="K763" s="6">
        <f>IFERROR(VLOOKUP($A763,#REF!,MATCH(#REF!,#REF!,0),0),0)</f>
        <v>0</v>
      </c>
      <c r="L763" s="6">
        <f>IFERROR(VLOOKUP($A763,[1]FINAL!$A$1:$BZ$1000,MATCH([1]FINAL!$BF$1,[1]FINAL!$A$1:$BZ$1,0),0),0)</f>
        <v>0</v>
      </c>
      <c r="M763" s="7">
        <f t="shared" si="57"/>
        <v>0</v>
      </c>
      <c r="N763" s="6">
        <f>IFERROR(VLOOKUP($A763,#REF!,MATCH(#REF!,#REF!,0),0),0)</f>
        <v>0</v>
      </c>
      <c r="O763" s="7">
        <f t="shared" si="58"/>
        <v>0</v>
      </c>
      <c r="P763" s="10" t="str">
        <f>IFERROR(VLOOKUP($A763,[1]FINAL!$A$1:$BZ$1000,MATCH([1]FINAL!$BB$1,[1]FINAL!$A$1:$BZ$1,0),0),"")</f>
        <v/>
      </c>
      <c r="Q763" s="18">
        <f t="shared" si="59"/>
        <v>1</v>
      </c>
    </row>
    <row r="764" spans="1:17" x14ac:dyDescent="0.25">
      <c r="A764" s="14">
        <f>[1]FINAL!$A762</f>
        <v>0</v>
      </c>
      <c r="B764" s="20" t="str">
        <f>IFERROR(VLOOKUP($A764,[1]FINAL!$A$1:$Z$1000,MATCH([1]FINAL!$T$1,[1]FINAL!$A$1:$Z$1,0),0),"")</f>
        <v/>
      </c>
      <c r="C764" s="3" t="str">
        <f>IFERROR(VLOOKUP($A764,[1]FINAL!$A$1:$Z$1000,MATCH([1]FINAL!$U$1,[1]FINAL!$A$1:$Z$1,0),0),"")</f>
        <v/>
      </c>
      <c r="D764" s="3" t="str">
        <f>IFERROR(VLOOKUP($A764,[1]FINAL!$A$1:$Z$1000,MATCH([1]FINAL!$V$1,[1]FINAL!$A$1:$Z$1,0),0),"")</f>
        <v/>
      </c>
      <c r="E764" s="6">
        <f t="shared" si="55"/>
        <v>0</v>
      </c>
      <c r="F764" s="5">
        <f t="shared" si="56"/>
        <v>0</v>
      </c>
      <c r="G764" s="5">
        <f>IFERROR(IF(H764&lt;&gt;"",H764,VLOOKUP($A764,[1]FINAL!$A$1:$BZ$1000,MATCH([1]FINAL!$BL$1,[1]FINAL!$A$1:$BZ$1,0),0)),0)</f>
        <v>0</v>
      </c>
      <c r="I764" s="5">
        <f>IFERROR(IF(J764&lt;&gt;"",J764,(IF(VLOOKUP($A764,#REF!,MATCH(#REF!,#REF!,0),0)=0,G764,VLOOKUP($A764,#REF!,MATCH(#REF!,#REF!,0),0)))),G764)</f>
        <v>0</v>
      </c>
      <c r="K764" s="6">
        <f>IFERROR(VLOOKUP($A764,#REF!,MATCH(#REF!,#REF!,0),0),0)</f>
        <v>0</v>
      </c>
      <c r="L764" s="6">
        <f>IFERROR(VLOOKUP($A764,[1]FINAL!$A$1:$BZ$1000,MATCH([1]FINAL!$BF$1,[1]FINAL!$A$1:$BZ$1,0),0),0)</f>
        <v>0</v>
      </c>
      <c r="M764" s="7">
        <f t="shared" si="57"/>
        <v>0</v>
      </c>
      <c r="N764" s="6">
        <f>IFERROR(VLOOKUP($A764,#REF!,MATCH(#REF!,#REF!,0),0),0)</f>
        <v>0</v>
      </c>
      <c r="O764" s="7">
        <f t="shared" si="58"/>
        <v>0</v>
      </c>
      <c r="P764" s="10" t="str">
        <f>IFERROR(VLOOKUP($A764,[1]FINAL!$A$1:$BZ$1000,MATCH([1]FINAL!$BB$1,[1]FINAL!$A$1:$BZ$1,0),0),"")</f>
        <v/>
      </c>
      <c r="Q764" s="18">
        <f t="shared" si="59"/>
        <v>1</v>
      </c>
    </row>
    <row r="765" spans="1:17" x14ac:dyDescent="0.25">
      <c r="A765" s="14">
        <f>[1]FINAL!$A763</f>
        <v>0</v>
      </c>
      <c r="B765" s="20" t="str">
        <f>IFERROR(VLOOKUP($A765,[1]FINAL!$A$1:$Z$1000,MATCH([1]FINAL!$T$1,[1]FINAL!$A$1:$Z$1,0),0),"")</f>
        <v/>
      </c>
      <c r="C765" s="3" t="str">
        <f>IFERROR(VLOOKUP($A765,[1]FINAL!$A$1:$Z$1000,MATCH([1]FINAL!$U$1,[1]FINAL!$A$1:$Z$1,0),0),"")</f>
        <v/>
      </c>
      <c r="D765" s="3" t="str">
        <f>IFERROR(VLOOKUP($A765,[1]FINAL!$A$1:$Z$1000,MATCH([1]FINAL!$V$1,[1]FINAL!$A$1:$Z$1,0),0),"")</f>
        <v/>
      </c>
      <c r="E765" s="6">
        <f t="shared" si="55"/>
        <v>0</v>
      </c>
      <c r="F765" s="5">
        <f t="shared" si="56"/>
        <v>0</v>
      </c>
      <c r="G765" s="5">
        <f>IFERROR(IF(H765&lt;&gt;"",H765,VLOOKUP($A765,[1]FINAL!$A$1:$BZ$1000,MATCH([1]FINAL!$BL$1,[1]FINAL!$A$1:$BZ$1,0),0)),0)</f>
        <v>0</v>
      </c>
      <c r="I765" s="5">
        <f>IFERROR(IF(J765&lt;&gt;"",J765,(IF(VLOOKUP($A765,#REF!,MATCH(#REF!,#REF!,0),0)=0,G765,VLOOKUP($A765,#REF!,MATCH(#REF!,#REF!,0),0)))),G765)</f>
        <v>0</v>
      </c>
      <c r="K765" s="6">
        <f>IFERROR(VLOOKUP($A765,#REF!,MATCH(#REF!,#REF!,0),0),0)</f>
        <v>0</v>
      </c>
      <c r="L765" s="6">
        <f>IFERROR(VLOOKUP($A765,[1]FINAL!$A$1:$BZ$1000,MATCH([1]FINAL!$BF$1,[1]FINAL!$A$1:$BZ$1,0),0),0)</f>
        <v>0</v>
      </c>
      <c r="M765" s="7">
        <f t="shared" si="57"/>
        <v>0</v>
      </c>
      <c r="N765" s="6">
        <f>IFERROR(VLOOKUP($A765,#REF!,MATCH(#REF!,#REF!,0),0),0)</f>
        <v>0</v>
      </c>
      <c r="O765" s="7">
        <f t="shared" si="58"/>
        <v>0</v>
      </c>
      <c r="P765" s="10" t="str">
        <f>IFERROR(VLOOKUP($A765,[1]FINAL!$A$1:$BZ$1000,MATCH([1]FINAL!$BB$1,[1]FINAL!$A$1:$BZ$1,0),0),"")</f>
        <v/>
      </c>
      <c r="Q765" s="18">
        <f t="shared" si="59"/>
        <v>1</v>
      </c>
    </row>
    <row r="766" spans="1:17" x14ac:dyDescent="0.25">
      <c r="A766" s="14">
        <f>[1]FINAL!$A764</f>
        <v>0</v>
      </c>
      <c r="B766" s="20" t="str">
        <f>IFERROR(VLOOKUP($A766,[1]FINAL!$A$1:$Z$1000,MATCH([1]FINAL!$T$1,[1]FINAL!$A$1:$Z$1,0),0),"")</f>
        <v/>
      </c>
      <c r="C766" s="3" t="str">
        <f>IFERROR(VLOOKUP($A766,[1]FINAL!$A$1:$Z$1000,MATCH([1]FINAL!$U$1,[1]FINAL!$A$1:$Z$1,0),0),"")</f>
        <v/>
      </c>
      <c r="D766" s="3" t="str">
        <f>IFERROR(VLOOKUP($A766,[1]FINAL!$A$1:$Z$1000,MATCH([1]FINAL!$V$1,[1]FINAL!$A$1:$Z$1,0),0),"")</f>
        <v/>
      </c>
      <c r="E766" s="6">
        <f t="shared" si="55"/>
        <v>0</v>
      </c>
      <c r="F766" s="5">
        <f t="shared" si="56"/>
        <v>0</v>
      </c>
      <c r="G766" s="5">
        <f>IFERROR(IF(H766&lt;&gt;"",H766,VLOOKUP($A766,[1]FINAL!$A$1:$BZ$1000,MATCH([1]FINAL!$BL$1,[1]FINAL!$A$1:$BZ$1,0),0)),0)</f>
        <v>0</v>
      </c>
      <c r="I766" s="5">
        <f>IFERROR(IF(J766&lt;&gt;"",J766,(IF(VLOOKUP($A766,#REF!,MATCH(#REF!,#REF!,0),0)=0,G766,VLOOKUP($A766,#REF!,MATCH(#REF!,#REF!,0),0)))),G766)</f>
        <v>0</v>
      </c>
      <c r="K766" s="6">
        <f>IFERROR(VLOOKUP($A766,#REF!,MATCH(#REF!,#REF!,0),0),0)</f>
        <v>0</v>
      </c>
      <c r="L766" s="6">
        <f>IFERROR(VLOOKUP($A766,[1]FINAL!$A$1:$BZ$1000,MATCH([1]FINAL!$BF$1,[1]FINAL!$A$1:$BZ$1,0),0),0)</f>
        <v>0</v>
      </c>
      <c r="M766" s="7">
        <f t="shared" si="57"/>
        <v>0</v>
      </c>
      <c r="N766" s="6">
        <f>IFERROR(VLOOKUP($A766,#REF!,MATCH(#REF!,#REF!,0),0),0)</f>
        <v>0</v>
      </c>
      <c r="O766" s="7">
        <f t="shared" si="58"/>
        <v>0</v>
      </c>
      <c r="P766" s="10" t="str">
        <f>IFERROR(VLOOKUP($A766,[1]FINAL!$A$1:$BZ$1000,MATCH([1]FINAL!$BB$1,[1]FINAL!$A$1:$BZ$1,0),0),"")</f>
        <v/>
      </c>
      <c r="Q766" s="18">
        <f t="shared" si="59"/>
        <v>1</v>
      </c>
    </row>
    <row r="767" spans="1:17" x14ac:dyDescent="0.25">
      <c r="A767" s="14">
        <f>[1]FINAL!$A765</f>
        <v>0</v>
      </c>
      <c r="B767" s="20" t="str">
        <f>IFERROR(VLOOKUP($A767,[1]FINAL!$A$1:$Z$1000,MATCH([1]FINAL!$T$1,[1]FINAL!$A$1:$Z$1,0),0),"")</f>
        <v/>
      </c>
      <c r="C767" s="3" t="str">
        <f>IFERROR(VLOOKUP($A767,[1]FINAL!$A$1:$Z$1000,MATCH([1]FINAL!$U$1,[1]FINAL!$A$1:$Z$1,0),0),"")</f>
        <v/>
      </c>
      <c r="D767" s="3" t="str">
        <f>IFERROR(VLOOKUP($A767,[1]FINAL!$A$1:$Z$1000,MATCH([1]FINAL!$V$1,[1]FINAL!$A$1:$Z$1,0),0),"")</f>
        <v/>
      </c>
      <c r="E767" s="6">
        <f t="shared" si="55"/>
        <v>0</v>
      </c>
      <c r="F767" s="5">
        <f t="shared" si="56"/>
        <v>0</v>
      </c>
      <c r="G767" s="5">
        <f>IFERROR(IF(H767&lt;&gt;"",H767,VLOOKUP($A767,[1]FINAL!$A$1:$BZ$1000,MATCH([1]FINAL!$BL$1,[1]FINAL!$A$1:$BZ$1,0),0)),0)</f>
        <v>0</v>
      </c>
      <c r="I767" s="5">
        <f>IFERROR(IF(J767&lt;&gt;"",J767,(IF(VLOOKUP($A767,#REF!,MATCH(#REF!,#REF!,0),0)=0,G767,VLOOKUP($A767,#REF!,MATCH(#REF!,#REF!,0),0)))),G767)</f>
        <v>0</v>
      </c>
      <c r="K767" s="6">
        <f>IFERROR(VLOOKUP($A767,#REF!,MATCH(#REF!,#REF!,0),0),0)</f>
        <v>0</v>
      </c>
      <c r="L767" s="6">
        <f>IFERROR(VLOOKUP($A767,[1]FINAL!$A$1:$BZ$1000,MATCH([1]FINAL!$BF$1,[1]FINAL!$A$1:$BZ$1,0),0),0)</f>
        <v>0</v>
      </c>
      <c r="M767" s="7">
        <f t="shared" si="57"/>
        <v>0</v>
      </c>
      <c r="N767" s="6">
        <f>IFERROR(VLOOKUP($A767,#REF!,MATCH(#REF!,#REF!,0),0),0)</f>
        <v>0</v>
      </c>
      <c r="O767" s="7">
        <f t="shared" si="58"/>
        <v>0</v>
      </c>
      <c r="P767" s="10" t="str">
        <f>IFERROR(VLOOKUP($A767,[1]FINAL!$A$1:$BZ$1000,MATCH([1]FINAL!$BB$1,[1]FINAL!$A$1:$BZ$1,0),0),"")</f>
        <v/>
      </c>
      <c r="Q767" s="18">
        <f t="shared" si="59"/>
        <v>1</v>
      </c>
    </row>
    <row r="768" spans="1:17" x14ac:dyDescent="0.25">
      <c r="A768" s="14">
        <f>[1]FINAL!$A766</f>
        <v>0</v>
      </c>
      <c r="B768" s="20" t="str">
        <f>IFERROR(VLOOKUP($A768,[1]FINAL!$A$1:$Z$1000,MATCH([1]FINAL!$T$1,[1]FINAL!$A$1:$Z$1,0),0),"")</f>
        <v/>
      </c>
      <c r="C768" s="3" t="str">
        <f>IFERROR(VLOOKUP($A768,[1]FINAL!$A$1:$Z$1000,MATCH([1]FINAL!$U$1,[1]FINAL!$A$1:$Z$1,0),0),"")</f>
        <v/>
      </c>
      <c r="D768" s="3" t="str">
        <f>IFERROR(VLOOKUP($A768,[1]FINAL!$A$1:$Z$1000,MATCH([1]FINAL!$V$1,[1]FINAL!$A$1:$Z$1,0),0),"")</f>
        <v/>
      </c>
      <c r="E768" s="6">
        <f t="shared" si="55"/>
        <v>0</v>
      </c>
      <c r="F768" s="5">
        <f t="shared" si="56"/>
        <v>0</v>
      </c>
      <c r="G768" s="5">
        <f>IFERROR(IF(H768&lt;&gt;"",H768,VLOOKUP($A768,[1]FINAL!$A$1:$BZ$1000,MATCH([1]FINAL!$BL$1,[1]FINAL!$A$1:$BZ$1,0),0)),0)</f>
        <v>0</v>
      </c>
      <c r="I768" s="5">
        <f>IFERROR(IF(J768&lt;&gt;"",J768,(IF(VLOOKUP($A768,#REF!,MATCH(#REF!,#REF!,0),0)=0,G768,VLOOKUP($A768,#REF!,MATCH(#REF!,#REF!,0),0)))),G768)</f>
        <v>0</v>
      </c>
      <c r="K768" s="6">
        <f>IFERROR(VLOOKUP($A768,#REF!,MATCH(#REF!,#REF!,0),0),0)</f>
        <v>0</v>
      </c>
      <c r="L768" s="6">
        <f>IFERROR(VLOOKUP($A768,[1]FINAL!$A$1:$BZ$1000,MATCH([1]FINAL!$BF$1,[1]FINAL!$A$1:$BZ$1,0),0),0)</f>
        <v>0</v>
      </c>
      <c r="M768" s="7">
        <f t="shared" si="57"/>
        <v>0</v>
      </c>
      <c r="N768" s="6">
        <f>IFERROR(VLOOKUP($A768,#REF!,MATCH(#REF!,#REF!,0),0),0)</f>
        <v>0</v>
      </c>
      <c r="O768" s="7">
        <f t="shared" si="58"/>
        <v>0</v>
      </c>
      <c r="P768" s="10" t="str">
        <f>IFERROR(VLOOKUP($A768,[1]FINAL!$A$1:$BZ$1000,MATCH([1]FINAL!$BB$1,[1]FINAL!$A$1:$BZ$1,0),0),"")</f>
        <v/>
      </c>
      <c r="Q768" s="18">
        <f t="shared" si="59"/>
        <v>1</v>
      </c>
    </row>
    <row r="769" spans="1:17" x14ac:dyDescent="0.25">
      <c r="A769" s="14">
        <f>[1]FINAL!$A767</f>
        <v>0</v>
      </c>
      <c r="B769" s="20" t="str">
        <f>IFERROR(VLOOKUP($A769,[1]FINAL!$A$1:$Z$1000,MATCH([1]FINAL!$T$1,[1]FINAL!$A$1:$Z$1,0),0),"")</f>
        <v/>
      </c>
      <c r="C769" s="3" t="str">
        <f>IFERROR(VLOOKUP($A769,[1]FINAL!$A$1:$Z$1000,MATCH([1]FINAL!$U$1,[1]FINAL!$A$1:$Z$1,0),0),"")</f>
        <v/>
      </c>
      <c r="D769" s="3" t="str">
        <f>IFERROR(VLOOKUP($A769,[1]FINAL!$A$1:$Z$1000,MATCH([1]FINAL!$V$1,[1]FINAL!$A$1:$Z$1,0),0),"")</f>
        <v/>
      </c>
      <c r="E769" s="6">
        <f t="shared" si="55"/>
        <v>0</v>
      </c>
      <c r="F769" s="5">
        <f t="shared" si="56"/>
        <v>0</v>
      </c>
      <c r="G769" s="5">
        <f>IFERROR(IF(H769&lt;&gt;"",H769,VLOOKUP($A769,[1]FINAL!$A$1:$BZ$1000,MATCH([1]FINAL!$BL$1,[1]FINAL!$A$1:$BZ$1,0),0)),0)</f>
        <v>0</v>
      </c>
      <c r="I769" s="5">
        <f>IFERROR(IF(J769&lt;&gt;"",J769,(IF(VLOOKUP($A769,#REF!,MATCH(#REF!,#REF!,0),0)=0,G769,VLOOKUP($A769,#REF!,MATCH(#REF!,#REF!,0),0)))),G769)</f>
        <v>0</v>
      </c>
      <c r="K769" s="6">
        <f>IFERROR(VLOOKUP($A769,#REF!,MATCH(#REF!,#REF!,0),0),0)</f>
        <v>0</v>
      </c>
      <c r="L769" s="6">
        <f>IFERROR(VLOOKUP($A769,[1]FINAL!$A$1:$BZ$1000,MATCH([1]FINAL!$BF$1,[1]FINAL!$A$1:$BZ$1,0),0),0)</f>
        <v>0</v>
      </c>
      <c r="M769" s="7">
        <f t="shared" si="57"/>
        <v>0</v>
      </c>
      <c r="N769" s="6">
        <f>IFERROR(VLOOKUP($A769,#REF!,MATCH(#REF!,#REF!,0),0),0)</f>
        <v>0</v>
      </c>
      <c r="O769" s="7">
        <f t="shared" si="58"/>
        <v>0</v>
      </c>
      <c r="P769" s="10" t="str">
        <f>IFERROR(VLOOKUP($A769,[1]FINAL!$A$1:$BZ$1000,MATCH([1]FINAL!$BB$1,[1]FINAL!$A$1:$BZ$1,0),0),"")</f>
        <v/>
      </c>
      <c r="Q769" s="18">
        <f t="shared" si="59"/>
        <v>1</v>
      </c>
    </row>
    <row r="770" spans="1:17" x14ac:dyDescent="0.25">
      <c r="A770" s="14">
        <f>[1]FINAL!$A768</f>
        <v>0</v>
      </c>
      <c r="B770" s="20" t="str">
        <f>IFERROR(VLOOKUP($A770,[1]FINAL!$A$1:$Z$1000,MATCH([1]FINAL!$T$1,[1]FINAL!$A$1:$Z$1,0),0),"")</f>
        <v/>
      </c>
      <c r="C770" s="3" t="str">
        <f>IFERROR(VLOOKUP($A770,[1]FINAL!$A$1:$Z$1000,MATCH([1]FINAL!$U$1,[1]FINAL!$A$1:$Z$1,0),0),"")</f>
        <v/>
      </c>
      <c r="D770" s="3" t="str">
        <f>IFERROR(VLOOKUP($A770,[1]FINAL!$A$1:$Z$1000,MATCH([1]FINAL!$V$1,[1]FINAL!$A$1:$Z$1,0),0),"")</f>
        <v/>
      </c>
      <c r="E770" s="6">
        <f t="shared" ref="E770:E833" si="60">IF($Q$1="ON",((G770*100000)+(I770*100000)+(M770*10000)+(O770*10000)+(K770*10))*Q770,((G770*100000)+(I770*100000)+(M770*10000)+(O770*10000)+(K770*10)))</f>
        <v>0</v>
      </c>
      <c r="F770" s="5">
        <f t="shared" ref="F770:F833" si="61">IFERROR(IF($Q$1="ON",((G770*$W$1)+(I770*$U$1))*Q770,((G770*$W$1)+(I770*$U$1))),0)</f>
        <v>0</v>
      </c>
      <c r="G770" s="5">
        <f>IFERROR(IF(H770&lt;&gt;"",H770,VLOOKUP($A770,[1]FINAL!$A$1:$BZ$1000,MATCH([1]FINAL!$BL$1,[1]FINAL!$A$1:$BZ$1,0),0)),0)</f>
        <v>0</v>
      </c>
      <c r="I770" s="5">
        <f>IFERROR(IF(J770&lt;&gt;"",J770,(IF(VLOOKUP($A770,#REF!,MATCH(#REF!,#REF!,0),0)=0,G770,VLOOKUP($A770,#REF!,MATCH(#REF!,#REF!,0),0)))),G770)</f>
        <v>0</v>
      </c>
      <c r="K770" s="6">
        <f>IFERROR(VLOOKUP($A770,#REF!,MATCH(#REF!,#REF!,0),0),0)</f>
        <v>0</v>
      </c>
      <c r="L770" s="6">
        <f>IFERROR(VLOOKUP($A770,[1]FINAL!$A$1:$BZ$1000,MATCH([1]FINAL!$BF$1,[1]FINAL!$A$1:$BZ$1,0),0),0)</f>
        <v>0</v>
      </c>
      <c r="M770" s="7">
        <f t="shared" ref="M770:M833" si="62">L770/90</f>
        <v>0</v>
      </c>
      <c r="N770" s="6">
        <f>IFERROR(VLOOKUP($A770,#REF!,MATCH(#REF!,#REF!,0),0),0)</f>
        <v>0</v>
      </c>
      <c r="O770" s="7">
        <f t="shared" ref="O770:O833" si="63">N770/90</f>
        <v>0</v>
      </c>
      <c r="P770" s="10" t="str">
        <f>IFERROR(VLOOKUP($A770,[1]FINAL!$A$1:$BZ$1000,MATCH([1]FINAL!$BB$1,[1]FINAL!$A$1:$BZ$1,0),0),"")</f>
        <v/>
      </c>
      <c r="Q770" s="18">
        <f t="shared" ref="Q770:Q833" si="64">IF(P770="",1,IF(P770=0,0.0001,P770/100))</f>
        <v>1</v>
      </c>
    </row>
    <row r="771" spans="1:17" x14ac:dyDescent="0.25">
      <c r="A771" s="14">
        <f>[1]FINAL!$A769</f>
        <v>0</v>
      </c>
      <c r="B771" s="20" t="str">
        <f>IFERROR(VLOOKUP($A771,[1]FINAL!$A$1:$Z$1000,MATCH([1]FINAL!$T$1,[1]FINAL!$A$1:$Z$1,0),0),"")</f>
        <v/>
      </c>
      <c r="C771" s="3" t="str">
        <f>IFERROR(VLOOKUP($A771,[1]FINAL!$A$1:$Z$1000,MATCH([1]FINAL!$U$1,[1]FINAL!$A$1:$Z$1,0),0),"")</f>
        <v/>
      </c>
      <c r="D771" s="3" t="str">
        <f>IFERROR(VLOOKUP($A771,[1]FINAL!$A$1:$Z$1000,MATCH([1]FINAL!$V$1,[1]FINAL!$A$1:$Z$1,0),0),"")</f>
        <v/>
      </c>
      <c r="E771" s="6">
        <f t="shared" si="60"/>
        <v>0</v>
      </c>
      <c r="F771" s="5">
        <f t="shared" si="61"/>
        <v>0</v>
      </c>
      <c r="G771" s="5">
        <f>IFERROR(IF(H771&lt;&gt;"",H771,VLOOKUP($A771,[1]FINAL!$A$1:$BZ$1000,MATCH([1]FINAL!$BL$1,[1]FINAL!$A$1:$BZ$1,0),0)),0)</f>
        <v>0</v>
      </c>
      <c r="I771" s="5">
        <f>IFERROR(IF(J771&lt;&gt;"",J771,(IF(VLOOKUP($A771,#REF!,MATCH(#REF!,#REF!,0),0)=0,G771,VLOOKUP($A771,#REF!,MATCH(#REF!,#REF!,0),0)))),G771)</f>
        <v>0</v>
      </c>
      <c r="K771" s="6">
        <f>IFERROR(VLOOKUP($A771,#REF!,MATCH(#REF!,#REF!,0),0),0)</f>
        <v>0</v>
      </c>
      <c r="L771" s="6">
        <f>IFERROR(VLOOKUP($A771,[1]FINAL!$A$1:$BZ$1000,MATCH([1]FINAL!$BF$1,[1]FINAL!$A$1:$BZ$1,0),0),0)</f>
        <v>0</v>
      </c>
      <c r="M771" s="7">
        <f t="shared" si="62"/>
        <v>0</v>
      </c>
      <c r="N771" s="6">
        <f>IFERROR(VLOOKUP($A771,#REF!,MATCH(#REF!,#REF!,0),0),0)</f>
        <v>0</v>
      </c>
      <c r="O771" s="7">
        <f t="shared" si="63"/>
        <v>0</v>
      </c>
      <c r="P771" s="10" t="str">
        <f>IFERROR(VLOOKUP($A771,[1]FINAL!$A$1:$BZ$1000,MATCH([1]FINAL!$BB$1,[1]FINAL!$A$1:$BZ$1,0),0),"")</f>
        <v/>
      </c>
      <c r="Q771" s="18">
        <f t="shared" si="64"/>
        <v>1</v>
      </c>
    </row>
    <row r="772" spans="1:17" x14ac:dyDescent="0.25">
      <c r="A772" s="14">
        <f>[1]FINAL!$A770</f>
        <v>0</v>
      </c>
      <c r="B772" s="20" t="str">
        <f>IFERROR(VLOOKUP($A772,[1]FINAL!$A$1:$Z$1000,MATCH([1]FINAL!$T$1,[1]FINAL!$A$1:$Z$1,0),0),"")</f>
        <v/>
      </c>
      <c r="C772" s="3" t="str">
        <f>IFERROR(VLOOKUP($A772,[1]FINAL!$A$1:$Z$1000,MATCH([1]FINAL!$U$1,[1]FINAL!$A$1:$Z$1,0),0),"")</f>
        <v/>
      </c>
      <c r="D772" s="3" t="str">
        <f>IFERROR(VLOOKUP($A772,[1]FINAL!$A$1:$Z$1000,MATCH([1]FINAL!$V$1,[1]FINAL!$A$1:$Z$1,0),0),"")</f>
        <v/>
      </c>
      <c r="E772" s="6">
        <f t="shared" si="60"/>
        <v>0</v>
      </c>
      <c r="F772" s="5">
        <f t="shared" si="61"/>
        <v>0</v>
      </c>
      <c r="G772" s="5">
        <f>IFERROR(IF(H772&lt;&gt;"",H772,VLOOKUP($A772,[1]FINAL!$A$1:$BZ$1000,MATCH([1]FINAL!$BL$1,[1]FINAL!$A$1:$BZ$1,0),0)),0)</f>
        <v>0</v>
      </c>
      <c r="I772" s="5">
        <f>IFERROR(IF(J772&lt;&gt;"",J772,(IF(VLOOKUP($A772,#REF!,MATCH(#REF!,#REF!,0),0)=0,G772,VLOOKUP($A772,#REF!,MATCH(#REF!,#REF!,0),0)))),G772)</f>
        <v>0</v>
      </c>
      <c r="K772" s="6">
        <f>IFERROR(VLOOKUP($A772,#REF!,MATCH(#REF!,#REF!,0),0),0)</f>
        <v>0</v>
      </c>
      <c r="L772" s="6">
        <f>IFERROR(VLOOKUP($A772,[1]FINAL!$A$1:$BZ$1000,MATCH([1]FINAL!$BF$1,[1]FINAL!$A$1:$BZ$1,0),0),0)</f>
        <v>0</v>
      </c>
      <c r="M772" s="7">
        <f t="shared" si="62"/>
        <v>0</v>
      </c>
      <c r="N772" s="6">
        <f>IFERROR(VLOOKUP($A772,#REF!,MATCH(#REF!,#REF!,0),0),0)</f>
        <v>0</v>
      </c>
      <c r="O772" s="7">
        <f t="shared" si="63"/>
        <v>0</v>
      </c>
      <c r="P772" s="10" t="str">
        <f>IFERROR(VLOOKUP($A772,[1]FINAL!$A$1:$BZ$1000,MATCH([1]FINAL!$BB$1,[1]FINAL!$A$1:$BZ$1,0),0),"")</f>
        <v/>
      </c>
      <c r="Q772" s="18">
        <f t="shared" si="64"/>
        <v>1</v>
      </c>
    </row>
    <row r="773" spans="1:17" x14ac:dyDescent="0.25">
      <c r="A773" s="14">
        <f>[1]FINAL!$A771</f>
        <v>0</v>
      </c>
      <c r="B773" s="20" t="str">
        <f>IFERROR(VLOOKUP($A773,[1]FINAL!$A$1:$Z$1000,MATCH([1]FINAL!$T$1,[1]FINAL!$A$1:$Z$1,0),0),"")</f>
        <v/>
      </c>
      <c r="C773" s="3" t="str">
        <f>IFERROR(VLOOKUP($A773,[1]FINAL!$A$1:$Z$1000,MATCH([1]FINAL!$U$1,[1]FINAL!$A$1:$Z$1,0),0),"")</f>
        <v/>
      </c>
      <c r="D773" s="3" t="str">
        <f>IFERROR(VLOOKUP($A773,[1]FINAL!$A$1:$Z$1000,MATCH([1]FINAL!$V$1,[1]FINAL!$A$1:$Z$1,0),0),"")</f>
        <v/>
      </c>
      <c r="E773" s="6">
        <f t="shared" si="60"/>
        <v>0</v>
      </c>
      <c r="F773" s="5">
        <f t="shared" si="61"/>
        <v>0</v>
      </c>
      <c r="G773" s="5">
        <f>IFERROR(IF(H773&lt;&gt;"",H773,VLOOKUP($A773,[1]FINAL!$A$1:$BZ$1000,MATCH([1]FINAL!$BL$1,[1]FINAL!$A$1:$BZ$1,0),0)),0)</f>
        <v>0</v>
      </c>
      <c r="I773" s="5">
        <f>IFERROR(IF(J773&lt;&gt;"",J773,(IF(VLOOKUP($A773,#REF!,MATCH(#REF!,#REF!,0),0)=0,G773,VLOOKUP($A773,#REF!,MATCH(#REF!,#REF!,0),0)))),G773)</f>
        <v>0</v>
      </c>
      <c r="K773" s="6">
        <f>IFERROR(VLOOKUP($A773,#REF!,MATCH(#REF!,#REF!,0),0),0)</f>
        <v>0</v>
      </c>
      <c r="L773" s="6">
        <f>IFERROR(VLOOKUP($A773,[1]FINAL!$A$1:$BZ$1000,MATCH([1]FINAL!$BF$1,[1]FINAL!$A$1:$BZ$1,0),0),0)</f>
        <v>0</v>
      </c>
      <c r="M773" s="7">
        <f t="shared" si="62"/>
        <v>0</v>
      </c>
      <c r="N773" s="6">
        <f>IFERROR(VLOOKUP($A773,#REF!,MATCH(#REF!,#REF!,0),0),0)</f>
        <v>0</v>
      </c>
      <c r="O773" s="7">
        <f t="shared" si="63"/>
        <v>0</v>
      </c>
      <c r="P773" s="10" t="str">
        <f>IFERROR(VLOOKUP($A773,[1]FINAL!$A$1:$BZ$1000,MATCH([1]FINAL!$BB$1,[1]FINAL!$A$1:$BZ$1,0),0),"")</f>
        <v/>
      </c>
      <c r="Q773" s="18">
        <f t="shared" si="64"/>
        <v>1</v>
      </c>
    </row>
    <row r="774" spans="1:17" x14ac:dyDescent="0.25">
      <c r="A774" s="14">
        <f>[1]FINAL!$A772</f>
        <v>0</v>
      </c>
      <c r="B774" s="20" t="str">
        <f>IFERROR(VLOOKUP($A774,[1]FINAL!$A$1:$Z$1000,MATCH([1]FINAL!$T$1,[1]FINAL!$A$1:$Z$1,0),0),"")</f>
        <v/>
      </c>
      <c r="C774" s="3" t="str">
        <f>IFERROR(VLOOKUP($A774,[1]FINAL!$A$1:$Z$1000,MATCH([1]FINAL!$U$1,[1]FINAL!$A$1:$Z$1,0),0),"")</f>
        <v/>
      </c>
      <c r="D774" s="3" t="str">
        <f>IFERROR(VLOOKUP($A774,[1]FINAL!$A$1:$Z$1000,MATCH([1]FINAL!$V$1,[1]FINAL!$A$1:$Z$1,0),0),"")</f>
        <v/>
      </c>
      <c r="E774" s="6">
        <f t="shared" si="60"/>
        <v>0</v>
      </c>
      <c r="F774" s="5">
        <f t="shared" si="61"/>
        <v>0</v>
      </c>
      <c r="G774" s="5">
        <f>IFERROR(IF(H774&lt;&gt;"",H774,VLOOKUP($A774,[1]FINAL!$A$1:$BZ$1000,MATCH([1]FINAL!$BL$1,[1]FINAL!$A$1:$BZ$1,0),0)),0)</f>
        <v>0</v>
      </c>
      <c r="I774" s="5">
        <f>IFERROR(IF(J774&lt;&gt;"",J774,(IF(VLOOKUP($A774,#REF!,MATCH(#REF!,#REF!,0),0)=0,G774,VLOOKUP($A774,#REF!,MATCH(#REF!,#REF!,0),0)))),G774)</f>
        <v>0</v>
      </c>
      <c r="K774" s="6">
        <f>IFERROR(VLOOKUP($A774,#REF!,MATCH(#REF!,#REF!,0),0),0)</f>
        <v>0</v>
      </c>
      <c r="L774" s="6">
        <f>IFERROR(VLOOKUP($A774,[1]FINAL!$A$1:$BZ$1000,MATCH([1]FINAL!$BF$1,[1]FINAL!$A$1:$BZ$1,0),0),0)</f>
        <v>0</v>
      </c>
      <c r="M774" s="7">
        <f t="shared" si="62"/>
        <v>0</v>
      </c>
      <c r="N774" s="6">
        <f>IFERROR(VLOOKUP($A774,#REF!,MATCH(#REF!,#REF!,0),0),0)</f>
        <v>0</v>
      </c>
      <c r="O774" s="7">
        <f t="shared" si="63"/>
        <v>0</v>
      </c>
      <c r="P774" s="10" t="str">
        <f>IFERROR(VLOOKUP($A774,[1]FINAL!$A$1:$BZ$1000,MATCH([1]FINAL!$BB$1,[1]FINAL!$A$1:$BZ$1,0),0),"")</f>
        <v/>
      </c>
      <c r="Q774" s="18">
        <f t="shared" si="64"/>
        <v>1</v>
      </c>
    </row>
    <row r="775" spans="1:17" x14ac:dyDescent="0.25">
      <c r="A775" s="14">
        <f>[1]FINAL!$A773</f>
        <v>0</v>
      </c>
      <c r="B775" s="20" t="str">
        <f>IFERROR(VLOOKUP($A775,[1]FINAL!$A$1:$Z$1000,MATCH([1]FINAL!$T$1,[1]FINAL!$A$1:$Z$1,0),0),"")</f>
        <v/>
      </c>
      <c r="C775" s="3" t="str">
        <f>IFERROR(VLOOKUP($A775,[1]FINAL!$A$1:$Z$1000,MATCH([1]FINAL!$U$1,[1]FINAL!$A$1:$Z$1,0),0),"")</f>
        <v/>
      </c>
      <c r="D775" s="3" t="str">
        <f>IFERROR(VLOOKUP($A775,[1]FINAL!$A$1:$Z$1000,MATCH([1]FINAL!$V$1,[1]FINAL!$A$1:$Z$1,0),0),"")</f>
        <v/>
      </c>
      <c r="E775" s="6">
        <f t="shared" si="60"/>
        <v>0</v>
      </c>
      <c r="F775" s="5">
        <f t="shared" si="61"/>
        <v>0</v>
      </c>
      <c r="G775" s="5">
        <f>IFERROR(IF(H775&lt;&gt;"",H775,VLOOKUP($A775,[1]FINAL!$A$1:$BZ$1000,MATCH([1]FINAL!$BL$1,[1]FINAL!$A$1:$BZ$1,0),0)),0)</f>
        <v>0</v>
      </c>
      <c r="I775" s="5">
        <f>IFERROR(IF(J775&lt;&gt;"",J775,(IF(VLOOKUP($A775,#REF!,MATCH(#REF!,#REF!,0),0)=0,G775,VLOOKUP($A775,#REF!,MATCH(#REF!,#REF!,0),0)))),G775)</f>
        <v>0</v>
      </c>
      <c r="K775" s="6">
        <f>IFERROR(VLOOKUP($A775,#REF!,MATCH(#REF!,#REF!,0),0),0)</f>
        <v>0</v>
      </c>
      <c r="L775" s="6">
        <f>IFERROR(VLOOKUP($A775,[1]FINAL!$A$1:$BZ$1000,MATCH([1]FINAL!$BF$1,[1]FINAL!$A$1:$BZ$1,0),0),0)</f>
        <v>0</v>
      </c>
      <c r="M775" s="7">
        <f t="shared" si="62"/>
        <v>0</v>
      </c>
      <c r="N775" s="6">
        <f>IFERROR(VLOOKUP($A775,#REF!,MATCH(#REF!,#REF!,0),0),0)</f>
        <v>0</v>
      </c>
      <c r="O775" s="7">
        <f t="shared" si="63"/>
        <v>0</v>
      </c>
      <c r="P775" s="10" t="str">
        <f>IFERROR(VLOOKUP($A775,[1]FINAL!$A$1:$BZ$1000,MATCH([1]FINAL!$BB$1,[1]FINAL!$A$1:$BZ$1,0),0),"")</f>
        <v/>
      </c>
      <c r="Q775" s="18">
        <f t="shared" si="64"/>
        <v>1</v>
      </c>
    </row>
    <row r="776" spans="1:17" x14ac:dyDescent="0.25">
      <c r="A776" s="14">
        <f>[1]FINAL!$A774</f>
        <v>0</v>
      </c>
      <c r="B776" s="20" t="str">
        <f>IFERROR(VLOOKUP($A776,[1]FINAL!$A$1:$Z$1000,MATCH([1]FINAL!$T$1,[1]FINAL!$A$1:$Z$1,0),0),"")</f>
        <v/>
      </c>
      <c r="C776" s="3" t="str">
        <f>IFERROR(VLOOKUP($A776,[1]FINAL!$A$1:$Z$1000,MATCH([1]FINAL!$U$1,[1]FINAL!$A$1:$Z$1,0),0),"")</f>
        <v/>
      </c>
      <c r="D776" s="3" t="str">
        <f>IFERROR(VLOOKUP($A776,[1]FINAL!$A$1:$Z$1000,MATCH([1]FINAL!$V$1,[1]FINAL!$A$1:$Z$1,0),0),"")</f>
        <v/>
      </c>
      <c r="E776" s="6">
        <f t="shared" si="60"/>
        <v>0</v>
      </c>
      <c r="F776" s="5">
        <f t="shared" si="61"/>
        <v>0</v>
      </c>
      <c r="G776" s="5">
        <f>IFERROR(IF(H776&lt;&gt;"",H776,VLOOKUP($A776,[1]FINAL!$A$1:$BZ$1000,MATCH([1]FINAL!$BL$1,[1]FINAL!$A$1:$BZ$1,0),0)),0)</f>
        <v>0</v>
      </c>
      <c r="I776" s="5">
        <f>IFERROR(IF(J776&lt;&gt;"",J776,(IF(VLOOKUP($A776,#REF!,MATCH(#REF!,#REF!,0),0)=0,G776,VLOOKUP($A776,#REF!,MATCH(#REF!,#REF!,0),0)))),G776)</f>
        <v>0</v>
      </c>
      <c r="K776" s="6">
        <f>IFERROR(VLOOKUP($A776,#REF!,MATCH(#REF!,#REF!,0),0),0)</f>
        <v>0</v>
      </c>
      <c r="L776" s="6">
        <f>IFERROR(VLOOKUP($A776,[1]FINAL!$A$1:$BZ$1000,MATCH([1]FINAL!$BF$1,[1]FINAL!$A$1:$BZ$1,0),0),0)</f>
        <v>0</v>
      </c>
      <c r="M776" s="7">
        <f t="shared" si="62"/>
        <v>0</v>
      </c>
      <c r="N776" s="6">
        <f>IFERROR(VLOOKUP($A776,#REF!,MATCH(#REF!,#REF!,0),0),0)</f>
        <v>0</v>
      </c>
      <c r="O776" s="7">
        <f t="shared" si="63"/>
        <v>0</v>
      </c>
      <c r="P776" s="10" t="str">
        <f>IFERROR(VLOOKUP($A776,[1]FINAL!$A$1:$BZ$1000,MATCH([1]FINAL!$BB$1,[1]FINAL!$A$1:$BZ$1,0),0),"")</f>
        <v/>
      </c>
      <c r="Q776" s="18">
        <f t="shared" si="64"/>
        <v>1</v>
      </c>
    </row>
    <row r="777" spans="1:17" x14ac:dyDescent="0.25">
      <c r="A777" s="14">
        <f>[1]FINAL!$A775</f>
        <v>0</v>
      </c>
      <c r="B777" s="20" t="str">
        <f>IFERROR(VLOOKUP($A777,[1]FINAL!$A$1:$Z$1000,MATCH([1]FINAL!$T$1,[1]FINAL!$A$1:$Z$1,0),0),"")</f>
        <v/>
      </c>
      <c r="C777" s="3" t="str">
        <f>IFERROR(VLOOKUP($A777,[1]FINAL!$A$1:$Z$1000,MATCH([1]FINAL!$U$1,[1]FINAL!$A$1:$Z$1,0),0),"")</f>
        <v/>
      </c>
      <c r="D777" s="3" t="str">
        <f>IFERROR(VLOOKUP($A777,[1]FINAL!$A$1:$Z$1000,MATCH([1]FINAL!$V$1,[1]FINAL!$A$1:$Z$1,0),0),"")</f>
        <v/>
      </c>
      <c r="E777" s="6">
        <f t="shared" si="60"/>
        <v>0</v>
      </c>
      <c r="F777" s="5">
        <f t="shared" si="61"/>
        <v>0</v>
      </c>
      <c r="G777" s="5">
        <f>IFERROR(IF(H777&lt;&gt;"",H777,VLOOKUP($A777,[1]FINAL!$A$1:$BZ$1000,MATCH([1]FINAL!$BL$1,[1]FINAL!$A$1:$BZ$1,0),0)),0)</f>
        <v>0</v>
      </c>
      <c r="I777" s="5">
        <f>IFERROR(IF(J777&lt;&gt;"",J777,(IF(VLOOKUP($A777,#REF!,MATCH(#REF!,#REF!,0),0)=0,G777,VLOOKUP($A777,#REF!,MATCH(#REF!,#REF!,0),0)))),G777)</f>
        <v>0</v>
      </c>
      <c r="K777" s="6">
        <f>IFERROR(VLOOKUP($A777,#REF!,MATCH(#REF!,#REF!,0),0),0)</f>
        <v>0</v>
      </c>
      <c r="L777" s="6">
        <f>IFERROR(VLOOKUP($A777,[1]FINAL!$A$1:$BZ$1000,MATCH([1]FINAL!$BF$1,[1]FINAL!$A$1:$BZ$1,0),0),0)</f>
        <v>0</v>
      </c>
      <c r="M777" s="7">
        <f t="shared" si="62"/>
        <v>0</v>
      </c>
      <c r="N777" s="6">
        <f>IFERROR(VLOOKUP($A777,#REF!,MATCH(#REF!,#REF!,0),0),0)</f>
        <v>0</v>
      </c>
      <c r="O777" s="7">
        <f t="shared" si="63"/>
        <v>0</v>
      </c>
      <c r="P777" s="10" t="str">
        <f>IFERROR(VLOOKUP($A777,[1]FINAL!$A$1:$BZ$1000,MATCH([1]FINAL!$BB$1,[1]FINAL!$A$1:$BZ$1,0),0),"")</f>
        <v/>
      </c>
      <c r="Q777" s="18">
        <f t="shared" si="64"/>
        <v>1</v>
      </c>
    </row>
    <row r="778" spans="1:17" x14ac:dyDescent="0.25">
      <c r="A778" s="14">
        <f>[1]FINAL!$A776</f>
        <v>0</v>
      </c>
      <c r="B778" s="20" t="str">
        <f>IFERROR(VLOOKUP($A778,[1]FINAL!$A$1:$Z$1000,MATCH([1]FINAL!$T$1,[1]FINAL!$A$1:$Z$1,0),0),"")</f>
        <v/>
      </c>
      <c r="C778" s="3" t="str">
        <f>IFERROR(VLOOKUP($A778,[1]FINAL!$A$1:$Z$1000,MATCH([1]FINAL!$U$1,[1]FINAL!$A$1:$Z$1,0),0),"")</f>
        <v/>
      </c>
      <c r="D778" s="3" t="str">
        <f>IFERROR(VLOOKUP($A778,[1]FINAL!$A$1:$Z$1000,MATCH([1]FINAL!$V$1,[1]FINAL!$A$1:$Z$1,0),0),"")</f>
        <v/>
      </c>
      <c r="E778" s="6">
        <f t="shared" si="60"/>
        <v>0</v>
      </c>
      <c r="F778" s="5">
        <f t="shared" si="61"/>
        <v>0</v>
      </c>
      <c r="G778" s="5">
        <f>IFERROR(IF(H778&lt;&gt;"",H778,VLOOKUP($A778,[1]FINAL!$A$1:$BZ$1000,MATCH([1]FINAL!$BL$1,[1]FINAL!$A$1:$BZ$1,0),0)),0)</f>
        <v>0</v>
      </c>
      <c r="I778" s="5">
        <f>IFERROR(IF(J778&lt;&gt;"",J778,(IF(VLOOKUP($A778,#REF!,MATCH(#REF!,#REF!,0),0)=0,G778,VLOOKUP($A778,#REF!,MATCH(#REF!,#REF!,0),0)))),G778)</f>
        <v>0</v>
      </c>
      <c r="K778" s="6">
        <f>IFERROR(VLOOKUP($A778,#REF!,MATCH(#REF!,#REF!,0),0),0)</f>
        <v>0</v>
      </c>
      <c r="L778" s="6">
        <f>IFERROR(VLOOKUP($A778,[1]FINAL!$A$1:$BZ$1000,MATCH([1]FINAL!$BF$1,[1]FINAL!$A$1:$BZ$1,0),0),0)</f>
        <v>0</v>
      </c>
      <c r="M778" s="7">
        <f t="shared" si="62"/>
        <v>0</v>
      </c>
      <c r="N778" s="6">
        <f>IFERROR(VLOOKUP($A778,#REF!,MATCH(#REF!,#REF!,0),0),0)</f>
        <v>0</v>
      </c>
      <c r="O778" s="7">
        <f t="shared" si="63"/>
        <v>0</v>
      </c>
      <c r="P778" s="10" t="str">
        <f>IFERROR(VLOOKUP($A778,[1]FINAL!$A$1:$BZ$1000,MATCH([1]FINAL!$BB$1,[1]FINAL!$A$1:$BZ$1,0),0),"")</f>
        <v/>
      </c>
      <c r="Q778" s="18">
        <f t="shared" si="64"/>
        <v>1</v>
      </c>
    </row>
    <row r="779" spans="1:17" x14ac:dyDescent="0.25">
      <c r="A779" s="14">
        <f>[1]FINAL!$A777</f>
        <v>0</v>
      </c>
      <c r="B779" s="20" t="str">
        <f>IFERROR(VLOOKUP($A779,[1]FINAL!$A$1:$Z$1000,MATCH([1]FINAL!$T$1,[1]FINAL!$A$1:$Z$1,0),0),"")</f>
        <v/>
      </c>
      <c r="C779" s="3" t="str">
        <f>IFERROR(VLOOKUP($A779,[1]FINAL!$A$1:$Z$1000,MATCH([1]FINAL!$U$1,[1]FINAL!$A$1:$Z$1,0),0),"")</f>
        <v/>
      </c>
      <c r="D779" s="3" t="str">
        <f>IFERROR(VLOOKUP($A779,[1]FINAL!$A$1:$Z$1000,MATCH([1]FINAL!$V$1,[1]FINAL!$A$1:$Z$1,0),0),"")</f>
        <v/>
      </c>
      <c r="E779" s="6">
        <f t="shared" si="60"/>
        <v>0</v>
      </c>
      <c r="F779" s="5">
        <f t="shared" si="61"/>
        <v>0</v>
      </c>
      <c r="G779" s="5">
        <f>IFERROR(IF(H779&lt;&gt;"",H779,VLOOKUP($A779,[1]FINAL!$A$1:$BZ$1000,MATCH([1]FINAL!$BL$1,[1]FINAL!$A$1:$BZ$1,0),0)),0)</f>
        <v>0</v>
      </c>
      <c r="I779" s="5">
        <f>IFERROR(IF(J779&lt;&gt;"",J779,(IF(VLOOKUP($A779,#REF!,MATCH(#REF!,#REF!,0),0)=0,G779,VLOOKUP($A779,#REF!,MATCH(#REF!,#REF!,0),0)))),G779)</f>
        <v>0</v>
      </c>
      <c r="K779" s="6">
        <f>IFERROR(VLOOKUP($A779,#REF!,MATCH(#REF!,#REF!,0),0),0)</f>
        <v>0</v>
      </c>
      <c r="L779" s="6">
        <f>IFERROR(VLOOKUP($A779,[1]FINAL!$A$1:$BZ$1000,MATCH([1]FINAL!$BF$1,[1]FINAL!$A$1:$BZ$1,0),0),0)</f>
        <v>0</v>
      </c>
      <c r="M779" s="7">
        <f t="shared" si="62"/>
        <v>0</v>
      </c>
      <c r="N779" s="6">
        <f>IFERROR(VLOOKUP($A779,#REF!,MATCH(#REF!,#REF!,0),0),0)</f>
        <v>0</v>
      </c>
      <c r="O779" s="7">
        <f t="shared" si="63"/>
        <v>0</v>
      </c>
      <c r="P779" s="10" t="str">
        <f>IFERROR(VLOOKUP($A779,[1]FINAL!$A$1:$BZ$1000,MATCH([1]FINAL!$BB$1,[1]FINAL!$A$1:$BZ$1,0),0),"")</f>
        <v/>
      </c>
      <c r="Q779" s="18">
        <f t="shared" si="64"/>
        <v>1</v>
      </c>
    </row>
    <row r="780" spans="1:17" x14ac:dyDescent="0.25">
      <c r="A780" s="14">
        <f>[1]FINAL!$A778</f>
        <v>0</v>
      </c>
      <c r="B780" s="20" t="str">
        <f>IFERROR(VLOOKUP($A780,[1]FINAL!$A$1:$Z$1000,MATCH([1]FINAL!$T$1,[1]FINAL!$A$1:$Z$1,0),0),"")</f>
        <v/>
      </c>
      <c r="C780" s="3" t="str">
        <f>IFERROR(VLOOKUP($A780,[1]FINAL!$A$1:$Z$1000,MATCH([1]FINAL!$U$1,[1]FINAL!$A$1:$Z$1,0),0),"")</f>
        <v/>
      </c>
      <c r="D780" s="3" t="str">
        <f>IFERROR(VLOOKUP($A780,[1]FINAL!$A$1:$Z$1000,MATCH([1]FINAL!$V$1,[1]FINAL!$A$1:$Z$1,0),0),"")</f>
        <v/>
      </c>
      <c r="E780" s="6">
        <f t="shared" si="60"/>
        <v>0</v>
      </c>
      <c r="F780" s="5">
        <f t="shared" si="61"/>
        <v>0</v>
      </c>
      <c r="G780" s="5">
        <f>IFERROR(IF(H780&lt;&gt;"",H780,VLOOKUP($A780,[1]FINAL!$A$1:$BZ$1000,MATCH([1]FINAL!$BL$1,[1]FINAL!$A$1:$BZ$1,0),0)),0)</f>
        <v>0</v>
      </c>
      <c r="I780" s="5">
        <f>IFERROR(IF(J780&lt;&gt;"",J780,(IF(VLOOKUP($A780,#REF!,MATCH(#REF!,#REF!,0),0)=0,G780,VLOOKUP($A780,#REF!,MATCH(#REF!,#REF!,0),0)))),G780)</f>
        <v>0</v>
      </c>
      <c r="K780" s="6">
        <f>IFERROR(VLOOKUP($A780,#REF!,MATCH(#REF!,#REF!,0),0),0)</f>
        <v>0</v>
      </c>
      <c r="L780" s="6">
        <f>IFERROR(VLOOKUP($A780,[1]FINAL!$A$1:$BZ$1000,MATCH([1]FINAL!$BF$1,[1]FINAL!$A$1:$BZ$1,0),0),0)</f>
        <v>0</v>
      </c>
      <c r="M780" s="7">
        <f t="shared" si="62"/>
        <v>0</v>
      </c>
      <c r="N780" s="6">
        <f>IFERROR(VLOOKUP($A780,#REF!,MATCH(#REF!,#REF!,0),0),0)</f>
        <v>0</v>
      </c>
      <c r="O780" s="7">
        <f t="shared" si="63"/>
        <v>0</v>
      </c>
      <c r="P780" s="10" t="str">
        <f>IFERROR(VLOOKUP($A780,[1]FINAL!$A$1:$BZ$1000,MATCH([1]FINAL!$BB$1,[1]FINAL!$A$1:$BZ$1,0),0),"")</f>
        <v/>
      </c>
      <c r="Q780" s="18">
        <f t="shared" si="64"/>
        <v>1</v>
      </c>
    </row>
    <row r="781" spans="1:17" x14ac:dyDescent="0.25">
      <c r="A781" s="14">
        <f>[1]FINAL!$A779</f>
        <v>0</v>
      </c>
      <c r="B781" s="20" t="str">
        <f>IFERROR(VLOOKUP($A781,[1]FINAL!$A$1:$Z$1000,MATCH([1]FINAL!$T$1,[1]FINAL!$A$1:$Z$1,0),0),"")</f>
        <v/>
      </c>
      <c r="C781" s="3" t="str">
        <f>IFERROR(VLOOKUP($A781,[1]FINAL!$A$1:$Z$1000,MATCH([1]FINAL!$U$1,[1]FINAL!$A$1:$Z$1,0),0),"")</f>
        <v/>
      </c>
      <c r="D781" s="3" t="str">
        <f>IFERROR(VLOOKUP($A781,[1]FINAL!$A$1:$Z$1000,MATCH([1]FINAL!$V$1,[1]FINAL!$A$1:$Z$1,0),0),"")</f>
        <v/>
      </c>
      <c r="E781" s="6">
        <f t="shared" si="60"/>
        <v>0</v>
      </c>
      <c r="F781" s="5">
        <f t="shared" si="61"/>
        <v>0</v>
      </c>
      <c r="G781" s="5">
        <f>IFERROR(IF(H781&lt;&gt;"",H781,VLOOKUP($A781,[1]FINAL!$A$1:$BZ$1000,MATCH([1]FINAL!$BL$1,[1]FINAL!$A$1:$BZ$1,0),0)),0)</f>
        <v>0</v>
      </c>
      <c r="I781" s="5">
        <f>IFERROR(IF(J781&lt;&gt;"",J781,(IF(VLOOKUP($A781,#REF!,MATCH(#REF!,#REF!,0),0)=0,G781,VLOOKUP($A781,#REF!,MATCH(#REF!,#REF!,0),0)))),G781)</f>
        <v>0</v>
      </c>
      <c r="K781" s="6">
        <f>IFERROR(VLOOKUP($A781,#REF!,MATCH(#REF!,#REF!,0),0),0)</f>
        <v>0</v>
      </c>
      <c r="L781" s="6">
        <f>IFERROR(VLOOKUP($A781,[1]FINAL!$A$1:$BZ$1000,MATCH([1]FINAL!$BF$1,[1]FINAL!$A$1:$BZ$1,0),0),0)</f>
        <v>0</v>
      </c>
      <c r="M781" s="7">
        <f t="shared" si="62"/>
        <v>0</v>
      </c>
      <c r="N781" s="6">
        <f>IFERROR(VLOOKUP($A781,#REF!,MATCH(#REF!,#REF!,0),0),0)</f>
        <v>0</v>
      </c>
      <c r="O781" s="7">
        <f t="shared" si="63"/>
        <v>0</v>
      </c>
      <c r="P781" s="10" t="str">
        <f>IFERROR(VLOOKUP($A781,[1]FINAL!$A$1:$BZ$1000,MATCH([1]FINAL!$BB$1,[1]FINAL!$A$1:$BZ$1,0),0),"")</f>
        <v/>
      </c>
      <c r="Q781" s="18">
        <f t="shared" si="64"/>
        <v>1</v>
      </c>
    </row>
    <row r="782" spans="1:17" x14ac:dyDescent="0.25">
      <c r="A782" s="14">
        <f>[1]FINAL!$A780</f>
        <v>0</v>
      </c>
      <c r="B782" s="20" t="str">
        <f>IFERROR(VLOOKUP($A782,[1]FINAL!$A$1:$Z$1000,MATCH([1]FINAL!$T$1,[1]FINAL!$A$1:$Z$1,0),0),"")</f>
        <v/>
      </c>
      <c r="C782" s="3" t="str">
        <f>IFERROR(VLOOKUP($A782,[1]FINAL!$A$1:$Z$1000,MATCH([1]FINAL!$U$1,[1]FINAL!$A$1:$Z$1,0),0),"")</f>
        <v/>
      </c>
      <c r="D782" s="3" t="str">
        <f>IFERROR(VLOOKUP($A782,[1]FINAL!$A$1:$Z$1000,MATCH([1]FINAL!$V$1,[1]FINAL!$A$1:$Z$1,0),0),"")</f>
        <v/>
      </c>
      <c r="E782" s="6">
        <f t="shared" si="60"/>
        <v>0</v>
      </c>
      <c r="F782" s="5">
        <f t="shared" si="61"/>
        <v>0</v>
      </c>
      <c r="G782" s="5">
        <f>IFERROR(IF(H782&lt;&gt;"",H782,VLOOKUP($A782,[1]FINAL!$A$1:$BZ$1000,MATCH([1]FINAL!$BL$1,[1]FINAL!$A$1:$BZ$1,0),0)),0)</f>
        <v>0</v>
      </c>
      <c r="I782" s="5">
        <f>IFERROR(IF(J782&lt;&gt;"",J782,(IF(VLOOKUP($A782,#REF!,MATCH(#REF!,#REF!,0),0)=0,G782,VLOOKUP($A782,#REF!,MATCH(#REF!,#REF!,0),0)))),G782)</f>
        <v>0</v>
      </c>
      <c r="K782" s="6">
        <f>IFERROR(VLOOKUP($A782,#REF!,MATCH(#REF!,#REF!,0),0),0)</f>
        <v>0</v>
      </c>
      <c r="L782" s="6">
        <f>IFERROR(VLOOKUP($A782,[1]FINAL!$A$1:$BZ$1000,MATCH([1]FINAL!$BF$1,[1]FINAL!$A$1:$BZ$1,0),0),0)</f>
        <v>0</v>
      </c>
      <c r="M782" s="7">
        <f t="shared" si="62"/>
        <v>0</v>
      </c>
      <c r="N782" s="6">
        <f>IFERROR(VLOOKUP($A782,#REF!,MATCH(#REF!,#REF!,0),0),0)</f>
        <v>0</v>
      </c>
      <c r="O782" s="7">
        <f t="shared" si="63"/>
        <v>0</v>
      </c>
      <c r="P782" s="10" t="str">
        <f>IFERROR(VLOOKUP($A782,[1]FINAL!$A$1:$BZ$1000,MATCH([1]FINAL!$BB$1,[1]FINAL!$A$1:$BZ$1,0),0),"")</f>
        <v/>
      </c>
      <c r="Q782" s="18">
        <f t="shared" si="64"/>
        <v>1</v>
      </c>
    </row>
    <row r="783" spans="1:17" x14ac:dyDescent="0.25">
      <c r="A783" s="14">
        <f>[1]FINAL!$A781</f>
        <v>0</v>
      </c>
      <c r="B783" s="20" t="str">
        <f>IFERROR(VLOOKUP($A783,[1]FINAL!$A$1:$Z$1000,MATCH([1]FINAL!$T$1,[1]FINAL!$A$1:$Z$1,0),0),"")</f>
        <v/>
      </c>
      <c r="C783" s="3" t="str">
        <f>IFERROR(VLOOKUP($A783,[1]FINAL!$A$1:$Z$1000,MATCH([1]FINAL!$U$1,[1]FINAL!$A$1:$Z$1,0),0),"")</f>
        <v/>
      </c>
      <c r="D783" s="3" t="str">
        <f>IFERROR(VLOOKUP($A783,[1]FINAL!$A$1:$Z$1000,MATCH([1]FINAL!$V$1,[1]FINAL!$A$1:$Z$1,0),0),"")</f>
        <v/>
      </c>
      <c r="E783" s="6">
        <f t="shared" si="60"/>
        <v>0</v>
      </c>
      <c r="F783" s="5">
        <f t="shared" si="61"/>
        <v>0</v>
      </c>
      <c r="G783" s="5">
        <f>IFERROR(IF(H783&lt;&gt;"",H783,VLOOKUP($A783,[1]FINAL!$A$1:$BZ$1000,MATCH([1]FINAL!$BL$1,[1]FINAL!$A$1:$BZ$1,0),0)),0)</f>
        <v>0</v>
      </c>
      <c r="I783" s="5">
        <f>IFERROR(IF(J783&lt;&gt;"",J783,(IF(VLOOKUP($A783,#REF!,MATCH(#REF!,#REF!,0),0)=0,G783,VLOOKUP($A783,#REF!,MATCH(#REF!,#REF!,0),0)))),G783)</f>
        <v>0</v>
      </c>
      <c r="K783" s="6">
        <f>IFERROR(VLOOKUP($A783,#REF!,MATCH(#REF!,#REF!,0),0),0)</f>
        <v>0</v>
      </c>
      <c r="L783" s="6">
        <f>IFERROR(VLOOKUP($A783,[1]FINAL!$A$1:$BZ$1000,MATCH([1]FINAL!$BF$1,[1]FINAL!$A$1:$BZ$1,0),0),0)</f>
        <v>0</v>
      </c>
      <c r="M783" s="7">
        <f t="shared" si="62"/>
        <v>0</v>
      </c>
      <c r="N783" s="6">
        <f>IFERROR(VLOOKUP($A783,#REF!,MATCH(#REF!,#REF!,0),0),0)</f>
        <v>0</v>
      </c>
      <c r="O783" s="7">
        <f t="shared" si="63"/>
        <v>0</v>
      </c>
      <c r="P783" s="10" t="str">
        <f>IFERROR(VLOOKUP($A783,[1]FINAL!$A$1:$BZ$1000,MATCH([1]FINAL!$BB$1,[1]FINAL!$A$1:$BZ$1,0),0),"")</f>
        <v/>
      </c>
      <c r="Q783" s="18">
        <f t="shared" si="64"/>
        <v>1</v>
      </c>
    </row>
    <row r="784" spans="1:17" x14ac:dyDescent="0.25">
      <c r="A784" s="14">
        <f>[1]FINAL!$A782</f>
        <v>0</v>
      </c>
      <c r="B784" s="20" t="str">
        <f>IFERROR(VLOOKUP($A784,[1]FINAL!$A$1:$Z$1000,MATCH([1]FINAL!$T$1,[1]FINAL!$A$1:$Z$1,0),0),"")</f>
        <v/>
      </c>
      <c r="C784" s="3" t="str">
        <f>IFERROR(VLOOKUP($A784,[1]FINAL!$A$1:$Z$1000,MATCH([1]FINAL!$U$1,[1]FINAL!$A$1:$Z$1,0),0),"")</f>
        <v/>
      </c>
      <c r="D784" s="3" t="str">
        <f>IFERROR(VLOOKUP($A784,[1]FINAL!$A$1:$Z$1000,MATCH([1]FINAL!$V$1,[1]FINAL!$A$1:$Z$1,0),0),"")</f>
        <v/>
      </c>
      <c r="E784" s="6">
        <f t="shared" si="60"/>
        <v>0</v>
      </c>
      <c r="F784" s="5">
        <f t="shared" si="61"/>
        <v>0</v>
      </c>
      <c r="G784" s="5">
        <f>IFERROR(IF(H784&lt;&gt;"",H784,VLOOKUP($A784,[1]FINAL!$A$1:$BZ$1000,MATCH([1]FINAL!$BL$1,[1]FINAL!$A$1:$BZ$1,0),0)),0)</f>
        <v>0</v>
      </c>
      <c r="I784" s="5">
        <f>IFERROR(IF(J784&lt;&gt;"",J784,(IF(VLOOKUP($A784,#REF!,MATCH(#REF!,#REF!,0),0)=0,G784,VLOOKUP($A784,#REF!,MATCH(#REF!,#REF!,0),0)))),G784)</f>
        <v>0</v>
      </c>
      <c r="K784" s="6">
        <f>IFERROR(VLOOKUP($A784,#REF!,MATCH(#REF!,#REF!,0),0),0)</f>
        <v>0</v>
      </c>
      <c r="L784" s="6">
        <f>IFERROR(VLOOKUP($A784,[1]FINAL!$A$1:$BZ$1000,MATCH([1]FINAL!$BF$1,[1]FINAL!$A$1:$BZ$1,0),0),0)</f>
        <v>0</v>
      </c>
      <c r="M784" s="7">
        <f t="shared" si="62"/>
        <v>0</v>
      </c>
      <c r="N784" s="6">
        <f>IFERROR(VLOOKUP($A784,#REF!,MATCH(#REF!,#REF!,0),0),0)</f>
        <v>0</v>
      </c>
      <c r="O784" s="7">
        <f t="shared" si="63"/>
        <v>0</v>
      </c>
      <c r="P784" s="10" t="str">
        <f>IFERROR(VLOOKUP($A784,[1]FINAL!$A$1:$BZ$1000,MATCH([1]FINAL!$BB$1,[1]FINAL!$A$1:$BZ$1,0),0),"")</f>
        <v/>
      </c>
      <c r="Q784" s="18">
        <f t="shared" si="64"/>
        <v>1</v>
      </c>
    </row>
    <row r="785" spans="1:17" x14ac:dyDescent="0.25">
      <c r="A785" s="14">
        <f>[1]FINAL!$A783</f>
        <v>0</v>
      </c>
      <c r="B785" s="20" t="str">
        <f>IFERROR(VLOOKUP($A785,[1]FINAL!$A$1:$Z$1000,MATCH([1]FINAL!$T$1,[1]FINAL!$A$1:$Z$1,0),0),"")</f>
        <v/>
      </c>
      <c r="C785" s="3" t="str">
        <f>IFERROR(VLOOKUP($A785,[1]FINAL!$A$1:$Z$1000,MATCH([1]FINAL!$U$1,[1]FINAL!$A$1:$Z$1,0),0),"")</f>
        <v/>
      </c>
      <c r="D785" s="3" t="str">
        <f>IFERROR(VLOOKUP($A785,[1]FINAL!$A$1:$Z$1000,MATCH([1]FINAL!$V$1,[1]FINAL!$A$1:$Z$1,0),0),"")</f>
        <v/>
      </c>
      <c r="E785" s="6">
        <f t="shared" si="60"/>
        <v>0</v>
      </c>
      <c r="F785" s="5">
        <f t="shared" si="61"/>
        <v>0</v>
      </c>
      <c r="G785" s="5">
        <f>IFERROR(IF(H785&lt;&gt;"",H785,VLOOKUP($A785,[1]FINAL!$A$1:$BZ$1000,MATCH([1]FINAL!$BL$1,[1]FINAL!$A$1:$BZ$1,0),0)),0)</f>
        <v>0</v>
      </c>
      <c r="I785" s="5">
        <f>IFERROR(IF(J785&lt;&gt;"",J785,(IF(VLOOKUP($A785,#REF!,MATCH(#REF!,#REF!,0),0)=0,G785,VLOOKUP($A785,#REF!,MATCH(#REF!,#REF!,0),0)))),G785)</f>
        <v>0</v>
      </c>
      <c r="K785" s="6">
        <f>IFERROR(VLOOKUP($A785,#REF!,MATCH(#REF!,#REF!,0),0),0)</f>
        <v>0</v>
      </c>
      <c r="L785" s="6">
        <f>IFERROR(VLOOKUP($A785,[1]FINAL!$A$1:$BZ$1000,MATCH([1]FINAL!$BF$1,[1]FINAL!$A$1:$BZ$1,0),0),0)</f>
        <v>0</v>
      </c>
      <c r="M785" s="7">
        <f t="shared" si="62"/>
        <v>0</v>
      </c>
      <c r="N785" s="6">
        <f>IFERROR(VLOOKUP($A785,#REF!,MATCH(#REF!,#REF!,0),0),0)</f>
        <v>0</v>
      </c>
      <c r="O785" s="7">
        <f t="shared" si="63"/>
        <v>0</v>
      </c>
      <c r="P785" s="10" t="str">
        <f>IFERROR(VLOOKUP($A785,[1]FINAL!$A$1:$BZ$1000,MATCH([1]FINAL!$BB$1,[1]FINAL!$A$1:$BZ$1,0),0),"")</f>
        <v/>
      </c>
      <c r="Q785" s="18">
        <f t="shared" si="64"/>
        <v>1</v>
      </c>
    </row>
    <row r="786" spans="1:17" x14ac:dyDescent="0.25">
      <c r="A786" s="14">
        <f>[1]FINAL!$A784</f>
        <v>0</v>
      </c>
      <c r="B786" s="20" t="str">
        <f>IFERROR(VLOOKUP($A786,[1]FINAL!$A$1:$Z$1000,MATCH([1]FINAL!$T$1,[1]FINAL!$A$1:$Z$1,0),0),"")</f>
        <v/>
      </c>
      <c r="C786" s="3" t="str">
        <f>IFERROR(VLOOKUP($A786,[1]FINAL!$A$1:$Z$1000,MATCH([1]FINAL!$U$1,[1]FINAL!$A$1:$Z$1,0),0),"")</f>
        <v/>
      </c>
      <c r="D786" s="3" t="str">
        <f>IFERROR(VLOOKUP($A786,[1]FINAL!$A$1:$Z$1000,MATCH([1]FINAL!$V$1,[1]FINAL!$A$1:$Z$1,0),0),"")</f>
        <v/>
      </c>
      <c r="E786" s="6">
        <f t="shared" si="60"/>
        <v>0</v>
      </c>
      <c r="F786" s="5">
        <f t="shared" si="61"/>
        <v>0</v>
      </c>
      <c r="G786" s="5">
        <f>IFERROR(IF(H786&lt;&gt;"",H786,VLOOKUP($A786,[1]FINAL!$A$1:$BZ$1000,MATCH([1]FINAL!$BL$1,[1]FINAL!$A$1:$BZ$1,0),0)),0)</f>
        <v>0</v>
      </c>
      <c r="I786" s="5">
        <f>IFERROR(IF(J786&lt;&gt;"",J786,(IF(VLOOKUP($A786,#REF!,MATCH(#REF!,#REF!,0),0)=0,G786,VLOOKUP($A786,#REF!,MATCH(#REF!,#REF!,0),0)))),G786)</f>
        <v>0</v>
      </c>
      <c r="K786" s="6">
        <f>IFERROR(VLOOKUP($A786,#REF!,MATCH(#REF!,#REF!,0),0),0)</f>
        <v>0</v>
      </c>
      <c r="L786" s="6">
        <f>IFERROR(VLOOKUP($A786,[1]FINAL!$A$1:$BZ$1000,MATCH([1]FINAL!$BF$1,[1]FINAL!$A$1:$BZ$1,0),0),0)</f>
        <v>0</v>
      </c>
      <c r="M786" s="7">
        <f t="shared" si="62"/>
        <v>0</v>
      </c>
      <c r="N786" s="6">
        <f>IFERROR(VLOOKUP($A786,#REF!,MATCH(#REF!,#REF!,0),0),0)</f>
        <v>0</v>
      </c>
      <c r="O786" s="7">
        <f t="shared" si="63"/>
        <v>0</v>
      </c>
      <c r="P786" s="10" t="str">
        <f>IFERROR(VLOOKUP($A786,[1]FINAL!$A$1:$BZ$1000,MATCH([1]FINAL!$BB$1,[1]FINAL!$A$1:$BZ$1,0),0),"")</f>
        <v/>
      </c>
      <c r="Q786" s="18">
        <f t="shared" si="64"/>
        <v>1</v>
      </c>
    </row>
    <row r="787" spans="1:17" x14ac:dyDescent="0.25">
      <c r="A787" s="14">
        <f>[1]FINAL!$A785</f>
        <v>0</v>
      </c>
      <c r="B787" s="20" t="str">
        <f>IFERROR(VLOOKUP($A787,[1]FINAL!$A$1:$Z$1000,MATCH([1]FINAL!$T$1,[1]FINAL!$A$1:$Z$1,0),0),"")</f>
        <v/>
      </c>
      <c r="C787" s="3" t="str">
        <f>IFERROR(VLOOKUP($A787,[1]FINAL!$A$1:$Z$1000,MATCH([1]FINAL!$U$1,[1]FINAL!$A$1:$Z$1,0),0),"")</f>
        <v/>
      </c>
      <c r="D787" s="3" t="str">
        <f>IFERROR(VLOOKUP($A787,[1]FINAL!$A$1:$Z$1000,MATCH([1]FINAL!$V$1,[1]FINAL!$A$1:$Z$1,0),0),"")</f>
        <v/>
      </c>
      <c r="E787" s="6">
        <f t="shared" si="60"/>
        <v>0</v>
      </c>
      <c r="F787" s="5">
        <f t="shared" si="61"/>
        <v>0</v>
      </c>
      <c r="G787" s="5">
        <f>IFERROR(IF(H787&lt;&gt;"",H787,VLOOKUP($A787,[1]FINAL!$A$1:$BZ$1000,MATCH([1]FINAL!$BL$1,[1]FINAL!$A$1:$BZ$1,0),0)),0)</f>
        <v>0</v>
      </c>
      <c r="I787" s="5">
        <f>IFERROR(IF(J787&lt;&gt;"",J787,(IF(VLOOKUP($A787,#REF!,MATCH(#REF!,#REF!,0),0)=0,G787,VLOOKUP($A787,#REF!,MATCH(#REF!,#REF!,0),0)))),G787)</f>
        <v>0</v>
      </c>
      <c r="K787" s="6">
        <f>IFERROR(VLOOKUP($A787,#REF!,MATCH(#REF!,#REF!,0),0),0)</f>
        <v>0</v>
      </c>
      <c r="L787" s="6">
        <f>IFERROR(VLOOKUP($A787,[1]FINAL!$A$1:$BZ$1000,MATCH([1]FINAL!$BF$1,[1]FINAL!$A$1:$BZ$1,0),0),0)</f>
        <v>0</v>
      </c>
      <c r="M787" s="7">
        <f t="shared" si="62"/>
        <v>0</v>
      </c>
      <c r="N787" s="6">
        <f>IFERROR(VLOOKUP($A787,#REF!,MATCH(#REF!,#REF!,0),0),0)</f>
        <v>0</v>
      </c>
      <c r="O787" s="7">
        <f t="shared" si="63"/>
        <v>0</v>
      </c>
      <c r="P787" s="10" t="str">
        <f>IFERROR(VLOOKUP($A787,[1]FINAL!$A$1:$BZ$1000,MATCH([1]FINAL!$BB$1,[1]FINAL!$A$1:$BZ$1,0),0),"")</f>
        <v/>
      </c>
      <c r="Q787" s="18">
        <f t="shared" si="64"/>
        <v>1</v>
      </c>
    </row>
    <row r="788" spans="1:17" x14ac:dyDescent="0.25">
      <c r="A788" s="14">
        <f>[1]FINAL!$A786</f>
        <v>0</v>
      </c>
      <c r="B788" s="20" t="str">
        <f>IFERROR(VLOOKUP($A788,[1]FINAL!$A$1:$Z$1000,MATCH([1]FINAL!$T$1,[1]FINAL!$A$1:$Z$1,0),0),"")</f>
        <v/>
      </c>
      <c r="C788" s="3" t="str">
        <f>IFERROR(VLOOKUP($A788,[1]FINAL!$A$1:$Z$1000,MATCH([1]FINAL!$U$1,[1]FINAL!$A$1:$Z$1,0),0),"")</f>
        <v/>
      </c>
      <c r="D788" s="3" t="str">
        <f>IFERROR(VLOOKUP($A788,[1]FINAL!$A$1:$Z$1000,MATCH([1]FINAL!$V$1,[1]FINAL!$A$1:$Z$1,0),0),"")</f>
        <v/>
      </c>
      <c r="E788" s="6">
        <f t="shared" si="60"/>
        <v>0</v>
      </c>
      <c r="F788" s="5">
        <f t="shared" si="61"/>
        <v>0</v>
      </c>
      <c r="G788" s="5">
        <f>IFERROR(IF(H788&lt;&gt;"",H788,VLOOKUP($A788,[1]FINAL!$A$1:$BZ$1000,MATCH([1]FINAL!$BL$1,[1]FINAL!$A$1:$BZ$1,0),0)),0)</f>
        <v>0</v>
      </c>
      <c r="I788" s="5">
        <f>IFERROR(IF(J788&lt;&gt;"",J788,(IF(VLOOKUP($A788,#REF!,MATCH(#REF!,#REF!,0),0)=0,G788,VLOOKUP($A788,#REF!,MATCH(#REF!,#REF!,0),0)))),G788)</f>
        <v>0</v>
      </c>
      <c r="K788" s="6">
        <f>IFERROR(VLOOKUP($A788,#REF!,MATCH(#REF!,#REF!,0),0),0)</f>
        <v>0</v>
      </c>
      <c r="L788" s="6">
        <f>IFERROR(VLOOKUP($A788,[1]FINAL!$A$1:$BZ$1000,MATCH([1]FINAL!$BF$1,[1]FINAL!$A$1:$BZ$1,0),0),0)</f>
        <v>0</v>
      </c>
      <c r="M788" s="7">
        <f t="shared" si="62"/>
        <v>0</v>
      </c>
      <c r="N788" s="6">
        <f>IFERROR(VLOOKUP($A788,#REF!,MATCH(#REF!,#REF!,0),0),0)</f>
        <v>0</v>
      </c>
      <c r="O788" s="7">
        <f t="shared" si="63"/>
        <v>0</v>
      </c>
      <c r="P788" s="10" t="str">
        <f>IFERROR(VLOOKUP($A788,[1]FINAL!$A$1:$BZ$1000,MATCH([1]FINAL!$BB$1,[1]FINAL!$A$1:$BZ$1,0),0),"")</f>
        <v/>
      </c>
      <c r="Q788" s="18">
        <f t="shared" si="64"/>
        <v>1</v>
      </c>
    </row>
    <row r="789" spans="1:17" x14ac:dyDescent="0.25">
      <c r="A789" s="14">
        <f>[1]FINAL!$A787</f>
        <v>0</v>
      </c>
      <c r="B789" s="20" t="str">
        <f>IFERROR(VLOOKUP($A789,[1]FINAL!$A$1:$Z$1000,MATCH([1]FINAL!$T$1,[1]FINAL!$A$1:$Z$1,0),0),"")</f>
        <v/>
      </c>
      <c r="C789" s="3" t="str">
        <f>IFERROR(VLOOKUP($A789,[1]FINAL!$A$1:$Z$1000,MATCH([1]FINAL!$U$1,[1]FINAL!$A$1:$Z$1,0),0),"")</f>
        <v/>
      </c>
      <c r="D789" s="3" t="str">
        <f>IFERROR(VLOOKUP($A789,[1]FINAL!$A$1:$Z$1000,MATCH([1]FINAL!$V$1,[1]FINAL!$A$1:$Z$1,0),0),"")</f>
        <v/>
      </c>
      <c r="E789" s="6">
        <f t="shared" si="60"/>
        <v>0</v>
      </c>
      <c r="F789" s="5">
        <f t="shared" si="61"/>
        <v>0</v>
      </c>
      <c r="G789" s="5">
        <f>IFERROR(IF(H789&lt;&gt;"",H789,VLOOKUP($A789,[1]FINAL!$A$1:$BZ$1000,MATCH([1]FINAL!$BL$1,[1]FINAL!$A$1:$BZ$1,0),0)),0)</f>
        <v>0</v>
      </c>
      <c r="I789" s="5">
        <f>IFERROR(IF(J789&lt;&gt;"",J789,(IF(VLOOKUP($A789,#REF!,MATCH(#REF!,#REF!,0),0)=0,G789,VLOOKUP($A789,#REF!,MATCH(#REF!,#REF!,0),0)))),G789)</f>
        <v>0</v>
      </c>
      <c r="K789" s="6">
        <f>IFERROR(VLOOKUP($A789,#REF!,MATCH(#REF!,#REF!,0),0),0)</f>
        <v>0</v>
      </c>
      <c r="L789" s="6">
        <f>IFERROR(VLOOKUP($A789,[1]FINAL!$A$1:$BZ$1000,MATCH([1]FINAL!$BF$1,[1]FINAL!$A$1:$BZ$1,0),0),0)</f>
        <v>0</v>
      </c>
      <c r="M789" s="7">
        <f t="shared" si="62"/>
        <v>0</v>
      </c>
      <c r="N789" s="6">
        <f>IFERROR(VLOOKUP($A789,#REF!,MATCH(#REF!,#REF!,0),0),0)</f>
        <v>0</v>
      </c>
      <c r="O789" s="7">
        <f t="shared" si="63"/>
        <v>0</v>
      </c>
      <c r="P789" s="10" t="str">
        <f>IFERROR(VLOOKUP($A789,[1]FINAL!$A$1:$BZ$1000,MATCH([1]FINAL!$BB$1,[1]FINAL!$A$1:$BZ$1,0),0),"")</f>
        <v/>
      </c>
      <c r="Q789" s="18">
        <f t="shared" si="64"/>
        <v>1</v>
      </c>
    </row>
    <row r="790" spans="1:17" x14ac:dyDescent="0.25">
      <c r="A790" s="14">
        <f>[1]FINAL!$A788</f>
        <v>0</v>
      </c>
      <c r="B790" s="20" t="str">
        <f>IFERROR(VLOOKUP($A790,[1]FINAL!$A$1:$Z$1000,MATCH([1]FINAL!$T$1,[1]FINAL!$A$1:$Z$1,0),0),"")</f>
        <v/>
      </c>
      <c r="C790" s="3" t="str">
        <f>IFERROR(VLOOKUP($A790,[1]FINAL!$A$1:$Z$1000,MATCH([1]FINAL!$U$1,[1]FINAL!$A$1:$Z$1,0),0),"")</f>
        <v/>
      </c>
      <c r="D790" s="3" t="str">
        <f>IFERROR(VLOOKUP($A790,[1]FINAL!$A$1:$Z$1000,MATCH([1]FINAL!$V$1,[1]FINAL!$A$1:$Z$1,0),0),"")</f>
        <v/>
      </c>
      <c r="E790" s="6">
        <f t="shared" si="60"/>
        <v>0</v>
      </c>
      <c r="F790" s="5">
        <f t="shared" si="61"/>
        <v>0</v>
      </c>
      <c r="G790" s="5">
        <f>IFERROR(IF(H790&lt;&gt;"",H790,VLOOKUP($A790,[1]FINAL!$A$1:$BZ$1000,MATCH([1]FINAL!$BL$1,[1]FINAL!$A$1:$BZ$1,0),0)),0)</f>
        <v>0</v>
      </c>
      <c r="I790" s="5">
        <f>IFERROR(IF(J790&lt;&gt;"",J790,(IF(VLOOKUP($A790,#REF!,MATCH(#REF!,#REF!,0),0)=0,G790,VLOOKUP($A790,#REF!,MATCH(#REF!,#REF!,0),0)))),G790)</f>
        <v>0</v>
      </c>
      <c r="K790" s="6">
        <f>IFERROR(VLOOKUP($A790,#REF!,MATCH(#REF!,#REF!,0),0),0)</f>
        <v>0</v>
      </c>
      <c r="L790" s="6">
        <f>IFERROR(VLOOKUP($A790,[1]FINAL!$A$1:$BZ$1000,MATCH([1]FINAL!$BF$1,[1]FINAL!$A$1:$BZ$1,0),0),0)</f>
        <v>0</v>
      </c>
      <c r="M790" s="7">
        <f t="shared" si="62"/>
        <v>0</v>
      </c>
      <c r="N790" s="6">
        <f>IFERROR(VLOOKUP($A790,#REF!,MATCH(#REF!,#REF!,0),0),0)</f>
        <v>0</v>
      </c>
      <c r="O790" s="7">
        <f t="shared" si="63"/>
        <v>0</v>
      </c>
      <c r="P790" s="10" t="str">
        <f>IFERROR(VLOOKUP($A790,[1]FINAL!$A$1:$BZ$1000,MATCH([1]FINAL!$BB$1,[1]FINAL!$A$1:$BZ$1,0),0),"")</f>
        <v/>
      </c>
      <c r="Q790" s="18">
        <f t="shared" si="64"/>
        <v>1</v>
      </c>
    </row>
    <row r="791" spans="1:17" x14ac:dyDescent="0.25">
      <c r="A791" s="14">
        <f>[1]FINAL!$A789</f>
        <v>0</v>
      </c>
      <c r="B791" s="20" t="str">
        <f>IFERROR(VLOOKUP($A791,[1]FINAL!$A$1:$Z$1000,MATCH([1]FINAL!$T$1,[1]FINAL!$A$1:$Z$1,0),0),"")</f>
        <v/>
      </c>
      <c r="C791" s="3" t="str">
        <f>IFERROR(VLOOKUP($A791,[1]FINAL!$A$1:$Z$1000,MATCH([1]FINAL!$U$1,[1]FINAL!$A$1:$Z$1,0),0),"")</f>
        <v/>
      </c>
      <c r="D791" s="3" t="str">
        <f>IFERROR(VLOOKUP($A791,[1]FINAL!$A$1:$Z$1000,MATCH([1]FINAL!$V$1,[1]FINAL!$A$1:$Z$1,0),0),"")</f>
        <v/>
      </c>
      <c r="E791" s="6">
        <f t="shared" si="60"/>
        <v>0</v>
      </c>
      <c r="F791" s="5">
        <f t="shared" si="61"/>
        <v>0</v>
      </c>
      <c r="G791" s="5">
        <f>IFERROR(IF(H791&lt;&gt;"",H791,VLOOKUP($A791,[1]FINAL!$A$1:$BZ$1000,MATCH([1]FINAL!$BL$1,[1]FINAL!$A$1:$BZ$1,0),0)),0)</f>
        <v>0</v>
      </c>
      <c r="I791" s="5">
        <f>IFERROR(IF(J791&lt;&gt;"",J791,(IF(VLOOKUP($A791,#REF!,MATCH(#REF!,#REF!,0),0)=0,G791,VLOOKUP($A791,#REF!,MATCH(#REF!,#REF!,0),0)))),G791)</f>
        <v>0</v>
      </c>
      <c r="K791" s="6">
        <f>IFERROR(VLOOKUP($A791,#REF!,MATCH(#REF!,#REF!,0),0),0)</f>
        <v>0</v>
      </c>
      <c r="L791" s="6">
        <f>IFERROR(VLOOKUP($A791,[1]FINAL!$A$1:$BZ$1000,MATCH([1]FINAL!$BF$1,[1]FINAL!$A$1:$BZ$1,0),0),0)</f>
        <v>0</v>
      </c>
      <c r="M791" s="7">
        <f t="shared" si="62"/>
        <v>0</v>
      </c>
      <c r="N791" s="6">
        <f>IFERROR(VLOOKUP($A791,#REF!,MATCH(#REF!,#REF!,0),0),0)</f>
        <v>0</v>
      </c>
      <c r="O791" s="7">
        <f t="shared" si="63"/>
        <v>0</v>
      </c>
      <c r="P791" s="10" t="str">
        <f>IFERROR(VLOOKUP($A791,[1]FINAL!$A$1:$BZ$1000,MATCH([1]FINAL!$BB$1,[1]FINAL!$A$1:$BZ$1,0),0),"")</f>
        <v/>
      </c>
      <c r="Q791" s="18">
        <f t="shared" si="64"/>
        <v>1</v>
      </c>
    </row>
    <row r="792" spans="1:17" x14ac:dyDescent="0.25">
      <c r="A792" s="14">
        <f>[1]FINAL!$A790</f>
        <v>0</v>
      </c>
      <c r="B792" s="20" t="str">
        <f>IFERROR(VLOOKUP($A792,[1]FINAL!$A$1:$Z$1000,MATCH([1]FINAL!$T$1,[1]FINAL!$A$1:$Z$1,0),0),"")</f>
        <v/>
      </c>
      <c r="C792" s="3" t="str">
        <f>IFERROR(VLOOKUP($A792,[1]FINAL!$A$1:$Z$1000,MATCH([1]FINAL!$U$1,[1]FINAL!$A$1:$Z$1,0),0),"")</f>
        <v/>
      </c>
      <c r="D792" s="3" t="str">
        <f>IFERROR(VLOOKUP($A792,[1]FINAL!$A$1:$Z$1000,MATCH([1]FINAL!$V$1,[1]FINAL!$A$1:$Z$1,0),0),"")</f>
        <v/>
      </c>
      <c r="E792" s="6">
        <f t="shared" si="60"/>
        <v>0</v>
      </c>
      <c r="F792" s="5">
        <f t="shared" si="61"/>
        <v>0</v>
      </c>
      <c r="G792" s="5">
        <f>IFERROR(IF(H792&lt;&gt;"",H792,VLOOKUP($A792,[1]FINAL!$A$1:$BZ$1000,MATCH([1]FINAL!$BL$1,[1]FINAL!$A$1:$BZ$1,0),0)),0)</f>
        <v>0</v>
      </c>
      <c r="I792" s="5">
        <f>IFERROR(IF(J792&lt;&gt;"",J792,(IF(VLOOKUP($A792,#REF!,MATCH(#REF!,#REF!,0),0)=0,G792,VLOOKUP($A792,#REF!,MATCH(#REF!,#REF!,0),0)))),G792)</f>
        <v>0</v>
      </c>
      <c r="K792" s="6">
        <f>IFERROR(VLOOKUP($A792,#REF!,MATCH(#REF!,#REF!,0),0),0)</f>
        <v>0</v>
      </c>
      <c r="L792" s="6">
        <f>IFERROR(VLOOKUP($A792,[1]FINAL!$A$1:$BZ$1000,MATCH([1]FINAL!$BF$1,[1]FINAL!$A$1:$BZ$1,0),0),0)</f>
        <v>0</v>
      </c>
      <c r="M792" s="7">
        <f t="shared" si="62"/>
        <v>0</v>
      </c>
      <c r="N792" s="6">
        <f>IFERROR(VLOOKUP($A792,#REF!,MATCH(#REF!,#REF!,0),0),0)</f>
        <v>0</v>
      </c>
      <c r="O792" s="7">
        <f t="shared" si="63"/>
        <v>0</v>
      </c>
      <c r="P792" s="10" t="str">
        <f>IFERROR(VLOOKUP($A792,[1]FINAL!$A$1:$BZ$1000,MATCH([1]FINAL!$BB$1,[1]FINAL!$A$1:$BZ$1,0),0),"")</f>
        <v/>
      </c>
      <c r="Q792" s="18">
        <f t="shared" si="64"/>
        <v>1</v>
      </c>
    </row>
    <row r="793" spans="1:17" x14ac:dyDescent="0.25">
      <c r="A793" s="14">
        <f>[1]FINAL!$A791</f>
        <v>0</v>
      </c>
      <c r="B793" s="20" t="str">
        <f>IFERROR(VLOOKUP($A793,[1]FINAL!$A$1:$Z$1000,MATCH([1]FINAL!$T$1,[1]FINAL!$A$1:$Z$1,0),0),"")</f>
        <v/>
      </c>
      <c r="C793" s="3" t="str">
        <f>IFERROR(VLOOKUP($A793,[1]FINAL!$A$1:$Z$1000,MATCH([1]FINAL!$U$1,[1]FINAL!$A$1:$Z$1,0),0),"")</f>
        <v/>
      </c>
      <c r="D793" s="3" t="str">
        <f>IFERROR(VLOOKUP($A793,[1]FINAL!$A$1:$Z$1000,MATCH([1]FINAL!$V$1,[1]FINAL!$A$1:$Z$1,0),0),"")</f>
        <v/>
      </c>
      <c r="E793" s="6">
        <f t="shared" si="60"/>
        <v>0</v>
      </c>
      <c r="F793" s="5">
        <f t="shared" si="61"/>
        <v>0</v>
      </c>
      <c r="G793" s="5">
        <f>IFERROR(IF(H793&lt;&gt;"",H793,VLOOKUP($A793,[1]FINAL!$A$1:$BZ$1000,MATCH([1]FINAL!$BL$1,[1]FINAL!$A$1:$BZ$1,0),0)),0)</f>
        <v>0</v>
      </c>
      <c r="I793" s="5">
        <f>IFERROR(IF(J793&lt;&gt;"",J793,(IF(VLOOKUP($A793,#REF!,MATCH(#REF!,#REF!,0),0)=0,G793,VLOOKUP($A793,#REF!,MATCH(#REF!,#REF!,0),0)))),G793)</f>
        <v>0</v>
      </c>
      <c r="K793" s="6">
        <f>IFERROR(VLOOKUP($A793,#REF!,MATCH(#REF!,#REF!,0),0),0)</f>
        <v>0</v>
      </c>
      <c r="L793" s="6">
        <f>IFERROR(VLOOKUP($A793,[1]FINAL!$A$1:$BZ$1000,MATCH([1]FINAL!$BF$1,[1]FINAL!$A$1:$BZ$1,0),0),0)</f>
        <v>0</v>
      </c>
      <c r="M793" s="7">
        <f t="shared" si="62"/>
        <v>0</v>
      </c>
      <c r="N793" s="6">
        <f>IFERROR(VLOOKUP($A793,#REF!,MATCH(#REF!,#REF!,0),0),0)</f>
        <v>0</v>
      </c>
      <c r="O793" s="7">
        <f t="shared" si="63"/>
        <v>0</v>
      </c>
      <c r="P793" s="10" t="str">
        <f>IFERROR(VLOOKUP($A793,[1]FINAL!$A$1:$BZ$1000,MATCH([1]FINAL!$BB$1,[1]FINAL!$A$1:$BZ$1,0),0),"")</f>
        <v/>
      </c>
      <c r="Q793" s="18">
        <f t="shared" si="64"/>
        <v>1</v>
      </c>
    </row>
    <row r="794" spans="1:17" x14ac:dyDescent="0.25">
      <c r="A794" s="14">
        <f>[1]FINAL!$A792</f>
        <v>0</v>
      </c>
      <c r="B794" s="20" t="str">
        <f>IFERROR(VLOOKUP($A794,[1]FINAL!$A$1:$Z$1000,MATCH([1]FINAL!$T$1,[1]FINAL!$A$1:$Z$1,0),0),"")</f>
        <v/>
      </c>
      <c r="C794" s="3" t="str">
        <f>IFERROR(VLOOKUP($A794,[1]FINAL!$A$1:$Z$1000,MATCH([1]FINAL!$U$1,[1]FINAL!$A$1:$Z$1,0),0),"")</f>
        <v/>
      </c>
      <c r="D794" s="3" t="str">
        <f>IFERROR(VLOOKUP($A794,[1]FINAL!$A$1:$Z$1000,MATCH([1]FINAL!$V$1,[1]FINAL!$A$1:$Z$1,0),0),"")</f>
        <v/>
      </c>
      <c r="E794" s="6">
        <f t="shared" si="60"/>
        <v>0</v>
      </c>
      <c r="F794" s="5">
        <f t="shared" si="61"/>
        <v>0</v>
      </c>
      <c r="G794" s="5">
        <f>IFERROR(IF(H794&lt;&gt;"",H794,VLOOKUP($A794,[1]FINAL!$A$1:$BZ$1000,MATCH([1]FINAL!$BL$1,[1]FINAL!$A$1:$BZ$1,0),0)),0)</f>
        <v>0</v>
      </c>
      <c r="I794" s="5">
        <f>IFERROR(IF(J794&lt;&gt;"",J794,(IF(VLOOKUP($A794,#REF!,MATCH(#REF!,#REF!,0),0)=0,G794,VLOOKUP($A794,#REF!,MATCH(#REF!,#REF!,0),0)))),G794)</f>
        <v>0</v>
      </c>
      <c r="K794" s="6">
        <f>IFERROR(VLOOKUP($A794,#REF!,MATCH(#REF!,#REF!,0),0),0)</f>
        <v>0</v>
      </c>
      <c r="L794" s="6">
        <f>IFERROR(VLOOKUP($A794,[1]FINAL!$A$1:$BZ$1000,MATCH([1]FINAL!$BF$1,[1]FINAL!$A$1:$BZ$1,0),0),0)</f>
        <v>0</v>
      </c>
      <c r="M794" s="7">
        <f t="shared" si="62"/>
        <v>0</v>
      </c>
      <c r="N794" s="6">
        <f>IFERROR(VLOOKUP($A794,#REF!,MATCH(#REF!,#REF!,0),0),0)</f>
        <v>0</v>
      </c>
      <c r="O794" s="7">
        <f t="shared" si="63"/>
        <v>0</v>
      </c>
      <c r="P794" s="10" t="str">
        <f>IFERROR(VLOOKUP($A794,[1]FINAL!$A$1:$BZ$1000,MATCH([1]FINAL!$BB$1,[1]FINAL!$A$1:$BZ$1,0),0),"")</f>
        <v/>
      </c>
      <c r="Q794" s="18">
        <f t="shared" si="64"/>
        <v>1</v>
      </c>
    </row>
    <row r="795" spans="1:17" x14ac:dyDescent="0.25">
      <c r="A795" s="14">
        <f>[1]FINAL!$A793</f>
        <v>0</v>
      </c>
      <c r="B795" s="20" t="str">
        <f>IFERROR(VLOOKUP($A795,[1]FINAL!$A$1:$Z$1000,MATCH([1]FINAL!$T$1,[1]FINAL!$A$1:$Z$1,0),0),"")</f>
        <v/>
      </c>
      <c r="C795" s="3" t="str">
        <f>IFERROR(VLOOKUP($A795,[1]FINAL!$A$1:$Z$1000,MATCH([1]FINAL!$U$1,[1]FINAL!$A$1:$Z$1,0),0),"")</f>
        <v/>
      </c>
      <c r="D795" s="3" t="str">
        <f>IFERROR(VLOOKUP($A795,[1]FINAL!$A$1:$Z$1000,MATCH([1]FINAL!$V$1,[1]FINAL!$A$1:$Z$1,0),0),"")</f>
        <v/>
      </c>
      <c r="E795" s="6">
        <f t="shared" si="60"/>
        <v>0</v>
      </c>
      <c r="F795" s="5">
        <f t="shared" si="61"/>
        <v>0</v>
      </c>
      <c r="G795" s="5">
        <f>IFERROR(IF(H795&lt;&gt;"",H795,VLOOKUP($A795,[1]FINAL!$A$1:$BZ$1000,MATCH([1]FINAL!$BL$1,[1]FINAL!$A$1:$BZ$1,0),0)),0)</f>
        <v>0</v>
      </c>
      <c r="I795" s="5">
        <f>IFERROR(IF(J795&lt;&gt;"",J795,(IF(VLOOKUP($A795,#REF!,MATCH(#REF!,#REF!,0),0)=0,G795,VLOOKUP($A795,#REF!,MATCH(#REF!,#REF!,0),0)))),G795)</f>
        <v>0</v>
      </c>
      <c r="K795" s="6">
        <f>IFERROR(VLOOKUP($A795,#REF!,MATCH(#REF!,#REF!,0),0),0)</f>
        <v>0</v>
      </c>
      <c r="L795" s="6">
        <f>IFERROR(VLOOKUP($A795,[1]FINAL!$A$1:$BZ$1000,MATCH([1]FINAL!$BF$1,[1]FINAL!$A$1:$BZ$1,0),0),0)</f>
        <v>0</v>
      </c>
      <c r="M795" s="7">
        <f t="shared" si="62"/>
        <v>0</v>
      </c>
      <c r="N795" s="6">
        <f>IFERROR(VLOOKUP($A795,#REF!,MATCH(#REF!,#REF!,0),0),0)</f>
        <v>0</v>
      </c>
      <c r="O795" s="7">
        <f t="shared" si="63"/>
        <v>0</v>
      </c>
      <c r="P795" s="10" t="str">
        <f>IFERROR(VLOOKUP($A795,[1]FINAL!$A$1:$BZ$1000,MATCH([1]FINAL!$BB$1,[1]FINAL!$A$1:$BZ$1,0),0),"")</f>
        <v/>
      </c>
      <c r="Q795" s="18">
        <f t="shared" si="64"/>
        <v>1</v>
      </c>
    </row>
    <row r="796" spans="1:17" x14ac:dyDescent="0.25">
      <c r="A796" s="14">
        <f>[1]FINAL!$A794</f>
        <v>0</v>
      </c>
      <c r="B796" s="20" t="str">
        <f>IFERROR(VLOOKUP($A796,[1]FINAL!$A$1:$Z$1000,MATCH([1]FINAL!$T$1,[1]FINAL!$A$1:$Z$1,0),0),"")</f>
        <v/>
      </c>
      <c r="C796" s="3" t="str">
        <f>IFERROR(VLOOKUP($A796,[1]FINAL!$A$1:$Z$1000,MATCH([1]FINAL!$U$1,[1]FINAL!$A$1:$Z$1,0),0),"")</f>
        <v/>
      </c>
      <c r="D796" s="3" t="str">
        <f>IFERROR(VLOOKUP($A796,[1]FINAL!$A$1:$Z$1000,MATCH([1]FINAL!$V$1,[1]FINAL!$A$1:$Z$1,0),0),"")</f>
        <v/>
      </c>
      <c r="E796" s="6">
        <f t="shared" si="60"/>
        <v>0</v>
      </c>
      <c r="F796" s="5">
        <f t="shared" si="61"/>
        <v>0</v>
      </c>
      <c r="G796" s="5">
        <f>IFERROR(IF(H796&lt;&gt;"",H796,VLOOKUP($A796,[1]FINAL!$A$1:$BZ$1000,MATCH([1]FINAL!$BL$1,[1]FINAL!$A$1:$BZ$1,0),0)),0)</f>
        <v>0</v>
      </c>
      <c r="I796" s="5">
        <f>IFERROR(IF(J796&lt;&gt;"",J796,(IF(VLOOKUP($A796,#REF!,MATCH(#REF!,#REF!,0),0)=0,G796,VLOOKUP($A796,#REF!,MATCH(#REF!,#REF!,0),0)))),G796)</f>
        <v>0</v>
      </c>
      <c r="K796" s="6">
        <f>IFERROR(VLOOKUP($A796,#REF!,MATCH(#REF!,#REF!,0),0),0)</f>
        <v>0</v>
      </c>
      <c r="L796" s="6">
        <f>IFERROR(VLOOKUP($A796,[1]FINAL!$A$1:$BZ$1000,MATCH([1]FINAL!$BF$1,[1]FINAL!$A$1:$BZ$1,0),0),0)</f>
        <v>0</v>
      </c>
      <c r="M796" s="7">
        <f t="shared" si="62"/>
        <v>0</v>
      </c>
      <c r="N796" s="6">
        <f>IFERROR(VLOOKUP($A796,#REF!,MATCH(#REF!,#REF!,0),0),0)</f>
        <v>0</v>
      </c>
      <c r="O796" s="7">
        <f t="shared" si="63"/>
        <v>0</v>
      </c>
      <c r="P796" s="10" t="str">
        <f>IFERROR(VLOOKUP($A796,[1]FINAL!$A$1:$BZ$1000,MATCH([1]FINAL!$BB$1,[1]FINAL!$A$1:$BZ$1,0),0),"")</f>
        <v/>
      </c>
      <c r="Q796" s="18">
        <f t="shared" si="64"/>
        <v>1</v>
      </c>
    </row>
    <row r="797" spans="1:17" x14ac:dyDescent="0.25">
      <c r="A797" s="14">
        <f>[1]FINAL!$A795</f>
        <v>0</v>
      </c>
      <c r="B797" s="20" t="str">
        <f>IFERROR(VLOOKUP($A797,[1]FINAL!$A$1:$Z$1000,MATCH([1]FINAL!$T$1,[1]FINAL!$A$1:$Z$1,0),0),"")</f>
        <v/>
      </c>
      <c r="C797" s="3" t="str">
        <f>IFERROR(VLOOKUP($A797,[1]FINAL!$A$1:$Z$1000,MATCH([1]FINAL!$U$1,[1]FINAL!$A$1:$Z$1,0),0),"")</f>
        <v/>
      </c>
      <c r="D797" s="3" t="str">
        <f>IFERROR(VLOOKUP($A797,[1]FINAL!$A$1:$Z$1000,MATCH([1]FINAL!$V$1,[1]FINAL!$A$1:$Z$1,0),0),"")</f>
        <v/>
      </c>
      <c r="E797" s="6">
        <f t="shared" si="60"/>
        <v>0</v>
      </c>
      <c r="F797" s="5">
        <f t="shared" si="61"/>
        <v>0</v>
      </c>
      <c r="G797" s="5">
        <f>IFERROR(IF(H797&lt;&gt;"",H797,VLOOKUP($A797,[1]FINAL!$A$1:$BZ$1000,MATCH([1]FINAL!$BL$1,[1]FINAL!$A$1:$BZ$1,0),0)),0)</f>
        <v>0</v>
      </c>
      <c r="I797" s="5">
        <f>IFERROR(IF(J797&lt;&gt;"",J797,(IF(VLOOKUP($A797,#REF!,MATCH(#REF!,#REF!,0),0)=0,G797,VLOOKUP($A797,#REF!,MATCH(#REF!,#REF!,0),0)))),G797)</f>
        <v>0</v>
      </c>
      <c r="K797" s="6">
        <f>IFERROR(VLOOKUP($A797,#REF!,MATCH(#REF!,#REF!,0),0),0)</f>
        <v>0</v>
      </c>
      <c r="L797" s="6">
        <f>IFERROR(VLOOKUP($A797,[1]FINAL!$A$1:$BZ$1000,MATCH([1]FINAL!$BF$1,[1]FINAL!$A$1:$BZ$1,0),0),0)</f>
        <v>0</v>
      </c>
      <c r="M797" s="7">
        <f t="shared" si="62"/>
        <v>0</v>
      </c>
      <c r="N797" s="6">
        <f>IFERROR(VLOOKUP($A797,#REF!,MATCH(#REF!,#REF!,0),0),0)</f>
        <v>0</v>
      </c>
      <c r="O797" s="7">
        <f t="shared" si="63"/>
        <v>0</v>
      </c>
      <c r="P797" s="10" t="str">
        <f>IFERROR(VLOOKUP($A797,[1]FINAL!$A$1:$BZ$1000,MATCH([1]FINAL!$BB$1,[1]FINAL!$A$1:$BZ$1,0),0),"")</f>
        <v/>
      </c>
      <c r="Q797" s="18">
        <f t="shared" si="64"/>
        <v>1</v>
      </c>
    </row>
    <row r="798" spans="1:17" x14ac:dyDescent="0.25">
      <c r="A798" s="14">
        <f>[1]FINAL!$A796</f>
        <v>0</v>
      </c>
      <c r="B798" s="20" t="str">
        <f>IFERROR(VLOOKUP($A798,[1]FINAL!$A$1:$Z$1000,MATCH([1]FINAL!$T$1,[1]FINAL!$A$1:$Z$1,0),0),"")</f>
        <v/>
      </c>
      <c r="C798" s="3" t="str">
        <f>IFERROR(VLOOKUP($A798,[1]FINAL!$A$1:$Z$1000,MATCH([1]FINAL!$U$1,[1]FINAL!$A$1:$Z$1,0),0),"")</f>
        <v/>
      </c>
      <c r="D798" s="3" t="str">
        <f>IFERROR(VLOOKUP($A798,[1]FINAL!$A$1:$Z$1000,MATCH([1]FINAL!$V$1,[1]FINAL!$A$1:$Z$1,0),0),"")</f>
        <v/>
      </c>
      <c r="E798" s="6">
        <f t="shared" si="60"/>
        <v>0</v>
      </c>
      <c r="F798" s="5">
        <f t="shared" si="61"/>
        <v>0</v>
      </c>
      <c r="G798" s="5">
        <f>IFERROR(IF(H798&lt;&gt;"",H798,VLOOKUP($A798,[1]FINAL!$A$1:$BZ$1000,MATCH([1]FINAL!$BL$1,[1]FINAL!$A$1:$BZ$1,0),0)),0)</f>
        <v>0</v>
      </c>
      <c r="I798" s="5">
        <f>IFERROR(IF(J798&lt;&gt;"",J798,(IF(VLOOKUP($A798,#REF!,MATCH(#REF!,#REF!,0),0)=0,G798,VLOOKUP($A798,#REF!,MATCH(#REF!,#REF!,0),0)))),G798)</f>
        <v>0</v>
      </c>
      <c r="K798" s="6">
        <f>IFERROR(VLOOKUP($A798,#REF!,MATCH(#REF!,#REF!,0),0),0)</f>
        <v>0</v>
      </c>
      <c r="L798" s="6">
        <f>IFERROR(VLOOKUP($A798,[1]FINAL!$A$1:$BZ$1000,MATCH([1]FINAL!$BF$1,[1]FINAL!$A$1:$BZ$1,0),0),0)</f>
        <v>0</v>
      </c>
      <c r="M798" s="7">
        <f t="shared" si="62"/>
        <v>0</v>
      </c>
      <c r="N798" s="6">
        <f>IFERROR(VLOOKUP($A798,#REF!,MATCH(#REF!,#REF!,0),0),0)</f>
        <v>0</v>
      </c>
      <c r="O798" s="7">
        <f t="shared" si="63"/>
        <v>0</v>
      </c>
      <c r="P798" s="10" t="str">
        <f>IFERROR(VLOOKUP($A798,[1]FINAL!$A$1:$BZ$1000,MATCH([1]FINAL!$BB$1,[1]FINAL!$A$1:$BZ$1,0),0),"")</f>
        <v/>
      </c>
      <c r="Q798" s="18">
        <f t="shared" si="64"/>
        <v>1</v>
      </c>
    </row>
    <row r="799" spans="1:17" x14ac:dyDescent="0.25">
      <c r="A799" s="14">
        <f>[1]FINAL!$A797</f>
        <v>0</v>
      </c>
      <c r="B799" s="20" t="str">
        <f>IFERROR(VLOOKUP($A799,[1]FINAL!$A$1:$Z$1000,MATCH([1]FINAL!$T$1,[1]FINAL!$A$1:$Z$1,0),0),"")</f>
        <v/>
      </c>
      <c r="C799" s="3" t="str">
        <f>IFERROR(VLOOKUP($A799,[1]FINAL!$A$1:$Z$1000,MATCH([1]FINAL!$U$1,[1]FINAL!$A$1:$Z$1,0),0),"")</f>
        <v/>
      </c>
      <c r="D799" s="3" t="str">
        <f>IFERROR(VLOOKUP($A799,[1]FINAL!$A$1:$Z$1000,MATCH([1]FINAL!$V$1,[1]FINAL!$A$1:$Z$1,0),0),"")</f>
        <v/>
      </c>
      <c r="E799" s="6">
        <f t="shared" si="60"/>
        <v>0</v>
      </c>
      <c r="F799" s="5">
        <f t="shared" si="61"/>
        <v>0</v>
      </c>
      <c r="G799" s="5">
        <f>IFERROR(IF(H799&lt;&gt;"",H799,VLOOKUP($A799,[1]FINAL!$A$1:$BZ$1000,MATCH([1]FINAL!$BL$1,[1]FINAL!$A$1:$BZ$1,0),0)),0)</f>
        <v>0</v>
      </c>
      <c r="I799" s="5">
        <f>IFERROR(IF(J799&lt;&gt;"",J799,(IF(VLOOKUP($A799,#REF!,MATCH(#REF!,#REF!,0),0)=0,G799,VLOOKUP($A799,#REF!,MATCH(#REF!,#REF!,0),0)))),G799)</f>
        <v>0</v>
      </c>
      <c r="K799" s="6">
        <f>IFERROR(VLOOKUP($A799,#REF!,MATCH(#REF!,#REF!,0),0),0)</f>
        <v>0</v>
      </c>
      <c r="L799" s="6">
        <f>IFERROR(VLOOKUP($A799,[1]FINAL!$A$1:$BZ$1000,MATCH([1]FINAL!$BF$1,[1]FINAL!$A$1:$BZ$1,0),0),0)</f>
        <v>0</v>
      </c>
      <c r="M799" s="7">
        <f t="shared" si="62"/>
        <v>0</v>
      </c>
      <c r="N799" s="6">
        <f>IFERROR(VLOOKUP($A799,#REF!,MATCH(#REF!,#REF!,0),0),0)</f>
        <v>0</v>
      </c>
      <c r="O799" s="7">
        <f t="shared" si="63"/>
        <v>0</v>
      </c>
      <c r="P799" s="10" t="str">
        <f>IFERROR(VLOOKUP($A799,[1]FINAL!$A$1:$BZ$1000,MATCH([1]FINAL!$BB$1,[1]FINAL!$A$1:$BZ$1,0),0),"")</f>
        <v/>
      </c>
      <c r="Q799" s="18">
        <f t="shared" si="64"/>
        <v>1</v>
      </c>
    </row>
    <row r="800" spans="1:17" x14ac:dyDescent="0.25">
      <c r="A800" s="14">
        <f>[1]FINAL!$A798</f>
        <v>0</v>
      </c>
      <c r="B800" s="20" t="str">
        <f>IFERROR(VLOOKUP($A800,[1]FINAL!$A$1:$Z$1000,MATCH([1]FINAL!$T$1,[1]FINAL!$A$1:$Z$1,0),0),"")</f>
        <v/>
      </c>
      <c r="C800" s="3" t="str">
        <f>IFERROR(VLOOKUP($A800,[1]FINAL!$A$1:$Z$1000,MATCH([1]FINAL!$U$1,[1]FINAL!$A$1:$Z$1,0),0),"")</f>
        <v/>
      </c>
      <c r="D800" s="3" t="str">
        <f>IFERROR(VLOOKUP($A800,[1]FINAL!$A$1:$Z$1000,MATCH([1]FINAL!$V$1,[1]FINAL!$A$1:$Z$1,0),0),"")</f>
        <v/>
      </c>
      <c r="E800" s="6">
        <f t="shared" si="60"/>
        <v>0</v>
      </c>
      <c r="F800" s="5">
        <f t="shared" si="61"/>
        <v>0</v>
      </c>
      <c r="G800" s="5">
        <f>IFERROR(IF(H800&lt;&gt;"",H800,VLOOKUP($A800,[1]FINAL!$A$1:$BZ$1000,MATCH([1]FINAL!$BL$1,[1]FINAL!$A$1:$BZ$1,0),0)),0)</f>
        <v>0</v>
      </c>
      <c r="I800" s="5">
        <f>IFERROR(IF(J800&lt;&gt;"",J800,(IF(VLOOKUP($A800,#REF!,MATCH(#REF!,#REF!,0),0)=0,G800,VLOOKUP($A800,#REF!,MATCH(#REF!,#REF!,0),0)))),G800)</f>
        <v>0</v>
      </c>
      <c r="K800" s="6">
        <f>IFERROR(VLOOKUP($A800,#REF!,MATCH(#REF!,#REF!,0),0),0)</f>
        <v>0</v>
      </c>
      <c r="L800" s="6">
        <f>IFERROR(VLOOKUP($A800,[1]FINAL!$A$1:$BZ$1000,MATCH([1]FINAL!$BF$1,[1]FINAL!$A$1:$BZ$1,0),0),0)</f>
        <v>0</v>
      </c>
      <c r="M800" s="7">
        <f t="shared" si="62"/>
        <v>0</v>
      </c>
      <c r="N800" s="6">
        <f>IFERROR(VLOOKUP($A800,#REF!,MATCH(#REF!,#REF!,0),0),0)</f>
        <v>0</v>
      </c>
      <c r="O800" s="7">
        <f t="shared" si="63"/>
        <v>0</v>
      </c>
      <c r="P800" s="10" t="str">
        <f>IFERROR(VLOOKUP($A800,[1]FINAL!$A$1:$BZ$1000,MATCH([1]FINAL!$BB$1,[1]FINAL!$A$1:$BZ$1,0),0),"")</f>
        <v/>
      </c>
      <c r="Q800" s="18">
        <f t="shared" si="64"/>
        <v>1</v>
      </c>
    </row>
    <row r="801" spans="1:17" x14ac:dyDescent="0.25">
      <c r="A801" s="14">
        <f>[1]FINAL!$A799</f>
        <v>0</v>
      </c>
      <c r="B801" s="20" t="str">
        <f>IFERROR(VLOOKUP($A801,[1]FINAL!$A$1:$Z$1000,MATCH([1]FINAL!$T$1,[1]FINAL!$A$1:$Z$1,0),0),"")</f>
        <v/>
      </c>
      <c r="C801" s="3" t="str">
        <f>IFERROR(VLOOKUP($A801,[1]FINAL!$A$1:$Z$1000,MATCH([1]FINAL!$U$1,[1]FINAL!$A$1:$Z$1,0),0),"")</f>
        <v/>
      </c>
      <c r="D801" s="3" t="str">
        <f>IFERROR(VLOOKUP($A801,[1]FINAL!$A$1:$Z$1000,MATCH([1]FINAL!$V$1,[1]FINAL!$A$1:$Z$1,0),0),"")</f>
        <v/>
      </c>
      <c r="E801" s="6">
        <f t="shared" si="60"/>
        <v>0</v>
      </c>
      <c r="F801" s="5">
        <f t="shared" si="61"/>
        <v>0</v>
      </c>
      <c r="G801" s="5">
        <f>IFERROR(IF(H801&lt;&gt;"",H801,VLOOKUP($A801,[1]FINAL!$A$1:$BZ$1000,MATCH([1]FINAL!$BL$1,[1]FINAL!$A$1:$BZ$1,0),0)),0)</f>
        <v>0</v>
      </c>
      <c r="I801" s="5">
        <f>IFERROR(IF(J801&lt;&gt;"",J801,(IF(VLOOKUP($A801,#REF!,MATCH(#REF!,#REF!,0),0)=0,G801,VLOOKUP($A801,#REF!,MATCH(#REF!,#REF!,0),0)))),G801)</f>
        <v>0</v>
      </c>
      <c r="K801" s="6">
        <f>IFERROR(VLOOKUP($A801,#REF!,MATCH(#REF!,#REF!,0),0),0)</f>
        <v>0</v>
      </c>
      <c r="L801" s="6">
        <f>IFERROR(VLOOKUP($A801,[1]FINAL!$A$1:$BZ$1000,MATCH([1]FINAL!$BF$1,[1]FINAL!$A$1:$BZ$1,0),0),0)</f>
        <v>0</v>
      </c>
      <c r="M801" s="7">
        <f t="shared" si="62"/>
        <v>0</v>
      </c>
      <c r="N801" s="6">
        <f>IFERROR(VLOOKUP($A801,#REF!,MATCH(#REF!,#REF!,0),0),0)</f>
        <v>0</v>
      </c>
      <c r="O801" s="7">
        <f t="shared" si="63"/>
        <v>0</v>
      </c>
      <c r="P801" s="10" t="str">
        <f>IFERROR(VLOOKUP($A801,[1]FINAL!$A$1:$BZ$1000,MATCH([1]FINAL!$BB$1,[1]FINAL!$A$1:$BZ$1,0),0),"")</f>
        <v/>
      </c>
      <c r="Q801" s="18">
        <f t="shared" si="64"/>
        <v>1</v>
      </c>
    </row>
    <row r="802" spans="1:17" x14ac:dyDescent="0.25">
      <c r="A802" s="14">
        <f>[1]FINAL!$A800</f>
        <v>0</v>
      </c>
      <c r="B802" s="20" t="str">
        <f>IFERROR(VLOOKUP($A802,[1]FINAL!$A$1:$Z$1000,MATCH([1]FINAL!$T$1,[1]FINAL!$A$1:$Z$1,0),0),"")</f>
        <v/>
      </c>
      <c r="C802" s="3" t="str">
        <f>IFERROR(VLOOKUP($A802,[1]FINAL!$A$1:$Z$1000,MATCH([1]FINAL!$U$1,[1]FINAL!$A$1:$Z$1,0),0),"")</f>
        <v/>
      </c>
      <c r="D802" s="3" t="str">
        <f>IFERROR(VLOOKUP($A802,[1]FINAL!$A$1:$Z$1000,MATCH([1]FINAL!$V$1,[1]FINAL!$A$1:$Z$1,0),0),"")</f>
        <v/>
      </c>
      <c r="E802" s="6">
        <f t="shared" si="60"/>
        <v>0</v>
      </c>
      <c r="F802" s="5">
        <f t="shared" si="61"/>
        <v>0</v>
      </c>
      <c r="G802" s="5">
        <f>IFERROR(IF(H802&lt;&gt;"",H802,VLOOKUP($A802,[1]FINAL!$A$1:$BZ$1000,MATCH([1]FINAL!$BL$1,[1]FINAL!$A$1:$BZ$1,0),0)),0)</f>
        <v>0</v>
      </c>
      <c r="I802" s="5">
        <f>IFERROR(IF(J802&lt;&gt;"",J802,(IF(VLOOKUP($A802,#REF!,MATCH(#REF!,#REF!,0),0)=0,G802,VLOOKUP($A802,#REF!,MATCH(#REF!,#REF!,0),0)))),G802)</f>
        <v>0</v>
      </c>
      <c r="K802" s="6">
        <f>IFERROR(VLOOKUP($A802,#REF!,MATCH(#REF!,#REF!,0),0),0)</f>
        <v>0</v>
      </c>
      <c r="L802" s="6">
        <f>IFERROR(VLOOKUP($A802,[1]FINAL!$A$1:$BZ$1000,MATCH([1]FINAL!$BF$1,[1]FINAL!$A$1:$BZ$1,0),0),0)</f>
        <v>0</v>
      </c>
      <c r="M802" s="7">
        <f t="shared" si="62"/>
        <v>0</v>
      </c>
      <c r="N802" s="6">
        <f>IFERROR(VLOOKUP($A802,#REF!,MATCH(#REF!,#REF!,0),0),0)</f>
        <v>0</v>
      </c>
      <c r="O802" s="7">
        <f t="shared" si="63"/>
        <v>0</v>
      </c>
      <c r="P802" s="10" t="str">
        <f>IFERROR(VLOOKUP($A802,[1]FINAL!$A$1:$BZ$1000,MATCH([1]FINAL!$BB$1,[1]FINAL!$A$1:$BZ$1,0),0),"")</f>
        <v/>
      </c>
      <c r="Q802" s="18">
        <f t="shared" si="64"/>
        <v>1</v>
      </c>
    </row>
    <row r="803" spans="1:17" x14ac:dyDescent="0.25">
      <c r="A803" s="14">
        <f>[1]FINAL!$A801</f>
        <v>0</v>
      </c>
      <c r="B803" s="20" t="str">
        <f>IFERROR(VLOOKUP($A803,[1]FINAL!$A$1:$Z$1000,MATCH([1]FINAL!$T$1,[1]FINAL!$A$1:$Z$1,0),0),"")</f>
        <v/>
      </c>
      <c r="C803" s="3" t="str">
        <f>IFERROR(VLOOKUP($A803,[1]FINAL!$A$1:$Z$1000,MATCH([1]FINAL!$U$1,[1]FINAL!$A$1:$Z$1,0),0),"")</f>
        <v/>
      </c>
      <c r="D803" s="3" t="str">
        <f>IFERROR(VLOOKUP($A803,[1]FINAL!$A$1:$Z$1000,MATCH([1]FINAL!$V$1,[1]FINAL!$A$1:$Z$1,0),0),"")</f>
        <v/>
      </c>
      <c r="E803" s="6">
        <f t="shared" si="60"/>
        <v>0</v>
      </c>
      <c r="F803" s="5">
        <f t="shared" si="61"/>
        <v>0</v>
      </c>
      <c r="G803" s="5">
        <f>IFERROR(IF(H803&lt;&gt;"",H803,VLOOKUP($A803,[1]FINAL!$A$1:$BZ$1000,MATCH([1]FINAL!$BL$1,[1]FINAL!$A$1:$BZ$1,0),0)),0)</f>
        <v>0</v>
      </c>
      <c r="I803" s="5">
        <f>IFERROR(IF(J803&lt;&gt;"",J803,(IF(VLOOKUP($A803,#REF!,MATCH(#REF!,#REF!,0),0)=0,G803,VLOOKUP($A803,#REF!,MATCH(#REF!,#REF!,0),0)))),G803)</f>
        <v>0</v>
      </c>
      <c r="K803" s="6">
        <f>IFERROR(VLOOKUP($A803,#REF!,MATCH(#REF!,#REF!,0),0),0)</f>
        <v>0</v>
      </c>
      <c r="L803" s="6">
        <f>IFERROR(VLOOKUP($A803,[1]FINAL!$A$1:$BZ$1000,MATCH([1]FINAL!$BF$1,[1]FINAL!$A$1:$BZ$1,0),0),0)</f>
        <v>0</v>
      </c>
      <c r="M803" s="7">
        <f t="shared" si="62"/>
        <v>0</v>
      </c>
      <c r="N803" s="6">
        <f>IFERROR(VLOOKUP($A803,#REF!,MATCH(#REF!,#REF!,0),0),0)</f>
        <v>0</v>
      </c>
      <c r="O803" s="7">
        <f t="shared" si="63"/>
        <v>0</v>
      </c>
      <c r="P803" s="10" t="str">
        <f>IFERROR(VLOOKUP($A803,[1]FINAL!$A$1:$BZ$1000,MATCH([1]FINAL!$BB$1,[1]FINAL!$A$1:$BZ$1,0),0),"")</f>
        <v/>
      </c>
      <c r="Q803" s="18">
        <f t="shared" si="64"/>
        <v>1</v>
      </c>
    </row>
    <row r="804" spans="1:17" x14ac:dyDescent="0.25">
      <c r="A804" s="14">
        <f>[1]FINAL!$A802</f>
        <v>0</v>
      </c>
      <c r="B804" s="20" t="str">
        <f>IFERROR(VLOOKUP($A804,[1]FINAL!$A$1:$Z$1000,MATCH([1]FINAL!$T$1,[1]FINAL!$A$1:$Z$1,0),0),"")</f>
        <v/>
      </c>
      <c r="C804" s="3" t="str">
        <f>IFERROR(VLOOKUP($A804,[1]FINAL!$A$1:$Z$1000,MATCH([1]FINAL!$U$1,[1]FINAL!$A$1:$Z$1,0),0),"")</f>
        <v/>
      </c>
      <c r="D804" s="3" t="str">
        <f>IFERROR(VLOOKUP($A804,[1]FINAL!$A$1:$Z$1000,MATCH([1]FINAL!$V$1,[1]FINAL!$A$1:$Z$1,0),0),"")</f>
        <v/>
      </c>
      <c r="E804" s="6">
        <f t="shared" si="60"/>
        <v>0</v>
      </c>
      <c r="F804" s="5">
        <f t="shared" si="61"/>
        <v>0</v>
      </c>
      <c r="G804" s="5">
        <f>IFERROR(IF(H804&lt;&gt;"",H804,VLOOKUP($A804,[1]FINAL!$A$1:$BZ$1000,MATCH([1]FINAL!$BL$1,[1]FINAL!$A$1:$BZ$1,0),0)),0)</f>
        <v>0</v>
      </c>
      <c r="I804" s="5">
        <f>IFERROR(IF(J804&lt;&gt;"",J804,(IF(VLOOKUP($A804,#REF!,MATCH(#REF!,#REF!,0),0)=0,G804,VLOOKUP($A804,#REF!,MATCH(#REF!,#REF!,0),0)))),G804)</f>
        <v>0</v>
      </c>
      <c r="K804" s="6">
        <f>IFERROR(VLOOKUP($A804,#REF!,MATCH(#REF!,#REF!,0),0),0)</f>
        <v>0</v>
      </c>
      <c r="L804" s="6">
        <f>IFERROR(VLOOKUP($A804,[1]FINAL!$A$1:$BZ$1000,MATCH([1]FINAL!$BF$1,[1]FINAL!$A$1:$BZ$1,0),0),0)</f>
        <v>0</v>
      </c>
      <c r="M804" s="7">
        <f t="shared" si="62"/>
        <v>0</v>
      </c>
      <c r="N804" s="6">
        <f>IFERROR(VLOOKUP($A804,#REF!,MATCH(#REF!,#REF!,0),0),0)</f>
        <v>0</v>
      </c>
      <c r="O804" s="7">
        <f t="shared" si="63"/>
        <v>0</v>
      </c>
      <c r="P804" s="10" t="str">
        <f>IFERROR(VLOOKUP($A804,[1]FINAL!$A$1:$BZ$1000,MATCH([1]FINAL!$BB$1,[1]FINAL!$A$1:$BZ$1,0),0),"")</f>
        <v/>
      </c>
      <c r="Q804" s="18">
        <f t="shared" si="64"/>
        <v>1</v>
      </c>
    </row>
    <row r="805" spans="1:17" x14ac:dyDescent="0.25">
      <c r="A805" s="14">
        <f>[1]FINAL!$A803</f>
        <v>0</v>
      </c>
      <c r="B805" s="20" t="str">
        <f>IFERROR(VLOOKUP($A805,[1]FINAL!$A$1:$Z$1000,MATCH([1]FINAL!$T$1,[1]FINAL!$A$1:$Z$1,0),0),"")</f>
        <v/>
      </c>
      <c r="C805" s="3" t="str">
        <f>IFERROR(VLOOKUP($A805,[1]FINAL!$A$1:$Z$1000,MATCH([1]FINAL!$U$1,[1]FINAL!$A$1:$Z$1,0),0),"")</f>
        <v/>
      </c>
      <c r="D805" s="3" t="str">
        <f>IFERROR(VLOOKUP($A805,[1]FINAL!$A$1:$Z$1000,MATCH([1]FINAL!$V$1,[1]FINAL!$A$1:$Z$1,0),0),"")</f>
        <v/>
      </c>
      <c r="E805" s="6">
        <f t="shared" si="60"/>
        <v>0</v>
      </c>
      <c r="F805" s="5">
        <f t="shared" si="61"/>
        <v>0</v>
      </c>
      <c r="G805" s="5">
        <f>IFERROR(IF(H805&lt;&gt;"",H805,VLOOKUP($A805,[1]FINAL!$A$1:$BZ$1000,MATCH([1]FINAL!$BL$1,[1]FINAL!$A$1:$BZ$1,0),0)),0)</f>
        <v>0</v>
      </c>
      <c r="I805" s="5">
        <f>IFERROR(IF(J805&lt;&gt;"",J805,(IF(VLOOKUP($A805,#REF!,MATCH(#REF!,#REF!,0),0)=0,G805,VLOOKUP($A805,#REF!,MATCH(#REF!,#REF!,0),0)))),G805)</f>
        <v>0</v>
      </c>
      <c r="K805" s="6">
        <f>IFERROR(VLOOKUP($A805,#REF!,MATCH(#REF!,#REF!,0),0),0)</f>
        <v>0</v>
      </c>
      <c r="L805" s="6">
        <f>IFERROR(VLOOKUP($A805,[1]FINAL!$A$1:$BZ$1000,MATCH([1]FINAL!$BF$1,[1]FINAL!$A$1:$BZ$1,0),0),0)</f>
        <v>0</v>
      </c>
      <c r="M805" s="7">
        <f t="shared" si="62"/>
        <v>0</v>
      </c>
      <c r="N805" s="6">
        <f>IFERROR(VLOOKUP($A805,#REF!,MATCH(#REF!,#REF!,0),0),0)</f>
        <v>0</v>
      </c>
      <c r="O805" s="7">
        <f t="shared" si="63"/>
        <v>0</v>
      </c>
      <c r="P805" s="10" t="str">
        <f>IFERROR(VLOOKUP($A805,[1]FINAL!$A$1:$BZ$1000,MATCH([1]FINAL!$BB$1,[1]FINAL!$A$1:$BZ$1,0),0),"")</f>
        <v/>
      </c>
      <c r="Q805" s="18">
        <f t="shared" si="64"/>
        <v>1</v>
      </c>
    </row>
    <row r="806" spans="1:17" x14ac:dyDescent="0.25">
      <c r="A806" s="14">
        <f>[1]FINAL!$A804</f>
        <v>0</v>
      </c>
      <c r="B806" s="20" t="str">
        <f>IFERROR(VLOOKUP($A806,[1]FINAL!$A$1:$Z$1000,MATCH([1]FINAL!$T$1,[1]FINAL!$A$1:$Z$1,0),0),"")</f>
        <v/>
      </c>
      <c r="C806" s="3" t="str">
        <f>IFERROR(VLOOKUP($A806,[1]FINAL!$A$1:$Z$1000,MATCH([1]FINAL!$U$1,[1]FINAL!$A$1:$Z$1,0),0),"")</f>
        <v/>
      </c>
      <c r="D806" s="3" t="str">
        <f>IFERROR(VLOOKUP($A806,[1]FINAL!$A$1:$Z$1000,MATCH([1]FINAL!$V$1,[1]FINAL!$A$1:$Z$1,0),0),"")</f>
        <v/>
      </c>
      <c r="E806" s="6">
        <f t="shared" si="60"/>
        <v>0</v>
      </c>
      <c r="F806" s="5">
        <f t="shared" si="61"/>
        <v>0</v>
      </c>
      <c r="G806" s="5">
        <f>IFERROR(IF(H806&lt;&gt;"",H806,VLOOKUP($A806,[1]FINAL!$A$1:$BZ$1000,MATCH([1]FINAL!$BL$1,[1]FINAL!$A$1:$BZ$1,0),0)),0)</f>
        <v>0</v>
      </c>
      <c r="I806" s="5">
        <f>IFERROR(IF(J806&lt;&gt;"",J806,(IF(VLOOKUP($A806,#REF!,MATCH(#REF!,#REF!,0),0)=0,G806,VLOOKUP($A806,#REF!,MATCH(#REF!,#REF!,0),0)))),G806)</f>
        <v>0</v>
      </c>
      <c r="K806" s="6">
        <f>IFERROR(VLOOKUP($A806,#REF!,MATCH(#REF!,#REF!,0),0),0)</f>
        <v>0</v>
      </c>
      <c r="L806" s="6">
        <f>IFERROR(VLOOKUP($A806,[1]FINAL!$A$1:$BZ$1000,MATCH([1]FINAL!$BF$1,[1]FINAL!$A$1:$BZ$1,0),0),0)</f>
        <v>0</v>
      </c>
      <c r="M806" s="7">
        <f t="shared" si="62"/>
        <v>0</v>
      </c>
      <c r="N806" s="6">
        <f>IFERROR(VLOOKUP($A806,#REF!,MATCH(#REF!,#REF!,0),0),0)</f>
        <v>0</v>
      </c>
      <c r="O806" s="7">
        <f t="shared" si="63"/>
        <v>0</v>
      </c>
      <c r="P806" s="10" t="str">
        <f>IFERROR(VLOOKUP($A806,[1]FINAL!$A$1:$BZ$1000,MATCH([1]FINAL!$BB$1,[1]FINAL!$A$1:$BZ$1,0),0),"")</f>
        <v/>
      </c>
      <c r="Q806" s="18">
        <f t="shared" si="64"/>
        <v>1</v>
      </c>
    </row>
    <row r="807" spans="1:17" x14ac:dyDescent="0.25">
      <c r="A807" s="14">
        <f>[1]FINAL!$A805</f>
        <v>0</v>
      </c>
      <c r="B807" s="20" t="str">
        <f>IFERROR(VLOOKUP($A807,[1]FINAL!$A$1:$Z$1000,MATCH([1]FINAL!$T$1,[1]FINAL!$A$1:$Z$1,0),0),"")</f>
        <v/>
      </c>
      <c r="C807" s="3" t="str">
        <f>IFERROR(VLOOKUP($A807,[1]FINAL!$A$1:$Z$1000,MATCH([1]FINAL!$U$1,[1]FINAL!$A$1:$Z$1,0),0),"")</f>
        <v/>
      </c>
      <c r="D807" s="3" t="str">
        <f>IFERROR(VLOOKUP($A807,[1]FINAL!$A$1:$Z$1000,MATCH([1]FINAL!$V$1,[1]FINAL!$A$1:$Z$1,0),0),"")</f>
        <v/>
      </c>
      <c r="E807" s="6">
        <f t="shared" si="60"/>
        <v>0</v>
      </c>
      <c r="F807" s="5">
        <f t="shared" si="61"/>
        <v>0</v>
      </c>
      <c r="G807" s="5">
        <f>IFERROR(IF(H807&lt;&gt;"",H807,VLOOKUP($A807,[1]FINAL!$A$1:$BZ$1000,MATCH([1]FINAL!$BL$1,[1]FINAL!$A$1:$BZ$1,0),0)),0)</f>
        <v>0</v>
      </c>
      <c r="I807" s="5">
        <f>IFERROR(IF(J807&lt;&gt;"",J807,(IF(VLOOKUP($A807,#REF!,MATCH(#REF!,#REF!,0),0)=0,G807,VLOOKUP($A807,#REF!,MATCH(#REF!,#REF!,0),0)))),G807)</f>
        <v>0</v>
      </c>
      <c r="K807" s="6">
        <f>IFERROR(VLOOKUP($A807,#REF!,MATCH(#REF!,#REF!,0),0),0)</f>
        <v>0</v>
      </c>
      <c r="L807" s="6">
        <f>IFERROR(VLOOKUP($A807,[1]FINAL!$A$1:$BZ$1000,MATCH([1]FINAL!$BF$1,[1]FINAL!$A$1:$BZ$1,0),0),0)</f>
        <v>0</v>
      </c>
      <c r="M807" s="7">
        <f t="shared" si="62"/>
        <v>0</v>
      </c>
      <c r="N807" s="6">
        <f>IFERROR(VLOOKUP($A807,#REF!,MATCH(#REF!,#REF!,0),0),0)</f>
        <v>0</v>
      </c>
      <c r="O807" s="7">
        <f t="shared" si="63"/>
        <v>0</v>
      </c>
      <c r="P807" s="10" t="str">
        <f>IFERROR(VLOOKUP($A807,[1]FINAL!$A$1:$BZ$1000,MATCH([1]FINAL!$BB$1,[1]FINAL!$A$1:$BZ$1,0),0),"")</f>
        <v/>
      </c>
      <c r="Q807" s="18">
        <f t="shared" si="64"/>
        <v>1</v>
      </c>
    </row>
    <row r="808" spans="1:17" x14ac:dyDescent="0.25">
      <c r="A808" s="14">
        <f>[1]FINAL!$A806</f>
        <v>0</v>
      </c>
      <c r="B808" s="20" t="str">
        <f>IFERROR(VLOOKUP($A808,[1]FINAL!$A$1:$Z$1000,MATCH([1]FINAL!$T$1,[1]FINAL!$A$1:$Z$1,0),0),"")</f>
        <v/>
      </c>
      <c r="C808" s="3" t="str">
        <f>IFERROR(VLOOKUP($A808,[1]FINAL!$A$1:$Z$1000,MATCH([1]FINAL!$U$1,[1]FINAL!$A$1:$Z$1,0),0),"")</f>
        <v/>
      </c>
      <c r="D808" s="3" t="str">
        <f>IFERROR(VLOOKUP($A808,[1]FINAL!$A$1:$Z$1000,MATCH([1]FINAL!$V$1,[1]FINAL!$A$1:$Z$1,0),0),"")</f>
        <v/>
      </c>
      <c r="E808" s="6">
        <f t="shared" si="60"/>
        <v>0</v>
      </c>
      <c r="F808" s="5">
        <f t="shared" si="61"/>
        <v>0</v>
      </c>
      <c r="G808" s="5">
        <f>IFERROR(IF(H808&lt;&gt;"",H808,VLOOKUP($A808,[1]FINAL!$A$1:$BZ$1000,MATCH([1]FINAL!$BL$1,[1]FINAL!$A$1:$BZ$1,0),0)),0)</f>
        <v>0</v>
      </c>
      <c r="I808" s="5">
        <f>IFERROR(IF(J808&lt;&gt;"",J808,(IF(VLOOKUP($A808,#REF!,MATCH(#REF!,#REF!,0),0)=0,G808,VLOOKUP($A808,#REF!,MATCH(#REF!,#REF!,0),0)))),G808)</f>
        <v>0</v>
      </c>
      <c r="K808" s="6">
        <f>IFERROR(VLOOKUP($A808,#REF!,MATCH(#REF!,#REF!,0),0),0)</f>
        <v>0</v>
      </c>
      <c r="L808" s="6">
        <f>IFERROR(VLOOKUP($A808,[1]FINAL!$A$1:$BZ$1000,MATCH([1]FINAL!$BF$1,[1]FINAL!$A$1:$BZ$1,0),0),0)</f>
        <v>0</v>
      </c>
      <c r="M808" s="7">
        <f t="shared" si="62"/>
        <v>0</v>
      </c>
      <c r="N808" s="6">
        <f>IFERROR(VLOOKUP($A808,#REF!,MATCH(#REF!,#REF!,0),0),0)</f>
        <v>0</v>
      </c>
      <c r="O808" s="7">
        <f t="shared" si="63"/>
        <v>0</v>
      </c>
      <c r="P808" s="10" t="str">
        <f>IFERROR(VLOOKUP($A808,[1]FINAL!$A$1:$BZ$1000,MATCH([1]FINAL!$BB$1,[1]FINAL!$A$1:$BZ$1,0),0),"")</f>
        <v/>
      </c>
      <c r="Q808" s="18">
        <f t="shared" si="64"/>
        <v>1</v>
      </c>
    </row>
    <row r="809" spans="1:17" x14ac:dyDescent="0.25">
      <c r="A809" s="14">
        <f>[1]FINAL!$A807</f>
        <v>0</v>
      </c>
      <c r="B809" s="20" t="str">
        <f>IFERROR(VLOOKUP($A809,[1]FINAL!$A$1:$Z$1000,MATCH([1]FINAL!$T$1,[1]FINAL!$A$1:$Z$1,0),0),"")</f>
        <v/>
      </c>
      <c r="C809" s="3" t="str">
        <f>IFERROR(VLOOKUP($A809,[1]FINAL!$A$1:$Z$1000,MATCH([1]FINAL!$U$1,[1]FINAL!$A$1:$Z$1,0),0),"")</f>
        <v/>
      </c>
      <c r="D809" s="3" t="str">
        <f>IFERROR(VLOOKUP($A809,[1]FINAL!$A$1:$Z$1000,MATCH([1]FINAL!$V$1,[1]FINAL!$A$1:$Z$1,0),0),"")</f>
        <v/>
      </c>
      <c r="E809" s="6">
        <f t="shared" si="60"/>
        <v>0</v>
      </c>
      <c r="F809" s="5">
        <f t="shared" si="61"/>
        <v>0</v>
      </c>
      <c r="G809" s="5">
        <f>IFERROR(IF(H809&lt;&gt;"",H809,VLOOKUP($A809,[1]FINAL!$A$1:$BZ$1000,MATCH([1]FINAL!$BL$1,[1]FINAL!$A$1:$BZ$1,0),0)),0)</f>
        <v>0</v>
      </c>
      <c r="I809" s="5">
        <f>IFERROR(IF(J809&lt;&gt;"",J809,(IF(VLOOKUP($A809,#REF!,MATCH(#REF!,#REF!,0),0)=0,G809,VLOOKUP($A809,#REF!,MATCH(#REF!,#REF!,0),0)))),G809)</f>
        <v>0</v>
      </c>
      <c r="K809" s="6">
        <f>IFERROR(VLOOKUP($A809,#REF!,MATCH(#REF!,#REF!,0),0),0)</f>
        <v>0</v>
      </c>
      <c r="L809" s="6">
        <f>IFERROR(VLOOKUP($A809,[1]FINAL!$A$1:$BZ$1000,MATCH([1]FINAL!$BF$1,[1]FINAL!$A$1:$BZ$1,0),0),0)</f>
        <v>0</v>
      </c>
      <c r="M809" s="7">
        <f t="shared" si="62"/>
        <v>0</v>
      </c>
      <c r="N809" s="6">
        <f>IFERROR(VLOOKUP($A809,#REF!,MATCH(#REF!,#REF!,0),0),0)</f>
        <v>0</v>
      </c>
      <c r="O809" s="7">
        <f t="shared" si="63"/>
        <v>0</v>
      </c>
      <c r="P809" s="10" t="str">
        <f>IFERROR(VLOOKUP($A809,[1]FINAL!$A$1:$BZ$1000,MATCH([1]FINAL!$BB$1,[1]FINAL!$A$1:$BZ$1,0),0),"")</f>
        <v/>
      </c>
      <c r="Q809" s="18">
        <f t="shared" si="64"/>
        <v>1</v>
      </c>
    </row>
    <row r="810" spans="1:17" x14ac:dyDescent="0.25">
      <c r="A810" s="14">
        <f>[1]FINAL!$A808</f>
        <v>0</v>
      </c>
      <c r="B810" s="20" t="str">
        <f>IFERROR(VLOOKUP($A810,[1]FINAL!$A$1:$Z$1000,MATCH([1]FINAL!$T$1,[1]FINAL!$A$1:$Z$1,0),0),"")</f>
        <v/>
      </c>
      <c r="C810" s="3" t="str">
        <f>IFERROR(VLOOKUP($A810,[1]FINAL!$A$1:$Z$1000,MATCH([1]FINAL!$U$1,[1]FINAL!$A$1:$Z$1,0),0),"")</f>
        <v/>
      </c>
      <c r="D810" s="3" t="str">
        <f>IFERROR(VLOOKUP($A810,[1]FINAL!$A$1:$Z$1000,MATCH([1]FINAL!$V$1,[1]FINAL!$A$1:$Z$1,0),0),"")</f>
        <v/>
      </c>
      <c r="E810" s="6">
        <f t="shared" si="60"/>
        <v>0</v>
      </c>
      <c r="F810" s="5">
        <f t="shared" si="61"/>
        <v>0</v>
      </c>
      <c r="G810" s="5">
        <f>IFERROR(IF(H810&lt;&gt;"",H810,VLOOKUP($A810,[1]FINAL!$A$1:$BZ$1000,MATCH([1]FINAL!$BL$1,[1]FINAL!$A$1:$BZ$1,0),0)),0)</f>
        <v>0</v>
      </c>
      <c r="I810" s="5">
        <f>IFERROR(IF(J810&lt;&gt;"",J810,(IF(VLOOKUP($A810,#REF!,MATCH(#REF!,#REF!,0),0)=0,G810,VLOOKUP($A810,#REF!,MATCH(#REF!,#REF!,0),0)))),G810)</f>
        <v>0</v>
      </c>
      <c r="K810" s="6">
        <f>IFERROR(VLOOKUP($A810,#REF!,MATCH(#REF!,#REF!,0),0),0)</f>
        <v>0</v>
      </c>
      <c r="L810" s="6">
        <f>IFERROR(VLOOKUP($A810,[1]FINAL!$A$1:$BZ$1000,MATCH([1]FINAL!$BF$1,[1]FINAL!$A$1:$BZ$1,0),0),0)</f>
        <v>0</v>
      </c>
      <c r="M810" s="7">
        <f t="shared" si="62"/>
        <v>0</v>
      </c>
      <c r="N810" s="6">
        <f>IFERROR(VLOOKUP($A810,#REF!,MATCH(#REF!,#REF!,0),0),0)</f>
        <v>0</v>
      </c>
      <c r="O810" s="7">
        <f t="shared" si="63"/>
        <v>0</v>
      </c>
      <c r="P810" s="10" t="str">
        <f>IFERROR(VLOOKUP($A810,[1]FINAL!$A$1:$BZ$1000,MATCH([1]FINAL!$BB$1,[1]FINAL!$A$1:$BZ$1,0),0),"")</f>
        <v/>
      </c>
      <c r="Q810" s="18">
        <f t="shared" si="64"/>
        <v>1</v>
      </c>
    </row>
    <row r="811" spans="1:17" x14ac:dyDescent="0.25">
      <c r="A811" s="14">
        <f>[1]FINAL!$A809</f>
        <v>0</v>
      </c>
      <c r="B811" s="20" t="str">
        <f>IFERROR(VLOOKUP($A811,[1]FINAL!$A$1:$Z$1000,MATCH([1]FINAL!$T$1,[1]FINAL!$A$1:$Z$1,0),0),"")</f>
        <v/>
      </c>
      <c r="C811" s="3" t="str">
        <f>IFERROR(VLOOKUP($A811,[1]FINAL!$A$1:$Z$1000,MATCH([1]FINAL!$U$1,[1]FINAL!$A$1:$Z$1,0),0),"")</f>
        <v/>
      </c>
      <c r="D811" s="3" t="str">
        <f>IFERROR(VLOOKUP($A811,[1]FINAL!$A$1:$Z$1000,MATCH([1]FINAL!$V$1,[1]FINAL!$A$1:$Z$1,0),0),"")</f>
        <v/>
      </c>
      <c r="E811" s="6">
        <f t="shared" si="60"/>
        <v>0</v>
      </c>
      <c r="F811" s="5">
        <f t="shared" si="61"/>
        <v>0</v>
      </c>
      <c r="G811" s="5">
        <f>IFERROR(IF(H811&lt;&gt;"",H811,VLOOKUP($A811,[1]FINAL!$A$1:$BZ$1000,MATCH([1]FINAL!$BL$1,[1]FINAL!$A$1:$BZ$1,0),0)),0)</f>
        <v>0</v>
      </c>
      <c r="I811" s="5">
        <f>IFERROR(IF(J811&lt;&gt;"",J811,(IF(VLOOKUP($A811,#REF!,MATCH(#REF!,#REF!,0),0)=0,G811,VLOOKUP($A811,#REF!,MATCH(#REF!,#REF!,0),0)))),G811)</f>
        <v>0</v>
      </c>
      <c r="K811" s="6">
        <f>IFERROR(VLOOKUP($A811,#REF!,MATCH(#REF!,#REF!,0),0),0)</f>
        <v>0</v>
      </c>
      <c r="L811" s="6">
        <f>IFERROR(VLOOKUP($A811,[1]FINAL!$A$1:$BZ$1000,MATCH([1]FINAL!$BF$1,[1]FINAL!$A$1:$BZ$1,0),0),0)</f>
        <v>0</v>
      </c>
      <c r="M811" s="7">
        <f t="shared" si="62"/>
        <v>0</v>
      </c>
      <c r="N811" s="6">
        <f>IFERROR(VLOOKUP($A811,#REF!,MATCH(#REF!,#REF!,0),0),0)</f>
        <v>0</v>
      </c>
      <c r="O811" s="7">
        <f t="shared" si="63"/>
        <v>0</v>
      </c>
      <c r="P811" s="10" t="str">
        <f>IFERROR(VLOOKUP($A811,[1]FINAL!$A$1:$BZ$1000,MATCH([1]FINAL!$BB$1,[1]FINAL!$A$1:$BZ$1,0),0),"")</f>
        <v/>
      </c>
      <c r="Q811" s="18">
        <f t="shared" si="64"/>
        <v>1</v>
      </c>
    </row>
    <row r="812" spans="1:17" x14ac:dyDescent="0.25">
      <c r="A812" s="14">
        <f>[1]FINAL!$A810</f>
        <v>0</v>
      </c>
      <c r="B812" s="20" t="str">
        <f>IFERROR(VLOOKUP($A812,[1]FINAL!$A$1:$Z$1000,MATCH([1]FINAL!$T$1,[1]FINAL!$A$1:$Z$1,0),0),"")</f>
        <v/>
      </c>
      <c r="C812" s="3" t="str">
        <f>IFERROR(VLOOKUP($A812,[1]FINAL!$A$1:$Z$1000,MATCH([1]FINAL!$U$1,[1]FINAL!$A$1:$Z$1,0),0),"")</f>
        <v/>
      </c>
      <c r="D812" s="3" t="str">
        <f>IFERROR(VLOOKUP($A812,[1]FINAL!$A$1:$Z$1000,MATCH([1]FINAL!$V$1,[1]FINAL!$A$1:$Z$1,0),0),"")</f>
        <v/>
      </c>
      <c r="E812" s="6">
        <f t="shared" si="60"/>
        <v>0</v>
      </c>
      <c r="F812" s="5">
        <f t="shared" si="61"/>
        <v>0</v>
      </c>
      <c r="G812" s="5">
        <f>IFERROR(IF(H812&lt;&gt;"",H812,VLOOKUP($A812,[1]FINAL!$A$1:$BZ$1000,MATCH([1]FINAL!$BL$1,[1]FINAL!$A$1:$BZ$1,0),0)),0)</f>
        <v>0</v>
      </c>
      <c r="I812" s="5">
        <f>IFERROR(IF(J812&lt;&gt;"",J812,(IF(VLOOKUP($A812,#REF!,MATCH(#REF!,#REF!,0),0)=0,G812,VLOOKUP($A812,#REF!,MATCH(#REF!,#REF!,0),0)))),G812)</f>
        <v>0</v>
      </c>
      <c r="K812" s="6">
        <f>IFERROR(VLOOKUP($A812,#REF!,MATCH(#REF!,#REF!,0),0),0)</f>
        <v>0</v>
      </c>
      <c r="L812" s="6">
        <f>IFERROR(VLOOKUP($A812,[1]FINAL!$A$1:$BZ$1000,MATCH([1]FINAL!$BF$1,[1]FINAL!$A$1:$BZ$1,0),0),0)</f>
        <v>0</v>
      </c>
      <c r="M812" s="7">
        <f t="shared" si="62"/>
        <v>0</v>
      </c>
      <c r="N812" s="6">
        <f>IFERROR(VLOOKUP($A812,#REF!,MATCH(#REF!,#REF!,0),0),0)</f>
        <v>0</v>
      </c>
      <c r="O812" s="7">
        <f t="shared" si="63"/>
        <v>0</v>
      </c>
      <c r="P812" s="10" t="str">
        <f>IFERROR(VLOOKUP($A812,[1]FINAL!$A$1:$BZ$1000,MATCH([1]FINAL!$BB$1,[1]FINAL!$A$1:$BZ$1,0),0),"")</f>
        <v/>
      </c>
      <c r="Q812" s="18">
        <f t="shared" si="64"/>
        <v>1</v>
      </c>
    </row>
    <row r="813" spans="1:17" x14ac:dyDescent="0.25">
      <c r="A813" s="14">
        <f>[1]FINAL!$A811</f>
        <v>0</v>
      </c>
      <c r="B813" s="20" t="str">
        <f>IFERROR(VLOOKUP($A813,[1]FINAL!$A$1:$Z$1000,MATCH([1]FINAL!$T$1,[1]FINAL!$A$1:$Z$1,0),0),"")</f>
        <v/>
      </c>
      <c r="C813" s="3" t="str">
        <f>IFERROR(VLOOKUP($A813,[1]FINAL!$A$1:$Z$1000,MATCH([1]FINAL!$U$1,[1]FINAL!$A$1:$Z$1,0),0),"")</f>
        <v/>
      </c>
      <c r="D813" s="3" t="str">
        <f>IFERROR(VLOOKUP($A813,[1]FINAL!$A$1:$Z$1000,MATCH([1]FINAL!$V$1,[1]FINAL!$A$1:$Z$1,0),0),"")</f>
        <v/>
      </c>
      <c r="E813" s="6">
        <f t="shared" si="60"/>
        <v>0</v>
      </c>
      <c r="F813" s="5">
        <f t="shared" si="61"/>
        <v>0</v>
      </c>
      <c r="G813" s="5">
        <f>IFERROR(IF(H813&lt;&gt;"",H813,VLOOKUP($A813,[1]FINAL!$A$1:$BZ$1000,MATCH([1]FINAL!$BL$1,[1]FINAL!$A$1:$BZ$1,0),0)),0)</f>
        <v>0</v>
      </c>
      <c r="I813" s="5">
        <f>IFERROR(IF(J813&lt;&gt;"",J813,(IF(VLOOKUP($A813,#REF!,MATCH(#REF!,#REF!,0),0)=0,G813,VLOOKUP($A813,#REF!,MATCH(#REF!,#REF!,0),0)))),G813)</f>
        <v>0</v>
      </c>
      <c r="K813" s="6">
        <f>IFERROR(VLOOKUP($A813,#REF!,MATCH(#REF!,#REF!,0),0),0)</f>
        <v>0</v>
      </c>
      <c r="L813" s="6">
        <f>IFERROR(VLOOKUP($A813,[1]FINAL!$A$1:$BZ$1000,MATCH([1]FINAL!$BF$1,[1]FINAL!$A$1:$BZ$1,0),0),0)</f>
        <v>0</v>
      </c>
      <c r="M813" s="7">
        <f t="shared" si="62"/>
        <v>0</v>
      </c>
      <c r="N813" s="6">
        <f>IFERROR(VLOOKUP($A813,#REF!,MATCH(#REF!,#REF!,0),0),0)</f>
        <v>0</v>
      </c>
      <c r="O813" s="7">
        <f t="shared" si="63"/>
        <v>0</v>
      </c>
      <c r="P813" s="10" t="str">
        <f>IFERROR(VLOOKUP($A813,[1]FINAL!$A$1:$BZ$1000,MATCH([1]FINAL!$BB$1,[1]FINAL!$A$1:$BZ$1,0),0),"")</f>
        <v/>
      </c>
      <c r="Q813" s="18">
        <f t="shared" si="64"/>
        <v>1</v>
      </c>
    </row>
    <row r="814" spans="1:17" x14ac:dyDescent="0.25">
      <c r="A814" s="14">
        <f>[1]FINAL!$A812</f>
        <v>0</v>
      </c>
      <c r="B814" s="20" t="str">
        <f>IFERROR(VLOOKUP($A814,[1]FINAL!$A$1:$Z$1000,MATCH([1]FINAL!$T$1,[1]FINAL!$A$1:$Z$1,0),0),"")</f>
        <v/>
      </c>
      <c r="C814" s="3" t="str">
        <f>IFERROR(VLOOKUP($A814,[1]FINAL!$A$1:$Z$1000,MATCH([1]FINAL!$U$1,[1]FINAL!$A$1:$Z$1,0),0),"")</f>
        <v/>
      </c>
      <c r="D814" s="3" t="str">
        <f>IFERROR(VLOOKUP($A814,[1]FINAL!$A$1:$Z$1000,MATCH([1]FINAL!$V$1,[1]FINAL!$A$1:$Z$1,0),0),"")</f>
        <v/>
      </c>
      <c r="E814" s="6">
        <f t="shared" si="60"/>
        <v>0</v>
      </c>
      <c r="F814" s="5">
        <f t="shared" si="61"/>
        <v>0</v>
      </c>
      <c r="G814" s="5">
        <f>IFERROR(IF(H814&lt;&gt;"",H814,VLOOKUP($A814,[1]FINAL!$A$1:$BZ$1000,MATCH([1]FINAL!$BL$1,[1]FINAL!$A$1:$BZ$1,0),0)),0)</f>
        <v>0</v>
      </c>
      <c r="I814" s="5">
        <f>IFERROR(IF(J814&lt;&gt;"",J814,(IF(VLOOKUP($A814,#REF!,MATCH(#REF!,#REF!,0),0)=0,G814,VLOOKUP($A814,#REF!,MATCH(#REF!,#REF!,0),0)))),G814)</f>
        <v>0</v>
      </c>
      <c r="K814" s="6">
        <f>IFERROR(VLOOKUP($A814,#REF!,MATCH(#REF!,#REF!,0),0),0)</f>
        <v>0</v>
      </c>
      <c r="L814" s="6">
        <f>IFERROR(VLOOKUP($A814,[1]FINAL!$A$1:$BZ$1000,MATCH([1]FINAL!$BF$1,[1]FINAL!$A$1:$BZ$1,0),0),0)</f>
        <v>0</v>
      </c>
      <c r="M814" s="7">
        <f t="shared" si="62"/>
        <v>0</v>
      </c>
      <c r="N814" s="6">
        <f>IFERROR(VLOOKUP($A814,#REF!,MATCH(#REF!,#REF!,0),0),0)</f>
        <v>0</v>
      </c>
      <c r="O814" s="7">
        <f t="shared" si="63"/>
        <v>0</v>
      </c>
      <c r="P814" s="10" t="str">
        <f>IFERROR(VLOOKUP($A814,[1]FINAL!$A$1:$BZ$1000,MATCH([1]FINAL!$BB$1,[1]FINAL!$A$1:$BZ$1,0),0),"")</f>
        <v/>
      </c>
      <c r="Q814" s="18">
        <f t="shared" si="64"/>
        <v>1</v>
      </c>
    </row>
    <row r="815" spans="1:17" x14ac:dyDescent="0.25">
      <c r="A815" s="14">
        <f>[1]FINAL!$A813</f>
        <v>0</v>
      </c>
      <c r="B815" s="20" t="str">
        <f>IFERROR(VLOOKUP($A815,[1]FINAL!$A$1:$Z$1000,MATCH([1]FINAL!$T$1,[1]FINAL!$A$1:$Z$1,0),0),"")</f>
        <v/>
      </c>
      <c r="C815" s="3" t="str">
        <f>IFERROR(VLOOKUP($A815,[1]FINAL!$A$1:$Z$1000,MATCH([1]FINAL!$U$1,[1]FINAL!$A$1:$Z$1,0),0),"")</f>
        <v/>
      </c>
      <c r="D815" s="3" t="str">
        <f>IFERROR(VLOOKUP($A815,[1]FINAL!$A$1:$Z$1000,MATCH([1]FINAL!$V$1,[1]FINAL!$A$1:$Z$1,0),0),"")</f>
        <v/>
      </c>
      <c r="E815" s="6">
        <f t="shared" si="60"/>
        <v>0</v>
      </c>
      <c r="F815" s="5">
        <f t="shared" si="61"/>
        <v>0</v>
      </c>
      <c r="G815" s="5">
        <f>IFERROR(IF(H815&lt;&gt;"",H815,VLOOKUP($A815,[1]FINAL!$A$1:$BZ$1000,MATCH([1]FINAL!$BL$1,[1]FINAL!$A$1:$BZ$1,0),0)),0)</f>
        <v>0</v>
      </c>
      <c r="I815" s="5">
        <f>IFERROR(IF(J815&lt;&gt;"",J815,(IF(VLOOKUP($A815,#REF!,MATCH(#REF!,#REF!,0),0)=0,G815,VLOOKUP($A815,#REF!,MATCH(#REF!,#REF!,0),0)))),G815)</f>
        <v>0</v>
      </c>
      <c r="K815" s="6">
        <f>IFERROR(VLOOKUP($A815,#REF!,MATCH(#REF!,#REF!,0),0),0)</f>
        <v>0</v>
      </c>
      <c r="L815" s="6">
        <f>IFERROR(VLOOKUP($A815,[1]FINAL!$A$1:$BZ$1000,MATCH([1]FINAL!$BF$1,[1]FINAL!$A$1:$BZ$1,0),0),0)</f>
        <v>0</v>
      </c>
      <c r="M815" s="7">
        <f t="shared" si="62"/>
        <v>0</v>
      </c>
      <c r="N815" s="6">
        <f>IFERROR(VLOOKUP($A815,#REF!,MATCH(#REF!,#REF!,0),0),0)</f>
        <v>0</v>
      </c>
      <c r="O815" s="7">
        <f t="shared" si="63"/>
        <v>0</v>
      </c>
      <c r="P815" s="10" t="str">
        <f>IFERROR(VLOOKUP($A815,[1]FINAL!$A$1:$BZ$1000,MATCH([1]FINAL!$BB$1,[1]FINAL!$A$1:$BZ$1,0),0),"")</f>
        <v/>
      </c>
      <c r="Q815" s="18">
        <f t="shared" si="64"/>
        <v>1</v>
      </c>
    </row>
    <row r="816" spans="1:17" x14ac:dyDescent="0.25">
      <c r="A816" s="14">
        <f>[1]FINAL!$A814</f>
        <v>0</v>
      </c>
      <c r="B816" s="20" t="str">
        <f>IFERROR(VLOOKUP($A816,[1]FINAL!$A$1:$Z$1000,MATCH([1]FINAL!$T$1,[1]FINAL!$A$1:$Z$1,0),0),"")</f>
        <v/>
      </c>
      <c r="C816" s="3" t="str">
        <f>IFERROR(VLOOKUP($A816,[1]FINAL!$A$1:$Z$1000,MATCH([1]FINAL!$U$1,[1]FINAL!$A$1:$Z$1,0),0),"")</f>
        <v/>
      </c>
      <c r="D816" s="3" t="str">
        <f>IFERROR(VLOOKUP($A816,[1]FINAL!$A$1:$Z$1000,MATCH([1]FINAL!$V$1,[1]FINAL!$A$1:$Z$1,0),0),"")</f>
        <v/>
      </c>
      <c r="E816" s="6">
        <f t="shared" si="60"/>
        <v>0</v>
      </c>
      <c r="F816" s="5">
        <f t="shared" si="61"/>
        <v>0</v>
      </c>
      <c r="G816" s="5">
        <f>IFERROR(IF(H816&lt;&gt;"",H816,VLOOKUP($A816,[1]FINAL!$A$1:$BZ$1000,MATCH([1]FINAL!$BL$1,[1]FINAL!$A$1:$BZ$1,0),0)),0)</f>
        <v>0</v>
      </c>
      <c r="I816" s="5">
        <f>IFERROR(IF(J816&lt;&gt;"",J816,(IF(VLOOKUP($A816,#REF!,MATCH(#REF!,#REF!,0),0)=0,G816,VLOOKUP($A816,#REF!,MATCH(#REF!,#REF!,0),0)))),G816)</f>
        <v>0</v>
      </c>
      <c r="K816" s="6">
        <f>IFERROR(VLOOKUP($A816,#REF!,MATCH(#REF!,#REF!,0),0),0)</f>
        <v>0</v>
      </c>
      <c r="L816" s="6">
        <f>IFERROR(VLOOKUP($A816,[1]FINAL!$A$1:$BZ$1000,MATCH([1]FINAL!$BF$1,[1]FINAL!$A$1:$BZ$1,0),0),0)</f>
        <v>0</v>
      </c>
      <c r="M816" s="7">
        <f t="shared" si="62"/>
        <v>0</v>
      </c>
      <c r="N816" s="6">
        <f>IFERROR(VLOOKUP($A816,#REF!,MATCH(#REF!,#REF!,0),0),0)</f>
        <v>0</v>
      </c>
      <c r="O816" s="7">
        <f t="shared" si="63"/>
        <v>0</v>
      </c>
      <c r="P816" s="10" t="str">
        <f>IFERROR(VLOOKUP($A816,[1]FINAL!$A$1:$BZ$1000,MATCH([1]FINAL!$BB$1,[1]FINAL!$A$1:$BZ$1,0),0),"")</f>
        <v/>
      </c>
      <c r="Q816" s="18">
        <f t="shared" si="64"/>
        <v>1</v>
      </c>
    </row>
    <row r="817" spans="1:17" x14ac:dyDescent="0.25">
      <c r="A817" s="14">
        <f>[1]FINAL!$A815</f>
        <v>0</v>
      </c>
      <c r="B817" s="20" t="str">
        <f>IFERROR(VLOOKUP($A817,[1]FINAL!$A$1:$Z$1000,MATCH([1]FINAL!$T$1,[1]FINAL!$A$1:$Z$1,0),0),"")</f>
        <v/>
      </c>
      <c r="C817" s="3" t="str">
        <f>IFERROR(VLOOKUP($A817,[1]FINAL!$A$1:$Z$1000,MATCH([1]FINAL!$U$1,[1]FINAL!$A$1:$Z$1,0),0),"")</f>
        <v/>
      </c>
      <c r="D817" s="3" t="str">
        <f>IFERROR(VLOOKUP($A817,[1]FINAL!$A$1:$Z$1000,MATCH([1]FINAL!$V$1,[1]FINAL!$A$1:$Z$1,0),0),"")</f>
        <v/>
      </c>
      <c r="E817" s="6">
        <f t="shared" si="60"/>
        <v>0</v>
      </c>
      <c r="F817" s="5">
        <f t="shared" si="61"/>
        <v>0</v>
      </c>
      <c r="G817" s="5">
        <f>IFERROR(IF(H817&lt;&gt;"",H817,VLOOKUP($A817,[1]FINAL!$A$1:$BZ$1000,MATCH([1]FINAL!$BL$1,[1]FINAL!$A$1:$BZ$1,0),0)),0)</f>
        <v>0</v>
      </c>
      <c r="I817" s="5">
        <f>IFERROR(IF(J817&lt;&gt;"",J817,(IF(VLOOKUP($A817,#REF!,MATCH(#REF!,#REF!,0),0)=0,G817,VLOOKUP($A817,#REF!,MATCH(#REF!,#REF!,0),0)))),G817)</f>
        <v>0</v>
      </c>
      <c r="K817" s="6">
        <f>IFERROR(VLOOKUP($A817,#REF!,MATCH(#REF!,#REF!,0),0),0)</f>
        <v>0</v>
      </c>
      <c r="L817" s="6">
        <f>IFERROR(VLOOKUP($A817,[1]FINAL!$A$1:$BZ$1000,MATCH([1]FINAL!$BF$1,[1]FINAL!$A$1:$BZ$1,0),0),0)</f>
        <v>0</v>
      </c>
      <c r="M817" s="7">
        <f t="shared" si="62"/>
        <v>0</v>
      </c>
      <c r="N817" s="6">
        <f>IFERROR(VLOOKUP($A817,#REF!,MATCH(#REF!,#REF!,0),0),0)</f>
        <v>0</v>
      </c>
      <c r="O817" s="7">
        <f t="shared" si="63"/>
        <v>0</v>
      </c>
      <c r="P817" s="10" t="str">
        <f>IFERROR(VLOOKUP($A817,[1]FINAL!$A$1:$BZ$1000,MATCH([1]FINAL!$BB$1,[1]FINAL!$A$1:$BZ$1,0),0),"")</f>
        <v/>
      </c>
      <c r="Q817" s="18">
        <f t="shared" si="64"/>
        <v>1</v>
      </c>
    </row>
    <row r="818" spans="1:17" x14ac:dyDescent="0.25">
      <c r="A818" s="14">
        <f>[1]FINAL!$A816</f>
        <v>0</v>
      </c>
      <c r="B818" s="20" t="str">
        <f>IFERROR(VLOOKUP($A818,[1]FINAL!$A$1:$Z$1000,MATCH([1]FINAL!$T$1,[1]FINAL!$A$1:$Z$1,0),0),"")</f>
        <v/>
      </c>
      <c r="C818" s="3" t="str">
        <f>IFERROR(VLOOKUP($A818,[1]FINAL!$A$1:$Z$1000,MATCH([1]FINAL!$U$1,[1]FINAL!$A$1:$Z$1,0),0),"")</f>
        <v/>
      </c>
      <c r="D818" s="3" t="str">
        <f>IFERROR(VLOOKUP($A818,[1]FINAL!$A$1:$Z$1000,MATCH([1]FINAL!$V$1,[1]FINAL!$A$1:$Z$1,0),0),"")</f>
        <v/>
      </c>
      <c r="E818" s="6">
        <f t="shared" si="60"/>
        <v>0</v>
      </c>
      <c r="F818" s="5">
        <f t="shared" si="61"/>
        <v>0</v>
      </c>
      <c r="G818" s="5">
        <f>IFERROR(IF(H818&lt;&gt;"",H818,VLOOKUP($A818,[1]FINAL!$A$1:$BZ$1000,MATCH([1]FINAL!$BL$1,[1]FINAL!$A$1:$BZ$1,0),0)),0)</f>
        <v>0</v>
      </c>
      <c r="I818" s="5">
        <f>IFERROR(IF(J818&lt;&gt;"",J818,(IF(VLOOKUP($A818,#REF!,MATCH(#REF!,#REF!,0),0)=0,G818,VLOOKUP($A818,#REF!,MATCH(#REF!,#REF!,0),0)))),G818)</f>
        <v>0</v>
      </c>
      <c r="K818" s="6">
        <f>IFERROR(VLOOKUP($A818,#REF!,MATCH(#REF!,#REF!,0),0),0)</f>
        <v>0</v>
      </c>
      <c r="L818" s="6">
        <f>IFERROR(VLOOKUP($A818,[1]FINAL!$A$1:$BZ$1000,MATCH([1]FINAL!$BF$1,[1]FINAL!$A$1:$BZ$1,0),0),0)</f>
        <v>0</v>
      </c>
      <c r="M818" s="7">
        <f t="shared" si="62"/>
        <v>0</v>
      </c>
      <c r="N818" s="6">
        <f>IFERROR(VLOOKUP($A818,#REF!,MATCH(#REF!,#REF!,0),0),0)</f>
        <v>0</v>
      </c>
      <c r="O818" s="7">
        <f t="shared" si="63"/>
        <v>0</v>
      </c>
      <c r="P818" s="10" t="str">
        <f>IFERROR(VLOOKUP($A818,[1]FINAL!$A$1:$BZ$1000,MATCH([1]FINAL!$BB$1,[1]FINAL!$A$1:$BZ$1,0),0),"")</f>
        <v/>
      </c>
      <c r="Q818" s="18">
        <f t="shared" si="64"/>
        <v>1</v>
      </c>
    </row>
    <row r="819" spans="1:17" x14ac:dyDescent="0.25">
      <c r="A819" s="14">
        <f>[1]FINAL!$A817</f>
        <v>0</v>
      </c>
      <c r="B819" s="20" t="str">
        <f>IFERROR(VLOOKUP($A819,[1]FINAL!$A$1:$Z$1000,MATCH([1]FINAL!$T$1,[1]FINAL!$A$1:$Z$1,0),0),"")</f>
        <v/>
      </c>
      <c r="C819" s="3" t="str">
        <f>IFERROR(VLOOKUP($A819,[1]FINAL!$A$1:$Z$1000,MATCH([1]FINAL!$U$1,[1]FINAL!$A$1:$Z$1,0),0),"")</f>
        <v/>
      </c>
      <c r="D819" s="3" t="str">
        <f>IFERROR(VLOOKUP($A819,[1]FINAL!$A$1:$Z$1000,MATCH([1]FINAL!$V$1,[1]FINAL!$A$1:$Z$1,0),0),"")</f>
        <v/>
      </c>
      <c r="E819" s="6">
        <f t="shared" si="60"/>
        <v>0</v>
      </c>
      <c r="F819" s="5">
        <f t="shared" si="61"/>
        <v>0</v>
      </c>
      <c r="G819" s="5">
        <f>IFERROR(IF(H819&lt;&gt;"",H819,VLOOKUP($A819,[1]FINAL!$A$1:$BZ$1000,MATCH([1]FINAL!$BL$1,[1]FINAL!$A$1:$BZ$1,0),0)),0)</f>
        <v>0</v>
      </c>
      <c r="I819" s="5">
        <f>IFERROR(IF(J819&lt;&gt;"",J819,(IF(VLOOKUP($A819,#REF!,MATCH(#REF!,#REF!,0),0)=0,G819,VLOOKUP($A819,#REF!,MATCH(#REF!,#REF!,0),0)))),G819)</f>
        <v>0</v>
      </c>
      <c r="K819" s="6">
        <f>IFERROR(VLOOKUP($A819,#REF!,MATCH(#REF!,#REF!,0),0),0)</f>
        <v>0</v>
      </c>
      <c r="L819" s="6">
        <f>IFERROR(VLOOKUP($A819,[1]FINAL!$A$1:$BZ$1000,MATCH([1]FINAL!$BF$1,[1]FINAL!$A$1:$BZ$1,0),0),0)</f>
        <v>0</v>
      </c>
      <c r="M819" s="7">
        <f t="shared" si="62"/>
        <v>0</v>
      </c>
      <c r="N819" s="6">
        <f>IFERROR(VLOOKUP($A819,#REF!,MATCH(#REF!,#REF!,0),0),0)</f>
        <v>0</v>
      </c>
      <c r="O819" s="7">
        <f t="shared" si="63"/>
        <v>0</v>
      </c>
      <c r="P819" s="10" t="str">
        <f>IFERROR(VLOOKUP($A819,[1]FINAL!$A$1:$BZ$1000,MATCH([1]FINAL!$BB$1,[1]FINAL!$A$1:$BZ$1,0),0),"")</f>
        <v/>
      </c>
      <c r="Q819" s="18">
        <f t="shared" si="64"/>
        <v>1</v>
      </c>
    </row>
    <row r="820" spans="1:17" x14ac:dyDescent="0.25">
      <c r="A820" s="14">
        <f>[1]FINAL!$A818</f>
        <v>0</v>
      </c>
      <c r="B820" s="20" t="str">
        <f>IFERROR(VLOOKUP($A820,[1]FINAL!$A$1:$Z$1000,MATCH([1]FINAL!$T$1,[1]FINAL!$A$1:$Z$1,0),0),"")</f>
        <v/>
      </c>
      <c r="C820" s="3" t="str">
        <f>IFERROR(VLOOKUP($A820,[1]FINAL!$A$1:$Z$1000,MATCH([1]FINAL!$U$1,[1]FINAL!$A$1:$Z$1,0),0),"")</f>
        <v/>
      </c>
      <c r="D820" s="3" t="str">
        <f>IFERROR(VLOOKUP($A820,[1]FINAL!$A$1:$Z$1000,MATCH([1]FINAL!$V$1,[1]FINAL!$A$1:$Z$1,0),0),"")</f>
        <v/>
      </c>
      <c r="E820" s="6">
        <f t="shared" si="60"/>
        <v>0</v>
      </c>
      <c r="F820" s="5">
        <f t="shared" si="61"/>
        <v>0</v>
      </c>
      <c r="G820" s="5">
        <f>IFERROR(IF(H820&lt;&gt;"",H820,VLOOKUP($A820,[1]FINAL!$A$1:$BZ$1000,MATCH([1]FINAL!$BL$1,[1]FINAL!$A$1:$BZ$1,0),0)),0)</f>
        <v>0</v>
      </c>
      <c r="I820" s="5">
        <f>IFERROR(IF(J820&lt;&gt;"",J820,(IF(VLOOKUP($A820,#REF!,MATCH(#REF!,#REF!,0),0)=0,G820,VLOOKUP($A820,#REF!,MATCH(#REF!,#REF!,0),0)))),G820)</f>
        <v>0</v>
      </c>
      <c r="K820" s="6">
        <f>IFERROR(VLOOKUP($A820,#REF!,MATCH(#REF!,#REF!,0),0),0)</f>
        <v>0</v>
      </c>
      <c r="L820" s="6">
        <f>IFERROR(VLOOKUP($A820,[1]FINAL!$A$1:$BZ$1000,MATCH([1]FINAL!$BF$1,[1]FINAL!$A$1:$BZ$1,0),0),0)</f>
        <v>0</v>
      </c>
      <c r="M820" s="7">
        <f t="shared" si="62"/>
        <v>0</v>
      </c>
      <c r="N820" s="6">
        <f>IFERROR(VLOOKUP($A820,#REF!,MATCH(#REF!,#REF!,0),0),0)</f>
        <v>0</v>
      </c>
      <c r="O820" s="7">
        <f t="shared" si="63"/>
        <v>0</v>
      </c>
      <c r="P820" s="10" t="str">
        <f>IFERROR(VLOOKUP($A820,[1]FINAL!$A$1:$BZ$1000,MATCH([1]FINAL!$BB$1,[1]FINAL!$A$1:$BZ$1,0),0),"")</f>
        <v/>
      </c>
      <c r="Q820" s="18">
        <f t="shared" si="64"/>
        <v>1</v>
      </c>
    </row>
    <row r="821" spans="1:17" x14ac:dyDescent="0.25">
      <c r="A821" s="14">
        <f>[1]FINAL!$A819</f>
        <v>0</v>
      </c>
      <c r="B821" s="20" t="str">
        <f>IFERROR(VLOOKUP($A821,[1]FINAL!$A$1:$Z$1000,MATCH([1]FINAL!$T$1,[1]FINAL!$A$1:$Z$1,0),0),"")</f>
        <v/>
      </c>
      <c r="C821" s="3" t="str">
        <f>IFERROR(VLOOKUP($A821,[1]FINAL!$A$1:$Z$1000,MATCH([1]FINAL!$U$1,[1]FINAL!$A$1:$Z$1,0),0),"")</f>
        <v/>
      </c>
      <c r="D821" s="3" t="str">
        <f>IFERROR(VLOOKUP($A821,[1]FINAL!$A$1:$Z$1000,MATCH([1]FINAL!$V$1,[1]FINAL!$A$1:$Z$1,0),0),"")</f>
        <v/>
      </c>
      <c r="E821" s="6">
        <f t="shared" si="60"/>
        <v>0</v>
      </c>
      <c r="F821" s="5">
        <f t="shared" si="61"/>
        <v>0</v>
      </c>
      <c r="G821" s="5">
        <f>IFERROR(IF(H821&lt;&gt;"",H821,VLOOKUP($A821,[1]FINAL!$A$1:$BZ$1000,MATCH([1]FINAL!$BL$1,[1]FINAL!$A$1:$BZ$1,0),0)),0)</f>
        <v>0</v>
      </c>
      <c r="I821" s="5">
        <f>IFERROR(IF(J821&lt;&gt;"",J821,(IF(VLOOKUP($A821,#REF!,MATCH(#REF!,#REF!,0),0)=0,G821,VLOOKUP($A821,#REF!,MATCH(#REF!,#REF!,0),0)))),G821)</f>
        <v>0</v>
      </c>
      <c r="K821" s="6">
        <f>IFERROR(VLOOKUP($A821,#REF!,MATCH(#REF!,#REF!,0),0),0)</f>
        <v>0</v>
      </c>
      <c r="L821" s="6">
        <f>IFERROR(VLOOKUP($A821,[1]FINAL!$A$1:$BZ$1000,MATCH([1]FINAL!$BF$1,[1]FINAL!$A$1:$BZ$1,0),0),0)</f>
        <v>0</v>
      </c>
      <c r="M821" s="7">
        <f t="shared" si="62"/>
        <v>0</v>
      </c>
      <c r="N821" s="6">
        <f>IFERROR(VLOOKUP($A821,#REF!,MATCH(#REF!,#REF!,0),0),0)</f>
        <v>0</v>
      </c>
      <c r="O821" s="7">
        <f t="shared" si="63"/>
        <v>0</v>
      </c>
      <c r="P821" s="10" t="str">
        <f>IFERROR(VLOOKUP($A821,[1]FINAL!$A$1:$BZ$1000,MATCH([1]FINAL!$BB$1,[1]FINAL!$A$1:$BZ$1,0),0),"")</f>
        <v/>
      </c>
      <c r="Q821" s="18">
        <f t="shared" si="64"/>
        <v>1</v>
      </c>
    </row>
    <row r="822" spans="1:17" x14ac:dyDescent="0.25">
      <c r="A822" s="14">
        <f>[1]FINAL!$A820</f>
        <v>0</v>
      </c>
      <c r="B822" s="20" t="str">
        <f>IFERROR(VLOOKUP($A822,[1]FINAL!$A$1:$Z$1000,MATCH([1]FINAL!$T$1,[1]FINAL!$A$1:$Z$1,0),0),"")</f>
        <v/>
      </c>
      <c r="C822" s="3" t="str">
        <f>IFERROR(VLOOKUP($A822,[1]FINAL!$A$1:$Z$1000,MATCH([1]FINAL!$U$1,[1]FINAL!$A$1:$Z$1,0),0),"")</f>
        <v/>
      </c>
      <c r="D822" s="3" t="str">
        <f>IFERROR(VLOOKUP($A822,[1]FINAL!$A$1:$Z$1000,MATCH([1]FINAL!$V$1,[1]FINAL!$A$1:$Z$1,0),0),"")</f>
        <v/>
      </c>
      <c r="E822" s="6">
        <f t="shared" si="60"/>
        <v>0</v>
      </c>
      <c r="F822" s="5">
        <f t="shared" si="61"/>
        <v>0</v>
      </c>
      <c r="G822" s="5">
        <f>IFERROR(IF(H822&lt;&gt;"",H822,VLOOKUP($A822,[1]FINAL!$A$1:$BZ$1000,MATCH([1]FINAL!$BL$1,[1]FINAL!$A$1:$BZ$1,0),0)),0)</f>
        <v>0</v>
      </c>
      <c r="I822" s="5">
        <f>IFERROR(IF(J822&lt;&gt;"",J822,(IF(VLOOKUP($A822,#REF!,MATCH(#REF!,#REF!,0),0)=0,G822,VLOOKUP($A822,#REF!,MATCH(#REF!,#REF!,0),0)))),G822)</f>
        <v>0</v>
      </c>
      <c r="K822" s="6">
        <f>IFERROR(VLOOKUP($A822,#REF!,MATCH(#REF!,#REF!,0),0),0)</f>
        <v>0</v>
      </c>
      <c r="L822" s="6">
        <f>IFERROR(VLOOKUP($A822,[1]FINAL!$A$1:$BZ$1000,MATCH([1]FINAL!$BF$1,[1]FINAL!$A$1:$BZ$1,0),0),0)</f>
        <v>0</v>
      </c>
      <c r="M822" s="7">
        <f t="shared" si="62"/>
        <v>0</v>
      </c>
      <c r="N822" s="6">
        <f>IFERROR(VLOOKUP($A822,#REF!,MATCH(#REF!,#REF!,0),0),0)</f>
        <v>0</v>
      </c>
      <c r="O822" s="7">
        <f t="shared" si="63"/>
        <v>0</v>
      </c>
      <c r="P822" s="10" t="str">
        <f>IFERROR(VLOOKUP($A822,[1]FINAL!$A$1:$BZ$1000,MATCH([1]FINAL!$BB$1,[1]FINAL!$A$1:$BZ$1,0),0),"")</f>
        <v/>
      </c>
      <c r="Q822" s="18">
        <f t="shared" si="64"/>
        <v>1</v>
      </c>
    </row>
    <row r="823" spans="1:17" x14ac:dyDescent="0.25">
      <c r="A823" s="14">
        <f>[1]FINAL!$A821</f>
        <v>0</v>
      </c>
      <c r="B823" s="20" t="str">
        <f>IFERROR(VLOOKUP($A823,[1]FINAL!$A$1:$Z$1000,MATCH([1]FINAL!$T$1,[1]FINAL!$A$1:$Z$1,0),0),"")</f>
        <v/>
      </c>
      <c r="C823" s="3" t="str">
        <f>IFERROR(VLOOKUP($A823,[1]FINAL!$A$1:$Z$1000,MATCH([1]FINAL!$U$1,[1]FINAL!$A$1:$Z$1,0),0),"")</f>
        <v/>
      </c>
      <c r="D823" s="3" t="str">
        <f>IFERROR(VLOOKUP($A823,[1]FINAL!$A$1:$Z$1000,MATCH([1]FINAL!$V$1,[1]FINAL!$A$1:$Z$1,0),0),"")</f>
        <v/>
      </c>
      <c r="E823" s="6">
        <f t="shared" si="60"/>
        <v>0</v>
      </c>
      <c r="F823" s="5">
        <f t="shared" si="61"/>
        <v>0</v>
      </c>
      <c r="G823" s="5">
        <f>IFERROR(IF(H823&lt;&gt;"",H823,VLOOKUP($A823,[1]FINAL!$A$1:$BZ$1000,MATCH([1]FINAL!$BL$1,[1]FINAL!$A$1:$BZ$1,0),0)),0)</f>
        <v>0</v>
      </c>
      <c r="I823" s="5">
        <f>IFERROR(IF(J823&lt;&gt;"",J823,(IF(VLOOKUP($A823,#REF!,MATCH(#REF!,#REF!,0),0)=0,G823,VLOOKUP($A823,#REF!,MATCH(#REF!,#REF!,0),0)))),G823)</f>
        <v>0</v>
      </c>
      <c r="K823" s="6">
        <f>IFERROR(VLOOKUP($A823,#REF!,MATCH(#REF!,#REF!,0),0),0)</f>
        <v>0</v>
      </c>
      <c r="L823" s="6">
        <f>IFERROR(VLOOKUP($A823,[1]FINAL!$A$1:$BZ$1000,MATCH([1]FINAL!$BF$1,[1]FINAL!$A$1:$BZ$1,0),0),0)</f>
        <v>0</v>
      </c>
      <c r="M823" s="7">
        <f t="shared" si="62"/>
        <v>0</v>
      </c>
      <c r="N823" s="6">
        <f>IFERROR(VLOOKUP($A823,#REF!,MATCH(#REF!,#REF!,0),0),0)</f>
        <v>0</v>
      </c>
      <c r="O823" s="7">
        <f t="shared" si="63"/>
        <v>0</v>
      </c>
      <c r="P823" s="10" t="str">
        <f>IFERROR(VLOOKUP($A823,[1]FINAL!$A$1:$BZ$1000,MATCH([1]FINAL!$BB$1,[1]FINAL!$A$1:$BZ$1,0),0),"")</f>
        <v/>
      </c>
      <c r="Q823" s="18">
        <f t="shared" si="64"/>
        <v>1</v>
      </c>
    </row>
    <row r="824" spans="1:17" x14ac:dyDescent="0.25">
      <c r="A824" s="14">
        <f>[1]FINAL!$A822</f>
        <v>0</v>
      </c>
      <c r="B824" s="20" t="str">
        <f>IFERROR(VLOOKUP($A824,[1]FINAL!$A$1:$Z$1000,MATCH([1]FINAL!$T$1,[1]FINAL!$A$1:$Z$1,0),0),"")</f>
        <v/>
      </c>
      <c r="C824" s="3" t="str">
        <f>IFERROR(VLOOKUP($A824,[1]FINAL!$A$1:$Z$1000,MATCH([1]FINAL!$U$1,[1]FINAL!$A$1:$Z$1,0),0),"")</f>
        <v/>
      </c>
      <c r="D824" s="3" t="str">
        <f>IFERROR(VLOOKUP($A824,[1]FINAL!$A$1:$Z$1000,MATCH([1]FINAL!$V$1,[1]FINAL!$A$1:$Z$1,0),0),"")</f>
        <v/>
      </c>
      <c r="E824" s="6">
        <f t="shared" si="60"/>
        <v>0</v>
      </c>
      <c r="F824" s="5">
        <f t="shared" si="61"/>
        <v>0</v>
      </c>
      <c r="G824" s="5">
        <f>IFERROR(IF(H824&lt;&gt;"",H824,VLOOKUP($A824,[1]FINAL!$A$1:$BZ$1000,MATCH([1]FINAL!$BL$1,[1]FINAL!$A$1:$BZ$1,0),0)),0)</f>
        <v>0</v>
      </c>
      <c r="I824" s="5">
        <f>IFERROR(IF(J824&lt;&gt;"",J824,(IF(VLOOKUP($A824,#REF!,MATCH(#REF!,#REF!,0),0)=0,G824,VLOOKUP($A824,#REF!,MATCH(#REF!,#REF!,0),0)))),G824)</f>
        <v>0</v>
      </c>
      <c r="K824" s="6">
        <f>IFERROR(VLOOKUP($A824,#REF!,MATCH(#REF!,#REF!,0),0),0)</f>
        <v>0</v>
      </c>
      <c r="L824" s="6">
        <f>IFERROR(VLOOKUP($A824,[1]FINAL!$A$1:$BZ$1000,MATCH([1]FINAL!$BF$1,[1]FINAL!$A$1:$BZ$1,0),0),0)</f>
        <v>0</v>
      </c>
      <c r="M824" s="7">
        <f t="shared" si="62"/>
        <v>0</v>
      </c>
      <c r="N824" s="6">
        <f>IFERROR(VLOOKUP($A824,#REF!,MATCH(#REF!,#REF!,0),0),0)</f>
        <v>0</v>
      </c>
      <c r="O824" s="7">
        <f t="shared" si="63"/>
        <v>0</v>
      </c>
      <c r="P824" s="10" t="str">
        <f>IFERROR(VLOOKUP($A824,[1]FINAL!$A$1:$BZ$1000,MATCH([1]FINAL!$BB$1,[1]FINAL!$A$1:$BZ$1,0),0),"")</f>
        <v/>
      </c>
      <c r="Q824" s="18">
        <f t="shared" si="64"/>
        <v>1</v>
      </c>
    </row>
    <row r="825" spans="1:17" x14ac:dyDescent="0.25">
      <c r="A825" s="14">
        <f>[1]FINAL!$A823</f>
        <v>0</v>
      </c>
      <c r="B825" s="20" t="str">
        <f>IFERROR(VLOOKUP($A825,[1]FINAL!$A$1:$Z$1000,MATCH([1]FINAL!$T$1,[1]FINAL!$A$1:$Z$1,0),0),"")</f>
        <v/>
      </c>
      <c r="C825" s="3" t="str">
        <f>IFERROR(VLOOKUP($A825,[1]FINAL!$A$1:$Z$1000,MATCH([1]FINAL!$U$1,[1]FINAL!$A$1:$Z$1,0),0),"")</f>
        <v/>
      </c>
      <c r="D825" s="3" t="str">
        <f>IFERROR(VLOOKUP($A825,[1]FINAL!$A$1:$Z$1000,MATCH([1]FINAL!$V$1,[1]FINAL!$A$1:$Z$1,0),0),"")</f>
        <v/>
      </c>
      <c r="E825" s="6">
        <f t="shared" si="60"/>
        <v>0</v>
      </c>
      <c r="F825" s="5">
        <f t="shared" si="61"/>
        <v>0</v>
      </c>
      <c r="G825" s="5">
        <f>IFERROR(IF(H825&lt;&gt;"",H825,VLOOKUP($A825,[1]FINAL!$A$1:$BZ$1000,MATCH([1]FINAL!$BL$1,[1]FINAL!$A$1:$BZ$1,0),0)),0)</f>
        <v>0</v>
      </c>
      <c r="I825" s="5">
        <f>IFERROR(IF(J825&lt;&gt;"",J825,(IF(VLOOKUP($A825,#REF!,MATCH(#REF!,#REF!,0),0)=0,G825,VLOOKUP($A825,#REF!,MATCH(#REF!,#REF!,0),0)))),G825)</f>
        <v>0</v>
      </c>
      <c r="K825" s="6">
        <f>IFERROR(VLOOKUP($A825,#REF!,MATCH(#REF!,#REF!,0),0),0)</f>
        <v>0</v>
      </c>
      <c r="L825" s="6">
        <f>IFERROR(VLOOKUP($A825,[1]FINAL!$A$1:$BZ$1000,MATCH([1]FINAL!$BF$1,[1]FINAL!$A$1:$BZ$1,0),0),0)</f>
        <v>0</v>
      </c>
      <c r="M825" s="7">
        <f t="shared" si="62"/>
        <v>0</v>
      </c>
      <c r="N825" s="6">
        <f>IFERROR(VLOOKUP($A825,#REF!,MATCH(#REF!,#REF!,0),0),0)</f>
        <v>0</v>
      </c>
      <c r="O825" s="7">
        <f t="shared" si="63"/>
        <v>0</v>
      </c>
      <c r="P825" s="10" t="str">
        <f>IFERROR(VLOOKUP($A825,[1]FINAL!$A$1:$BZ$1000,MATCH([1]FINAL!$BB$1,[1]FINAL!$A$1:$BZ$1,0),0),"")</f>
        <v/>
      </c>
      <c r="Q825" s="18">
        <f t="shared" si="64"/>
        <v>1</v>
      </c>
    </row>
    <row r="826" spans="1:17" x14ac:dyDescent="0.25">
      <c r="A826" s="14">
        <f>[1]FINAL!$A824</f>
        <v>0</v>
      </c>
      <c r="B826" s="20" t="str">
        <f>IFERROR(VLOOKUP($A826,[1]FINAL!$A$1:$Z$1000,MATCH([1]FINAL!$T$1,[1]FINAL!$A$1:$Z$1,0),0),"")</f>
        <v/>
      </c>
      <c r="C826" s="3" t="str">
        <f>IFERROR(VLOOKUP($A826,[1]FINAL!$A$1:$Z$1000,MATCH([1]FINAL!$U$1,[1]FINAL!$A$1:$Z$1,0),0),"")</f>
        <v/>
      </c>
      <c r="D826" s="3" t="str">
        <f>IFERROR(VLOOKUP($A826,[1]FINAL!$A$1:$Z$1000,MATCH([1]FINAL!$V$1,[1]FINAL!$A$1:$Z$1,0),0),"")</f>
        <v/>
      </c>
      <c r="E826" s="6">
        <f t="shared" si="60"/>
        <v>0</v>
      </c>
      <c r="F826" s="5">
        <f t="shared" si="61"/>
        <v>0</v>
      </c>
      <c r="G826" s="5">
        <f>IFERROR(IF(H826&lt;&gt;"",H826,VLOOKUP($A826,[1]FINAL!$A$1:$BZ$1000,MATCH([1]FINAL!$BL$1,[1]FINAL!$A$1:$BZ$1,0),0)),0)</f>
        <v>0</v>
      </c>
      <c r="I826" s="5">
        <f>IFERROR(IF(J826&lt;&gt;"",J826,(IF(VLOOKUP($A826,#REF!,MATCH(#REF!,#REF!,0),0)=0,G826,VLOOKUP($A826,#REF!,MATCH(#REF!,#REF!,0),0)))),G826)</f>
        <v>0</v>
      </c>
      <c r="K826" s="6">
        <f>IFERROR(VLOOKUP($A826,#REF!,MATCH(#REF!,#REF!,0),0),0)</f>
        <v>0</v>
      </c>
      <c r="L826" s="6">
        <f>IFERROR(VLOOKUP($A826,[1]FINAL!$A$1:$BZ$1000,MATCH([1]FINAL!$BF$1,[1]FINAL!$A$1:$BZ$1,0),0),0)</f>
        <v>0</v>
      </c>
      <c r="M826" s="7">
        <f t="shared" si="62"/>
        <v>0</v>
      </c>
      <c r="N826" s="6">
        <f>IFERROR(VLOOKUP($A826,#REF!,MATCH(#REF!,#REF!,0),0),0)</f>
        <v>0</v>
      </c>
      <c r="O826" s="7">
        <f t="shared" si="63"/>
        <v>0</v>
      </c>
      <c r="P826" s="10" t="str">
        <f>IFERROR(VLOOKUP($A826,[1]FINAL!$A$1:$BZ$1000,MATCH([1]FINAL!$BB$1,[1]FINAL!$A$1:$BZ$1,0),0),"")</f>
        <v/>
      </c>
      <c r="Q826" s="18">
        <f t="shared" si="64"/>
        <v>1</v>
      </c>
    </row>
    <row r="827" spans="1:17" x14ac:dyDescent="0.25">
      <c r="A827" s="14">
        <f>[1]FINAL!$A825</f>
        <v>0</v>
      </c>
      <c r="B827" s="20" t="str">
        <f>IFERROR(VLOOKUP($A827,[1]FINAL!$A$1:$Z$1000,MATCH([1]FINAL!$T$1,[1]FINAL!$A$1:$Z$1,0),0),"")</f>
        <v/>
      </c>
      <c r="C827" s="3" t="str">
        <f>IFERROR(VLOOKUP($A827,[1]FINAL!$A$1:$Z$1000,MATCH([1]FINAL!$U$1,[1]FINAL!$A$1:$Z$1,0),0),"")</f>
        <v/>
      </c>
      <c r="D827" s="3" t="str">
        <f>IFERROR(VLOOKUP($A827,[1]FINAL!$A$1:$Z$1000,MATCH([1]FINAL!$V$1,[1]FINAL!$A$1:$Z$1,0),0),"")</f>
        <v/>
      </c>
      <c r="E827" s="6">
        <f t="shared" si="60"/>
        <v>0</v>
      </c>
      <c r="F827" s="5">
        <f t="shared" si="61"/>
        <v>0</v>
      </c>
      <c r="G827" s="5">
        <f>IFERROR(IF(H827&lt;&gt;"",H827,VLOOKUP($A827,[1]FINAL!$A$1:$BZ$1000,MATCH([1]FINAL!$BL$1,[1]FINAL!$A$1:$BZ$1,0),0)),0)</f>
        <v>0</v>
      </c>
      <c r="I827" s="5">
        <f>IFERROR(IF(J827&lt;&gt;"",J827,(IF(VLOOKUP($A827,#REF!,MATCH(#REF!,#REF!,0),0)=0,G827,VLOOKUP($A827,#REF!,MATCH(#REF!,#REF!,0),0)))),G827)</f>
        <v>0</v>
      </c>
      <c r="K827" s="6">
        <f>IFERROR(VLOOKUP($A827,#REF!,MATCH(#REF!,#REF!,0),0),0)</f>
        <v>0</v>
      </c>
      <c r="L827" s="6">
        <f>IFERROR(VLOOKUP($A827,[1]FINAL!$A$1:$BZ$1000,MATCH([1]FINAL!$BF$1,[1]FINAL!$A$1:$BZ$1,0),0),0)</f>
        <v>0</v>
      </c>
      <c r="M827" s="7">
        <f t="shared" si="62"/>
        <v>0</v>
      </c>
      <c r="N827" s="6">
        <f>IFERROR(VLOOKUP($A827,#REF!,MATCH(#REF!,#REF!,0),0),0)</f>
        <v>0</v>
      </c>
      <c r="O827" s="7">
        <f t="shared" si="63"/>
        <v>0</v>
      </c>
      <c r="P827" s="10" t="str">
        <f>IFERROR(VLOOKUP($A827,[1]FINAL!$A$1:$BZ$1000,MATCH([1]FINAL!$BB$1,[1]FINAL!$A$1:$BZ$1,0),0),"")</f>
        <v/>
      </c>
      <c r="Q827" s="18">
        <f t="shared" si="64"/>
        <v>1</v>
      </c>
    </row>
    <row r="828" spans="1:17" x14ac:dyDescent="0.25">
      <c r="A828" s="14">
        <f>[1]FINAL!$A826</f>
        <v>0</v>
      </c>
      <c r="B828" s="20" t="str">
        <f>IFERROR(VLOOKUP($A828,[1]FINAL!$A$1:$Z$1000,MATCH([1]FINAL!$T$1,[1]FINAL!$A$1:$Z$1,0),0),"")</f>
        <v/>
      </c>
      <c r="C828" s="3" t="str">
        <f>IFERROR(VLOOKUP($A828,[1]FINAL!$A$1:$Z$1000,MATCH([1]FINAL!$U$1,[1]FINAL!$A$1:$Z$1,0),0),"")</f>
        <v/>
      </c>
      <c r="D828" s="3" t="str">
        <f>IFERROR(VLOOKUP($A828,[1]FINAL!$A$1:$Z$1000,MATCH([1]FINAL!$V$1,[1]FINAL!$A$1:$Z$1,0),0),"")</f>
        <v/>
      </c>
      <c r="E828" s="6">
        <f t="shared" si="60"/>
        <v>0</v>
      </c>
      <c r="F828" s="5">
        <f t="shared" si="61"/>
        <v>0</v>
      </c>
      <c r="G828" s="5">
        <f>IFERROR(IF(H828&lt;&gt;"",H828,VLOOKUP($A828,[1]FINAL!$A$1:$BZ$1000,MATCH([1]FINAL!$BL$1,[1]FINAL!$A$1:$BZ$1,0),0)),0)</f>
        <v>0</v>
      </c>
      <c r="I828" s="5">
        <f>IFERROR(IF(J828&lt;&gt;"",J828,(IF(VLOOKUP($A828,#REF!,MATCH(#REF!,#REF!,0),0)=0,G828,VLOOKUP($A828,#REF!,MATCH(#REF!,#REF!,0),0)))),G828)</f>
        <v>0</v>
      </c>
      <c r="K828" s="6">
        <f>IFERROR(VLOOKUP($A828,#REF!,MATCH(#REF!,#REF!,0),0),0)</f>
        <v>0</v>
      </c>
      <c r="L828" s="6">
        <f>IFERROR(VLOOKUP($A828,[1]FINAL!$A$1:$BZ$1000,MATCH([1]FINAL!$BF$1,[1]FINAL!$A$1:$BZ$1,0),0),0)</f>
        <v>0</v>
      </c>
      <c r="M828" s="7">
        <f t="shared" si="62"/>
        <v>0</v>
      </c>
      <c r="N828" s="6">
        <f>IFERROR(VLOOKUP($A828,#REF!,MATCH(#REF!,#REF!,0),0),0)</f>
        <v>0</v>
      </c>
      <c r="O828" s="7">
        <f t="shared" si="63"/>
        <v>0</v>
      </c>
      <c r="P828" s="10" t="str">
        <f>IFERROR(VLOOKUP($A828,[1]FINAL!$A$1:$BZ$1000,MATCH([1]FINAL!$BB$1,[1]FINAL!$A$1:$BZ$1,0),0),"")</f>
        <v/>
      </c>
      <c r="Q828" s="18">
        <f t="shared" si="64"/>
        <v>1</v>
      </c>
    </row>
    <row r="829" spans="1:17" x14ac:dyDescent="0.25">
      <c r="A829" s="14">
        <f>[1]FINAL!$A827</f>
        <v>0</v>
      </c>
      <c r="B829" s="20" t="str">
        <f>IFERROR(VLOOKUP($A829,[1]FINAL!$A$1:$Z$1000,MATCH([1]FINAL!$T$1,[1]FINAL!$A$1:$Z$1,0),0),"")</f>
        <v/>
      </c>
      <c r="C829" s="3" t="str">
        <f>IFERROR(VLOOKUP($A829,[1]FINAL!$A$1:$Z$1000,MATCH([1]FINAL!$U$1,[1]FINAL!$A$1:$Z$1,0),0),"")</f>
        <v/>
      </c>
      <c r="D829" s="3" t="str">
        <f>IFERROR(VLOOKUP($A829,[1]FINAL!$A$1:$Z$1000,MATCH([1]FINAL!$V$1,[1]FINAL!$A$1:$Z$1,0),0),"")</f>
        <v/>
      </c>
      <c r="E829" s="6">
        <f t="shared" si="60"/>
        <v>0</v>
      </c>
      <c r="F829" s="5">
        <f t="shared" si="61"/>
        <v>0</v>
      </c>
      <c r="G829" s="5">
        <f>IFERROR(IF(H829&lt;&gt;"",H829,VLOOKUP($A829,[1]FINAL!$A$1:$BZ$1000,MATCH([1]FINAL!$BL$1,[1]FINAL!$A$1:$BZ$1,0),0)),0)</f>
        <v>0</v>
      </c>
      <c r="I829" s="5">
        <f>IFERROR(IF(J829&lt;&gt;"",J829,(IF(VLOOKUP($A829,#REF!,MATCH(#REF!,#REF!,0),0)=0,G829,VLOOKUP($A829,#REF!,MATCH(#REF!,#REF!,0),0)))),G829)</f>
        <v>0</v>
      </c>
      <c r="K829" s="6">
        <f>IFERROR(VLOOKUP($A829,#REF!,MATCH(#REF!,#REF!,0),0),0)</f>
        <v>0</v>
      </c>
      <c r="L829" s="6">
        <f>IFERROR(VLOOKUP($A829,[1]FINAL!$A$1:$BZ$1000,MATCH([1]FINAL!$BF$1,[1]FINAL!$A$1:$BZ$1,0),0),0)</f>
        <v>0</v>
      </c>
      <c r="M829" s="7">
        <f t="shared" si="62"/>
        <v>0</v>
      </c>
      <c r="N829" s="6">
        <f>IFERROR(VLOOKUP($A829,#REF!,MATCH(#REF!,#REF!,0),0),0)</f>
        <v>0</v>
      </c>
      <c r="O829" s="7">
        <f t="shared" si="63"/>
        <v>0</v>
      </c>
      <c r="P829" s="10" t="str">
        <f>IFERROR(VLOOKUP($A829,[1]FINAL!$A$1:$BZ$1000,MATCH([1]FINAL!$BB$1,[1]FINAL!$A$1:$BZ$1,0),0),"")</f>
        <v/>
      </c>
      <c r="Q829" s="18">
        <f t="shared" si="64"/>
        <v>1</v>
      </c>
    </row>
    <row r="830" spans="1:17" x14ac:dyDescent="0.25">
      <c r="A830" s="14">
        <f>[1]FINAL!$A828</f>
        <v>0</v>
      </c>
      <c r="B830" s="20" t="str">
        <f>IFERROR(VLOOKUP($A830,[1]FINAL!$A$1:$Z$1000,MATCH([1]FINAL!$T$1,[1]FINAL!$A$1:$Z$1,0),0),"")</f>
        <v/>
      </c>
      <c r="C830" s="3" t="str">
        <f>IFERROR(VLOOKUP($A830,[1]FINAL!$A$1:$Z$1000,MATCH([1]FINAL!$U$1,[1]FINAL!$A$1:$Z$1,0),0),"")</f>
        <v/>
      </c>
      <c r="D830" s="3" t="str">
        <f>IFERROR(VLOOKUP($A830,[1]FINAL!$A$1:$Z$1000,MATCH([1]FINAL!$V$1,[1]FINAL!$A$1:$Z$1,0),0),"")</f>
        <v/>
      </c>
      <c r="E830" s="6">
        <f t="shared" si="60"/>
        <v>0</v>
      </c>
      <c r="F830" s="5">
        <f t="shared" si="61"/>
        <v>0</v>
      </c>
      <c r="G830" s="5">
        <f>IFERROR(IF(H830&lt;&gt;"",H830,VLOOKUP($A830,[1]FINAL!$A$1:$BZ$1000,MATCH([1]FINAL!$BL$1,[1]FINAL!$A$1:$BZ$1,0),0)),0)</f>
        <v>0</v>
      </c>
      <c r="I830" s="5">
        <f>IFERROR(IF(J830&lt;&gt;"",J830,(IF(VLOOKUP($A830,#REF!,MATCH(#REF!,#REF!,0),0)=0,G830,VLOOKUP($A830,#REF!,MATCH(#REF!,#REF!,0),0)))),G830)</f>
        <v>0</v>
      </c>
      <c r="K830" s="6">
        <f>IFERROR(VLOOKUP($A830,#REF!,MATCH(#REF!,#REF!,0),0),0)</f>
        <v>0</v>
      </c>
      <c r="L830" s="6">
        <f>IFERROR(VLOOKUP($A830,[1]FINAL!$A$1:$BZ$1000,MATCH([1]FINAL!$BF$1,[1]FINAL!$A$1:$BZ$1,0),0),0)</f>
        <v>0</v>
      </c>
      <c r="M830" s="7">
        <f t="shared" si="62"/>
        <v>0</v>
      </c>
      <c r="N830" s="6">
        <f>IFERROR(VLOOKUP($A830,#REF!,MATCH(#REF!,#REF!,0),0),0)</f>
        <v>0</v>
      </c>
      <c r="O830" s="7">
        <f t="shared" si="63"/>
        <v>0</v>
      </c>
      <c r="P830" s="10" t="str">
        <f>IFERROR(VLOOKUP($A830,[1]FINAL!$A$1:$BZ$1000,MATCH([1]FINAL!$BB$1,[1]FINAL!$A$1:$BZ$1,0),0),"")</f>
        <v/>
      </c>
      <c r="Q830" s="18">
        <f t="shared" si="64"/>
        <v>1</v>
      </c>
    </row>
    <row r="831" spans="1:17" x14ac:dyDescent="0.25">
      <c r="A831" s="14">
        <f>[1]FINAL!$A829</f>
        <v>0</v>
      </c>
      <c r="B831" s="20" t="str">
        <f>IFERROR(VLOOKUP($A831,[1]FINAL!$A$1:$Z$1000,MATCH([1]FINAL!$T$1,[1]FINAL!$A$1:$Z$1,0),0),"")</f>
        <v/>
      </c>
      <c r="C831" s="3" t="str">
        <f>IFERROR(VLOOKUP($A831,[1]FINAL!$A$1:$Z$1000,MATCH([1]FINAL!$U$1,[1]FINAL!$A$1:$Z$1,0),0),"")</f>
        <v/>
      </c>
      <c r="D831" s="3" t="str">
        <f>IFERROR(VLOOKUP($A831,[1]FINAL!$A$1:$Z$1000,MATCH([1]FINAL!$V$1,[1]FINAL!$A$1:$Z$1,0),0),"")</f>
        <v/>
      </c>
      <c r="E831" s="6">
        <f t="shared" si="60"/>
        <v>0</v>
      </c>
      <c r="F831" s="5">
        <f t="shared" si="61"/>
        <v>0</v>
      </c>
      <c r="G831" s="5">
        <f>IFERROR(IF(H831&lt;&gt;"",H831,VLOOKUP($A831,[1]FINAL!$A$1:$BZ$1000,MATCH([1]FINAL!$BL$1,[1]FINAL!$A$1:$BZ$1,0),0)),0)</f>
        <v>0</v>
      </c>
      <c r="I831" s="5">
        <f>IFERROR(IF(J831&lt;&gt;"",J831,(IF(VLOOKUP($A831,#REF!,MATCH(#REF!,#REF!,0),0)=0,G831,VLOOKUP($A831,#REF!,MATCH(#REF!,#REF!,0),0)))),G831)</f>
        <v>0</v>
      </c>
      <c r="K831" s="6">
        <f>IFERROR(VLOOKUP($A831,#REF!,MATCH(#REF!,#REF!,0),0),0)</f>
        <v>0</v>
      </c>
      <c r="L831" s="6">
        <f>IFERROR(VLOOKUP($A831,[1]FINAL!$A$1:$BZ$1000,MATCH([1]FINAL!$BF$1,[1]FINAL!$A$1:$BZ$1,0),0),0)</f>
        <v>0</v>
      </c>
      <c r="M831" s="7">
        <f t="shared" si="62"/>
        <v>0</v>
      </c>
      <c r="N831" s="6">
        <f>IFERROR(VLOOKUP($A831,#REF!,MATCH(#REF!,#REF!,0),0),0)</f>
        <v>0</v>
      </c>
      <c r="O831" s="7">
        <f t="shared" si="63"/>
        <v>0</v>
      </c>
      <c r="P831" s="10" t="str">
        <f>IFERROR(VLOOKUP($A831,[1]FINAL!$A$1:$BZ$1000,MATCH([1]FINAL!$BB$1,[1]FINAL!$A$1:$BZ$1,0),0),"")</f>
        <v/>
      </c>
      <c r="Q831" s="18">
        <f t="shared" si="64"/>
        <v>1</v>
      </c>
    </row>
    <row r="832" spans="1:17" x14ac:dyDescent="0.25">
      <c r="A832" s="14">
        <f>[1]FINAL!$A830</f>
        <v>0</v>
      </c>
      <c r="B832" s="20" t="str">
        <f>IFERROR(VLOOKUP($A832,[1]FINAL!$A$1:$Z$1000,MATCH([1]FINAL!$T$1,[1]FINAL!$A$1:$Z$1,0),0),"")</f>
        <v/>
      </c>
      <c r="C832" s="3" t="str">
        <f>IFERROR(VLOOKUP($A832,[1]FINAL!$A$1:$Z$1000,MATCH([1]FINAL!$U$1,[1]FINAL!$A$1:$Z$1,0),0),"")</f>
        <v/>
      </c>
      <c r="D832" s="3" t="str">
        <f>IFERROR(VLOOKUP($A832,[1]FINAL!$A$1:$Z$1000,MATCH([1]FINAL!$V$1,[1]FINAL!$A$1:$Z$1,0),0),"")</f>
        <v/>
      </c>
      <c r="E832" s="6">
        <f t="shared" si="60"/>
        <v>0</v>
      </c>
      <c r="F832" s="5">
        <f t="shared" si="61"/>
        <v>0</v>
      </c>
      <c r="G832" s="5">
        <f>IFERROR(IF(H832&lt;&gt;"",H832,VLOOKUP($A832,[1]FINAL!$A$1:$BZ$1000,MATCH([1]FINAL!$BL$1,[1]FINAL!$A$1:$BZ$1,0),0)),0)</f>
        <v>0</v>
      </c>
      <c r="I832" s="5">
        <f>IFERROR(IF(J832&lt;&gt;"",J832,(IF(VLOOKUP($A832,#REF!,MATCH(#REF!,#REF!,0),0)=0,G832,VLOOKUP($A832,#REF!,MATCH(#REF!,#REF!,0),0)))),G832)</f>
        <v>0</v>
      </c>
      <c r="K832" s="6">
        <f>IFERROR(VLOOKUP($A832,#REF!,MATCH(#REF!,#REF!,0),0),0)</f>
        <v>0</v>
      </c>
      <c r="L832" s="6">
        <f>IFERROR(VLOOKUP($A832,[1]FINAL!$A$1:$BZ$1000,MATCH([1]FINAL!$BF$1,[1]FINAL!$A$1:$BZ$1,0),0),0)</f>
        <v>0</v>
      </c>
      <c r="M832" s="7">
        <f t="shared" si="62"/>
        <v>0</v>
      </c>
      <c r="N832" s="6">
        <f>IFERROR(VLOOKUP($A832,#REF!,MATCH(#REF!,#REF!,0),0),0)</f>
        <v>0</v>
      </c>
      <c r="O832" s="7">
        <f t="shared" si="63"/>
        <v>0</v>
      </c>
      <c r="P832" s="10" t="str">
        <f>IFERROR(VLOOKUP($A832,[1]FINAL!$A$1:$BZ$1000,MATCH([1]FINAL!$BB$1,[1]FINAL!$A$1:$BZ$1,0),0),"")</f>
        <v/>
      </c>
      <c r="Q832" s="18">
        <f t="shared" si="64"/>
        <v>1</v>
      </c>
    </row>
    <row r="833" spans="1:17" x14ac:dyDescent="0.25">
      <c r="A833" s="14">
        <f>[1]FINAL!$A831</f>
        <v>0</v>
      </c>
      <c r="B833" s="20" t="str">
        <f>IFERROR(VLOOKUP($A833,[1]FINAL!$A$1:$Z$1000,MATCH([1]FINAL!$T$1,[1]FINAL!$A$1:$Z$1,0),0),"")</f>
        <v/>
      </c>
      <c r="C833" s="3" t="str">
        <f>IFERROR(VLOOKUP($A833,[1]FINAL!$A$1:$Z$1000,MATCH([1]FINAL!$U$1,[1]FINAL!$A$1:$Z$1,0),0),"")</f>
        <v/>
      </c>
      <c r="D833" s="3" t="str">
        <f>IFERROR(VLOOKUP($A833,[1]FINAL!$A$1:$Z$1000,MATCH([1]FINAL!$V$1,[1]FINAL!$A$1:$Z$1,0),0),"")</f>
        <v/>
      </c>
      <c r="E833" s="6">
        <f t="shared" si="60"/>
        <v>0</v>
      </c>
      <c r="F833" s="5">
        <f t="shared" si="61"/>
        <v>0</v>
      </c>
      <c r="G833" s="5">
        <f>IFERROR(IF(H833&lt;&gt;"",H833,VLOOKUP($A833,[1]FINAL!$A$1:$BZ$1000,MATCH([1]FINAL!$BL$1,[1]FINAL!$A$1:$BZ$1,0),0)),0)</f>
        <v>0</v>
      </c>
      <c r="I833" s="5">
        <f>IFERROR(IF(J833&lt;&gt;"",J833,(IF(VLOOKUP($A833,#REF!,MATCH(#REF!,#REF!,0),0)=0,G833,VLOOKUP($A833,#REF!,MATCH(#REF!,#REF!,0),0)))),G833)</f>
        <v>0</v>
      </c>
      <c r="K833" s="6">
        <f>IFERROR(VLOOKUP($A833,#REF!,MATCH(#REF!,#REF!,0),0),0)</f>
        <v>0</v>
      </c>
      <c r="L833" s="6">
        <f>IFERROR(VLOOKUP($A833,[1]FINAL!$A$1:$BZ$1000,MATCH([1]FINAL!$BF$1,[1]FINAL!$A$1:$BZ$1,0),0),0)</f>
        <v>0</v>
      </c>
      <c r="M833" s="7">
        <f t="shared" si="62"/>
        <v>0</v>
      </c>
      <c r="N833" s="6">
        <f>IFERROR(VLOOKUP($A833,#REF!,MATCH(#REF!,#REF!,0),0),0)</f>
        <v>0</v>
      </c>
      <c r="O833" s="7">
        <f t="shared" si="63"/>
        <v>0</v>
      </c>
      <c r="P833" s="10" t="str">
        <f>IFERROR(VLOOKUP($A833,[1]FINAL!$A$1:$BZ$1000,MATCH([1]FINAL!$BB$1,[1]FINAL!$A$1:$BZ$1,0),0),"")</f>
        <v/>
      </c>
      <c r="Q833" s="18">
        <f t="shared" si="64"/>
        <v>1</v>
      </c>
    </row>
    <row r="834" spans="1:17" x14ac:dyDescent="0.25">
      <c r="A834" s="14">
        <f>[1]FINAL!$A832</f>
        <v>0</v>
      </c>
      <c r="B834" s="20" t="str">
        <f>IFERROR(VLOOKUP($A834,[1]FINAL!$A$1:$Z$1000,MATCH([1]FINAL!$T$1,[1]FINAL!$A$1:$Z$1,0),0),"")</f>
        <v/>
      </c>
      <c r="C834" s="3" t="str">
        <f>IFERROR(VLOOKUP($A834,[1]FINAL!$A$1:$Z$1000,MATCH([1]FINAL!$U$1,[1]FINAL!$A$1:$Z$1,0),0),"")</f>
        <v/>
      </c>
      <c r="D834" s="3" t="str">
        <f>IFERROR(VLOOKUP($A834,[1]FINAL!$A$1:$Z$1000,MATCH([1]FINAL!$V$1,[1]FINAL!$A$1:$Z$1,0),0),"")</f>
        <v/>
      </c>
      <c r="E834" s="6">
        <f t="shared" ref="E834:E897" si="65">IF($Q$1="ON",((G834*100000)+(I834*100000)+(M834*10000)+(O834*10000)+(K834*10))*Q834,((G834*100000)+(I834*100000)+(M834*10000)+(O834*10000)+(K834*10)))</f>
        <v>0</v>
      </c>
      <c r="F834" s="5">
        <f t="shared" ref="F834:F897" si="66">IFERROR(IF($Q$1="ON",((G834*$W$1)+(I834*$U$1))*Q834,((G834*$W$1)+(I834*$U$1))),0)</f>
        <v>0</v>
      </c>
      <c r="G834" s="5">
        <f>IFERROR(IF(H834&lt;&gt;"",H834,VLOOKUP($A834,[1]FINAL!$A$1:$BZ$1000,MATCH([1]FINAL!$BL$1,[1]FINAL!$A$1:$BZ$1,0),0)),0)</f>
        <v>0</v>
      </c>
      <c r="I834" s="5">
        <f>IFERROR(IF(J834&lt;&gt;"",J834,(IF(VLOOKUP($A834,#REF!,MATCH(#REF!,#REF!,0),0)=0,G834,VLOOKUP($A834,#REF!,MATCH(#REF!,#REF!,0),0)))),G834)</f>
        <v>0</v>
      </c>
      <c r="K834" s="6">
        <f>IFERROR(VLOOKUP($A834,#REF!,MATCH(#REF!,#REF!,0),0),0)</f>
        <v>0</v>
      </c>
      <c r="L834" s="6">
        <f>IFERROR(VLOOKUP($A834,[1]FINAL!$A$1:$BZ$1000,MATCH([1]FINAL!$BF$1,[1]FINAL!$A$1:$BZ$1,0),0),0)</f>
        <v>0</v>
      </c>
      <c r="M834" s="7">
        <f t="shared" ref="M834:M897" si="67">L834/90</f>
        <v>0</v>
      </c>
      <c r="N834" s="6">
        <f>IFERROR(VLOOKUP($A834,#REF!,MATCH(#REF!,#REF!,0),0),0)</f>
        <v>0</v>
      </c>
      <c r="O834" s="7">
        <f t="shared" ref="O834:O897" si="68">N834/90</f>
        <v>0</v>
      </c>
      <c r="P834" s="10" t="str">
        <f>IFERROR(VLOOKUP($A834,[1]FINAL!$A$1:$BZ$1000,MATCH([1]FINAL!$BB$1,[1]FINAL!$A$1:$BZ$1,0),0),"")</f>
        <v/>
      </c>
      <c r="Q834" s="18">
        <f t="shared" ref="Q834:Q897" si="69">IF(P834="",1,IF(P834=0,0.0001,P834/100))</f>
        <v>1</v>
      </c>
    </row>
    <row r="835" spans="1:17" x14ac:dyDescent="0.25">
      <c r="A835" s="14">
        <f>[1]FINAL!$A833</f>
        <v>0</v>
      </c>
      <c r="B835" s="20" t="str">
        <f>IFERROR(VLOOKUP($A835,[1]FINAL!$A$1:$Z$1000,MATCH([1]FINAL!$T$1,[1]FINAL!$A$1:$Z$1,0),0),"")</f>
        <v/>
      </c>
      <c r="C835" s="3" t="str">
        <f>IFERROR(VLOOKUP($A835,[1]FINAL!$A$1:$Z$1000,MATCH([1]FINAL!$U$1,[1]FINAL!$A$1:$Z$1,0),0),"")</f>
        <v/>
      </c>
      <c r="D835" s="3" t="str">
        <f>IFERROR(VLOOKUP($A835,[1]FINAL!$A$1:$Z$1000,MATCH([1]FINAL!$V$1,[1]FINAL!$A$1:$Z$1,0),0),"")</f>
        <v/>
      </c>
      <c r="E835" s="6">
        <f t="shared" si="65"/>
        <v>0</v>
      </c>
      <c r="F835" s="5">
        <f t="shared" si="66"/>
        <v>0</v>
      </c>
      <c r="G835" s="5">
        <f>IFERROR(IF(H835&lt;&gt;"",H835,VLOOKUP($A835,[1]FINAL!$A$1:$BZ$1000,MATCH([1]FINAL!$BL$1,[1]FINAL!$A$1:$BZ$1,0),0)),0)</f>
        <v>0</v>
      </c>
      <c r="I835" s="5">
        <f>IFERROR(IF(J835&lt;&gt;"",J835,(IF(VLOOKUP($A835,#REF!,MATCH(#REF!,#REF!,0),0)=0,G835,VLOOKUP($A835,#REF!,MATCH(#REF!,#REF!,0),0)))),G835)</f>
        <v>0</v>
      </c>
      <c r="K835" s="6">
        <f>IFERROR(VLOOKUP($A835,#REF!,MATCH(#REF!,#REF!,0),0),0)</f>
        <v>0</v>
      </c>
      <c r="L835" s="6">
        <f>IFERROR(VLOOKUP($A835,[1]FINAL!$A$1:$BZ$1000,MATCH([1]FINAL!$BF$1,[1]FINAL!$A$1:$BZ$1,0),0),0)</f>
        <v>0</v>
      </c>
      <c r="M835" s="7">
        <f t="shared" si="67"/>
        <v>0</v>
      </c>
      <c r="N835" s="6">
        <f>IFERROR(VLOOKUP($A835,#REF!,MATCH(#REF!,#REF!,0),0),0)</f>
        <v>0</v>
      </c>
      <c r="O835" s="7">
        <f t="shared" si="68"/>
        <v>0</v>
      </c>
      <c r="P835" s="10" t="str">
        <f>IFERROR(VLOOKUP($A835,[1]FINAL!$A$1:$BZ$1000,MATCH([1]FINAL!$BB$1,[1]FINAL!$A$1:$BZ$1,0),0),"")</f>
        <v/>
      </c>
      <c r="Q835" s="18">
        <f t="shared" si="69"/>
        <v>1</v>
      </c>
    </row>
    <row r="836" spans="1:17" x14ac:dyDescent="0.25">
      <c r="A836" s="14">
        <f>[1]FINAL!$A834</f>
        <v>0</v>
      </c>
      <c r="B836" s="20" t="str">
        <f>IFERROR(VLOOKUP($A836,[1]FINAL!$A$1:$Z$1000,MATCH([1]FINAL!$T$1,[1]FINAL!$A$1:$Z$1,0),0),"")</f>
        <v/>
      </c>
      <c r="C836" s="3" t="str">
        <f>IFERROR(VLOOKUP($A836,[1]FINAL!$A$1:$Z$1000,MATCH([1]FINAL!$U$1,[1]FINAL!$A$1:$Z$1,0),0),"")</f>
        <v/>
      </c>
      <c r="D836" s="3" t="str">
        <f>IFERROR(VLOOKUP($A836,[1]FINAL!$A$1:$Z$1000,MATCH([1]FINAL!$V$1,[1]FINAL!$A$1:$Z$1,0),0),"")</f>
        <v/>
      </c>
      <c r="E836" s="6">
        <f t="shared" si="65"/>
        <v>0</v>
      </c>
      <c r="F836" s="5">
        <f t="shared" si="66"/>
        <v>0</v>
      </c>
      <c r="G836" s="5">
        <f>IFERROR(IF(H836&lt;&gt;"",H836,VLOOKUP($A836,[1]FINAL!$A$1:$BZ$1000,MATCH([1]FINAL!$BL$1,[1]FINAL!$A$1:$BZ$1,0),0)),0)</f>
        <v>0</v>
      </c>
      <c r="I836" s="5">
        <f>IFERROR(IF(J836&lt;&gt;"",J836,(IF(VLOOKUP($A836,#REF!,MATCH(#REF!,#REF!,0),0)=0,G836,VLOOKUP($A836,#REF!,MATCH(#REF!,#REF!,0),0)))),G836)</f>
        <v>0</v>
      </c>
      <c r="K836" s="6">
        <f>IFERROR(VLOOKUP($A836,#REF!,MATCH(#REF!,#REF!,0),0),0)</f>
        <v>0</v>
      </c>
      <c r="L836" s="6">
        <f>IFERROR(VLOOKUP($A836,[1]FINAL!$A$1:$BZ$1000,MATCH([1]FINAL!$BF$1,[1]FINAL!$A$1:$BZ$1,0),0),0)</f>
        <v>0</v>
      </c>
      <c r="M836" s="7">
        <f t="shared" si="67"/>
        <v>0</v>
      </c>
      <c r="N836" s="6">
        <f>IFERROR(VLOOKUP($A836,#REF!,MATCH(#REF!,#REF!,0),0),0)</f>
        <v>0</v>
      </c>
      <c r="O836" s="7">
        <f t="shared" si="68"/>
        <v>0</v>
      </c>
      <c r="P836" s="10" t="str">
        <f>IFERROR(VLOOKUP($A836,[1]FINAL!$A$1:$BZ$1000,MATCH([1]FINAL!$BB$1,[1]FINAL!$A$1:$BZ$1,0),0),"")</f>
        <v/>
      </c>
      <c r="Q836" s="18">
        <f t="shared" si="69"/>
        <v>1</v>
      </c>
    </row>
    <row r="837" spans="1:17" x14ac:dyDescent="0.25">
      <c r="A837" s="14">
        <f>[1]FINAL!$A835</f>
        <v>0</v>
      </c>
      <c r="B837" s="20" t="str">
        <f>IFERROR(VLOOKUP($A837,[1]FINAL!$A$1:$Z$1000,MATCH([1]FINAL!$T$1,[1]FINAL!$A$1:$Z$1,0),0),"")</f>
        <v/>
      </c>
      <c r="C837" s="3" t="str">
        <f>IFERROR(VLOOKUP($A837,[1]FINAL!$A$1:$Z$1000,MATCH([1]FINAL!$U$1,[1]FINAL!$A$1:$Z$1,0),0),"")</f>
        <v/>
      </c>
      <c r="D837" s="3" t="str">
        <f>IFERROR(VLOOKUP($A837,[1]FINAL!$A$1:$Z$1000,MATCH([1]FINAL!$V$1,[1]FINAL!$A$1:$Z$1,0),0),"")</f>
        <v/>
      </c>
      <c r="E837" s="6">
        <f t="shared" si="65"/>
        <v>0</v>
      </c>
      <c r="F837" s="5">
        <f t="shared" si="66"/>
        <v>0</v>
      </c>
      <c r="G837" s="5">
        <f>IFERROR(IF(H837&lt;&gt;"",H837,VLOOKUP($A837,[1]FINAL!$A$1:$BZ$1000,MATCH([1]FINAL!$BL$1,[1]FINAL!$A$1:$BZ$1,0),0)),0)</f>
        <v>0</v>
      </c>
      <c r="I837" s="5">
        <f>IFERROR(IF(J837&lt;&gt;"",J837,(IF(VLOOKUP($A837,#REF!,MATCH(#REF!,#REF!,0),0)=0,G837,VLOOKUP($A837,#REF!,MATCH(#REF!,#REF!,0),0)))),G837)</f>
        <v>0</v>
      </c>
      <c r="K837" s="6">
        <f>IFERROR(VLOOKUP($A837,#REF!,MATCH(#REF!,#REF!,0),0),0)</f>
        <v>0</v>
      </c>
      <c r="L837" s="6">
        <f>IFERROR(VLOOKUP($A837,[1]FINAL!$A$1:$BZ$1000,MATCH([1]FINAL!$BF$1,[1]FINAL!$A$1:$BZ$1,0),0),0)</f>
        <v>0</v>
      </c>
      <c r="M837" s="7">
        <f t="shared" si="67"/>
        <v>0</v>
      </c>
      <c r="N837" s="6">
        <f>IFERROR(VLOOKUP($A837,#REF!,MATCH(#REF!,#REF!,0),0),0)</f>
        <v>0</v>
      </c>
      <c r="O837" s="7">
        <f t="shared" si="68"/>
        <v>0</v>
      </c>
      <c r="P837" s="10" t="str">
        <f>IFERROR(VLOOKUP($A837,[1]FINAL!$A$1:$BZ$1000,MATCH([1]FINAL!$BB$1,[1]FINAL!$A$1:$BZ$1,0),0),"")</f>
        <v/>
      </c>
      <c r="Q837" s="18">
        <f t="shared" si="69"/>
        <v>1</v>
      </c>
    </row>
    <row r="838" spans="1:17" x14ac:dyDescent="0.25">
      <c r="A838" s="14">
        <f>[1]FINAL!$A836</f>
        <v>0</v>
      </c>
      <c r="B838" s="20" t="str">
        <f>IFERROR(VLOOKUP($A838,[1]FINAL!$A$1:$Z$1000,MATCH([1]FINAL!$T$1,[1]FINAL!$A$1:$Z$1,0),0),"")</f>
        <v/>
      </c>
      <c r="C838" s="3" t="str">
        <f>IFERROR(VLOOKUP($A838,[1]FINAL!$A$1:$Z$1000,MATCH([1]FINAL!$U$1,[1]FINAL!$A$1:$Z$1,0),0),"")</f>
        <v/>
      </c>
      <c r="D838" s="3" t="str">
        <f>IFERROR(VLOOKUP($A838,[1]FINAL!$A$1:$Z$1000,MATCH([1]FINAL!$V$1,[1]FINAL!$A$1:$Z$1,0),0),"")</f>
        <v/>
      </c>
      <c r="E838" s="6">
        <f t="shared" si="65"/>
        <v>0</v>
      </c>
      <c r="F838" s="5">
        <f t="shared" si="66"/>
        <v>0</v>
      </c>
      <c r="G838" s="5">
        <f>IFERROR(IF(H838&lt;&gt;"",H838,VLOOKUP($A838,[1]FINAL!$A$1:$BZ$1000,MATCH([1]FINAL!$BL$1,[1]FINAL!$A$1:$BZ$1,0),0)),0)</f>
        <v>0</v>
      </c>
      <c r="I838" s="5">
        <f>IFERROR(IF(J838&lt;&gt;"",J838,(IF(VLOOKUP($A838,#REF!,MATCH(#REF!,#REF!,0),0)=0,G838,VLOOKUP($A838,#REF!,MATCH(#REF!,#REF!,0),0)))),G838)</f>
        <v>0</v>
      </c>
      <c r="K838" s="6">
        <f>IFERROR(VLOOKUP($A838,#REF!,MATCH(#REF!,#REF!,0),0),0)</f>
        <v>0</v>
      </c>
      <c r="L838" s="6">
        <f>IFERROR(VLOOKUP($A838,[1]FINAL!$A$1:$BZ$1000,MATCH([1]FINAL!$BF$1,[1]FINAL!$A$1:$BZ$1,0),0),0)</f>
        <v>0</v>
      </c>
      <c r="M838" s="7">
        <f t="shared" si="67"/>
        <v>0</v>
      </c>
      <c r="N838" s="6">
        <f>IFERROR(VLOOKUP($A838,#REF!,MATCH(#REF!,#REF!,0),0),0)</f>
        <v>0</v>
      </c>
      <c r="O838" s="7">
        <f t="shared" si="68"/>
        <v>0</v>
      </c>
      <c r="P838" s="10" t="str">
        <f>IFERROR(VLOOKUP($A838,[1]FINAL!$A$1:$BZ$1000,MATCH([1]FINAL!$BB$1,[1]FINAL!$A$1:$BZ$1,0),0),"")</f>
        <v/>
      </c>
      <c r="Q838" s="18">
        <f t="shared" si="69"/>
        <v>1</v>
      </c>
    </row>
    <row r="839" spans="1:17" x14ac:dyDescent="0.25">
      <c r="A839" s="14">
        <f>[1]FINAL!$A837</f>
        <v>0</v>
      </c>
      <c r="B839" s="20" t="str">
        <f>IFERROR(VLOOKUP($A839,[1]FINAL!$A$1:$Z$1000,MATCH([1]FINAL!$T$1,[1]FINAL!$A$1:$Z$1,0),0),"")</f>
        <v/>
      </c>
      <c r="C839" s="3" t="str">
        <f>IFERROR(VLOOKUP($A839,[1]FINAL!$A$1:$Z$1000,MATCH([1]FINAL!$U$1,[1]FINAL!$A$1:$Z$1,0),0),"")</f>
        <v/>
      </c>
      <c r="D839" s="3" t="str">
        <f>IFERROR(VLOOKUP($A839,[1]FINAL!$A$1:$Z$1000,MATCH([1]FINAL!$V$1,[1]FINAL!$A$1:$Z$1,0),0),"")</f>
        <v/>
      </c>
      <c r="E839" s="6">
        <f t="shared" si="65"/>
        <v>0</v>
      </c>
      <c r="F839" s="5">
        <f t="shared" si="66"/>
        <v>0</v>
      </c>
      <c r="G839" s="5">
        <f>IFERROR(IF(H839&lt;&gt;"",H839,VLOOKUP($A839,[1]FINAL!$A$1:$BZ$1000,MATCH([1]FINAL!$BL$1,[1]FINAL!$A$1:$BZ$1,0),0)),0)</f>
        <v>0</v>
      </c>
      <c r="I839" s="5">
        <f>IFERROR(IF(J839&lt;&gt;"",J839,(IF(VLOOKUP($A839,#REF!,MATCH(#REF!,#REF!,0),0)=0,G839,VLOOKUP($A839,#REF!,MATCH(#REF!,#REF!,0),0)))),G839)</f>
        <v>0</v>
      </c>
      <c r="K839" s="6">
        <f>IFERROR(VLOOKUP($A839,#REF!,MATCH(#REF!,#REF!,0),0),0)</f>
        <v>0</v>
      </c>
      <c r="L839" s="6">
        <f>IFERROR(VLOOKUP($A839,[1]FINAL!$A$1:$BZ$1000,MATCH([1]FINAL!$BF$1,[1]FINAL!$A$1:$BZ$1,0),0),0)</f>
        <v>0</v>
      </c>
      <c r="M839" s="7">
        <f t="shared" si="67"/>
        <v>0</v>
      </c>
      <c r="N839" s="6">
        <f>IFERROR(VLOOKUP($A839,#REF!,MATCH(#REF!,#REF!,0),0),0)</f>
        <v>0</v>
      </c>
      <c r="O839" s="7">
        <f t="shared" si="68"/>
        <v>0</v>
      </c>
      <c r="P839" s="10" t="str">
        <f>IFERROR(VLOOKUP($A839,[1]FINAL!$A$1:$BZ$1000,MATCH([1]FINAL!$BB$1,[1]FINAL!$A$1:$BZ$1,0),0),"")</f>
        <v/>
      </c>
      <c r="Q839" s="18">
        <f t="shared" si="69"/>
        <v>1</v>
      </c>
    </row>
    <row r="840" spans="1:17" x14ac:dyDescent="0.25">
      <c r="A840" s="14">
        <f>[1]FINAL!$A838</f>
        <v>0</v>
      </c>
      <c r="B840" s="20" t="str">
        <f>IFERROR(VLOOKUP($A840,[1]FINAL!$A$1:$Z$1000,MATCH([1]FINAL!$T$1,[1]FINAL!$A$1:$Z$1,0),0),"")</f>
        <v/>
      </c>
      <c r="C840" s="3" t="str">
        <f>IFERROR(VLOOKUP($A840,[1]FINAL!$A$1:$Z$1000,MATCH([1]FINAL!$U$1,[1]FINAL!$A$1:$Z$1,0),0),"")</f>
        <v/>
      </c>
      <c r="D840" s="3" t="str">
        <f>IFERROR(VLOOKUP($A840,[1]FINAL!$A$1:$Z$1000,MATCH([1]FINAL!$V$1,[1]FINAL!$A$1:$Z$1,0),0),"")</f>
        <v/>
      </c>
      <c r="E840" s="6">
        <f t="shared" si="65"/>
        <v>0</v>
      </c>
      <c r="F840" s="5">
        <f t="shared" si="66"/>
        <v>0</v>
      </c>
      <c r="G840" s="5">
        <f>IFERROR(IF(H840&lt;&gt;"",H840,VLOOKUP($A840,[1]FINAL!$A$1:$BZ$1000,MATCH([1]FINAL!$BL$1,[1]FINAL!$A$1:$BZ$1,0),0)),0)</f>
        <v>0</v>
      </c>
      <c r="I840" s="5">
        <f>IFERROR(IF(J840&lt;&gt;"",J840,(IF(VLOOKUP($A840,#REF!,MATCH(#REF!,#REF!,0),0)=0,G840,VLOOKUP($A840,#REF!,MATCH(#REF!,#REF!,0),0)))),G840)</f>
        <v>0</v>
      </c>
      <c r="K840" s="6">
        <f>IFERROR(VLOOKUP($A840,#REF!,MATCH(#REF!,#REF!,0),0),0)</f>
        <v>0</v>
      </c>
      <c r="L840" s="6">
        <f>IFERROR(VLOOKUP($A840,[1]FINAL!$A$1:$BZ$1000,MATCH([1]FINAL!$BF$1,[1]FINAL!$A$1:$BZ$1,0),0),0)</f>
        <v>0</v>
      </c>
      <c r="M840" s="7">
        <f t="shared" si="67"/>
        <v>0</v>
      </c>
      <c r="N840" s="6">
        <f>IFERROR(VLOOKUP($A840,#REF!,MATCH(#REF!,#REF!,0),0),0)</f>
        <v>0</v>
      </c>
      <c r="O840" s="7">
        <f t="shared" si="68"/>
        <v>0</v>
      </c>
      <c r="P840" s="10" t="str">
        <f>IFERROR(VLOOKUP($A840,[1]FINAL!$A$1:$BZ$1000,MATCH([1]FINAL!$BB$1,[1]FINAL!$A$1:$BZ$1,0),0),"")</f>
        <v/>
      </c>
      <c r="Q840" s="18">
        <f t="shared" si="69"/>
        <v>1</v>
      </c>
    </row>
    <row r="841" spans="1:17" x14ac:dyDescent="0.25">
      <c r="A841" s="14">
        <f>[1]FINAL!$A839</f>
        <v>0</v>
      </c>
      <c r="B841" s="20" t="str">
        <f>IFERROR(VLOOKUP($A841,[1]FINAL!$A$1:$Z$1000,MATCH([1]FINAL!$T$1,[1]FINAL!$A$1:$Z$1,0),0),"")</f>
        <v/>
      </c>
      <c r="C841" s="3" t="str">
        <f>IFERROR(VLOOKUP($A841,[1]FINAL!$A$1:$Z$1000,MATCH([1]FINAL!$U$1,[1]FINAL!$A$1:$Z$1,0),0),"")</f>
        <v/>
      </c>
      <c r="D841" s="3" t="str">
        <f>IFERROR(VLOOKUP($A841,[1]FINAL!$A$1:$Z$1000,MATCH([1]FINAL!$V$1,[1]FINAL!$A$1:$Z$1,0),0),"")</f>
        <v/>
      </c>
      <c r="E841" s="6">
        <f t="shared" si="65"/>
        <v>0</v>
      </c>
      <c r="F841" s="5">
        <f t="shared" si="66"/>
        <v>0</v>
      </c>
      <c r="G841" s="5">
        <f>IFERROR(IF(H841&lt;&gt;"",H841,VLOOKUP($A841,[1]FINAL!$A$1:$BZ$1000,MATCH([1]FINAL!$BL$1,[1]FINAL!$A$1:$BZ$1,0),0)),0)</f>
        <v>0</v>
      </c>
      <c r="I841" s="5">
        <f>IFERROR(IF(J841&lt;&gt;"",J841,(IF(VLOOKUP($A841,#REF!,MATCH(#REF!,#REF!,0),0)=0,G841,VLOOKUP($A841,#REF!,MATCH(#REF!,#REF!,0),0)))),G841)</f>
        <v>0</v>
      </c>
      <c r="K841" s="6">
        <f>IFERROR(VLOOKUP($A841,#REF!,MATCH(#REF!,#REF!,0),0),0)</f>
        <v>0</v>
      </c>
      <c r="L841" s="6">
        <f>IFERROR(VLOOKUP($A841,[1]FINAL!$A$1:$BZ$1000,MATCH([1]FINAL!$BF$1,[1]FINAL!$A$1:$BZ$1,0),0),0)</f>
        <v>0</v>
      </c>
      <c r="M841" s="7">
        <f t="shared" si="67"/>
        <v>0</v>
      </c>
      <c r="N841" s="6">
        <f>IFERROR(VLOOKUP($A841,#REF!,MATCH(#REF!,#REF!,0),0),0)</f>
        <v>0</v>
      </c>
      <c r="O841" s="7">
        <f t="shared" si="68"/>
        <v>0</v>
      </c>
      <c r="P841" s="10" t="str">
        <f>IFERROR(VLOOKUP($A841,[1]FINAL!$A$1:$BZ$1000,MATCH([1]FINAL!$BB$1,[1]FINAL!$A$1:$BZ$1,0),0),"")</f>
        <v/>
      </c>
      <c r="Q841" s="18">
        <f t="shared" si="69"/>
        <v>1</v>
      </c>
    </row>
    <row r="842" spans="1:17" x14ac:dyDescent="0.25">
      <c r="A842" s="14">
        <f>[1]FINAL!$A840</f>
        <v>0</v>
      </c>
      <c r="B842" s="20" t="str">
        <f>IFERROR(VLOOKUP($A842,[1]FINAL!$A$1:$Z$1000,MATCH([1]FINAL!$T$1,[1]FINAL!$A$1:$Z$1,0),0),"")</f>
        <v/>
      </c>
      <c r="C842" s="3" t="str">
        <f>IFERROR(VLOOKUP($A842,[1]FINAL!$A$1:$Z$1000,MATCH([1]FINAL!$U$1,[1]FINAL!$A$1:$Z$1,0),0),"")</f>
        <v/>
      </c>
      <c r="D842" s="3" t="str">
        <f>IFERROR(VLOOKUP($A842,[1]FINAL!$A$1:$Z$1000,MATCH([1]FINAL!$V$1,[1]FINAL!$A$1:$Z$1,0),0),"")</f>
        <v/>
      </c>
      <c r="E842" s="6">
        <f t="shared" si="65"/>
        <v>0</v>
      </c>
      <c r="F842" s="5">
        <f t="shared" si="66"/>
        <v>0</v>
      </c>
      <c r="G842" s="5">
        <f>IFERROR(IF(H842&lt;&gt;"",H842,VLOOKUP($A842,[1]FINAL!$A$1:$BZ$1000,MATCH([1]FINAL!$BL$1,[1]FINAL!$A$1:$BZ$1,0),0)),0)</f>
        <v>0</v>
      </c>
      <c r="I842" s="5">
        <f>IFERROR(IF(J842&lt;&gt;"",J842,(IF(VLOOKUP($A842,#REF!,MATCH(#REF!,#REF!,0),0)=0,G842,VLOOKUP($A842,#REF!,MATCH(#REF!,#REF!,0),0)))),G842)</f>
        <v>0</v>
      </c>
      <c r="K842" s="6">
        <f>IFERROR(VLOOKUP($A842,#REF!,MATCH(#REF!,#REF!,0),0),0)</f>
        <v>0</v>
      </c>
      <c r="L842" s="6">
        <f>IFERROR(VLOOKUP($A842,[1]FINAL!$A$1:$BZ$1000,MATCH([1]FINAL!$BF$1,[1]FINAL!$A$1:$BZ$1,0),0),0)</f>
        <v>0</v>
      </c>
      <c r="M842" s="7">
        <f t="shared" si="67"/>
        <v>0</v>
      </c>
      <c r="N842" s="6">
        <f>IFERROR(VLOOKUP($A842,#REF!,MATCH(#REF!,#REF!,0),0),0)</f>
        <v>0</v>
      </c>
      <c r="O842" s="7">
        <f t="shared" si="68"/>
        <v>0</v>
      </c>
      <c r="P842" s="10" t="str">
        <f>IFERROR(VLOOKUP($A842,[1]FINAL!$A$1:$BZ$1000,MATCH([1]FINAL!$BB$1,[1]FINAL!$A$1:$BZ$1,0),0),"")</f>
        <v/>
      </c>
      <c r="Q842" s="18">
        <f t="shared" si="69"/>
        <v>1</v>
      </c>
    </row>
    <row r="843" spans="1:17" x14ac:dyDescent="0.25">
      <c r="A843" s="14">
        <f>[1]FINAL!$A841</f>
        <v>0</v>
      </c>
      <c r="B843" s="20" t="str">
        <f>IFERROR(VLOOKUP($A843,[1]FINAL!$A$1:$Z$1000,MATCH([1]FINAL!$T$1,[1]FINAL!$A$1:$Z$1,0),0),"")</f>
        <v/>
      </c>
      <c r="C843" s="3" t="str">
        <f>IFERROR(VLOOKUP($A843,[1]FINAL!$A$1:$Z$1000,MATCH([1]FINAL!$U$1,[1]FINAL!$A$1:$Z$1,0),0),"")</f>
        <v/>
      </c>
      <c r="D843" s="3" t="str">
        <f>IFERROR(VLOOKUP($A843,[1]FINAL!$A$1:$Z$1000,MATCH([1]FINAL!$V$1,[1]FINAL!$A$1:$Z$1,0),0),"")</f>
        <v/>
      </c>
      <c r="E843" s="6">
        <f t="shared" si="65"/>
        <v>0</v>
      </c>
      <c r="F843" s="5">
        <f t="shared" si="66"/>
        <v>0</v>
      </c>
      <c r="G843" s="5">
        <f>IFERROR(IF(H843&lt;&gt;"",H843,VLOOKUP($A843,[1]FINAL!$A$1:$BZ$1000,MATCH([1]FINAL!$BL$1,[1]FINAL!$A$1:$BZ$1,0),0)),0)</f>
        <v>0</v>
      </c>
      <c r="I843" s="5">
        <f>IFERROR(IF(J843&lt;&gt;"",J843,(IF(VLOOKUP($A843,#REF!,MATCH(#REF!,#REF!,0),0)=0,G843,VLOOKUP($A843,#REF!,MATCH(#REF!,#REF!,0),0)))),G843)</f>
        <v>0</v>
      </c>
      <c r="K843" s="6">
        <f>IFERROR(VLOOKUP($A843,#REF!,MATCH(#REF!,#REF!,0),0),0)</f>
        <v>0</v>
      </c>
      <c r="L843" s="6">
        <f>IFERROR(VLOOKUP($A843,[1]FINAL!$A$1:$BZ$1000,MATCH([1]FINAL!$BF$1,[1]FINAL!$A$1:$BZ$1,0),0),0)</f>
        <v>0</v>
      </c>
      <c r="M843" s="7">
        <f t="shared" si="67"/>
        <v>0</v>
      </c>
      <c r="N843" s="6">
        <f>IFERROR(VLOOKUP($A843,#REF!,MATCH(#REF!,#REF!,0),0),0)</f>
        <v>0</v>
      </c>
      <c r="O843" s="7">
        <f t="shared" si="68"/>
        <v>0</v>
      </c>
      <c r="P843" s="10" t="str">
        <f>IFERROR(VLOOKUP($A843,[1]FINAL!$A$1:$BZ$1000,MATCH([1]FINAL!$BB$1,[1]FINAL!$A$1:$BZ$1,0),0),"")</f>
        <v/>
      </c>
      <c r="Q843" s="18">
        <f t="shared" si="69"/>
        <v>1</v>
      </c>
    </row>
    <row r="844" spans="1:17" x14ac:dyDescent="0.25">
      <c r="A844" s="14">
        <f>[1]FINAL!$A842</f>
        <v>0</v>
      </c>
      <c r="B844" s="20" t="str">
        <f>IFERROR(VLOOKUP($A844,[1]FINAL!$A$1:$Z$1000,MATCH([1]FINAL!$T$1,[1]FINAL!$A$1:$Z$1,0),0),"")</f>
        <v/>
      </c>
      <c r="C844" s="3" t="str">
        <f>IFERROR(VLOOKUP($A844,[1]FINAL!$A$1:$Z$1000,MATCH([1]FINAL!$U$1,[1]FINAL!$A$1:$Z$1,0),0),"")</f>
        <v/>
      </c>
      <c r="D844" s="3" t="str">
        <f>IFERROR(VLOOKUP($A844,[1]FINAL!$A$1:$Z$1000,MATCH([1]FINAL!$V$1,[1]FINAL!$A$1:$Z$1,0),0),"")</f>
        <v/>
      </c>
      <c r="E844" s="6">
        <f t="shared" si="65"/>
        <v>0</v>
      </c>
      <c r="F844" s="5">
        <f t="shared" si="66"/>
        <v>0</v>
      </c>
      <c r="G844" s="5">
        <f>IFERROR(IF(H844&lt;&gt;"",H844,VLOOKUP($A844,[1]FINAL!$A$1:$BZ$1000,MATCH([1]FINAL!$BL$1,[1]FINAL!$A$1:$BZ$1,0),0)),0)</f>
        <v>0</v>
      </c>
      <c r="I844" s="5">
        <f>IFERROR(IF(J844&lt;&gt;"",J844,(IF(VLOOKUP($A844,#REF!,MATCH(#REF!,#REF!,0),0)=0,G844,VLOOKUP($A844,#REF!,MATCH(#REF!,#REF!,0),0)))),G844)</f>
        <v>0</v>
      </c>
      <c r="K844" s="6">
        <f>IFERROR(VLOOKUP($A844,#REF!,MATCH(#REF!,#REF!,0),0),0)</f>
        <v>0</v>
      </c>
      <c r="L844" s="6">
        <f>IFERROR(VLOOKUP($A844,[1]FINAL!$A$1:$BZ$1000,MATCH([1]FINAL!$BF$1,[1]FINAL!$A$1:$BZ$1,0),0),0)</f>
        <v>0</v>
      </c>
      <c r="M844" s="7">
        <f t="shared" si="67"/>
        <v>0</v>
      </c>
      <c r="N844" s="6">
        <f>IFERROR(VLOOKUP($A844,#REF!,MATCH(#REF!,#REF!,0),0),0)</f>
        <v>0</v>
      </c>
      <c r="O844" s="7">
        <f t="shared" si="68"/>
        <v>0</v>
      </c>
      <c r="P844" s="10" t="str">
        <f>IFERROR(VLOOKUP($A844,[1]FINAL!$A$1:$BZ$1000,MATCH([1]FINAL!$BB$1,[1]FINAL!$A$1:$BZ$1,0),0),"")</f>
        <v/>
      </c>
      <c r="Q844" s="18">
        <f t="shared" si="69"/>
        <v>1</v>
      </c>
    </row>
    <row r="845" spans="1:17" x14ac:dyDescent="0.25">
      <c r="A845" s="14">
        <f>[1]FINAL!$A843</f>
        <v>0</v>
      </c>
      <c r="B845" s="20" t="str">
        <f>IFERROR(VLOOKUP($A845,[1]FINAL!$A$1:$Z$1000,MATCH([1]FINAL!$T$1,[1]FINAL!$A$1:$Z$1,0),0),"")</f>
        <v/>
      </c>
      <c r="C845" s="3" t="str">
        <f>IFERROR(VLOOKUP($A845,[1]FINAL!$A$1:$Z$1000,MATCH([1]FINAL!$U$1,[1]FINAL!$A$1:$Z$1,0),0),"")</f>
        <v/>
      </c>
      <c r="D845" s="3" t="str">
        <f>IFERROR(VLOOKUP($A845,[1]FINAL!$A$1:$Z$1000,MATCH([1]FINAL!$V$1,[1]FINAL!$A$1:$Z$1,0),0),"")</f>
        <v/>
      </c>
      <c r="E845" s="6">
        <f t="shared" si="65"/>
        <v>0</v>
      </c>
      <c r="F845" s="5">
        <f t="shared" si="66"/>
        <v>0</v>
      </c>
      <c r="G845" s="5">
        <f>IFERROR(IF(H845&lt;&gt;"",H845,VLOOKUP($A845,[1]FINAL!$A$1:$BZ$1000,MATCH([1]FINAL!$BL$1,[1]FINAL!$A$1:$BZ$1,0),0)),0)</f>
        <v>0</v>
      </c>
      <c r="I845" s="5">
        <f>IFERROR(IF(J845&lt;&gt;"",J845,(IF(VLOOKUP($A845,#REF!,MATCH(#REF!,#REF!,0),0)=0,G845,VLOOKUP($A845,#REF!,MATCH(#REF!,#REF!,0),0)))),G845)</f>
        <v>0</v>
      </c>
      <c r="K845" s="6">
        <f>IFERROR(VLOOKUP($A845,#REF!,MATCH(#REF!,#REF!,0),0),0)</f>
        <v>0</v>
      </c>
      <c r="L845" s="6">
        <f>IFERROR(VLOOKUP($A845,[1]FINAL!$A$1:$BZ$1000,MATCH([1]FINAL!$BF$1,[1]FINAL!$A$1:$BZ$1,0),0),0)</f>
        <v>0</v>
      </c>
      <c r="M845" s="7">
        <f t="shared" si="67"/>
        <v>0</v>
      </c>
      <c r="N845" s="6">
        <f>IFERROR(VLOOKUP($A845,#REF!,MATCH(#REF!,#REF!,0),0),0)</f>
        <v>0</v>
      </c>
      <c r="O845" s="7">
        <f t="shared" si="68"/>
        <v>0</v>
      </c>
      <c r="P845" s="10" t="str">
        <f>IFERROR(VLOOKUP($A845,[1]FINAL!$A$1:$BZ$1000,MATCH([1]FINAL!$BB$1,[1]FINAL!$A$1:$BZ$1,0),0),"")</f>
        <v/>
      </c>
      <c r="Q845" s="18">
        <f t="shared" si="69"/>
        <v>1</v>
      </c>
    </row>
    <row r="846" spans="1:17" x14ac:dyDescent="0.25">
      <c r="A846" s="14">
        <f>[1]FINAL!$A844</f>
        <v>0</v>
      </c>
      <c r="B846" s="20" t="str">
        <f>IFERROR(VLOOKUP($A846,[1]FINAL!$A$1:$Z$1000,MATCH([1]FINAL!$T$1,[1]FINAL!$A$1:$Z$1,0),0),"")</f>
        <v/>
      </c>
      <c r="C846" s="3" t="str">
        <f>IFERROR(VLOOKUP($A846,[1]FINAL!$A$1:$Z$1000,MATCH([1]FINAL!$U$1,[1]FINAL!$A$1:$Z$1,0),0),"")</f>
        <v/>
      </c>
      <c r="D846" s="3" t="str">
        <f>IFERROR(VLOOKUP($A846,[1]FINAL!$A$1:$Z$1000,MATCH([1]FINAL!$V$1,[1]FINAL!$A$1:$Z$1,0),0),"")</f>
        <v/>
      </c>
      <c r="E846" s="6">
        <f t="shared" si="65"/>
        <v>0</v>
      </c>
      <c r="F846" s="5">
        <f t="shared" si="66"/>
        <v>0</v>
      </c>
      <c r="G846" s="5">
        <f>IFERROR(IF(H846&lt;&gt;"",H846,VLOOKUP($A846,[1]FINAL!$A$1:$BZ$1000,MATCH([1]FINAL!$BL$1,[1]FINAL!$A$1:$BZ$1,0),0)),0)</f>
        <v>0</v>
      </c>
      <c r="I846" s="5">
        <f>IFERROR(IF(J846&lt;&gt;"",J846,(IF(VLOOKUP($A846,#REF!,MATCH(#REF!,#REF!,0),0)=0,G846,VLOOKUP($A846,#REF!,MATCH(#REF!,#REF!,0),0)))),G846)</f>
        <v>0</v>
      </c>
      <c r="K846" s="6">
        <f>IFERROR(VLOOKUP($A846,#REF!,MATCH(#REF!,#REF!,0),0),0)</f>
        <v>0</v>
      </c>
      <c r="L846" s="6">
        <f>IFERROR(VLOOKUP($A846,[1]FINAL!$A$1:$BZ$1000,MATCH([1]FINAL!$BF$1,[1]FINAL!$A$1:$BZ$1,0),0),0)</f>
        <v>0</v>
      </c>
      <c r="M846" s="7">
        <f t="shared" si="67"/>
        <v>0</v>
      </c>
      <c r="N846" s="6">
        <f>IFERROR(VLOOKUP($A846,#REF!,MATCH(#REF!,#REF!,0),0),0)</f>
        <v>0</v>
      </c>
      <c r="O846" s="7">
        <f t="shared" si="68"/>
        <v>0</v>
      </c>
      <c r="P846" s="10" t="str">
        <f>IFERROR(VLOOKUP($A846,[1]FINAL!$A$1:$BZ$1000,MATCH([1]FINAL!$BB$1,[1]FINAL!$A$1:$BZ$1,0),0),"")</f>
        <v/>
      </c>
      <c r="Q846" s="18">
        <f t="shared" si="69"/>
        <v>1</v>
      </c>
    </row>
    <row r="847" spans="1:17" x14ac:dyDescent="0.25">
      <c r="A847" s="14">
        <f>[1]FINAL!$A845</f>
        <v>0</v>
      </c>
      <c r="B847" s="20" t="str">
        <f>IFERROR(VLOOKUP($A847,[1]FINAL!$A$1:$Z$1000,MATCH([1]FINAL!$T$1,[1]FINAL!$A$1:$Z$1,0),0),"")</f>
        <v/>
      </c>
      <c r="C847" s="3" t="str">
        <f>IFERROR(VLOOKUP($A847,[1]FINAL!$A$1:$Z$1000,MATCH([1]FINAL!$U$1,[1]FINAL!$A$1:$Z$1,0),0),"")</f>
        <v/>
      </c>
      <c r="D847" s="3" t="str">
        <f>IFERROR(VLOOKUP($A847,[1]FINAL!$A$1:$Z$1000,MATCH([1]FINAL!$V$1,[1]FINAL!$A$1:$Z$1,0),0),"")</f>
        <v/>
      </c>
      <c r="E847" s="6">
        <f t="shared" si="65"/>
        <v>0</v>
      </c>
      <c r="F847" s="5">
        <f t="shared" si="66"/>
        <v>0</v>
      </c>
      <c r="G847" s="5">
        <f>IFERROR(IF(H847&lt;&gt;"",H847,VLOOKUP($A847,[1]FINAL!$A$1:$BZ$1000,MATCH([1]FINAL!$BL$1,[1]FINAL!$A$1:$BZ$1,0),0)),0)</f>
        <v>0</v>
      </c>
      <c r="I847" s="5">
        <f>IFERROR(IF(J847&lt;&gt;"",J847,(IF(VLOOKUP($A847,#REF!,MATCH(#REF!,#REF!,0),0)=0,G847,VLOOKUP($A847,#REF!,MATCH(#REF!,#REF!,0),0)))),G847)</f>
        <v>0</v>
      </c>
      <c r="K847" s="6">
        <f>IFERROR(VLOOKUP($A847,#REF!,MATCH(#REF!,#REF!,0),0),0)</f>
        <v>0</v>
      </c>
      <c r="L847" s="6">
        <f>IFERROR(VLOOKUP($A847,[1]FINAL!$A$1:$BZ$1000,MATCH([1]FINAL!$BF$1,[1]FINAL!$A$1:$BZ$1,0),0),0)</f>
        <v>0</v>
      </c>
      <c r="M847" s="7">
        <f t="shared" si="67"/>
        <v>0</v>
      </c>
      <c r="N847" s="6">
        <f>IFERROR(VLOOKUP($A847,#REF!,MATCH(#REF!,#REF!,0),0),0)</f>
        <v>0</v>
      </c>
      <c r="O847" s="7">
        <f t="shared" si="68"/>
        <v>0</v>
      </c>
      <c r="P847" s="10" t="str">
        <f>IFERROR(VLOOKUP($A847,[1]FINAL!$A$1:$BZ$1000,MATCH([1]FINAL!$BB$1,[1]FINAL!$A$1:$BZ$1,0),0),"")</f>
        <v/>
      </c>
      <c r="Q847" s="18">
        <f t="shared" si="69"/>
        <v>1</v>
      </c>
    </row>
    <row r="848" spans="1:17" x14ac:dyDescent="0.25">
      <c r="A848" s="14">
        <f>[1]FINAL!$A846</f>
        <v>0</v>
      </c>
      <c r="B848" s="20" t="str">
        <f>IFERROR(VLOOKUP($A848,[1]FINAL!$A$1:$Z$1000,MATCH([1]FINAL!$T$1,[1]FINAL!$A$1:$Z$1,0),0),"")</f>
        <v/>
      </c>
      <c r="C848" s="3" t="str">
        <f>IFERROR(VLOOKUP($A848,[1]FINAL!$A$1:$Z$1000,MATCH([1]FINAL!$U$1,[1]FINAL!$A$1:$Z$1,0),0),"")</f>
        <v/>
      </c>
      <c r="D848" s="3" t="str">
        <f>IFERROR(VLOOKUP($A848,[1]FINAL!$A$1:$Z$1000,MATCH([1]FINAL!$V$1,[1]FINAL!$A$1:$Z$1,0),0),"")</f>
        <v/>
      </c>
      <c r="E848" s="6">
        <f t="shared" si="65"/>
        <v>0</v>
      </c>
      <c r="F848" s="5">
        <f t="shared" si="66"/>
        <v>0</v>
      </c>
      <c r="G848" s="5">
        <f>IFERROR(IF(H848&lt;&gt;"",H848,VLOOKUP($A848,[1]FINAL!$A$1:$BZ$1000,MATCH([1]FINAL!$BL$1,[1]FINAL!$A$1:$BZ$1,0),0)),0)</f>
        <v>0</v>
      </c>
      <c r="I848" s="5">
        <f>IFERROR(IF(J848&lt;&gt;"",J848,(IF(VLOOKUP($A848,#REF!,MATCH(#REF!,#REF!,0),0)=0,G848,VLOOKUP($A848,#REF!,MATCH(#REF!,#REF!,0),0)))),G848)</f>
        <v>0</v>
      </c>
      <c r="K848" s="6">
        <f>IFERROR(VLOOKUP($A848,#REF!,MATCH(#REF!,#REF!,0),0),0)</f>
        <v>0</v>
      </c>
      <c r="L848" s="6">
        <f>IFERROR(VLOOKUP($A848,[1]FINAL!$A$1:$BZ$1000,MATCH([1]FINAL!$BF$1,[1]FINAL!$A$1:$BZ$1,0),0),0)</f>
        <v>0</v>
      </c>
      <c r="M848" s="7">
        <f t="shared" si="67"/>
        <v>0</v>
      </c>
      <c r="N848" s="6">
        <f>IFERROR(VLOOKUP($A848,#REF!,MATCH(#REF!,#REF!,0),0),0)</f>
        <v>0</v>
      </c>
      <c r="O848" s="7">
        <f t="shared" si="68"/>
        <v>0</v>
      </c>
      <c r="P848" s="10" t="str">
        <f>IFERROR(VLOOKUP($A848,[1]FINAL!$A$1:$BZ$1000,MATCH([1]FINAL!$BB$1,[1]FINAL!$A$1:$BZ$1,0),0),"")</f>
        <v/>
      </c>
      <c r="Q848" s="18">
        <f t="shared" si="69"/>
        <v>1</v>
      </c>
    </row>
    <row r="849" spans="1:17" x14ac:dyDescent="0.25">
      <c r="A849" s="14">
        <f>[1]FINAL!$A847</f>
        <v>0</v>
      </c>
      <c r="B849" s="20" t="str">
        <f>IFERROR(VLOOKUP($A849,[1]FINAL!$A$1:$Z$1000,MATCH([1]FINAL!$T$1,[1]FINAL!$A$1:$Z$1,0),0),"")</f>
        <v/>
      </c>
      <c r="C849" s="3" t="str">
        <f>IFERROR(VLOOKUP($A849,[1]FINAL!$A$1:$Z$1000,MATCH([1]FINAL!$U$1,[1]FINAL!$A$1:$Z$1,0),0),"")</f>
        <v/>
      </c>
      <c r="D849" s="3" t="str">
        <f>IFERROR(VLOOKUP($A849,[1]FINAL!$A$1:$Z$1000,MATCH([1]FINAL!$V$1,[1]FINAL!$A$1:$Z$1,0),0),"")</f>
        <v/>
      </c>
      <c r="E849" s="6">
        <f t="shared" si="65"/>
        <v>0</v>
      </c>
      <c r="F849" s="5">
        <f t="shared" si="66"/>
        <v>0</v>
      </c>
      <c r="G849" s="5">
        <f>IFERROR(IF(H849&lt;&gt;"",H849,VLOOKUP($A849,[1]FINAL!$A$1:$BZ$1000,MATCH([1]FINAL!$BL$1,[1]FINAL!$A$1:$BZ$1,0),0)),0)</f>
        <v>0</v>
      </c>
      <c r="I849" s="5">
        <f>IFERROR(IF(J849&lt;&gt;"",J849,(IF(VLOOKUP($A849,#REF!,MATCH(#REF!,#REF!,0),0)=0,G849,VLOOKUP($A849,#REF!,MATCH(#REF!,#REF!,0),0)))),G849)</f>
        <v>0</v>
      </c>
      <c r="K849" s="6">
        <f>IFERROR(VLOOKUP($A849,#REF!,MATCH(#REF!,#REF!,0),0),0)</f>
        <v>0</v>
      </c>
      <c r="L849" s="6">
        <f>IFERROR(VLOOKUP($A849,[1]FINAL!$A$1:$BZ$1000,MATCH([1]FINAL!$BF$1,[1]FINAL!$A$1:$BZ$1,0),0),0)</f>
        <v>0</v>
      </c>
      <c r="M849" s="7">
        <f t="shared" si="67"/>
        <v>0</v>
      </c>
      <c r="N849" s="6">
        <f>IFERROR(VLOOKUP($A849,#REF!,MATCH(#REF!,#REF!,0),0),0)</f>
        <v>0</v>
      </c>
      <c r="O849" s="7">
        <f t="shared" si="68"/>
        <v>0</v>
      </c>
      <c r="P849" s="10" t="str">
        <f>IFERROR(VLOOKUP($A849,[1]FINAL!$A$1:$BZ$1000,MATCH([1]FINAL!$BB$1,[1]FINAL!$A$1:$BZ$1,0),0),"")</f>
        <v/>
      </c>
      <c r="Q849" s="18">
        <f t="shared" si="69"/>
        <v>1</v>
      </c>
    </row>
    <row r="850" spans="1:17" x14ac:dyDescent="0.25">
      <c r="A850" s="14">
        <f>[1]FINAL!$A848</f>
        <v>0</v>
      </c>
      <c r="B850" s="20" t="str">
        <f>IFERROR(VLOOKUP($A850,[1]FINAL!$A$1:$Z$1000,MATCH([1]FINAL!$T$1,[1]FINAL!$A$1:$Z$1,0),0),"")</f>
        <v/>
      </c>
      <c r="C850" s="3" t="str">
        <f>IFERROR(VLOOKUP($A850,[1]FINAL!$A$1:$Z$1000,MATCH([1]FINAL!$U$1,[1]FINAL!$A$1:$Z$1,0),0),"")</f>
        <v/>
      </c>
      <c r="D850" s="3" t="str">
        <f>IFERROR(VLOOKUP($A850,[1]FINAL!$A$1:$Z$1000,MATCH([1]FINAL!$V$1,[1]FINAL!$A$1:$Z$1,0),0),"")</f>
        <v/>
      </c>
      <c r="E850" s="6">
        <f t="shared" si="65"/>
        <v>0</v>
      </c>
      <c r="F850" s="5">
        <f t="shared" si="66"/>
        <v>0</v>
      </c>
      <c r="G850" s="5">
        <f>IFERROR(IF(H850&lt;&gt;"",H850,VLOOKUP($A850,[1]FINAL!$A$1:$BZ$1000,MATCH([1]FINAL!$BL$1,[1]FINAL!$A$1:$BZ$1,0),0)),0)</f>
        <v>0</v>
      </c>
      <c r="I850" s="5">
        <f>IFERROR(IF(J850&lt;&gt;"",J850,(IF(VLOOKUP($A850,#REF!,MATCH(#REF!,#REF!,0),0)=0,G850,VLOOKUP($A850,#REF!,MATCH(#REF!,#REF!,0),0)))),G850)</f>
        <v>0</v>
      </c>
      <c r="K850" s="6">
        <f>IFERROR(VLOOKUP($A850,#REF!,MATCH(#REF!,#REF!,0),0),0)</f>
        <v>0</v>
      </c>
      <c r="L850" s="6">
        <f>IFERROR(VLOOKUP($A850,[1]FINAL!$A$1:$BZ$1000,MATCH([1]FINAL!$BF$1,[1]FINAL!$A$1:$BZ$1,0),0),0)</f>
        <v>0</v>
      </c>
      <c r="M850" s="7">
        <f t="shared" si="67"/>
        <v>0</v>
      </c>
      <c r="N850" s="6">
        <f>IFERROR(VLOOKUP($A850,#REF!,MATCH(#REF!,#REF!,0),0),0)</f>
        <v>0</v>
      </c>
      <c r="O850" s="7">
        <f t="shared" si="68"/>
        <v>0</v>
      </c>
      <c r="P850" s="10" t="str">
        <f>IFERROR(VLOOKUP($A850,[1]FINAL!$A$1:$BZ$1000,MATCH([1]FINAL!$BB$1,[1]FINAL!$A$1:$BZ$1,0),0),"")</f>
        <v/>
      </c>
      <c r="Q850" s="18">
        <f t="shared" si="69"/>
        <v>1</v>
      </c>
    </row>
    <row r="851" spans="1:17" x14ac:dyDescent="0.25">
      <c r="A851" s="14">
        <f>[1]FINAL!$A849</f>
        <v>0</v>
      </c>
      <c r="B851" s="20" t="str">
        <f>IFERROR(VLOOKUP($A851,[1]FINAL!$A$1:$Z$1000,MATCH([1]FINAL!$T$1,[1]FINAL!$A$1:$Z$1,0),0),"")</f>
        <v/>
      </c>
      <c r="C851" s="3" t="str">
        <f>IFERROR(VLOOKUP($A851,[1]FINAL!$A$1:$Z$1000,MATCH([1]FINAL!$U$1,[1]FINAL!$A$1:$Z$1,0),0),"")</f>
        <v/>
      </c>
      <c r="D851" s="3" t="str">
        <f>IFERROR(VLOOKUP($A851,[1]FINAL!$A$1:$Z$1000,MATCH([1]FINAL!$V$1,[1]FINAL!$A$1:$Z$1,0),0),"")</f>
        <v/>
      </c>
      <c r="E851" s="6">
        <f t="shared" si="65"/>
        <v>0</v>
      </c>
      <c r="F851" s="5">
        <f t="shared" si="66"/>
        <v>0</v>
      </c>
      <c r="G851" s="5">
        <f>IFERROR(IF(H851&lt;&gt;"",H851,VLOOKUP($A851,[1]FINAL!$A$1:$BZ$1000,MATCH([1]FINAL!$BL$1,[1]FINAL!$A$1:$BZ$1,0),0)),0)</f>
        <v>0</v>
      </c>
      <c r="I851" s="5">
        <f>IFERROR(IF(J851&lt;&gt;"",J851,(IF(VLOOKUP($A851,#REF!,MATCH(#REF!,#REF!,0),0)=0,G851,VLOOKUP($A851,#REF!,MATCH(#REF!,#REF!,0),0)))),G851)</f>
        <v>0</v>
      </c>
      <c r="K851" s="6">
        <f>IFERROR(VLOOKUP($A851,#REF!,MATCH(#REF!,#REF!,0),0),0)</f>
        <v>0</v>
      </c>
      <c r="L851" s="6">
        <f>IFERROR(VLOOKUP($A851,[1]FINAL!$A$1:$BZ$1000,MATCH([1]FINAL!$BF$1,[1]FINAL!$A$1:$BZ$1,0),0),0)</f>
        <v>0</v>
      </c>
      <c r="M851" s="7">
        <f t="shared" si="67"/>
        <v>0</v>
      </c>
      <c r="N851" s="6">
        <f>IFERROR(VLOOKUP($A851,#REF!,MATCH(#REF!,#REF!,0),0),0)</f>
        <v>0</v>
      </c>
      <c r="O851" s="7">
        <f t="shared" si="68"/>
        <v>0</v>
      </c>
      <c r="P851" s="10" t="str">
        <f>IFERROR(VLOOKUP($A851,[1]FINAL!$A$1:$BZ$1000,MATCH([1]FINAL!$BB$1,[1]FINAL!$A$1:$BZ$1,0),0),"")</f>
        <v/>
      </c>
      <c r="Q851" s="18">
        <f t="shared" si="69"/>
        <v>1</v>
      </c>
    </row>
    <row r="852" spans="1:17" x14ac:dyDescent="0.25">
      <c r="A852" s="14">
        <f>[1]FINAL!$A850</f>
        <v>0</v>
      </c>
      <c r="B852" s="20" t="str">
        <f>IFERROR(VLOOKUP($A852,[1]FINAL!$A$1:$Z$1000,MATCH([1]FINAL!$T$1,[1]FINAL!$A$1:$Z$1,0),0),"")</f>
        <v/>
      </c>
      <c r="C852" s="3" t="str">
        <f>IFERROR(VLOOKUP($A852,[1]FINAL!$A$1:$Z$1000,MATCH([1]FINAL!$U$1,[1]FINAL!$A$1:$Z$1,0),0),"")</f>
        <v/>
      </c>
      <c r="D852" s="3" t="str">
        <f>IFERROR(VLOOKUP($A852,[1]FINAL!$A$1:$Z$1000,MATCH([1]FINAL!$V$1,[1]FINAL!$A$1:$Z$1,0),0),"")</f>
        <v/>
      </c>
      <c r="E852" s="6">
        <f t="shared" si="65"/>
        <v>0</v>
      </c>
      <c r="F852" s="5">
        <f t="shared" si="66"/>
        <v>0</v>
      </c>
      <c r="G852" s="5">
        <f>IFERROR(IF(H852&lt;&gt;"",H852,VLOOKUP($A852,[1]FINAL!$A$1:$BZ$1000,MATCH([1]FINAL!$BL$1,[1]FINAL!$A$1:$BZ$1,0),0)),0)</f>
        <v>0</v>
      </c>
      <c r="I852" s="5">
        <f>IFERROR(IF(J852&lt;&gt;"",J852,(IF(VLOOKUP($A852,#REF!,MATCH(#REF!,#REF!,0),0)=0,G852,VLOOKUP($A852,#REF!,MATCH(#REF!,#REF!,0),0)))),G852)</f>
        <v>0</v>
      </c>
      <c r="K852" s="6">
        <f>IFERROR(VLOOKUP($A852,#REF!,MATCH(#REF!,#REF!,0),0),0)</f>
        <v>0</v>
      </c>
      <c r="L852" s="6">
        <f>IFERROR(VLOOKUP($A852,[1]FINAL!$A$1:$BZ$1000,MATCH([1]FINAL!$BF$1,[1]FINAL!$A$1:$BZ$1,0),0),0)</f>
        <v>0</v>
      </c>
      <c r="M852" s="7">
        <f t="shared" si="67"/>
        <v>0</v>
      </c>
      <c r="N852" s="6">
        <f>IFERROR(VLOOKUP($A852,#REF!,MATCH(#REF!,#REF!,0),0),0)</f>
        <v>0</v>
      </c>
      <c r="O852" s="7">
        <f t="shared" si="68"/>
        <v>0</v>
      </c>
      <c r="P852" s="10" t="str">
        <f>IFERROR(VLOOKUP($A852,[1]FINAL!$A$1:$BZ$1000,MATCH([1]FINAL!$BB$1,[1]FINAL!$A$1:$BZ$1,0),0),"")</f>
        <v/>
      </c>
      <c r="Q852" s="18">
        <f t="shared" si="69"/>
        <v>1</v>
      </c>
    </row>
    <row r="853" spans="1:17" x14ac:dyDescent="0.25">
      <c r="A853" s="14">
        <f>[1]FINAL!$A851</f>
        <v>0</v>
      </c>
      <c r="B853" s="20" t="str">
        <f>IFERROR(VLOOKUP($A853,[1]FINAL!$A$1:$Z$1000,MATCH([1]FINAL!$T$1,[1]FINAL!$A$1:$Z$1,0),0),"")</f>
        <v/>
      </c>
      <c r="C853" s="3" t="str">
        <f>IFERROR(VLOOKUP($A853,[1]FINAL!$A$1:$Z$1000,MATCH([1]FINAL!$U$1,[1]FINAL!$A$1:$Z$1,0),0),"")</f>
        <v/>
      </c>
      <c r="D853" s="3" t="str">
        <f>IFERROR(VLOOKUP($A853,[1]FINAL!$A$1:$Z$1000,MATCH([1]FINAL!$V$1,[1]FINAL!$A$1:$Z$1,0),0),"")</f>
        <v/>
      </c>
      <c r="E853" s="6">
        <f t="shared" si="65"/>
        <v>0</v>
      </c>
      <c r="F853" s="5">
        <f t="shared" si="66"/>
        <v>0</v>
      </c>
      <c r="G853" s="5">
        <f>IFERROR(IF(H853&lt;&gt;"",H853,VLOOKUP($A853,[1]FINAL!$A$1:$BZ$1000,MATCH([1]FINAL!$BL$1,[1]FINAL!$A$1:$BZ$1,0),0)),0)</f>
        <v>0</v>
      </c>
      <c r="I853" s="5">
        <f>IFERROR(IF(J853&lt;&gt;"",J853,(IF(VLOOKUP($A853,#REF!,MATCH(#REF!,#REF!,0),0)=0,G853,VLOOKUP($A853,#REF!,MATCH(#REF!,#REF!,0),0)))),G853)</f>
        <v>0</v>
      </c>
      <c r="K853" s="6">
        <f>IFERROR(VLOOKUP($A853,#REF!,MATCH(#REF!,#REF!,0),0),0)</f>
        <v>0</v>
      </c>
      <c r="L853" s="6">
        <f>IFERROR(VLOOKUP($A853,[1]FINAL!$A$1:$BZ$1000,MATCH([1]FINAL!$BF$1,[1]FINAL!$A$1:$BZ$1,0),0),0)</f>
        <v>0</v>
      </c>
      <c r="M853" s="7">
        <f t="shared" si="67"/>
        <v>0</v>
      </c>
      <c r="N853" s="6">
        <f>IFERROR(VLOOKUP($A853,#REF!,MATCH(#REF!,#REF!,0),0),0)</f>
        <v>0</v>
      </c>
      <c r="O853" s="7">
        <f t="shared" si="68"/>
        <v>0</v>
      </c>
      <c r="P853" s="10" t="str">
        <f>IFERROR(VLOOKUP($A853,[1]FINAL!$A$1:$BZ$1000,MATCH([1]FINAL!$BB$1,[1]FINAL!$A$1:$BZ$1,0),0),"")</f>
        <v/>
      </c>
      <c r="Q853" s="18">
        <f t="shared" si="69"/>
        <v>1</v>
      </c>
    </row>
    <row r="854" spans="1:17" x14ac:dyDescent="0.25">
      <c r="A854" s="14">
        <f>[1]FINAL!$A852</f>
        <v>0</v>
      </c>
      <c r="B854" s="20" t="str">
        <f>IFERROR(VLOOKUP($A854,[1]FINAL!$A$1:$Z$1000,MATCH([1]FINAL!$T$1,[1]FINAL!$A$1:$Z$1,0),0),"")</f>
        <v/>
      </c>
      <c r="C854" s="3" t="str">
        <f>IFERROR(VLOOKUP($A854,[1]FINAL!$A$1:$Z$1000,MATCH([1]FINAL!$U$1,[1]FINAL!$A$1:$Z$1,0),0),"")</f>
        <v/>
      </c>
      <c r="D854" s="3" t="str">
        <f>IFERROR(VLOOKUP($A854,[1]FINAL!$A$1:$Z$1000,MATCH([1]FINAL!$V$1,[1]FINAL!$A$1:$Z$1,0),0),"")</f>
        <v/>
      </c>
      <c r="E854" s="6">
        <f t="shared" si="65"/>
        <v>0</v>
      </c>
      <c r="F854" s="5">
        <f t="shared" si="66"/>
        <v>0</v>
      </c>
      <c r="G854" s="5">
        <f>IFERROR(IF(H854&lt;&gt;"",H854,VLOOKUP($A854,[1]FINAL!$A$1:$BZ$1000,MATCH([1]FINAL!$BL$1,[1]FINAL!$A$1:$BZ$1,0),0)),0)</f>
        <v>0</v>
      </c>
      <c r="I854" s="5">
        <f>IFERROR(IF(J854&lt;&gt;"",J854,(IF(VLOOKUP($A854,#REF!,MATCH(#REF!,#REF!,0),0)=0,G854,VLOOKUP($A854,#REF!,MATCH(#REF!,#REF!,0),0)))),G854)</f>
        <v>0</v>
      </c>
      <c r="K854" s="6">
        <f>IFERROR(VLOOKUP($A854,#REF!,MATCH(#REF!,#REF!,0),0),0)</f>
        <v>0</v>
      </c>
      <c r="L854" s="6">
        <f>IFERROR(VLOOKUP($A854,[1]FINAL!$A$1:$BZ$1000,MATCH([1]FINAL!$BF$1,[1]FINAL!$A$1:$BZ$1,0),0),0)</f>
        <v>0</v>
      </c>
      <c r="M854" s="7">
        <f t="shared" si="67"/>
        <v>0</v>
      </c>
      <c r="N854" s="6">
        <f>IFERROR(VLOOKUP($A854,#REF!,MATCH(#REF!,#REF!,0),0),0)</f>
        <v>0</v>
      </c>
      <c r="O854" s="7">
        <f t="shared" si="68"/>
        <v>0</v>
      </c>
      <c r="P854" s="10" t="str">
        <f>IFERROR(VLOOKUP($A854,[1]FINAL!$A$1:$BZ$1000,MATCH([1]FINAL!$BB$1,[1]FINAL!$A$1:$BZ$1,0),0),"")</f>
        <v/>
      </c>
      <c r="Q854" s="18">
        <f t="shared" si="69"/>
        <v>1</v>
      </c>
    </row>
    <row r="855" spans="1:17" x14ac:dyDescent="0.25">
      <c r="A855" s="14">
        <f>[1]FINAL!$A853</f>
        <v>0</v>
      </c>
      <c r="B855" s="20" t="str">
        <f>IFERROR(VLOOKUP($A855,[1]FINAL!$A$1:$Z$1000,MATCH([1]FINAL!$T$1,[1]FINAL!$A$1:$Z$1,0),0),"")</f>
        <v/>
      </c>
      <c r="C855" s="3" t="str">
        <f>IFERROR(VLOOKUP($A855,[1]FINAL!$A$1:$Z$1000,MATCH([1]FINAL!$U$1,[1]FINAL!$A$1:$Z$1,0),0),"")</f>
        <v/>
      </c>
      <c r="D855" s="3" t="str">
        <f>IFERROR(VLOOKUP($A855,[1]FINAL!$A$1:$Z$1000,MATCH([1]FINAL!$V$1,[1]FINAL!$A$1:$Z$1,0),0),"")</f>
        <v/>
      </c>
      <c r="E855" s="6">
        <f t="shared" si="65"/>
        <v>0</v>
      </c>
      <c r="F855" s="5">
        <f t="shared" si="66"/>
        <v>0</v>
      </c>
      <c r="G855" s="5">
        <f>IFERROR(IF(H855&lt;&gt;"",H855,VLOOKUP($A855,[1]FINAL!$A$1:$BZ$1000,MATCH([1]FINAL!$BL$1,[1]FINAL!$A$1:$BZ$1,0),0)),0)</f>
        <v>0</v>
      </c>
      <c r="I855" s="5">
        <f>IFERROR(IF(J855&lt;&gt;"",J855,(IF(VLOOKUP($A855,#REF!,MATCH(#REF!,#REF!,0),0)=0,G855,VLOOKUP($A855,#REF!,MATCH(#REF!,#REF!,0),0)))),G855)</f>
        <v>0</v>
      </c>
      <c r="K855" s="6">
        <f>IFERROR(VLOOKUP($A855,#REF!,MATCH(#REF!,#REF!,0),0),0)</f>
        <v>0</v>
      </c>
      <c r="L855" s="6">
        <f>IFERROR(VLOOKUP($A855,[1]FINAL!$A$1:$BZ$1000,MATCH([1]FINAL!$BF$1,[1]FINAL!$A$1:$BZ$1,0),0),0)</f>
        <v>0</v>
      </c>
      <c r="M855" s="7">
        <f t="shared" si="67"/>
        <v>0</v>
      </c>
      <c r="N855" s="6">
        <f>IFERROR(VLOOKUP($A855,#REF!,MATCH(#REF!,#REF!,0),0),0)</f>
        <v>0</v>
      </c>
      <c r="O855" s="7">
        <f t="shared" si="68"/>
        <v>0</v>
      </c>
      <c r="P855" s="10" t="str">
        <f>IFERROR(VLOOKUP($A855,[1]FINAL!$A$1:$BZ$1000,MATCH([1]FINAL!$BB$1,[1]FINAL!$A$1:$BZ$1,0),0),"")</f>
        <v/>
      </c>
      <c r="Q855" s="18">
        <f t="shared" si="69"/>
        <v>1</v>
      </c>
    </row>
    <row r="856" spans="1:17" x14ac:dyDescent="0.25">
      <c r="A856" s="14">
        <f>[1]FINAL!$A854</f>
        <v>0</v>
      </c>
      <c r="B856" s="20" t="str">
        <f>IFERROR(VLOOKUP($A856,[1]FINAL!$A$1:$Z$1000,MATCH([1]FINAL!$T$1,[1]FINAL!$A$1:$Z$1,0),0),"")</f>
        <v/>
      </c>
      <c r="C856" s="3" t="str">
        <f>IFERROR(VLOOKUP($A856,[1]FINAL!$A$1:$Z$1000,MATCH([1]FINAL!$U$1,[1]FINAL!$A$1:$Z$1,0),0),"")</f>
        <v/>
      </c>
      <c r="D856" s="3" t="str">
        <f>IFERROR(VLOOKUP($A856,[1]FINAL!$A$1:$Z$1000,MATCH([1]FINAL!$V$1,[1]FINAL!$A$1:$Z$1,0),0),"")</f>
        <v/>
      </c>
      <c r="E856" s="6">
        <f t="shared" si="65"/>
        <v>0</v>
      </c>
      <c r="F856" s="5">
        <f t="shared" si="66"/>
        <v>0</v>
      </c>
      <c r="G856" s="5">
        <f>IFERROR(IF(H856&lt;&gt;"",H856,VLOOKUP($A856,[1]FINAL!$A$1:$BZ$1000,MATCH([1]FINAL!$BL$1,[1]FINAL!$A$1:$BZ$1,0),0)),0)</f>
        <v>0</v>
      </c>
      <c r="I856" s="5">
        <f>IFERROR(IF(J856&lt;&gt;"",J856,(IF(VLOOKUP($A856,#REF!,MATCH(#REF!,#REF!,0),0)=0,G856,VLOOKUP($A856,#REF!,MATCH(#REF!,#REF!,0),0)))),G856)</f>
        <v>0</v>
      </c>
      <c r="K856" s="6">
        <f>IFERROR(VLOOKUP($A856,#REF!,MATCH(#REF!,#REF!,0),0),0)</f>
        <v>0</v>
      </c>
      <c r="L856" s="6">
        <f>IFERROR(VLOOKUP($A856,[1]FINAL!$A$1:$BZ$1000,MATCH([1]FINAL!$BF$1,[1]FINAL!$A$1:$BZ$1,0),0),0)</f>
        <v>0</v>
      </c>
      <c r="M856" s="7">
        <f t="shared" si="67"/>
        <v>0</v>
      </c>
      <c r="N856" s="6">
        <f>IFERROR(VLOOKUP($A856,#REF!,MATCH(#REF!,#REF!,0),0),0)</f>
        <v>0</v>
      </c>
      <c r="O856" s="7">
        <f t="shared" si="68"/>
        <v>0</v>
      </c>
      <c r="P856" s="10" t="str">
        <f>IFERROR(VLOOKUP($A856,[1]FINAL!$A$1:$BZ$1000,MATCH([1]FINAL!$BB$1,[1]FINAL!$A$1:$BZ$1,0),0),"")</f>
        <v/>
      </c>
      <c r="Q856" s="18">
        <f t="shared" si="69"/>
        <v>1</v>
      </c>
    </row>
    <row r="857" spans="1:17" x14ac:dyDescent="0.25">
      <c r="A857" s="14">
        <f>[1]FINAL!$A855</f>
        <v>0</v>
      </c>
      <c r="B857" s="20" t="str">
        <f>IFERROR(VLOOKUP($A857,[1]FINAL!$A$1:$Z$1000,MATCH([1]FINAL!$T$1,[1]FINAL!$A$1:$Z$1,0),0),"")</f>
        <v/>
      </c>
      <c r="C857" s="3" t="str">
        <f>IFERROR(VLOOKUP($A857,[1]FINAL!$A$1:$Z$1000,MATCH([1]FINAL!$U$1,[1]FINAL!$A$1:$Z$1,0),0),"")</f>
        <v/>
      </c>
      <c r="D857" s="3" t="str">
        <f>IFERROR(VLOOKUP($A857,[1]FINAL!$A$1:$Z$1000,MATCH([1]FINAL!$V$1,[1]FINAL!$A$1:$Z$1,0),0),"")</f>
        <v/>
      </c>
      <c r="E857" s="6">
        <f t="shared" si="65"/>
        <v>0</v>
      </c>
      <c r="F857" s="5">
        <f t="shared" si="66"/>
        <v>0</v>
      </c>
      <c r="G857" s="5">
        <f>IFERROR(IF(H857&lt;&gt;"",H857,VLOOKUP($A857,[1]FINAL!$A$1:$BZ$1000,MATCH([1]FINAL!$BL$1,[1]FINAL!$A$1:$BZ$1,0),0)),0)</f>
        <v>0</v>
      </c>
      <c r="I857" s="5">
        <f>IFERROR(IF(J857&lt;&gt;"",J857,(IF(VLOOKUP($A857,#REF!,MATCH(#REF!,#REF!,0),0)=0,G857,VLOOKUP($A857,#REF!,MATCH(#REF!,#REF!,0),0)))),G857)</f>
        <v>0</v>
      </c>
      <c r="K857" s="6">
        <f>IFERROR(VLOOKUP($A857,#REF!,MATCH(#REF!,#REF!,0),0),0)</f>
        <v>0</v>
      </c>
      <c r="L857" s="6">
        <f>IFERROR(VLOOKUP($A857,[1]FINAL!$A$1:$BZ$1000,MATCH([1]FINAL!$BF$1,[1]FINAL!$A$1:$BZ$1,0),0),0)</f>
        <v>0</v>
      </c>
      <c r="M857" s="7">
        <f t="shared" si="67"/>
        <v>0</v>
      </c>
      <c r="N857" s="6">
        <f>IFERROR(VLOOKUP($A857,#REF!,MATCH(#REF!,#REF!,0),0),0)</f>
        <v>0</v>
      </c>
      <c r="O857" s="7">
        <f t="shared" si="68"/>
        <v>0</v>
      </c>
      <c r="P857" s="10" t="str">
        <f>IFERROR(VLOOKUP($A857,[1]FINAL!$A$1:$BZ$1000,MATCH([1]FINAL!$BB$1,[1]FINAL!$A$1:$BZ$1,0),0),"")</f>
        <v/>
      </c>
      <c r="Q857" s="18">
        <f t="shared" si="69"/>
        <v>1</v>
      </c>
    </row>
    <row r="858" spans="1:17" x14ac:dyDescent="0.25">
      <c r="A858" s="14">
        <f>[1]FINAL!$A856</f>
        <v>0</v>
      </c>
      <c r="B858" s="20" t="str">
        <f>IFERROR(VLOOKUP($A858,[1]FINAL!$A$1:$Z$1000,MATCH([1]FINAL!$T$1,[1]FINAL!$A$1:$Z$1,0),0),"")</f>
        <v/>
      </c>
      <c r="C858" s="3" t="str">
        <f>IFERROR(VLOOKUP($A858,[1]FINAL!$A$1:$Z$1000,MATCH([1]FINAL!$U$1,[1]FINAL!$A$1:$Z$1,0),0),"")</f>
        <v/>
      </c>
      <c r="D858" s="3" t="str">
        <f>IFERROR(VLOOKUP($A858,[1]FINAL!$A$1:$Z$1000,MATCH([1]FINAL!$V$1,[1]FINAL!$A$1:$Z$1,0),0),"")</f>
        <v/>
      </c>
      <c r="E858" s="6">
        <f t="shared" si="65"/>
        <v>0</v>
      </c>
      <c r="F858" s="5">
        <f t="shared" si="66"/>
        <v>0</v>
      </c>
      <c r="G858" s="5">
        <f>IFERROR(IF(H858&lt;&gt;"",H858,VLOOKUP($A858,[1]FINAL!$A$1:$BZ$1000,MATCH([1]FINAL!$BL$1,[1]FINAL!$A$1:$BZ$1,0),0)),0)</f>
        <v>0</v>
      </c>
      <c r="I858" s="5">
        <f>IFERROR(IF(J858&lt;&gt;"",J858,(IF(VLOOKUP($A858,#REF!,MATCH(#REF!,#REF!,0),0)=0,G858,VLOOKUP($A858,#REF!,MATCH(#REF!,#REF!,0),0)))),G858)</f>
        <v>0</v>
      </c>
      <c r="K858" s="6">
        <f>IFERROR(VLOOKUP($A858,#REF!,MATCH(#REF!,#REF!,0),0),0)</f>
        <v>0</v>
      </c>
      <c r="L858" s="6">
        <f>IFERROR(VLOOKUP($A858,[1]FINAL!$A$1:$BZ$1000,MATCH([1]FINAL!$BF$1,[1]FINAL!$A$1:$BZ$1,0),0),0)</f>
        <v>0</v>
      </c>
      <c r="M858" s="7">
        <f t="shared" si="67"/>
        <v>0</v>
      </c>
      <c r="N858" s="6">
        <f>IFERROR(VLOOKUP($A858,#REF!,MATCH(#REF!,#REF!,0),0),0)</f>
        <v>0</v>
      </c>
      <c r="O858" s="7">
        <f t="shared" si="68"/>
        <v>0</v>
      </c>
      <c r="P858" s="10" t="str">
        <f>IFERROR(VLOOKUP($A858,[1]FINAL!$A$1:$BZ$1000,MATCH([1]FINAL!$BB$1,[1]FINAL!$A$1:$BZ$1,0),0),"")</f>
        <v/>
      </c>
      <c r="Q858" s="18">
        <f t="shared" si="69"/>
        <v>1</v>
      </c>
    </row>
    <row r="859" spans="1:17" x14ac:dyDescent="0.25">
      <c r="A859" s="14">
        <f>[1]FINAL!$A857</f>
        <v>0</v>
      </c>
      <c r="B859" s="20" t="str">
        <f>IFERROR(VLOOKUP($A859,[1]FINAL!$A$1:$Z$1000,MATCH([1]FINAL!$T$1,[1]FINAL!$A$1:$Z$1,0),0),"")</f>
        <v/>
      </c>
      <c r="C859" s="3" t="str">
        <f>IFERROR(VLOOKUP($A859,[1]FINAL!$A$1:$Z$1000,MATCH([1]FINAL!$U$1,[1]FINAL!$A$1:$Z$1,0),0),"")</f>
        <v/>
      </c>
      <c r="D859" s="3" t="str">
        <f>IFERROR(VLOOKUP($A859,[1]FINAL!$A$1:$Z$1000,MATCH([1]FINAL!$V$1,[1]FINAL!$A$1:$Z$1,0),0),"")</f>
        <v/>
      </c>
      <c r="E859" s="6">
        <f t="shared" si="65"/>
        <v>0</v>
      </c>
      <c r="F859" s="5">
        <f t="shared" si="66"/>
        <v>0</v>
      </c>
      <c r="G859" s="5">
        <f>IFERROR(IF(H859&lt;&gt;"",H859,VLOOKUP($A859,[1]FINAL!$A$1:$BZ$1000,MATCH([1]FINAL!$BL$1,[1]FINAL!$A$1:$BZ$1,0),0)),0)</f>
        <v>0</v>
      </c>
      <c r="I859" s="5">
        <f>IFERROR(IF(J859&lt;&gt;"",J859,(IF(VLOOKUP($A859,#REF!,MATCH(#REF!,#REF!,0),0)=0,G859,VLOOKUP($A859,#REF!,MATCH(#REF!,#REF!,0),0)))),G859)</f>
        <v>0</v>
      </c>
      <c r="K859" s="6">
        <f>IFERROR(VLOOKUP($A859,#REF!,MATCH(#REF!,#REF!,0),0),0)</f>
        <v>0</v>
      </c>
      <c r="L859" s="6">
        <f>IFERROR(VLOOKUP($A859,[1]FINAL!$A$1:$BZ$1000,MATCH([1]FINAL!$BF$1,[1]FINAL!$A$1:$BZ$1,0),0),0)</f>
        <v>0</v>
      </c>
      <c r="M859" s="7">
        <f t="shared" si="67"/>
        <v>0</v>
      </c>
      <c r="N859" s="6">
        <f>IFERROR(VLOOKUP($A859,#REF!,MATCH(#REF!,#REF!,0),0),0)</f>
        <v>0</v>
      </c>
      <c r="O859" s="7">
        <f t="shared" si="68"/>
        <v>0</v>
      </c>
      <c r="P859" s="10" t="str">
        <f>IFERROR(VLOOKUP($A859,[1]FINAL!$A$1:$BZ$1000,MATCH([1]FINAL!$BB$1,[1]FINAL!$A$1:$BZ$1,0),0),"")</f>
        <v/>
      </c>
      <c r="Q859" s="18">
        <f t="shared" si="69"/>
        <v>1</v>
      </c>
    </row>
    <row r="860" spans="1:17" x14ac:dyDescent="0.25">
      <c r="A860" s="14">
        <f>[1]FINAL!$A858</f>
        <v>0</v>
      </c>
      <c r="B860" s="20" t="str">
        <f>IFERROR(VLOOKUP($A860,[1]FINAL!$A$1:$Z$1000,MATCH([1]FINAL!$T$1,[1]FINAL!$A$1:$Z$1,0),0),"")</f>
        <v/>
      </c>
      <c r="C860" s="3" t="str">
        <f>IFERROR(VLOOKUP($A860,[1]FINAL!$A$1:$Z$1000,MATCH([1]FINAL!$U$1,[1]FINAL!$A$1:$Z$1,0),0),"")</f>
        <v/>
      </c>
      <c r="D860" s="3" t="str">
        <f>IFERROR(VLOOKUP($A860,[1]FINAL!$A$1:$Z$1000,MATCH([1]FINAL!$V$1,[1]FINAL!$A$1:$Z$1,0),0),"")</f>
        <v/>
      </c>
      <c r="E860" s="6">
        <f t="shared" si="65"/>
        <v>0</v>
      </c>
      <c r="F860" s="5">
        <f t="shared" si="66"/>
        <v>0</v>
      </c>
      <c r="G860" s="5">
        <f>IFERROR(IF(H860&lt;&gt;"",H860,VLOOKUP($A860,[1]FINAL!$A$1:$BZ$1000,MATCH([1]FINAL!$BL$1,[1]FINAL!$A$1:$BZ$1,0),0)),0)</f>
        <v>0</v>
      </c>
      <c r="I860" s="5">
        <f>IFERROR(IF(J860&lt;&gt;"",J860,(IF(VLOOKUP($A860,#REF!,MATCH(#REF!,#REF!,0),0)=0,G860,VLOOKUP($A860,#REF!,MATCH(#REF!,#REF!,0),0)))),G860)</f>
        <v>0</v>
      </c>
      <c r="K860" s="6">
        <f>IFERROR(VLOOKUP($A860,#REF!,MATCH(#REF!,#REF!,0),0),0)</f>
        <v>0</v>
      </c>
      <c r="L860" s="6">
        <f>IFERROR(VLOOKUP($A860,[1]FINAL!$A$1:$BZ$1000,MATCH([1]FINAL!$BF$1,[1]FINAL!$A$1:$BZ$1,0),0),0)</f>
        <v>0</v>
      </c>
      <c r="M860" s="7">
        <f t="shared" si="67"/>
        <v>0</v>
      </c>
      <c r="N860" s="6">
        <f>IFERROR(VLOOKUP($A860,#REF!,MATCH(#REF!,#REF!,0),0),0)</f>
        <v>0</v>
      </c>
      <c r="O860" s="7">
        <f t="shared" si="68"/>
        <v>0</v>
      </c>
      <c r="P860" s="10" t="str">
        <f>IFERROR(VLOOKUP($A860,[1]FINAL!$A$1:$BZ$1000,MATCH([1]FINAL!$BB$1,[1]FINAL!$A$1:$BZ$1,0),0),"")</f>
        <v/>
      </c>
      <c r="Q860" s="18">
        <f t="shared" si="69"/>
        <v>1</v>
      </c>
    </row>
    <row r="861" spans="1:17" x14ac:dyDescent="0.25">
      <c r="A861" s="14">
        <f>[1]FINAL!$A859</f>
        <v>0</v>
      </c>
      <c r="B861" s="20" t="str">
        <f>IFERROR(VLOOKUP($A861,[1]FINAL!$A$1:$Z$1000,MATCH([1]FINAL!$T$1,[1]FINAL!$A$1:$Z$1,0),0),"")</f>
        <v/>
      </c>
      <c r="C861" s="3" t="str">
        <f>IFERROR(VLOOKUP($A861,[1]FINAL!$A$1:$Z$1000,MATCH([1]FINAL!$U$1,[1]FINAL!$A$1:$Z$1,0),0),"")</f>
        <v/>
      </c>
      <c r="D861" s="3" t="str">
        <f>IFERROR(VLOOKUP($A861,[1]FINAL!$A$1:$Z$1000,MATCH([1]FINAL!$V$1,[1]FINAL!$A$1:$Z$1,0),0),"")</f>
        <v/>
      </c>
      <c r="E861" s="6">
        <f t="shared" si="65"/>
        <v>0</v>
      </c>
      <c r="F861" s="5">
        <f t="shared" si="66"/>
        <v>0</v>
      </c>
      <c r="G861" s="5">
        <f>IFERROR(IF(H861&lt;&gt;"",H861,VLOOKUP($A861,[1]FINAL!$A$1:$BZ$1000,MATCH([1]FINAL!$BL$1,[1]FINAL!$A$1:$BZ$1,0),0)),0)</f>
        <v>0</v>
      </c>
      <c r="I861" s="5">
        <f>IFERROR(IF(J861&lt;&gt;"",J861,(IF(VLOOKUP($A861,#REF!,MATCH(#REF!,#REF!,0),0)=0,G861,VLOOKUP($A861,#REF!,MATCH(#REF!,#REF!,0),0)))),G861)</f>
        <v>0</v>
      </c>
      <c r="K861" s="6">
        <f>IFERROR(VLOOKUP($A861,#REF!,MATCH(#REF!,#REF!,0),0),0)</f>
        <v>0</v>
      </c>
      <c r="L861" s="6">
        <f>IFERROR(VLOOKUP($A861,[1]FINAL!$A$1:$BZ$1000,MATCH([1]FINAL!$BF$1,[1]FINAL!$A$1:$BZ$1,0),0),0)</f>
        <v>0</v>
      </c>
      <c r="M861" s="7">
        <f t="shared" si="67"/>
        <v>0</v>
      </c>
      <c r="N861" s="6">
        <f>IFERROR(VLOOKUP($A861,#REF!,MATCH(#REF!,#REF!,0),0),0)</f>
        <v>0</v>
      </c>
      <c r="O861" s="7">
        <f t="shared" si="68"/>
        <v>0</v>
      </c>
      <c r="P861" s="10" t="str">
        <f>IFERROR(VLOOKUP($A861,[1]FINAL!$A$1:$BZ$1000,MATCH([1]FINAL!$BB$1,[1]FINAL!$A$1:$BZ$1,0),0),"")</f>
        <v/>
      </c>
      <c r="Q861" s="18">
        <f t="shared" si="69"/>
        <v>1</v>
      </c>
    </row>
    <row r="862" spans="1:17" x14ac:dyDescent="0.25">
      <c r="A862" s="14">
        <f>[1]FINAL!$A860</f>
        <v>0</v>
      </c>
      <c r="B862" s="20" t="str">
        <f>IFERROR(VLOOKUP($A862,[1]FINAL!$A$1:$Z$1000,MATCH([1]FINAL!$T$1,[1]FINAL!$A$1:$Z$1,0),0),"")</f>
        <v/>
      </c>
      <c r="C862" s="3" t="str">
        <f>IFERROR(VLOOKUP($A862,[1]FINAL!$A$1:$Z$1000,MATCH([1]FINAL!$U$1,[1]FINAL!$A$1:$Z$1,0),0),"")</f>
        <v/>
      </c>
      <c r="D862" s="3" t="str">
        <f>IFERROR(VLOOKUP($A862,[1]FINAL!$A$1:$Z$1000,MATCH([1]FINAL!$V$1,[1]FINAL!$A$1:$Z$1,0),0),"")</f>
        <v/>
      </c>
      <c r="E862" s="6">
        <f t="shared" si="65"/>
        <v>0</v>
      </c>
      <c r="F862" s="5">
        <f t="shared" si="66"/>
        <v>0</v>
      </c>
      <c r="G862" s="5">
        <f>IFERROR(IF(H862&lt;&gt;"",H862,VLOOKUP($A862,[1]FINAL!$A$1:$BZ$1000,MATCH([1]FINAL!$BL$1,[1]FINAL!$A$1:$BZ$1,0),0)),0)</f>
        <v>0</v>
      </c>
      <c r="I862" s="5">
        <f>IFERROR(IF(J862&lt;&gt;"",J862,(IF(VLOOKUP($A862,#REF!,MATCH(#REF!,#REF!,0),0)=0,G862,VLOOKUP($A862,#REF!,MATCH(#REF!,#REF!,0),0)))),G862)</f>
        <v>0</v>
      </c>
      <c r="K862" s="6">
        <f>IFERROR(VLOOKUP($A862,#REF!,MATCH(#REF!,#REF!,0),0),0)</f>
        <v>0</v>
      </c>
      <c r="L862" s="6">
        <f>IFERROR(VLOOKUP($A862,[1]FINAL!$A$1:$BZ$1000,MATCH([1]FINAL!$BF$1,[1]FINAL!$A$1:$BZ$1,0),0),0)</f>
        <v>0</v>
      </c>
      <c r="M862" s="7">
        <f t="shared" si="67"/>
        <v>0</v>
      </c>
      <c r="N862" s="6">
        <f>IFERROR(VLOOKUP($A862,#REF!,MATCH(#REF!,#REF!,0),0),0)</f>
        <v>0</v>
      </c>
      <c r="O862" s="7">
        <f t="shared" si="68"/>
        <v>0</v>
      </c>
      <c r="P862" s="10" t="str">
        <f>IFERROR(VLOOKUP($A862,[1]FINAL!$A$1:$BZ$1000,MATCH([1]FINAL!$BB$1,[1]FINAL!$A$1:$BZ$1,0),0),"")</f>
        <v/>
      </c>
      <c r="Q862" s="18">
        <f t="shared" si="69"/>
        <v>1</v>
      </c>
    </row>
    <row r="863" spans="1:17" x14ac:dyDescent="0.25">
      <c r="A863" s="14">
        <f>[1]FINAL!$A861</f>
        <v>0</v>
      </c>
      <c r="B863" s="20" t="str">
        <f>IFERROR(VLOOKUP($A863,[1]FINAL!$A$1:$Z$1000,MATCH([1]FINAL!$T$1,[1]FINAL!$A$1:$Z$1,0),0),"")</f>
        <v/>
      </c>
      <c r="C863" s="3" t="str">
        <f>IFERROR(VLOOKUP($A863,[1]FINAL!$A$1:$Z$1000,MATCH([1]FINAL!$U$1,[1]FINAL!$A$1:$Z$1,0),0),"")</f>
        <v/>
      </c>
      <c r="D863" s="3" t="str">
        <f>IFERROR(VLOOKUP($A863,[1]FINAL!$A$1:$Z$1000,MATCH([1]FINAL!$V$1,[1]FINAL!$A$1:$Z$1,0),0),"")</f>
        <v/>
      </c>
      <c r="E863" s="6">
        <f t="shared" si="65"/>
        <v>0</v>
      </c>
      <c r="F863" s="5">
        <f t="shared" si="66"/>
        <v>0</v>
      </c>
      <c r="G863" s="5">
        <f>IFERROR(IF(H863&lt;&gt;"",H863,VLOOKUP($A863,[1]FINAL!$A$1:$BZ$1000,MATCH([1]FINAL!$BL$1,[1]FINAL!$A$1:$BZ$1,0),0)),0)</f>
        <v>0</v>
      </c>
      <c r="I863" s="5">
        <f>IFERROR(IF(J863&lt;&gt;"",J863,(IF(VLOOKUP($A863,#REF!,MATCH(#REF!,#REF!,0),0)=0,G863,VLOOKUP($A863,#REF!,MATCH(#REF!,#REF!,0),0)))),G863)</f>
        <v>0</v>
      </c>
      <c r="K863" s="6">
        <f>IFERROR(VLOOKUP($A863,#REF!,MATCH(#REF!,#REF!,0),0),0)</f>
        <v>0</v>
      </c>
      <c r="L863" s="6">
        <f>IFERROR(VLOOKUP($A863,[1]FINAL!$A$1:$BZ$1000,MATCH([1]FINAL!$BF$1,[1]FINAL!$A$1:$BZ$1,0),0),0)</f>
        <v>0</v>
      </c>
      <c r="M863" s="7">
        <f t="shared" si="67"/>
        <v>0</v>
      </c>
      <c r="N863" s="6">
        <f>IFERROR(VLOOKUP($A863,#REF!,MATCH(#REF!,#REF!,0),0),0)</f>
        <v>0</v>
      </c>
      <c r="O863" s="7">
        <f t="shared" si="68"/>
        <v>0</v>
      </c>
      <c r="P863" s="10" t="str">
        <f>IFERROR(VLOOKUP($A863,[1]FINAL!$A$1:$BZ$1000,MATCH([1]FINAL!$BB$1,[1]FINAL!$A$1:$BZ$1,0),0),"")</f>
        <v/>
      </c>
      <c r="Q863" s="18">
        <f t="shared" si="69"/>
        <v>1</v>
      </c>
    </row>
    <row r="864" spans="1:17" x14ac:dyDescent="0.25">
      <c r="A864" s="14">
        <f>[1]FINAL!$A862</f>
        <v>0</v>
      </c>
      <c r="B864" s="20" t="str">
        <f>IFERROR(VLOOKUP($A864,[1]FINAL!$A$1:$Z$1000,MATCH([1]FINAL!$T$1,[1]FINAL!$A$1:$Z$1,0),0),"")</f>
        <v/>
      </c>
      <c r="C864" s="3" t="str">
        <f>IFERROR(VLOOKUP($A864,[1]FINAL!$A$1:$Z$1000,MATCH([1]FINAL!$U$1,[1]FINAL!$A$1:$Z$1,0),0),"")</f>
        <v/>
      </c>
      <c r="D864" s="3" t="str">
        <f>IFERROR(VLOOKUP($A864,[1]FINAL!$A$1:$Z$1000,MATCH([1]FINAL!$V$1,[1]FINAL!$A$1:$Z$1,0),0),"")</f>
        <v/>
      </c>
      <c r="E864" s="6">
        <f t="shared" si="65"/>
        <v>0</v>
      </c>
      <c r="F864" s="5">
        <f t="shared" si="66"/>
        <v>0</v>
      </c>
      <c r="G864" s="5">
        <f>IFERROR(IF(H864&lt;&gt;"",H864,VLOOKUP($A864,[1]FINAL!$A$1:$BZ$1000,MATCH([1]FINAL!$BL$1,[1]FINAL!$A$1:$BZ$1,0),0)),0)</f>
        <v>0</v>
      </c>
      <c r="I864" s="5">
        <f>IFERROR(IF(J864&lt;&gt;"",J864,(IF(VLOOKUP($A864,#REF!,MATCH(#REF!,#REF!,0),0)=0,G864,VLOOKUP($A864,#REF!,MATCH(#REF!,#REF!,0),0)))),G864)</f>
        <v>0</v>
      </c>
      <c r="K864" s="6">
        <f>IFERROR(VLOOKUP($A864,#REF!,MATCH(#REF!,#REF!,0),0),0)</f>
        <v>0</v>
      </c>
      <c r="L864" s="6">
        <f>IFERROR(VLOOKUP($A864,[1]FINAL!$A$1:$BZ$1000,MATCH([1]FINAL!$BF$1,[1]FINAL!$A$1:$BZ$1,0),0),0)</f>
        <v>0</v>
      </c>
      <c r="M864" s="7">
        <f t="shared" si="67"/>
        <v>0</v>
      </c>
      <c r="N864" s="6">
        <f>IFERROR(VLOOKUP($A864,#REF!,MATCH(#REF!,#REF!,0),0),0)</f>
        <v>0</v>
      </c>
      <c r="O864" s="7">
        <f t="shared" si="68"/>
        <v>0</v>
      </c>
      <c r="P864" s="10" t="str">
        <f>IFERROR(VLOOKUP($A864,[1]FINAL!$A$1:$BZ$1000,MATCH([1]FINAL!$BB$1,[1]FINAL!$A$1:$BZ$1,0),0),"")</f>
        <v/>
      </c>
      <c r="Q864" s="18">
        <f t="shared" si="69"/>
        <v>1</v>
      </c>
    </row>
    <row r="865" spans="1:17" x14ac:dyDescent="0.25">
      <c r="A865" s="14">
        <f>[1]FINAL!$A863</f>
        <v>0</v>
      </c>
      <c r="B865" s="20" t="str">
        <f>IFERROR(VLOOKUP($A865,[1]FINAL!$A$1:$Z$1000,MATCH([1]FINAL!$T$1,[1]FINAL!$A$1:$Z$1,0),0),"")</f>
        <v/>
      </c>
      <c r="C865" s="3" t="str">
        <f>IFERROR(VLOOKUP($A865,[1]FINAL!$A$1:$Z$1000,MATCH([1]FINAL!$U$1,[1]FINAL!$A$1:$Z$1,0),0),"")</f>
        <v/>
      </c>
      <c r="D865" s="3" t="str">
        <f>IFERROR(VLOOKUP($A865,[1]FINAL!$A$1:$Z$1000,MATCH([1]FINAL!$V$1,[1]FINAL!$A$1:$Z$1,0),0),"")</f>
        <v/>
      </c>
      <c r="E865" s="6">
        <f t="shared" si="65"/>
        <v>0</v>
      </c>
      <c r="F865" s="5">
        <f t="shared" si="66"/>
        <v>0</v>
      </c>
      <c r="G865" s="5">
        <f>IFERROR(IF(H865&lt;&gt;"",H865,VLOOKUP($A865,[1]FINAL!$A$1:$BZ$1000,MATCH([1]FINAL!$BL$1,[1]FINAL!$A$1:$BZ$1,0),0)),0)</f>
        <v>0</v>
      </c>
      <c r="I865" s="5">
        <f>IFERROR(IF(J865&lt;&gt;"",J865,(IF(VLOOKUP($A865,#REF!,MATCH(#REF!,#REF!,0),0)=0,G865,VLOOKUP($A865,#REF!,MATCH(#REF!,#REF!,0),0)))),G865)</f>
        <v>0</v>
      </c>
      <c r="K865" s="6">
        <f>IFERROR(VLOOKUP($A865,#REF!,MATCH(#REF!,#REF!,0),0),0)</f>
        <v>0</v>
      </c>
      <c r="L865" s="6">
        <f>IFERROR(VLOOKUP($A865,[1]FINAL!$A$1:$BZ$1000,MATCH([1]FINAL!$BF$1,[1]FINAL!$A$1:$BZ$1,0),0),0)</f>
        <v>0</v>
      </c>
      <c r="M865" s="7">
        <f t="shared" si="67"/>
        <v>0</v>
      </c>
      <c r="N865" s="6">
        <f>IFERROR(VLOOKUP($A865,#REF!,MATCH(#REF!,#REF!,0),0),0)</f>
        <v>0</v>
      </c>
      <c r="O865" s="7">
        <f t="shared" si="68"/>
        <v>0</v>
      </c>
      <c r="P865" s="10" t="str">
        <f>IFERROR(VLOOKUP($A865,[1]FINAL!$A$1:$BZ$1000,MATCH([1]FINAL!$BB$1,[1]FINAL!$A$1:$BZ$1,0),0),"")</f>
        <v/>
      </c>
      <c r="Q865" s="18">
        <f t="shared" si="69"/>
        <v>1</v>
      </c>
    </row>
    <row r="866" spans="1:17" x14ac:dyDescent="0.25">
      <c r="A866" s="14">
        <f>[1]FINAL!$A864</f>
        <v>0</v>
      </c>
      <c r="B866" s="20" t="str">
        <f>IFERROR(VLOOKUP($A866,[1]FINAL!$A$1:$Z$1000,MATCH([1]FINAL!$T$1,[1]FINAL!$A$1:$Z$1,0),0),"")</f>
        <v/>
      </c>
      <c r="C866" s="3" t="str">
        <f>IFERROR(VLOOKUP($A866,[1]FINAL!$A$1:$Z$1000,MATCH([1]FINAL!$U$1,[1]FINAL!$A$1:$Z$1,0),0),"")</f>
        <v/>
      </c>
      <c r="D866" s="3" t="str">
        <f>IFERROR(VLOOKUP($A866,[1]FINAL!$A$1:$Z$1000,MATCH([1]FINAL!$V$1,[1]FINAL!$A$1:$Z$1,0),0),"")</f>
        <v/>
      </c>
      <c r="E866" s="6">
        <f t="shared" si="65"/>
        <v>0</v>
      </c>
      <c r="F866" s="5">
        <f t="shared" si="66"/>
        <v>0</v>
      </c>
      <c r="G866" s="5">
        <f>IFERROR(IF(H866&lt;&gt;"",H866,VLOOKUP($A866,[1]FINAL!$A$1:$BZ$1000,MATCH([1]FINAL!$BL$1,[1]FINAL!$A$1:$BZ$1,0),0)),0)</f>
        <v>0</v>
      </c>
      <c r="I866" s="5">
        <f>IFERROR(IF(J866&lt;&gt;"",J866,(IF(VLOOKUP($A866,#REF!,MATCH(#REF!,#REF!,0),0)=0,G866,VLOOKUP($A866,#REF!,MATCH(#REF!,#REF!,0),0)))),G866)</f>
        <v>0</v>
      </c>
      <c r="K866" s="6">
        <f>IFERROR(VLOOKUP($A866,#REF!,MATCH(#REF!,#REF!,0),0),0)</f>
        <v>0</v>
      </c>
      <c r="L866" s="6">
        <f>IFERROR(VLOOKUP($A866,[1]FINAL!$A$1:$BZ$1000,MATCH([1]FINAL!$BF$1,[1]FINAL!$A$1:$BZ$1,0),0),0)</f>
        <v>0</v>
      </c>
      <c r="M866" s="7">
        <f t="shared" si="67"/>
        <v>0</v>
      </c>
      <c r="N866" s="6">
        <f>IFERROR(VLOOKUP($A866,#REF!,MATCH(#REF!,#REF!,0),0),0)</f>
        <v>0</v>
      </c>
      <c r="O866" s="7">
        <f t="shared" si="68"/>
        <v>0</v>
      </c>
      <c r="P866" s="10" t="str">
        <f>IFERROR(VLOOKUP($A866,[1]FINAL!$A$1:$BZ$1000,MATCH([1]FINAL!$BB$1,[1]FINAL!$A$1:$BZ$1,0),0),"")</f>
        <v/>
      </c>
      <c r="Q866" s="18">
        <f t="shared" si="69"/>
        <v>1</v>
      </c>
    </row>
    <row r="867" spans="1:17" x14ac:dyDescent="0.25">
      <c r="A867" s="14">
        <f>[1]FINAL!$A865</f>
        <v>0</v>
      </c>
      <c r="B867" s="20" t="str">
        <f>IFERROR(VLOOKUP($A867,[1]FINAL!$A$1:$Z$1000,MATCH([1]FINAL!$T$1,[1]FINAL!$A$1:$Z$1,0),0),"")</f>
        <v/>
      </c>
      <c r="C867" s="3" t="str">
        <f>IFERROR(VLOOKUP($A867,[1]FINAL!$A$1:$Z$1000,MATCH([1]FINAL!$U$1,[1]FINAL!$A$1:$Z$1,0),0),"")</f>
        <v/>
      </c>
      <c r="D867" s="3" t="str">
        <f>IFERROR(VLOOKUP($A867,[1]FINAL!$A$1:$Z$1000,MATCH([1]FINAL!$V$1,[1]FINAL!$A$1:$Z$1,0),0),"")</f>
        <v/>
      </c>
      <c r="E867" s="6">
        <f t="shared" si="65"/>
        <v>0</v>
      </c>
      <c r="F867" s="5">
        <f t="shared" si="66"/>
        <v>0</v>
      </c>
      <c r="G867" s="5">
        <f>IFERROR(IF(H867&lt;&gt;"",H867,VLOOKUP($A867,[1]FINAL!$A$1:$BZ$1000,MATCH([1]FINAL!$BL$1,[1]FINAL!$A$1:$BZ$1,0),0)),0)</f>
        <v>0</v>
      </c>
      <c r="I867" s="5">
        <f>IFERROR(IF(J867&lt;&gt;"",J867,(IF(VLOOKUP($A867,#REF!,MATCH(#REF!,#REF!,0),0)=0,G867,VLOOKUP($A867,#REF!,MATCH(#REF!,#REF!,0),0)))),G867)</f>
        <v>0</v>
      </c>
      <c r="K867" s="6">
        <f>IFERROR(VLOOKUP($A867,#REF!,MATCH(#REF!,#REF!,0),0),0)</f>
        <v>0</v>
      </c>
      <c r="L867" s="6">
        <f>IFERROR(VLOOKUP($A867,[1]FINAL!$A$1:$BZ$1000,MATCH([1]FINAL!$BF$1,[1]FINAL!$A$1:$BZ$1,0),0),0)</f>
        <v>0</v>
      </c>
      <c r="M867" s="7">
        <f t="shared" si="67"/>
        <v>0</v>
      </c>
      <c r="N867" s="6">
        <f>IFERROR(VLOOKUP($A867,#REF!,MATCH(#REF!,#REF!,0),0),0)</f>
        <v>0</v>
      </c>
      <c r="O867" s="7">
        <f t="shared" si="68"/>
        <v>0</v>
      </c>
      <c r="P867" s="10" t="str">
        <f>IFERROR(VLOOKUP($A867,[1]FINAL!$A$1:$BZ$1000,MATCH([1]FINAL!$BB$1,[1]FINAL!$A$1:$BZ$1,0),0),"")</f>
        <v/>
      </c>
      <c r="Q867" s="18">
        <f t="shared" si="69"/>
        <v>1</v>
      </c>
    </row>
    <row r="868" spans="1:17" x14ac:dyDescent="0.25">
      <c r="A868" s="14">
        <f>[1]FINAL!$A866</f>
        <v>0</v>
      </c>
      <c r="B868" s="20" t="str">
        <f>IFERROR(VLOOKUP($A868,[1]FINAL!$A$1:$Z$1000,MATCH([1]FINAL!$T$1,[1]FINAL!$A$1:$Z$1,0),0),"")</f>
        <v/>
      </c>
      <c r="C868" s="3" t="str">
        <f>IFERROR(VLOOKUP($A868,[1]FINAL!$A$1:$Z$1000,MATCH([1]FINAL!$U$1,[1]FINAL!$A$1:$Z$1,0),0),"")</f>
        <v/>
      </c>
      <c r="D868" s="3" t="str">
        <f>IFERROR(VLOOKUP($A868,[1]FINAL!$A$1:$Z$1000,MATCH([1]FINAL!$V$1,[1]FINAL!$A$1:$Z$1,0),0),"")</f>
        <v/>
      </c>
      <c r="E868" s="6">
        <f t="shared" si="65"/>
        <v>0</v>
      </c>
      <c r="F868" s="5">
        <f t="shared" si="66"/>
        <v>0</v>
      </c>
      <c r="G868" s="5">
        <f>IFERROR(IF(H868&lt;&gt;"",H868,VLOOKUP($A868,[1]FINAL!$A$1:$BZ$1000,MATCH([1]FINAL!$BL$1,[1]FINAL!$A$1:$BZ$1,0),0)),0)</f>
        <v>0</v>
      </c>
      <c r="I868" s="5">
        <f>IFERROR(IF(J868&lt;&gt;"",J868,(IF(VLOOKUP($A868,#REF!,MATCH(#REF!,#REF!,0),0)=0,G868,VLOOKUP($A868,#REF!,MATCH(#REF!,#REF!,0),0)))),G868)</f>
        <v>0</v>
      </c>
      <c r="K868" s="6">
        <f>IFERROR(VLOOKUP($A868,#REF!,MATCH(#REF!,#REF!,0),0),0)</f>
        <v>0</v>
      </c>
      <c r="L868" s="6">
        <f>IFERROR(VLOOKUP($A868,[1]FINAL!$A$1:$BZ$1000,MATCH([1]FINAL!$BF$1,[1]FINAL!$A$1:$BZ$1,0),0),0)</f>
        <v>0</v>
      </c>
      <c r="M868" s="7">
        <f t="shared" si="67"/>
        <v>0</v>
      </c>
      <c r="N868" s="6">
        <f>IFERROR(VLOOKUP($A868,#REF!,MATCH(#REF!,#REF!,0),0),0)</f>
        <v>0</v>
      </c>
      <c r="O868" s="7">
        <f t="shared" si="68"/>
        <v>0</v>
      </c>
      <c r="P868" s="10" t="str">
        <f>IFERROR(VLOOKUP($A868,[1]FINAL!$A$1:$BZ$1000,MATCH([1]FINAL!$BB$1,[1]FINAL!$A$1:$BZ$1,0),0),"")</f>
        <v/>
      </c>
      <c r="Q868" s="18">
        <f t="shared" si="69"/>
        <v>1</v>
      </c>
    </row>
    <row r="869" spans="1:17" x14ac:dyDescent="0.25">
      <c r="A869" s="14">
        <f>[1]FINAL!$A867</f>
        <v>0</v>
      </c>
      <c r="B869" s="20" t="str">
        <f>IFERROR(VLOOKUP($A869,[1]FINAL!$A$1:$Z$1000,MATCH([1]FINAL!$T$1,[1]FINAL!$A$1:$Z$1,0),0),"")</f>
        <v/>
      </c>
      <c r="C869" s="3" t="str">
        <f>IFERROR(VLOOKUP($A869,[1]FINAL!$A$1:$Z$1000,MATCH([1]FINAL!$U$1,[1]FINAL!$A$1:$Z$1,0),0),"")</f>
        <v/>
      </c>
      <c r="D869" s="3" t="str">
        <f>IFERROR(VLOOKUP($A869,[1]FINAL!$A$1:$Z$1000,MATCH([1]FINAL!$V$1,[1]FINAL!$A$1:$Z$1,0),0),"")</f>
        <v/>
      </c>
      <c r="E869" s="6">
        <f t="shared" si="65"/>
        <v>0</v>
      </c>
      <c r="F869" s="5">
        <f t="shared" si="66"/>
        <v>0</v>
      </c>
      <c r="G869" s="5">
        <f>IFERROR(IF(H869&lt;&gt;"",H869,VLOOKUP($A869,[1]FINAL!$A$1:$BZ$1000,MATCH([1]FINAL!$BL$1,[1]FINAL!$A$1:$BZ$1,0),0)),0)</f>
        <v>0</v>
      </c>
      <c r="I869" s="5">
        <f>IFERROR(IF(J869&lt;&gt;"",J869,(IF(VLOOKUP($A869,#REF!,MATCH(#REF!,#REF!,0),0)=0,G869,VLOOKUP($A869,#REF!,MATCH(#REF!,#REF!,0),0)))),G869)</f>
        <v>0</v>
      </c>
      <c r="K869" s="6">
        <f>IFERROR(VLOOKUP($A869,#REF!,MATCH(#REF!,#REF!,0),0),0)</f>
        <v>0</v>
      </c>
      <c r="L869" s="6">
        <f>IFERROR(VLOOKUP($A869,[1]FINAL!$A$1:$BZ$1000,MATCH([1]FINAL!$BF$1,[1]FINAL!$A$1:$BZ$1,0),0),0)</f>
        <v>0</v>
      </c>
      <c r="M869" s="7">
        <f t="shared" si="67"/>
        <v>0</v>
      </c>
      <c r="N869" s="6">
        <f>IFERROR(VLOOKUP($A869,#REF!,MATCH(#REF!,#REF!,0),0),0)</f>
        <v>0</v>
      </c>
      <c r="O869" s="7">
        <f t="shared" si="68"/>
        <v>0</v>
      </c>
      <c r="P869" s="10" t="str">
        <f>IFERROR(VLOOKUP($A869,[1]FINAL!$A$1:$BZ$1000,MATCH([1]FINAL!$BB$1,[1]FINAL!$A$1:$BZ$1,0),0),"")</f>
        <v/>
      </c>
      <c r="Q869" s="18">
        <f t="shared" si="69"/>
        <v>1</v>
      </c>
    </row>
    <row r="870" spans="1:17" x14ac:dyDescent="0.25">
      <c r="A870" s="14">
        <f>[1]FINAL!$A868</f>
        <v>0</v>
      </c>
      <c r="B870" s="20" t="str">
        <f>IFERROR(VLOOKUP($A870,[1]FINAL!$A$1:$Z$1000,MATCH([1]FINAL!$T$1,[1]FINAL!$A$1:$Z$1,0),0),"")</f>
        <v/>
      </c>
      <c r="C870" s="3" t="str">
        <f>IFERROR(VLOOKUP($A870,[1]FINAL!$A$1:$Z$1000,MATCH([1]FINAL!$U$1,[1]FINAL!$A$1:$Z$1,0),0),"")</f>
        <v/>
      </c>
      <c r="D870" s="3" t="str">
        <f>IFERROR(VLOOKUP($A870,[1]FINAL!$A$1:$Z$1000,MATCH([1]FINAL!$V$1,[1]FINAL!$A$1:$Z$1,0),0),"")</f>
        <v/>
      </c>
      <c r="E870" s="6">
        <f t="shared" si="65"/>
        <v>0</v>
      </c>
      <c r="F870" s="5">
        <f t="shared" si="66"/>
        <v>0</v>
      </c>
      <c r="G870" s="5">
        <f>IFERROR(IF(H870&lt;&gt;"",H870,VLOOKUP($A870,[1]FINAL!$A$1:$BZ$1000,MATCH([1]FINAL!$BL$1,[1]FINAL!$A$1:$BZ$1,0),0)),0)</f>
        <v>0</v>
      </c>
      <c r="I870" s="5">
        <f>IFERROR(IF(J870&lt;&gt;"",J870,(IF(VLOOKUP($A870,#REF!,MATCH(#REF!,#REF!,0),0)=0,G870,VLOOKUP($A870,#REF!,MATCH(#REF!,#REF!,0),0)))),G870)</f>
        <v>0</v>
      </c>
      <c r="K870" s="6">
        <f>IFERROR(VLOOKUP($A870,#REF!,MATCH(#REF!,#REF!,0),0),0)</f>
        <v>0</v>
      </c>
      <c r="L870" s="6">
        <f>IFERROR(VLOOKUP($A870,[1]FINAL!$A$1:$BZ$1000,MATCH([1]FINAL!$BF$1,[1]FINAL!$A$1:$BZ$1,0),0),0)</f>
        <v>0</v>
      </c>
      <c r="M870" s="7">
        <f t="shared" si="67"/>
        <v>0</v>
      </c>
      <c r="N870" s="6">
        <f>IFERROR(VLOOKUP($A870,#REF!,MATCH(#REF!,#REF!,0),0),0)</f>
        <v>0</v>
      </c>
      <c r="O870" s="7">
        <f t="shared" si="68"/>
        <v>0</v>
      </c>
      <c r="P870" s="10" t="str">
        <f>IFERROR(VLOOKUP($A870,[1]FINAL!$A$1:$BZ$1000,MATCH([1]FINAL!$BB$1,[1]FINAL!$A$1:$BZ$1,0),0),"")</f>
        <v/>
      </c>
      <c r="Q870" s="18">
        <f t="shared" si="69"/>
        <v>1</v>
      </c>
    </row>
    <row r="871" spans="1:17" x14ac:dyDescent="0.25">
      <c r="A871" s="14">
        <f>[1]FINAL!$A869</f>
        <v>0</v>
      </c>
      <c r="B871" s="20" t="str">
        <f>IFERROR(VLOOKUP($A871,[1]FINAL!$A$1:$Z$1000,MATCH([1]FINAL!$T$1,[1]FINAL!$A$1:$Z$1,0),0),"")</f>
        <v/>
      </c>
      <c r="C871" s="3" t="str">
        <f>IFERROR(VLOOKUP($A871,[1]FINAL!$A$1:$Z$1000,MATCH([1]FINAL!$U$1,[1]FINAL!$A$1:$Z$1,0),0),"")</f>
        <v/>
      </c>
      <c r="D871" s="3" t="str">
        <f>IFERROR(VLOOKUP($A871,[1]FINAL!$A$1:$Z$1000,MATCH([1]FINAL!$V$1,[1]FINAL!$A$1:$Z$1,0),0),"")</f>
        <v/>
      </c>
      <c r="E871" s="6">
        <f t="shared" si="65"/>
        <v>0</v>
      </c>
      <c r="F871" s="5">
        <f t="shared" si="66"/>
        <v>0</v>
      </c>
      <c r="G871" s="5">
        <f>IFERROR(IF(H871&lt;&gt;"",H871,VLOOKUP($A871,[1]FINAL!$A$1:$BZ$1000,MATCH([1]FINAL!$BL$1,[1]FINAL!$A$1:$BZ$1,0),0)),0)</f>
        <v>0</v>
      </c>
      <c r="I871" s="5">
        <f>IFERROR(IF(J871&lt;&gt;"",J871,(IF(VLOOKUP($A871,#REF!,MATCH(#REF!,#REF!,0),0)=0,G871,VLOOKUP($A871,#REF!,MATCH(#REF!,#REF!,0),0)))),G871)</f>
        <v>0</v>
      </c>
      <c r="K871" s="6">
        <f>IFERROR(VLOOKUP($A871,#REF!,MATCH(#REF!,#REF!,0),0),0)</f>
        <v>0</v>
      </c>
      <c r="L871" s="6">
        <f>IFERROR(VLOOKUP($A871,[1]FINAL!$A$1:$BZ$1000,MATCH([1]FINAL!$BF$1,[1]FINAL!$A$1:$BZ$1,0),0),0)</f>
        <v>0</v>
      </c>
      <c r="M871" s="7">
        <f t="shared" si="67"/>
        <v>0</v>
      </c>
      <c r="N871" s="6">
        <f>IFERROR(VLOOKUP($A871,#REF!,MATCH(#REF!,#REF!,0),0),0)</f>
        <v>0</v>
      </c>
      <c r="O871" s="7">
        <f t="shared" si="68"/>
        <v>0</v>
      </c>
      <c r="P871" s="10" t="str">
        <f>IFERROR(VLOOKUP($A871,[1]FINAL!$A$1:$BZ$1000,MATCH([1]FINAL!$BB$1,[1]FINAL!$A$1:$BZ$1,0),0),"")</f>
        <v/>
      </c>
      <c r="Q871" s="18">
        <f t="shared" si="69"/>
        <v>1</v>
      </c>
    </row>
    <row r="872" spans="1:17" x14ac:dyDescent="0.25">
      <c r="A872" s="14">
        <f>[1]FINAL!$A870</f>
        <v>0</v>
      </c>
      <c r="B872" s="20" t="str">
        <f>IFERROR(VLOOKUP($A872,[1]FINAL!$A$1:$Z$1000,MATCH([1]FINAL!$T$1,[1]FINAL!$A$1:$Z$1,0),0),"")</f>
        <v/>
      </c>
      <c r="C872" s="3" t="str">
        <f>IFERROR(VLOOKUP($A872,[1]FINAL!$A$1:$Z$1000,MATCH([1]FINAL!$U$1,[1]FINAL!$A$1:$Z$1,0),0),"")</f>
        <v/>
      </c>
      <c r="D872" s="3" t="str">
        <f>IFERROR(VLOOKUP($A872,[1]FINAL!$A$1:$Z$1000,MATCH([1]FINAL!$V$1,[1]FINAL!$A$1:$Z$1,0),0),"")</f>
        <v/>
      </c>
      <c r="E872" s="6">
        <f t="shared" si="65"/>
        <v>0</v>
      </c>
      <c r="F872" s="5">
        <f t="shared" si="66"/>
        <v>0</v>
      </c>
      <c r="G872" s="5">
        <f>IFERROR(IF(H872&lt;&gt;"",H872,VLOOKUP($A872,[1]FINAL!$A$1:$BZ$1000,MATCH([1]FINAL!$BL$1,[1]FINAL!$A$1:$BZ$1,0),0)),0)</f>
        <v>0</v>
      </c>
      <c r="I872" s="5">
        <f>IFERROR(IF(J872&lt;&gt;"",J872,(IF(VLOOKUP($A872,#REF!,MATCH(#REF!,#REF!,0),0)=0,G872,VLOOKUP($A872,#REF!,MATCH(#REF!,#REF!,0),0)))),G872)</f>
        <v>0</v>
      </c>
      <c r="K872" s="6">
        <f>IFERROR(VLOOKUP($A872,#REF!,MATCH(#REF!,#REF!,0),0),0)</f>
        <v>0</v>
      </c>
      <c r="L872" s="6">
        <f>IFERROR(VLOOKUP($A872,[1]FINAL!$A$1:$BZ$1000,MATCH([1]FINAL!$BF$1,[1]FINAL!$A$1:$BZ$1,0),0),0)</f>
        <v>0</v>
      </c>
      <c r="M872" s="7">
        <f t="shared" si="67"/>
        <v>0</v>
      </c>
      <c r="N872" s="6">
        <f>IFERROR(VLOOKUP($A872,#REF!,MATCH(#REF!,#REF!,0),0),0)</f>
        <v>0</v>
      </c>
      <c r="O872" s="7">
        <f t="shared" si="68"/>
        <v>0</v>
      </c>
      <c r="P872" s="10" t="str">
        <f>IFERROR(VLOOKUP($A872,[1]FINAL!$A$1:$BZ$1000,MATCH([1]FINAL!$BB$1,[1]FINAL!$A$1:$BZ$1,0),0),"")</f>
        <v/>
      </c>
      <c r="Q872" s="18">
        <f t="shared" si="69"/>
        <v>1</v>
      </c>
    </row>
    <row r="873" spans="1:17" x14ac:dyDescent="0.25">
      <c r="A873" s="14">
        <f>[1]FINAL!$A871</f>
        <v>0</v>
      </c>
      <c r="B873" s="20" t="str">
        <f>IFERROR(VLOOKUP($A873,[1]FINAL!$A$1:$Z$1000,MATCH([1]FINAL!$T$1,[1]FINAL!$A$1:$Z$1,0),0),"")</f>
        <v/>
      </c>
      <c r="C873" s="3" t="str">
        <f>IFERROR(VLOOKUP($A873,[1]FINAL!$A$1:$Z$1000,MATCH([1]FINAL!$U$1,[1]FINAL!$A$1:$Z$1,0),0),"")</f>
        <v/>
      </c>
      <c r="D873" s="3" t="str">
        <f>IFERROR(VLOOKUP($A873,[1]FINAL!$A$1:$Z$1000,MATCH([1]FINAL!$V$1,[1]FINAL!$A$1:$Z$1,0),0),"")</f>
        <v/>
      </c>
      <c r="E873" s="6">
        <f t="shared" si="65"/>
        <v>0</v>
      </c>
      <c r="F873" s="5">
        <f t="shared" si="66"/>
        <v>0</v>
      </c>
      <c r="G873" s="5">
        <f>IFERROR(IF(H873&lt;&gt;"",H873,VLOOKUP($A873,[1]FINAL!$A$1:$BZ$1000,MATCH([1]FINAL!$BL$1,[1]FINAL!$A$1:$BZ$1,0),0)),0)</f>
        <v>0</v>
      </c>
      <c r="I873" s="5">
        <f>IFERROR(IF(J873&lt;&gt;"",J873,(IF(VLOOKUP($A873,#REF!,MATCH(#REF!,#REF!,0),0)=0,G873,VLOOKUP($A873,#REF!,MATCH(#REF!,#REF!,0),0)))),G873)</f>
        <v>0</v>
      </c>
      <c r="K873" s="6">
        <f>IFERROR(VLOOKUP($A873,#REF!,MATCH(#REF!,#REF!,0),0),0)</f>
        <v>0</v>
      </c>
      <c r="L873" s="6">
        <f>IFERROR(VLOOKUP($A873,[1]FINAL!$A$1:$BZ$1000,MATCH([1]FINAL!$BF$1,[1]FINAL!$A$1:$BZ$1,0),0),0)</f>
        <v>0</v>
      </c>
      <c r="M873" s="7">
        <f t="shared" si="67"/>
        <v>0</v>
      </c>
      <c r="N873" s="6">
        <f>IFERROR(VLOOKUP($A873,#REF!,MATCH(#REF!,#REF!,0),0),0)</f>
        <v>0</v>
      </c>
      <c r="O873" s="7">
        <f t="shared" si="68"/>
        <v>0</v>
      </c>
      <c r="P873" s="10" t="str">
        <f>IFERROR(VLOOKUP($A873,[1]FINAL!$A$1:$BZ$1000,MATCH([1]FINAL!$BB$1,[1]FINAL!$A$1:$BZ$1,0),0),"")</f>
        <v/>
      </c>
      <c r="Q873" s="18">
        <f t="shared" si="69"/>
        <v>1</v>
      </c>
    </row>
    <row r="874" spans="1:17" x14ac:dyDescent="0.25">
      <c r="A874" s="14">
        <f>[1]FINAL!$A872</f>
        <v>0</v>
      </c>
      <c r="B874" s="20" t="str">
        <f>IFERROR(VLOOKUP($A874,[1]FINAL!$A$1:$Z$1000,MATCH([1]FINAL!$T$1,[1]FINAL!$A$1:$Z$1,0),0),"")</f>
        <v/>
      </c>
      <c r="C874" s="3" t="str">
        <f>IFERROR(VLOOKUP($A874,[1]FINAL!$A$1:$Z$1000,MATCH([1]FINAL!$U$1,[1]FINAL!$A$1:$Z$1,0),0),"")</f>
        <v/>
      </c>
      <c r="D874" s="3" t="str">
        <f>IFERROR(VLOOKUP($A874,[1]FINAL!$A$1:$Z$1000,MATCH([1]FINAL!$V$1,[1]FINAL!$A$1:$Z$1,0),0),"")</f>
        <v/>
      </c>
      <c r="E874" s="6">
        <f t="shared" si="65"/>
        <v>0</v>
      </c>
      <c r="F874" s="5">
        <f t="shared" si="66"/>
        <v>0</v>
      </c>
      <c r="G874" s="5">
        <f>IFERROR(IF(H874&lt;&gt;"",H874,VLOOKUP($A874,[1]FINAL!$A$1:$BZ$1000,MATCH([1]FINAL!$BL$1,[1]FINAL!$A$1:$BZ$1,0),0)),0)</f>
        <v>0</v>
      </c>
      <c r="I874" s="5">
        <f>IFERROR(IF(J874&lt;&gt;"",J874,(IF(VLOOKUP($A874,#REF!,MATCH(#REF!,#REF!,0),0)=0,G874,VLOOKUP($A874,#REF!,MATCH(#REF!,#REF!,0),0)))),G874)</f>
        <v>0</v>
      </c>
      <c r="K874" s="6">
        <f>IFERROR(VLOOKUP($A874,#REF!,MATCH(#REF!,#REF!,0),0),0)</f>
        <v>0</v>
      </c>
      <c r="L874" s="6">
        <f>IFERROR(VLOOKUP($A874,[1]FINAL!$A$1:$BZ$1000,MATCH([1]FINAL!$BF$1,[1]FINAL!$A$1:$BZ$1,0),0),0)</f>
        <v>0</v>
      </c>
      <c r="M874" s="7">
        <f t="shared" si="67"/>
        <v>0</v>
      </c>
      <c r="N874" s="6">
        <f>IFERROR(VLOOKUP($A874,#REF!,MATCH(#REF!,#REF!,0),0),0)</f>
        <v>0</v>
      </c>
      <c r="O874" s="7">
        <f t="shared" si="68"/>
        <v>0</v>
      </c>
      <c r="P874" s="10" t="str">
        <f>IFERROR(VLOOKUP($A874,[1]FINAL!$A$1:$BZ$1000,MATCH([1]FINAL!$BB$1,[1]FINAL!$A$1:$BZ$1,0),0),"")</f>
        <v/>
      </c>
      <c r="Q874" s="18">
        <f t="shared" si="69"/>
        <v>1</v>
      </c>
    </row>
    <row r="875" spans="1:17" x14ac:dyDescent="0.25">
      <c r="A875" s="14">
        <f>[1]FINAL!$A873</f>
        <v>0</v>
      </c>
      <c r="B875" s="20" t="str">
        <f>IFERROR(VLOOKUP($A875,[1]FINAL!$A$1:$Z$1000,MATCH([1]FINAL!$T$1,[1]FINAL!$A$1:$Z$1,0),0),"")</f>
        <v/>
      </c>
      <c r="C875" s="3" t="str">
        <f>IFERROR(VLOOKUP($A875,[1]FINAL!$A$1:$Z$1000,MATCH([1]FINAL!$U$1,[1]FINAL!$A$1:$Z$1,0),0),"")</f>
        <v/>
      </c>
      <c r="D875" s="3" t="str">
        <f>IFERROR(VLOOKUP($A875,[1]FINAL!$A$1:$Z$1000,MATCH([1]FINAL!$V$1,[1]FINAL!$A$1:$Z$1,0),0),"")</f>
        <v/>
      </c>
      <c r="E875" s="6">
        <f t="shared" si="65"/>
        <v>0</v>
      </c>
      <c r="F875" s="5">
        <f t="shared" si="66"/>
        <v>0</v>
      </c>
      <c r="G875" s="5">
        <f>IFERROR(IF(H875&lt;&gt;"",H875,VLOOKUP($A875,[1]FINAL!$A$1:$BZ$1000,MATCH([1]FINAL!$BL$1,[1]FINAL!$A$1:$BZ$1,0),0)),0)</f>
        <v>0</v>
      </c>
      <c r="I875" s="5">
        <f>IFERROR(IF(J875&lt;&gt;"",J875,(IF(VLOOKUP($A875,#REF!,MATCH(#REF!,#REF!,0),0)=0,G875,VLOOKUP($A875,#REF!,MATCH(#REF!,#REF!,0),0)))),G875)</f>
        <v>0</v>
      </c>
      <c r="K875" s="6">
        <f>IFERROR(VLOOKUP($A875,#REF!,MATCH(#REF!,#REF!,0),0),0)</f>
        <v>0</v>
      </c>
      <c r="L875" s="6">
        <f>IFERROR(VLOOKUP($A875,[1]FINAL!$A$1:$BZ$1000,MATCH([1]FINAL!$BF$1,[1]FINAL!$A$1:$BZ$1,0),0),0)</f>
        <v>0</v>
      </c>
      <c r="M875" s="7">
        <f t="shared" si="67"/>
        <v>0</v>
      </c>
      <c r="N875" s="6">
        <f>IFERROR(VLOOKUP($A875,#REF!,MATCH(#REF!,#REF!,0),0),0)</f>
        <v>0</v>
      </c>
      <c r="O875" s="7">
        <f t="shared" si="68"/>
        <v>0</v>
      </c>
      <c r="P875" s="10" t="str">
        <f>IFERROR(VLOOKUP($A875,[1]FINAL!$A$1:$BZ$1000,MATCH([1]FINAL!$BB$1,[1]FINAL!$A$1:$BZ$1,0),0),"")</f>
        <v/>
      </c>
      <c r="Q875" s="18">
        <f t="shared" si="69"/>
        <v>1</v>
      </c>
    </row>
    <row r="876" spans="1:17" x14ac:dyDescent="0.25">
      <c r="A876" s="14">
        <f>[1]FINAL!$A874</f>
        <v>0</v>
      </c>
      <c r="B876" s="20" t="str">
        <f>IFERROR(VLOOKUP($A876,[1]FINAL!$A$1:$Z$1000,MATCH([1]FINAL!$T$1,[1]FINAL!$A$1:$Z$1,0),0),"")</f>
        <v/>
      </c>
      <c r="C876" s="3" t="str">
        <f>IFERROR(VLOOKUP($A876,[1]FINAL!$A$1:$Z$1000,MATCH([1]FINAL!$U$1,[1]FINAL!$A$1:$Z$1,0),0),"")</f>
        <v/>
      </c>
      <c r="D876" s="3" t="str">
        <f>IFERROR(VLOOKUP($A876,[1]FINAL!$A$1:$Z$1000,MATCH([1]FINAL!$V$1,[1]FINAL!$A$1:$Z$1,0),0),"")</f>
        <v/>
      </c>
      <c r="E876" s="6">
        <f t="shared" si="65"/>
        <v>0</v>
      </c>
      <c r="F876" s="5">
        <f t="shared" si="66"/>
        <v>0</v>
      </c>
      <c r="G876" s="5">
        <f>IFERROR(IF(H876&lt;&gt;"",H876,VLOOKUP($A876,[1]FINAL!$A$1:$BZ$1000,MATCH([1]FINAL!$BL$1,[1]FINAL!$A$1:$BZ$1,0),0)),0)</f>
        <v>0</v>
      </c>
      <c r="I876" s="5">
        <f>IFERROR(IF(J876&lt;&gt;"",J876,(IF(VLOOKUP($A876,#REF!,MATCH(#REF!,#REF!,0),0)=0,G876,VLOOKUP($A876,#REF!,MATCH(#REF!,#REF!,0),0)))),G876)</f>
        <v>0</v>
      </c>
      <c r="K876" s="6">
        <f>IFERROR(VLOOKUP($A876,#REF!,MATCH(#REF!,#REF!,0),0),0)</f>
        <v>0</v>
      </c>
      <c r="L876" s="6">
        <f>IFERROR(VLOOKUP($A876,[1]FINAL!$A$1:$BZ$1000,MATCH([1]FINAL!$BF$1,[1]FINAL!$A$1:$BZ$1,0),0),0)</f>
        <v>0</v>
      </c>
      <c r="M876" s="7">
        <f t="shared" si="67"/>
        <v>0</v>
      </c>
      <c r="N876" s="6">
        <f>IFERROR(VLOOKUP($A876,#REF!,MATCH(#REF!,#REF!,0),0),0)</f>
        <v>0</v>
      </c>
      <c r="O876" s="7">
        <f t="shared" si="68"/>
        <v>0</v>
      </c>
      <c r="P876" s="10" t="str">
        <f>IFERROR(VLOOKUP($A876,[1]FINAL!$A$1:$BZ$1000,MATCH([1]FINAL!$BB$1,[1]FINAL!$A$1:$BZ$1,0),0),"")</f>
        <v/>
      </c>
      <c r="Q876" s="18">
        <f t="shared" si="69"/>
        <v>1</v>
      </c>
    </row>
    <row r="877" spans="1:17" x14ac:dyDescent="0.25">
      <c r="A877" s="14">
        <f>[1]FINAL!$A875</f>
        <v>0</v>
      </c>
      <c r="B877" s="20" t="str">
        <f>IFERROR(VLOOKUP($A877,[1]FINAL!$A$1:$Z$1000,MATCH([1]FINAL!$T$1,[1]FINAL!$A$1:$Z$1,0),0),"")</f>
        <v/>
      </c>
      <c r="C877" s="3" t="str">
        <f>IFERROR(VLOOKUP($A877,[1]FINAL!$A$1:$Z$1000,MATCH([1]FINAL!$U$1,[1]FINAL!$A$1:$Z$1,0),0),"")</f>
        <v/>
      </c>
      <c r="D877" s="3" t="str">
        <f>IFERROR(VLOOKUP($A877,[1]FINAL!$A$1:$Z$1000,MATCH([1]FINAL!$V$1,[1]FINAL!$A$1:$Z$1,0),0),"")</f>
        <v/>
      </c>
      <c r="E877" s="6">
        <f t="shared" si="65"/>
        <v>0</v>
      </c>
      <c r="F877" s="5">
        <f t="shared" si="66"/>
        <v>0</v>
      </c>
      <c r="G877" s="5">
        <f>IFERROR(IF(H877&lt;&gt;"",H877,VLOOKUP($A877,[1]FINAL!$A$1:$BZ$1000,MATCH([1]FINAL!$BL$1,[1]FINAL!$A$1:$BZ$1,0),0)),0)</f>
        <v>0</v>
      </c>
      <c r="I877" s="5">
        <f>IFERROR(IF(J877&lt;&gt;"",J877,(IF(VLOOKUP($A877,#REF!,MATCH(#REF!,#REF!,0),0)=0,G877,VLOOKUP($A877,#REF!,MATCH(#REF!,#REF!,0),0)))),G877)</f>
        <v>0</v>
      </c>
      <c r="K877" s="6">
        <f>IFERROR(VLOOKUP($A877,#REF!,MATCH(#REF!,#REF!,0),0),0)</f>
        <v>0</v>
      </c>
      <c r="L877" s="6">
        <f>IFERROR(VLOOKUP($A877,[1]FINAL!$A$1:$BZ$1000,MATCH([1]FINAL!$BF$1,[1]FINAL!$A$1:$BZ$1,0),0),0)</f>
        <v>0</v>
      </c>
      <c r="M877" s="7">
        <f t="shared" si="67"/>
        <v>0</v>
      </c>
      <c r="N877" s="6">
        <f>IFERROR(VLOOKUP($A877,#REF!,MATCH(#REF!,#REF!,0),0),0)</f>
        <v>0</v>
      </c>
      <c r="O877" s="7">
        <f t="shared" si="68"/>
        <v>0</v>
      </c>
      <c r="P877" s="10" t="str">
        <f>IFERROR(VLOOKUP($A877,[1]FINAL!$A$1:$BZ$1000,MATCH([1]FINAL!$BB$1,[1]FINAL!$A$1:$BZ$1,0),0),"")</f>
        <v/>
      </c>
      <c r="Q877" s="18">
        <f t="shared" si="69"/>
        <v>1</v>
      </c>
    </row>
    <row r="878" spans="1:17" x14ac:dyDescent="0.25">
      <c r="A878" s="14">
        <f>[1]FINAL!$A876</f>
        <v>0</v>
      </c>
      <c r="B878" s="20" t="str">
        <f>IFERROR(VLOOKUP($A878,[1]FINAL!$A$1:$Z$1000,MATCH([1]FINAL!$T$1,[1]FINAL!$A$1:$Z$1,0),0),"")</f>
        <v/>
      </c>
      <c r="C878" s="3" t="str">
        <f>IFERROR(VLOOKUP($A878,[1]FINAL!$A$1:$Z$1000,MATCH([1]FINAL!$U$1,[1]FINAL!$A$1:$Z$1,0),0),"")</f>
        <v/>
      </c>
      <c r="D878" s="3" t="str">
        <f>IFERROR(VLOOKUP($A878,[1]FINAL!$A$1:$Z$1000,MATCH([1]FINAL!$V$1,[1]FINAL!$A$1:$Z$1,0),0),"")</f>
        <v/>
      </c>
      <c r="E878" s="6">
        <f t="shared" si="65"/>
        <v>0</v>
      </c>
      <c r="F878" s="5">
        <f t="shared" si="66"/>
        <v>0</v>
      </c>
      <c r="G878" s="5">
        <f>IFERROR(IF(H878&lt;&gt;"",H878,VLOOKUP($A878,[1]FINAL!$A$1:$BZ$1000,MATCH([1]FINAL!$BL$1,[1]FINAL!$A$1:$BZ$1,0),0)),0)</f>
        <v>0</v>
      </c>
      <c r="I878" s="5">
        <f>IFERROR(IF(J878&lt;&gt;"",J878,(IF(VLOOKUP($A878,#REF!,MATCH(#REF!,#REF!,0),0)=0,G878,VLOOKUP($A878,#REF!,MATCH(#REF!,#REF!,0),0)))),G878)</f>
        <v>0</v>
      </c>
      <c r="K878" s="6">
        <f>IFERROR(VLOOKUP($A878,#REF!,MATCH(#REF!,#REF!,0),0),0)</f>
        <v>0</v>
      </c>
      <c r="L878" s="6">
        <f>IFERROR(VLOOKUP($A878,[1]FINAL!$A$1:$BZ$1000,MATCH([1]FINAL!$BF$1,[1]FINAL!$A$1:$BZ$1,0),0),0)</f>
        <v>0</v>
      </c>
      <c r="M878" s="7">
        <f t="shared" si="67"/>
        <v>0</v>
      </c>
      <c r="N878" s="6">
        <f>IFERROR(VLOOKUP($A878,#REF!,MATCH(#REF!,#REF!,0),0),0)</f>
        <v>0</v>
      </c>
      <c r="O878" s="7">
        <f t="shared" si="68"/>
        <v>0</v>
      </c>
      <c r="P878" s="10" t="str">
        <f>IFERROR(VLOOKUP($A878,[1]FINAL!$A$1:$BZ$1000,MATCH([1]FINAL!$BB$1,[1]FINAL!$A$1:$BZ$1,0),0),"")</f>
        <v/>
      </c>
      <c r="Q878" s="18">
        <f t="shared" si="69"/>
        <v>1</v>
      </c>
    </row>
    <row r="879" spans="1:17" x14ac:dyDescent="0.25">
      <c r="A879" s="14">
        <f>[1]FINAL!$A877</f>
        <v>0</v>
      </c>
      <c r="B879" s="20" t="str">
        <f>IFERROR(VLOOKUP($A879,[1]FINAL!$A$1:$Z$1000,MATCH([1]FINAL!$T$1,[1]FINAL!$A$1:$Z$1,0),0),"")</f>
        <v/>
      </c>
      <c r="C879" s="3" t="str">
        <f>IFERROR(VLOOKUP($A879,[1]FINAL!$A$1:$Z$1000,MATCH([1]FINAL!$U$1,[1]FINAL!$A$1:$Z$1,0),0),"")</f>
        <v/>
      </c>
      <c r="D879" s="3" t="str">
        <f>IFERROR(VLOOKUP($A879,[1]FINAL!$A$1:$Z$1000,MATCH([1]FINAL!$V$1,[1]FINAL!$A$1:$Z$1,0),0),"")</f>
        <v/>
      </c>
      <c r="E879" s="6">
        <f t="shared" si="65"/>
        <v>0</v>
      </c>
      <c r="F879" s="5">
        <f t="shared" si="66"/>
        <v>0</v>
      </c>
      <c r="G879" s="5">
        <f>IFERROR(IF(H879&lt;&gt;"",H879,VLOOKUP($A879,[1]FINAL!$A$1:$BZ$1000,MATCH([1]FINAL!$BL$1,[1]FINAL!$A$1:$BZ$1,0),0)),0)</f>
        <v>0</v>
      </c>
      <c r="I879" s="5">
        <f>IFERROR(IF(J879&lt;&gt;"",J879,(IF(VLOOKUP($A879,#REF!,MATCH(#REF!,#REF!,0),0)=0,G879,VLOOKUP($A879,#REF!,MATCH(#REF!,#REF!,0),0)))),G879)</f>
        <v>0</v>
      </c>
      <c r="K879" s="6">
        <f>IFERROR(VLOOKUP($A879,#REF!,MATCH(#REF!,#REF!,0),0),0)</f>
        <v>0</v>
      </c>
      <c r="L879" s="6">
        <f>IFERROR(VLOOKUP($A879,[1]FINAL!$A$1:$BZ$1000,MATCH([1]FINAL!$BF$1,[1]FINAL!$A$1:$BZ$1,0),0),0)</f>
        <v>0</v>
      </c>
      <c r="M879" s="7">
        <f t="shared" si="67"/>
        <v>0</v>
      </c>
      <c r="N879" s="6">
        <f>IFERROR(VLOOKUP($A879,#REF!,MATCH(#REF!,#REF!,0),0),0)</f>
        <v>0</v>
      </c>
      <c r="O879" s="7">
        <f t="shared" si="68"/>
        <v>0</v>
      </c>
      <c r="P879" s="10" t="str">
        <f>IFERROR(VLOOKUP($A879,[1]FINAL!$A$1:$BZ$1000,MATCH([1]FINAL!$BB$1,[1]FINAL!$A$1:$BZ$1,0),0),"")</f>
        <v/>
      </c>
      <c r="Q879" s="18">
        <f t="shared" si="69"/>
        <v>1</v>
      </c>
    </row>
    <row r="880" spans="1:17" x14ac:dyDescent="0.25">
      <c r="A880" s="14">
        <f>[1]FINAL!$A878</f>
        <v>0</v>
      </c>
      <c r="B880" s="20" t="str">
        <f>IFERROR(VLOOKUP($A880,[1]FINAL!$A$1:$Z$1000,MATCH([1]FINAL!$T$1,[1]FINAL!$A$1:$Z$1,0),0),"")</f>
        <v/>
      </c>
      <c r="C880" s="3" t="str">
        <f>IFERROR(VLOOKUP($A880,[1]FINAL!$A$1:$Z$1000,MATCH([1]FINAL!$U$1,[1]FINAL!$A$1:$Z$1,0),0),"")</f>
        <v/>
      </c>
      <c r="D880" s="3" t="str">
        <f>IFERROR(VLOOKUP($A880,[1]FINAL!$A$1:$Z$1000,MATCH([1]FINAL!$V$1,[1]FINAL!$A$1:$Z$1,0),0),"")</f>
        <v/>
      </c>
      <c r="E880" s="6">
        <f t="shared" si="65"/>
        <v>0</v>
      </c>
      <c r="F880" s="5">
        <f t="shared" si="66"/>
        <v>0</v>
      </c>
      <c r="G880" s="5">
        <f>IFERROR(IF(H880&lt;&gt;"",H880,VLOOKUP($A880,[1]FINAL!$A$1:$BZ$1000,MATCH([1]FINAL!$BL$1,[1]FINAL!$A$1:$BZ$1,0),0)),0)</f>
        <v>0</v>
      </c>
      <c r="I880" s="5">
        <f>IFERROR(IF(J880&lt;&gt;"",J880,(IF(VLOOKUP($A880,#REF!,MATCH(#REF!,#REF!,0),0)=0,G880,VLOOKUP($A880,#REF!,MATCH(#REF!,#REF!,0),0)))),G880)</f>
        <v>0</v>
      </c>
      <c r="K880" s="6">
        <f>IFERROR(VLOOKUP($A880,#REF!,MATCH(#REF!,#REF!,0),0),0)</f>
        <v>0</v>
      </c>
      <c r="L880" s="6">
        <f>IFERROR(VLOOKUP($A880,[1]FINAL!$A$1:$BZ$1000,MATCH([1]FINAL!$BF$1,[1]FINAL!$A$1:$BZ$1,0),0),0)</f>
        <v>0</v>
      </c>
      <c r="M880" s="7">
        <f t="shared" si="67"/>
        <v>0</v>
      </c>
      <c r="N880" s="6">
        <f>IFERROR(VLOOKUP($A880,#REF!,MATCH(#REF!,#REF!,0),0),0)</f>
        <v>0</v>
      </c>
      <c r="O880" s="7">
        <f t="shared" si="68"/>
        <v>0</v>
      </c>
      <c r="P880" s="10" t="str">
        <f>IFERROR(VLOOKUP($A880,[1]FINAL!$A$1:$BZ$1000,MATCH([1]FINAL!$BB$1,[1]FINAL!$A$1:$BZ$1,0),0),"")</f>
        <v/>
      </c>
      <c r="Q880" s="18">
        <f t="shared" si="69"/>
        <v>1</v>
      </c>
    </row>
    <row r="881" spans="1:17" x14ac:dyDescent="0.25">
      <c r="A881" s="14">
        <f>[1]FINAL!$A879</f>
        <v>0</v>
      </c>
      <c r="B881" s="20" t="str">
        <f>IFERROR(VLOOKUP($A881,[1]FINAL!$A$1:$Z$1000,MATCH([1]FINAL!$T$1,[1]FINAL!$A$1:$Z$1,0),0),"")</f>
        <v/>
      </c>
      <c r="C881" s="3" t="str">
        <f>IFERROR(VLOOKUP($A881,[1]FINAL!$A$1:$Z$1000,MATCH([1]FINAL!$U$1,[1]FINAL!$A$1:$Z$1,0),0),"")</f>
        <v/>
      </c>
      <c r="D881" s="3" t="str">
        <f>IFERROR(VLOOKUP($A881,[1]FINAL!$A$1:$Z$1000,MATCH([1]FINAL!$V$1,[1]FINAL!$A$1:$Z$1,0),0),"")</f>
        <v/>
      </c>
      <c r="E881" s="6">
        <f t="shared" si="65"/>
        <v>0</v>
      </c>
      <c r="F881" s="5">
        <f t="shared" si="66"/>
        <v>0</v>
      </c>
      <c r="G881" s="5">
        <f>IFERROR(IF(H881&lt;&gt;"",H881,VLOOKUP($A881,[1]FINAL!$A$1:$BZ$1000,MATCH([1]FINAL!$BL$1,[1]FINAL!$A$1:$BZ$1,0),0)),0)</f>
        <v>0</v>
      </c>
      <c r="I881" s="5">
        <f>IFERROR(IF(J881&lt;&gt;"",J881,(IF(VLOOKUP($A881,#REF!,MATCH(#REF!,#REF!,0),0)=0,G881,VLOOKUP($A881,#REF!,MATCH(#REF!,#REF!,0),0)))),G881)</f>
        <v>0</v>
      </c>
      <c r="K881" s="6">
        <f>IFERROR(VLOOKUP($A881,#REF!,MATCH(#REF!,#REF!,0),0),0)</f>
        <v>0</v>
      </c>
      <c r="L881" s="6">
        <f>IFERROR(VLOOKUP($A881,[1]FINAL!$A$1:$BZ$1000,MATCH([1]FINAL!$BF$1,[1]FINAL!$A$1:$BZ$1,0),0),0)</f>
        <v>0</v>
      </c>
      <c r="M881" s="7">
        <f t="shared" si="67"/>
        <v>0</v>
      </c>
      <c r="N881" s="6">
        <f>IFERROR(VLOOKUP($A881,#REF!,MATCH(#REF!,#REF!,0),0),0)</f>
        <v>0</v>
      </c>
      <c r="O881" s="7">
        <f t="shared" si="68"/>
        <v>0</v>
      </c>
      <c r="P881" s="10" t="str">
        <f>IFERROR(VLOOKUP($A881,[1]FINAL!$A$1:$BZ$1000,MATCH([1]FINAL!$BB$1,[1]FINAL!$A$1:$BZ$1,0),0),"")</f>
        <v/>
      </c>
      <c r="Q881" s="18">
        <f t="shared" si="69"/>
        <v>1</v>
      </c>
    </row>
    <row r="882" spans="1:17" x14ac:dyDescent="0.25">
      <c r="A882" s="14">
        <f>[1]FINAL!$A880</f>
        <v>0</v>
      </c>
      <c r="B882" s="20" t="str">
        <f>IFERROR(VLOOKUP($A882,[1]FINAL!$A$1:$Z$1000,MATCH([1]FINAL!$T$1,[1]FINAL!$A$1:$Z$1,0),0),"")</f>
        <v/>
      </c>
      <c r="C882" s="3" t="str">
        <f>IFERROR(VLOOKUP($A882,[1]FINAL!$A$1:$Z$1000,MATCH([1]FINAL!$U$1,[1]FINAL!$A$1:$Z$1,0),0),"")</f>
        <v/>
      </c>
      <c r="D882" s="3" t="str">
        <f>IFERROR(VLOOKUP($A882,[1]FINAL!$A$1:$Z$1000,MATCH([1]FINAL!$V$1,[1]FINAL!$A$1:$Z$1,0),0),"")</f>
        <v/>
      </c>
      <c r="E882" s="6">
        <f t="shared" si="65"/>
        <v>0</v>
      </c>
      <c r="F882" s="5">
        <f t="shared" si="66"/>
        <v>0</v>
      </c>
      <c r="G882" s="5">
        <f>IFERROR(IF(H882&lt;&gt;"",H882,VLOOKUP($A882,[1]FINAL!$A$1:$BZ$1000,MATCH([1]FINAL!$BL$1,[1]FINAL!$A$1:$BZ$1,0),0)),0)</f>
        <v>0</v>
      </c>
      <c r="I882" s="5">
        <f>IFERROR(IF(J882&lt;&gt;"",J882,(IF(VLOOKUP($A882,#REF!,MATCH(#REF!,#REF!,0),0)=0,G882,VLOOKUP($A882,#REF!,MATCH(#REF!,#REF!,0),0)))),G882)</f>
        <v>0</v>
      </c>
      <c r="K882" s="6">
        <f>IFERROR(VLOOKUP($A882,#REF!,MATCH(#REF!,#REF!,0),0),0)</f>
        <v>0</v>
      </c>
      <c r="L882" s="6">
        <f>IFERROR(VLOOKUP($A882,[1]FINAL!$A$1:$BZ$1000,MATCH([1]FINAL!$BF$1,[1]FINAL!$A$1:$BZ$1,0),0),0)</f>
        <v>0</v>
      </c>
      <c r="M882" s="7">
        <f t="shared" si="67"/>
        <v>0</v>
      </c>
      <c r="N882" s="6">
        <f>IFERROR(VLOOKUP($A882,#REF!,MATCH(#REF!,#REF!,0),0),0)</f>
        <v>0</v>
      </c>
      <c r="O882" s="7">
        <f t="shared" si="68"/>
        <v>0</v>
      </c>
      <c r="P882" s="10" t="str">
        <f>IFERROR(VLOOKUP($A882,[1]FINAL!$A$1:$BZ$1000,MATCH([1]FINAL!$BB$1,[1]FINAL!$A$1:$BZ$1,0),0),"")</f>
        <v/>
      </c>
      <c r="Q882" s="18">
        <f t="shared" si="69"/>
        <v>1</v>
      </c>
    </row>
    <row r="883" spans="1:17" x14ac:dyDescent="0.25">
      <c r="A883" s="14">
        <f>[1]FINAL!$A881</f>
        <v>0</v>
      </c>
      <c r="B883" s="20" t="str">
        <f>IFERROR(VLOOKUP($A883,[1]FINAL!$A$1:$Z$1000,MATCH([1]FINAL!$T$1,[1]FINAL!$A$1:$Z$1,0),0),"")</f>
        <v/>
      </c>
      <c r="C883" s="3" t="str">
        <f>IFERROR(VLOOKUP($A883,[1]FINAL!$A$1:$Z$1000,MATCH([1]FINAL!$U$1,[1]FINAL!$A$1:$Z$1,0),0),"")</f>
        <v/>
      </c>
      <c r="D883" s="3" t="str">
        <f>IFERROR(VLOOKUP($A883,[1]FINAL!$A$1:$Z$1000,MATCH([1]FINAL!$V$1,[1]FINAL!$A$1:$Z$1,0),0),"")</f>
        <v/>
      </c>
      <c r="E883" s="6">
        <f t="shared" si="65"/>
        <v>0</v>
      </c>
      <c r="F883" s="5">
        <f t="shared" si="66"/>
        <v>0</v>
      </c>
      <c r="G883" s="5">
        <f>IFERROR(IF(H883&lt;&gt;"",H883,VLOOKUP($A883,[1]FINAL!$A$1:$BZ$1000,MATCH([1]FINAL!$BL$1,[1]FINAL!$A$1:$BZ$1,0),0)),0)</f>
        <v>0</v>
      </c>
      <c r="I883" s="5">
        <f>IFERROR(IF(J883&lt;&gt;"",J883,(IF(VLOOKUP($A883,#REF!,MATCH(#REF!,#REF!,0),0)=0,G883,VLOOKUP($A883,#REF!,MATCH(#REF!,#REF!,0),0)))),G883)</f>
        <v>0</v>
      </c>
      <c r="K883" s="6">
        <f>IFERROR(VLOOKUP($A883,#REF!,MATCH(#REF!,#REF!,0),0),0)</f>
        <v>0</v>
      </c>
      <c r="L883" s="6">
        <f>IFERROR(VLOOKUP($A883,[1]FINAL!$A$1:$BZ$1000,MATCH([1]FINAL!$BF$1,[1]FINAL!$A$1:$BZ$1,0),0),0)</f>
        <v>0</v>
      </c>
      <c r="M883" s="7">
        <f t="shared" si="67"/>
        <v>0</v>
      </c>
      <c r="N883" s="6">
        <f>IFERROR(VLOOKUP($A883,#REF!,MATCH(#REF!,#REF!,0),0),0)</f>
        <v>0</v>
      </c>
      <c r="O883" s="7">
        <f t="shared" si="68"/>
        <v>0</v>
      </c>
      <c r="P883" s="10" t="str">
        <f>IFERROR(VLOOKUP($A883,[1]FINAL!$A$1:$BZ$1000,MATCH([1]FINAL!$BB$1,[1]FINAL!$A$1:$BZ$1,0),0),"")</f>
        <v/>
      </c>
      <c r="Q883" s="18">
        <f t="shared" si="69"/>
        <v>1</v>
      </c>
    </row>
    <row r="884" spans="1:17" x14ac:dyDescent="0.25">
      <c r="A884" s="14">
        <f>[1]FINAL!$A882</f>
        <v>0</v>
      </c>
      <c r="B884" s="20" t="str">
        <f>IFERROR(VLOOKUP($A884,[1]FINAL!$A$1:$Z$1000,MATCH([1]FINAL!$T$1,[1]FINAL!$A$1:$Z$1,0),0),"")</f>
        <v/>
      </c>
      <c r="C884" s="3" t="str">
        <f>IFERROR(VLOOKUP($A884,[1]FINAL!$A$1:$Z$1000,MATCH([1]FINAL!$U$1,[1]FINAL!$A$1:$Z$1,0),0),"")</f>
        <v/>
      </c>
      <c r="D884" s="3" t="str">
        <f>IFERROR(VLOOKUP($A884,[1]FINAL!$A$1:$Z$1000,MATCH([1]FINAL!$V$1,[1]FINAL!$A$1:$Z$1,0),0),"")</f>
        <v/>
      </c>
      <c r="E884" s="6">
        <f t="shared" si="65"/>
        <v>0</v>
      </c>
      <c r="F884" s="5">
        <f t="shared" si="66"/>
        <v>0</v>
      </c>
      <c r="G884" s="5">
        <f>IFERROR(IF(H884&lt;&gt;"",H884,VLOOKUP($A884,[1]FINAL!$A$1:$BZ$1000,MATCH([1]FINAL!$BL$1,[1]FINAL!$A$1:$BZ$1,0),0)),0)</f>
        <v>0</v>
      </c>
      <c r="I884" s="5">
        <f>IFERROR(IF(J884&lt;&gt;"",J884,(IF(VLOOKUP($A884,#REF!,MATCH(#REF!,#REF!,0),0)=0,G884,VLOOKUP($A884,#REF!,MATCH(#REF!,#REF!,0),0)))),G884)</f>
        <v>0</v>
      </c>
      <c r="K884" s="6">
        <f>IFERROR(VLOOKUP($A884,#REF!,MATCH(#REF!,#REF!,0),0),0)</f>
        <v>0</v>
      </c>
      <c r="L884" s="6">
        <f>IFERROR(VLOOKUP($A884,[1]FINAL!$A$1:$BZ$1000,MATCH([1]FINAL!$BF$1,[1]FINAL!$A$1:$BZ$1,0),0),0)</f>
        <v>0</v>
      </c>
      <c r="M884" s="7">
        <f t="shared" si="67"/>
        <v>0</v>
      </c>
      <c r="N884" s="6">
        <f>IFERROR(VLOOKUP($A884,#REF!,MATCH(#REF!,#REF!,0),0),0)</f>
        <v>0</v>
      </c>
      <c r="O884" s="7">
        <f t="shared" si="68"/>
        <v>0</v>
      </c>
      <c r="P884" s="10" t="str">
        <f>IFERROR(VLOOKUP($A884,[1]FINAL!$A$1:$BZ$1000,MATCH([1]FINAL!$BB$1,[1]FINAL!$A$1:$BZ$1,0),0),"")</f>
        <v/>
      </c>
      <c r="Q884" s="18">
        <f t="shared" si="69"/>
        <v>1</v>
      </c>
    </row>
    <row r="885" spans="1:17" x14ac:dyDescent="0.25">
      <c r="A885" s="14">
        <f>[1]FINAL!$A883</f>
        <v>0</v>
      </c>
      <c r="B885" s="20" t="str">
        <f>IFERROR(VLOOKUP($A885,[1]FINAL!$A$1:$Z$1000,MATCH([1]FINAL!$T$1,[1]FINAL!$A$1:$Z$1,0),0),"")</f>
        <v/>
      </c>
      <c r="C885" s="3" t="str">
        <f>IFERROR(VLOOKUP($A885,[1]FINAL!$A$1:$Z$1000,MATCH([1]FINAL!$U$1,[1]FINAL!$A$1:$Z$1,0),0),"")</f>
        <v/>
      </c>
      <c r="D885" s="3" t="str">
        <f>IFERROR(VLOOKUP($A885,[1]FINAL!$A$1:$Z$1000,MATCH([1]FINAL!$V$1,[1]FINAL!$A$1:$Z$1,0),0),"")</f>
        <v/>
      </c>
      <c r="E885" s="6">
        <f t="shared" si="65"/>
        <v>0</v>
      </c>
      <c r="F885" s="5">
        <f t="shared" si="66"/>
        <v>0</v>
      </c>
      <c r="G885" s="5">
        <f>IFERROR(IF(H885&lt;&gt;"",H885,VLOOKUP($A885,[1]FINAL!$A$1:$BZ$1000,MATCH([1]FINAL!$BL$1,[1]FINAL!$A$1:$BZ$1,0),0)),0)</f>
        <v>0</v>
      </c>
      <c r="I885" s="5">
        <f>IFERROR(IF(J885&lt;&gt;"",J885,(IF(VLOOKUP($A885,#REF!,MATCH(#REF!,#REF!,0),0)=0,G885,VLOOKUP($A885,#REF!,MATCH(#REF!,#REF!,0),0)))),G885)</f>
        <v>0</v>
      </c>
      <c r="K885" s="6">
        <f>IFERROR(VLOOKUP($A885,#REF!,MATCH(#REF!,#REF!,0),0),0)</f>
        <v>0</v>
      </c>
      <c r="L885" s="6">
        <f>IFERROR(VLOOKUP($A885,[1]FINAL!$A$1:$BZ$1000,MATCH([1]FINAL!$BF$1,[1]FINAL!$A$1:$BZ$1,0),0),0)</f>
        <v>0</v>
      </c>
      <c r="M885" s="7">
        <f t="shared" si="67"/>
        <v>0</v>
      </c>
      <c r="N885" s="6">
        <f>IFERROR(VLOOKUP($A885,#REF!,MATCH(#REF!,#REF!,0),0),0)</f>
        <v>0</v>
      </c>
      <c r="O885" s="7">
        <f t="shared" si="68"/>
        <v>0</v>
      </c>
      <c r="P885" s="10" t="str">
        <f>IFERROR(VLOOKUP($A885,[1]FINAL!$A$1:$BZ$1000,MATCH([1]FINAL!$BB$1,[1]FINAL!$A$1:$BZ$1,0),0),"")</f>
        <v/>
      </c>
      <c r="Q885" s="18">
        <f t="shared" si="69"/>
        <v>1</v>
      </c>
    </row>
    <row r="886" spans="1:17" x14ac:dyDescent="0.25">
      <c r="A886" s="14">
        <f>[1]FINAL!$A884</f>
        <v>0</v>
      </c>
      <c r="B886" s="20" t="str">
        <f>IFERROR(VLOOKUP($A886,[1]FINAL!$A$1:$Z$1000,MATCH([1]FINAL!$T$1,[1]FINAL!$A$1:$Z$1,0),0),"")</f>
        <v/>
      </c>
      <c r="C886" s="3" t="str">
        <f>IFERROR(VLOOKUP($A886,[1]FINAL!$A$1:$Z$1000,MATCH([1]FINAL!$U$1,[1]FINAL!$A$1:$Z$1,0),0),"")</f>
        <v/>
      </c>
      <c r="D886" s="3" t="str">
        <f>IFERROR(VLOOKUP($A886,[1]FINAL!$A$1:$Z$1000,MATCH([1]FINAL!$V$1,[1]FINAL!$A$1:$Z$1,0),0),"")</f>
        <v/>
      </c>
      <c r="E886" s="6">
        <f t="shared" si="65"/>
        <v>0</v>
      </c>
      <c r="F886" s="5">
        <f t="shared" si="66"/>
        <v>0</v>
      </c>
      <c r="G886" s="5">
        <f>IFERROR(IF(H886&lt;&gt;"",H886,VLOOKUP($A886,[1]FINAL!$A$1:$BZ$1000,MATCH([1]FINAL!$BL$1,[1]FINAL!$A$1:$BZ$1,0),0)),0)</f>
        <v>0</v>
      </c>
      <c r="I886" s="5">
        <f>IFERROR(IF(J886&lt;&gt;"",J886,(IF(VLOOKUP($A886,#REF!,MATCH(#REF!,#REF!,0),0)=0,G886,VLOOKUP($A886,#REF!,MATCH(#REF!,#REF!,0),0)))),G886)</f>
        <v>0</v>
      </c>
      <c r="K886" s="6">
        <f>IFERROR(VLOOKUP($A886,#REF!,MATCH(#REF!,#REF!,0),0),0)</f>
        <v>0</v>
      </c>
      <c r="L886" s="6">
        <f>IFERROR(VLOOKUP($A886,[1]FINAL!$A$1:$BZ$1000,MATCH([1]FINAL!$BF$1,[1]FINAL!$A$1:$BZ$1,0),0),0)</f>
        <v>0</v>
      </c>
      <c r="M886" s="7">
        <f t="shared" si="67"/>
        <v>0</v>
      </c>
      <c r="N886" s="6">
        <f>IFERROR(VLOOKUP($A886,#REF!,MATCH(#REF!,#REF!,0),0),0)</f>
        <v>0</v>
      </c>
      <c r="O886" s="7">
        <f t="shared" si="68"/>
        <v>0</v>
      </c>
      <c r="P886" s="10" t="str">
        <f>IFERROR(VLOOKUP($A886,[1]FINAL!$A$1:$BZ$1000,MATCH([1]FINAL!$BB$1,[1]FINAL!$A$1:$BZ$1,0),0),"")</f>
        <v/>
      </c>
      <c r="Q886" s="18">
        <f t="shared" si="69"/>
        <v>1</v>
      </c>
    </row>
    <row r="887" spans="1:17" x14ac:dyDescent="0.25">
      <c r="A887" s="14">
        <f>[1]FINAL!$A885</f>
        <v>0</v>
      </c>
      <c r="B887" s="20" t="str">
        <f>IFERROR(VLOOKUP($A887,[1]FINAL!$A$1:$Z$1000,MATCH([1]FINAL!$T$1,[1]FINAL!$A$1:$Z$1,0),0),"")</f>
        <v/>
      </c>
      <c r="C887" s="3" t="str">
        <f>IFERROR(VLOOKUP($A887,[1]FINAL!$A$1:$Z$1000,MATCH([1]FINAL!$U$1,[1]FINAL!$A$1:$Z$1,0),0),"")</f>
        <v/>
      </c>
      <c r="D887" s="3" t="str">
        <f>IFERROR(VLOOKUP($A887,[1]FINAL!$A$1:$Z$1000,MATCH([1]FINAL!$V$1,[1]FINAL!$A$1:$Z$1,0),0),"")</f>
        <v/>
      </c>
      <c r="E887" s="6">
        <f t="shared" si="65"/>
        <v>0</v>
      </c>
      <c r="F887" s="5">
        <f t="shared" si="66"/>
        <v>0</v>
      </c>
      <c r="G887" s="5">
        <f>IFERROR(IF(H887&lt;&gt;"",H887,VLOOKUP($A887,[1]FINAL!$A$1:$BZ$1000,MATCH([1]FINAL!$BL$1,[1]FINAL!$A$1:$BZ$1,0),0)),0)</f>
        <v>0</v>
      </c>
      <c r="I887" s="5">
        <f>IFERROR(IF(J887&lt;&gt;"",J887,(IF(VLOOKUP($A887,#REF!,MATCH(#REF!,#REF!,0),0)=0,G887,VLOOKUP($A887,#REF!,MATCH(#REF!,#REF!,0),0)))),G887)</f>
        <v>0</v>
      </c>
      <c r="K887" s="6">
        <f>IFERROR(VLOOKUP($A887,#REF!,MATCH(#REF!,#REF!,0),0),0)</f>
        <v>0</v>
      </c>
      <c r="L887" s="6">
        <f>IFERROR(VLOOKUP($A887,[1]FINAL!$A$1:$BZ$1000,MATCH([1]FINAL!$BF$1,[1]FINAL!$A$1:$BZ$1,0),0),0)</f>
        <v>0</v>
      </c>
      <c r="M887" s="7">
        <f t="shared" si="67"/>
        <v>0</v>
      </c>
      <c r="N887" s="6">
        <f>IFERROR(VLOOKUP($A887,#REF!,MATCH(#REF!,#REF!,0),0),0)</f>
        <v>0</v>
      </c>
      <c r="O887" s="7">
        <f t="shared" si="68"/>
        <v>0</v>
      </c>
      <c r="P887" s="10" t="str">
        <f>IFERROR(VLOOKUP($A887,[1]FINAL!$A$1:$BZ$1000,MATCH([1]FINAL!$BB$1,[1]FINAL!$A$1:$BZ$1,0),0),"")</f>
        <v/>
      </c>
      <c r="Q887" s="18">
        <f t="shared" si="69"/>
        <v>1</v>
      </c>
    </row>
    <row r="888" spans="1:17" x14ac:dyDescent="0.25">
      <c r="A888" s="14">
        <f>[1]FINAL!$A886</f>
        <v>0</v>
      </c>
      <c r="B888" s="20" t="str">
        <f>IFERROR(VLOOKUP($A888,[1]FINAL!$A$1:$Z$1000,MATCH([1]FINAL!$T$1,[1]FINAL!$A$1:$Z$1,0),0),"")</f>
        <v/>
      </c>
      <c r="C888" s="3" t="str">
        <f>IFERROR(VLOOKUP($A888,[1]FINAL!$A$1:$Z$1000,MATCH([1]FINAL!$U$1,[1]FINAL!$A$1:$Z$1,0),0),"")</f>
        <v/>
      </c>
      <c r="D888" s="3" t="str">
        <f>IFERROR(VLOOKUP($A888,[1]FINAL!$A$1:$Z$1000,MATCH([1]FINAL!$V$1,[1]FINAL!$A$1:$Z$1,0),0),"")</f>
        <v/>
      </c>
      <c r="E888" s="6">
        <f t="shared" si="65"/>
        <v>0</v>
      </c>
      <c r="F888" s="5">
        <f t="shared" si="66"/>
        <v>0</v>
      </c>
      <c r="G888" s="5">
        <f>IFERROR(IF(H888&lt;&gt;"",H888,VLOOKUP($A888,[1]FINAL!$A$1:$BZ$1000,MATCH([1]FINAL!$BL$1,[1]FINAL!$A$1:$BZ$1,0),0)),0)</f>
        <v>0</v>
      </c>
      <c r="I888" s="5">
        <f>IFERROR(IF(J888&lt;&gt;"",J888,(IF(VLOOKUP($A888,#REF!,MATCH(#REF!,#REF!,0),0)=0,G888,VLOOKUP($A888,#REF!,MATCH(#REF!,#REF!,0),0)))),G888)</f>
        <v>0</v>
      </c>
      <c r="K888" s="6">
        <f>IFERROR(VLOOKUP($A888,#REF!,MATCH(#REF!,#REF!,0),0),0)</f>
        <v>0</v>
      </c>
      <c r="L888" s="6">
        <f>IFERROR(VLOOKUP($A888,[1]FINAL!$A$1:$BZ$1000,MATCH([1]FINAL!$BF$1,[1]FINAL!$A$1:$BZ$1,0),0),0)</f>
        <v>0</v>
      </c>
      <c r="M888" s="7">
        <f t="shared" si="67"/>
        <v>0</v>
      </c>
      <c r="N888" s="6">
        <f>IFERROR(VLOOKUP($A888,#REF!,MATCH(#REF!,#REF!,0),0),0)</f>
        <v>0</v>
      </c>
      <c r="O888" s="7">
        <f t="shared" si="68"/>
        <v>0</v>
      </c>
      <c r="P888" s="10" t="str">
        <f>IFERROR(VLOOKUP($A888,[1]FINAL!$A$1:$BZ$1000,MATCH([1]FINAL!$BB$1,[1]FINAL!$A$1:$BZ$1,0),0),"")</f>
        <v/>
      </c>
      <c r="Q888" s="18">
        <f t="shared" si="69"/>
        <v>1</v>
      </c>
    </row>
    <row r="889" spans="1:17" x14ac:dyDescent="0.25">
      <c r="A889" s="14">
        <f>[1]FINAL!$A887</f>
        <v>0</v>
      </c>
      <c r="B889" s="20" t="str">
        <f>IFERROR(VLOOKUP($A889,[1]FINAL!$A$1:$Z$1000,MATCH([1]FINAL!$T$1,[1]FINAL!$A$1:$Z$1,0),0),"")</f>
        <v/>
      </c>
      <c r="C889" s="3" t="str">
        <f>IFERROR(VLOOKUP($A889,[1]FINAL!$A$1:$Z$1000,MATCH([1]FINAL!$U$1,[1]FINAL!$A$1:$Z$1,0),0),"")</f>
        <v/>
      </c>
      <c r="D889" s="3" t="str">
        <f>IFERROR(VLOOKUP($A889,[1]FINAL!$A$1:$Z$1000,MATCH([1]FINAL!$V$1,[1]FINAL!$A$1:$Z$1,0),0),"")</f>
        <v/>
      </c>
      <c r="E889" s="6">
        <f t="shared" si="65"/>
        <v>0</v>
      </c>
      <c r="F889" s="5">
        <f t="shared" si="66"/>
        <v>0</v>
      </c>
      <c r="G889" s="5">
        <f>IFERROR(IF(H889&lt;&gt;"",H889,VLOOKUP($A889,[1]FINAL!$A$1:$BZ$1000,MATCH([1]FINAL!$BL$1,[1]FINAL!$A$1:$BZ$1,0),0)),0)</f>
        <v>0</v>
      </c>
      <c r="I889" s="5">
        <f>IFERROR(IF(J889&lt;&gt;"",J889,(IF(VLOOKUP($A889,#REF!,MATCH(#REF!,#REF!,0),0)=0,G889,VLOOKUP($A889,#REF!,MATCH(#REF!,#REF!,0),0)))),G889)</f>
        <v>0</v>
      </c>
      <c r="K889" s="6">
        <f>IFERROR(VLOOKUP($A889,#REF!,MATCH(#REF!,#REF!,0),0),0)</f>
        <v>0</v>
      </c>
      <c r="L889" s="6">
        <f>IFERROR(VLOOKUP($A889,[1]FINAL!$A$1:$BZ$1000,MATCH([1]FINAL!$BF$1,[1]FINAL!$A$1:$BZ$1,0),0),0)</f>
        <v>0</v>
      </c>
      <c r="M889" s="7">
        <f t="shared" si="67"/>
        <v>0</v>
      </c>
      <c r="N889" s="6">
        <f>IFERROR(VLOOKUP($A889,#REF!,MATCH(#REF!,#REF!,0),0),0)</f>
        <v>0</v>
      </c>
      <c r="O889" s="7">
        <f t="shared" si="68"/>
        <v>0</v>
      </c>
      <c r="P889" s="10" t="str">
        <f>IFERROR(VLOOKUP($A889,[1]FINAL!$A$1:$BZ$1000,MATCH([1]FINAL!$BB$1,[1]FINAL!$A$1:$BZ$1,0),0),"")</f>
        <v/>
      </c>
      <c r="Q889" s="18">
        <f t="shared" si="69"/>
        <v>1</v>
      </c>
    </row>
    <row r="890" spans="1:17" x14ac:dyDescent="0.25">
      <c r="A890" s="14">
        <f>[1]FINAL!$A888</f>
        <v>0</v>
      </c>
      <c r="B890" s="20" t="str">
        <f>IFERROR(VLOOKUP($A890,[1]FINAL!$A$1:$Z$1000,MATCH([1]FINAL!$T$1,[1]FINAL!$A$1:$Z$1,0),0),"")</f>
        <v/>
      </c>
      <c r="C890" s="3" t="str">
        <f>IFERROR(VLOOKUP($A890,[1]FINAL!$A$1:$Z$1000,MATCH([1]FINAL!$U$1,[1]FINAL!$A$1:$Z$1,0),0),"")</f>
        <v/>
      </c>
      <c r="D890" s="3" t="str">
        <f>IFERROR(VLOOKUP($A890,[1]FINAL!$A$1:$Z$1000,MATCH([1]FINAL!$V$1,[1]FINAL!$A$1:$Z$1,0),0),"")</f>
        <v/>
      </c>
      <c r="E890" s="6">
        <f t="shared" si="65"/>
        <v>0</v>
      </c>
      <c r="F890" s="5">
        <f t="shared" si="66"/>
        <v>0</v>
      </c>
      <c r="G890" s="5">
        <f>IFERROR(IF(H890&lt;&gt;"",H890,VLOOKUP($A890,[1]FINAL!$A$1:$BZ$1000,MATCH([1]FINAL!$BL$1,[1]FINAL!$A$1:$BZ$1,0),0)),0)</f>
        <v>0</v>
      </c>
      <c r="I890" s="5">
        <f>IFERROR(IF(J890&lt;&gt;"",J890,(IF(VLOOKUP($A890,#REF!,MATCH(#REF!,#REF!,0),0)=0,G890,VLOOKUP($A890,#REF!,MATCH(#REF!,#REF!,0),0)))),G890)</f>
        <v>0</v>
      </c>
      <c r="K890" s="6">
        <f>IFERROR(VLOOKUP($A890,#REF!,MATCH(#REF!,#REF!,0),0),0)</f>
        <v>0</v>
      </c>
      <c r="L890" s="6">
        <f>IFERROR(VLOOKUP($A890,[1]FINAL!$A$1:$BZ$1000,MATCH([1]FINAL!$BF$1,[1]FINAL!$A$1:$BZ$1,0),0),0)</f>
        <v>0</v>
      </c>
      <c r="M890" s="7">
        <f t="shared" si="67"/>
        <v>0</v>
      </c>
      <c r="N890" s="6">
        <f>IFERROR(VLOOKUP($A890,#REF!,MATCH(#REF!,#REF!,0),0),0)</f>
        <v>0</v>
      </c>
      <c r="O890" s="7">
        <f t="shared" si="68"/>
        <v>0</v>
      </c>
      <c r="P890" s="10" t="str">
        <f>IFERROR(VLOOKUP($A890,[1]FINAL!$A$1:$BZ$1000,MATCH([1]FINAL!$BB$1,[1]FINAL!$A$1:$BZ$1,0),0),"")</f>
        <v/>
      </c>
      <c r="Q890" s="18">
        <f t="shared" si="69"/>
        <v>1</v>
      </c>
    </row>
    <row r="891" spans="1:17" x14ac:dyDescent="0.25">
      <c r="A891" s="14">
        <f>[1]FINAL!$A889</f>
        <v>0</v>
      </c>
      <c r="B891" s="20" t="str">
        <f>IFERROR(VLOOKUP($A891,[1]FINAL!$A$1:$Z$1000,MATCH([1]FINAL!$T$1,[1]FINAL!$A$1:$Z$1,0),0),"")</f>
        <v/>
      </c>
      <c r="C891" s="3" t="str">
        <f>IFERROR(VLOOKUP($A891,[1]FINAL!$A$1:$Z$1000,MATCH([1]FINAL!$U$1,[1]FINAL!$A$1:$Z$1,0),0),"")</f>
        <v/>
      </c>
      <c r="D891" s="3" t="str">
        <f>IFERROR(VLOOKUP($A891,[1]FINAL!$A$1:$Z$1000,MATCH([1]FINAL!$V$1,[1]FINAL!$A$1:$Z$1,0),0),"")</f>
        <v/>
      </c>
      <c r="E891" s="6">
        <f t="shared" si="65"/>
        <v>0</v>
      </c>
      <c r="F891" s="5">
        <f t="shared" si="66"/>
        <v>0</v>
      </c>
      <c r="G891" s="5">
        <f>IFERROR(IF(H891&lt;&gt;"",H891,VLOOKUP($A891,[1]FINAL!$A$1:$BZ$1000,MATCH([1]FINAL!$BL$1,[1]FINAL!$A$1:$BZ$1,0),0)),0)</f>
        <v>0</v>
      </c>
      <c r="I891" s="5">
        <f>IFERROR(IF(J891&lt;&gt;"",J891,(IF(VLOOKUP($A891,#REF!,MATCH(#REF!,#REF!,0),0)=0,G891,VLOOKUP($A891,#REF!,MATCH(#REF!,#REF!,0),0)))),G891)</f>
        <v>0</v>
      </c>
      <c r="K891" s="6">
        <f>IFERROR(VLOOKUP($A891,#REF!,MATCH(#REF!,#REF!,0),0),0)</f>
        <v>0</v>
      </c>
      <c r="L891" s="6">
        <f>IFERROR(VLOOKUP($A891,[1]FINAL!$A$1:$BZ$1000,MATCH([1]FINAL!$BF$1,[1]FINAL!$A$1:$BZ$1,0),0),0)</f>
        <v>0</v>
      </c>
      <c r="M891" s="7">
        <f t="shared" si="67"/>
        <v>0</v>
      </c>
      <c r="N891" s="6">
        <f>IFERROR(VLOOKUP($A891,#REF!,MATCH(#REF!,#REF!,0),0),0)</f>
        <v>0</v>
      </c>
      <c r="O891" s="7">
        <f t="shared" si="68"/>
        <v>0</v>
      </c>
      <c r="P891" s="10" t="str">
        <f>IFERROR(VLOOKUP($A891,[1]FINAL!$A$1:$BZ$1000,MATCH([1]FINAL!$BB$1,[1]FINAL!$A$1:$BZ$1,0),0),"")</f>
        <v/>
      </c>
      <c r="Q891" s="18">
        <f t="shared" si="69"/>
        <v>1</v>
      </c>
    </row>
    <row r="892" spans="1:17" x14ac:dyDescent="0.25">
      <c r="A892" s="14">
        <f>[1]FINAL!$A890</f>
        <v>0</v>
      </c>
      <c r="B892" s="20" t="str">
        <f>IFERROR(VLOOKUP($A892,[1]FINAL!$A$1:$Z$1000,MATCH([1]FINAL!$T$1,[1]FINAL!$A$1:$Z$1,0),0),"")</f>
        <v/>
      </c>
      <c r="C892" s="3" t="str">
        <f>IFERROR(VLOOKUP($A892,[1]FINAL!$A$1:$Z$1000,MATCH([1]FINAL!$U$1,[1]FINAL!$A$1:$Z$1,0),0),"")</f>
        <v/>
      </c>
      <c r="D892" s="3" t="str">
        <f>IFERROR(VLOOKUP($A892,[1]FINAL!$A$1:$Z$1000,MATCH([1]FINAL!$V$1,[1]FINAL!$A$1:$Z$1,0),0),"")</f>
        <v/>
      </c>
      <c r="E892" s="6">
        <f t="shared" si="65"/>
        <v>0</v>
      </c>
      <c r="F892" s="5">
        <f t="shared" si="66"/>
        <v>0</v>
      </c>
      <c r="G892" s="5">
        <f>IFERROR(IF(H892&lt;&gt;"",H892,VLOOKUP($A892,[1]FINAL!$A$1:$BZ$1000,MATCH([1]FINAL!$BL$1,[1]FINAL!$A$1:$BZ$1,0),0)),0)</f>
        <v>0</v>
      </c>
      <c r="I892" s="5">
        <f>IFERROR(IF(J892&lt;&gt;"",J892,(IF(VLOOKUP($A892,#REF!,MATCH(#REF!,#REF!,0),0)=0,G892,VLOOKUP($A892,#REF!,MATCH(#REF!,#REF!,0),0)))),G892)</f>
        <v>0</v>
      </c>
      <c r="K892" s="6">
        <f>IFERROR(VLOOKUP($A892,#REF!,MATCH(#REF!,#REF!,0),0),0)</f>
        <v>0</v>
      </c>
      <c r="L892" s="6">
        <f>IFERROR(VLOOKUP($A892,[1]FINAL!$A$1:$BZ$1000,MATCH([1]FINAL!$BF$1,[1]FINAL!$A$1:$BZ$1,0),0),0)</f>
        <v>0</v>
      </c>
      <c r="M892" s="7">
        <f t="shared" si="67"/>
        <v>0</v>
      </c>
      <c r="N892" s="6">
        <f>IFERROR(VLOOKUP($A892,#REF!,MATCH(#REF!,#REF!,0),0),0)</f>
        <v>0</v>
      </c>
      <c r="O892" s="7">
        <f t="shared" si="68"/>
        <v>0</v>
      </c>
      <c r="P892" s="10" t="str">
        <f>IFERROR(VLOOKUP($A892,[1]FINAL!$A$1:$BZ$1000,MATCH([1]FINAL!$BB$1,[1]FINAL!$A$1:$BZ$1,0),0),"")</f>
        <v/>
      </c>
      <c r="Q892" s="18">
        <f t="shared" si="69"/>
        <v>1</v>
      </c>
    </row>
    <row r="893" spans="1:17" x14ac:dyDescent="0.25">
      <c r="A893" s="14">
        <f>[1]FINAL!$A891</f>
        <v>0</v>
      </c>
      <c r="B893" s="20" t="str">
        <f>IFERROR(VLOOKUP($A893,[1]FINAL!$A$1:$Z$1000,MATCH([1]FINAL!$T$1,[1]FINAL!$A$1:$Z$1,0),0),"")</f>
        <v/>
      </c>
      <c r="C893" s="3" t="str">
        <f>IFERROR(VLOOKUP($A893,[1]FINAL!$A$1:$Z$1000,MATCH([1]FINAL!$U$1,[1]FINAL!$A$1:$Z$1,0),0),"")</f>
        <v/>
      </c>
      <c r="D893" s="3" t="str">
        <f>IFERROR(VLOOKUP($A893,[1]FINAL!$A$1:$Z$1000,MATCH([1]FINAL!$V$1,[1]FINAL!$A$1:$Z$1,0),0),"")</f>
        <v/>
      </c>
      <c r="E893" s="6">
        <f t="shared" si="65"/>
        <v>0</v>
      </c>
      <c r="F893" s="5">
        <f t="shared" si="66"/>
        <v>0</v>
      </c>
      <c r="G893" s="5">
        <f>IFERROR(IF(H893&lt;&gt;"",H893,VLOOKUP($A893,[1]FINAL!$A$1:$BZ$1000,MATCH([1]FINAL!$BL$1,[1]FINAL!$A$1:$BZ$1,0),0)),0)</f>
        <v>0</v>
      </c>
      <c r="I893" s="5">
        <f>IFERROR(IF(J893&lt;&gt;"",J893,(IF(VLOOKUP($A893,#REF!,MATCH(#REF!,#REF!,0),0)=0,G893,VLOOKUP($A893,#REF!,MATCH(#REF!,#REF!,0),0)))),G893)</f>
        <v>0</v>
      </c>
      <c r="K893" s="6">
        <f>IFERROR(VLOOKUP($A893,#REF!,MATCH(#REF!,#REF!,0),0),0)</f>
        <v>0</v>
      </c>
      <c r="L893" s="6">
        <f>IFERROR(VLOOKUP($A893,[1]FINAL!$A$1:$BZ$1000,MATCH([1]FINAL!$BF$1,[1]FINAL!$A$1:$BZ$1,0),0),0)</f>
        <v>0</v>
      </c>
      <c r="M893" s="7">
        <f t="shared" si="67"/>
        <v>0</v>
      </c>
      <c r="N893" s="6">
        <f>IFERROR(VLOOKUP($A893,#REF!,MATCH(#REF!,#REF!,0),0),0)</f>
        <v>0</v>
      </c>
      <c r="O893" s="7">
        <f t="shared" si="68"/>
        <v>0</v>
      </c>
      <c r="P893" s="10" t="str">
        <f>IFERROR(VLOOKUP($A893,[1]FINAL!$A$1:$BZ$1000,MATCH([1]FINAL!$BB$1,[1]FINAL!$A$1:$BZ$1,0),0),"")</f>
        <v/>
      </c>
      <c r="Q893" s="18">
        <f t="shared" si="69"/>
        <v>1</v>
      </c>
    </row>
    <row r="894" spans="1:17" x14ac:dyDescent="0.25">
      <c r="A894" s="14">
        <f>[1]FINAL!$A892</f>
        <v>0</v>
      </c>
      <c r="B894" s="20" t="str">
        <f>IFERROR(VLOOKUP($A894,[1]FINAL!$A$1:$Z$1000,MATCH([1]FINAL!$T$1,[1]FINAL!$A$1:$Z$1,0),0),"")</f>
        <v/>
      </c>
      <c r="C894" s="3" t="str">
        <f>IFERROR(VLOOKUP($A894,[1]FINAL!$A$1:$Z$1000,MATCH([1]FINAL!$U$1,[1]FINAL!$A$1:$Z$1,0),0),"")</f>
        <v/>
      </c>
      <c r="D894" s="3" t="str">
        <f>IFERROR(VLOOKUP($A894,[1]FINAL!$A$1:$Z$1000,MATCH([1]FINAL!$V$1,[1]FINAL!$A$1:$Z$1,0),0),"")</f>
        <v/>
      </c>
      <c r="E894" s="6">
        <f t="shared" si="65"/>
        <v>0</v>
      </c>
      <c r="F894" s="5">
        <f t="shared" si="66"/>
        <v>0</v>
      </c>
      <c r="G894" s="5">
        <f>IFERROR(IF(H894&lt;&gt;"",H894,VLOOKUP($A894,[1]FINAL!$A$1:$BZ$1000,MATCH([1]FINAL!$BL$1,[1]FINAL!$A$1:$BZ$1,0),0)),0)</f>
        <v>0</v>
      </c>
      <c r="I894" s="5">
        <f>IFERROR(IF(J894&lt;&gt;"",J894,(IF(VLOOKUP($A894,#REF!,MATCH(#REF!,#REF!,0),0)=0,G894,VLOOKUP($A894,#REF!,MATCH(#REF!,#REF!,0),0)))),G894)</f>
        <v>0</v>
      </c>
      <c r="K894" s="6">
        <f>IFERROR(VLOOKUP($A894,#REF!,MATCH(#REF!,#REF!,0),0),0)</f>
        <v>0</v>
      </c>
      <c r="L894" s="6">
        <f>IFERROR(VLOOKUP($A894,[1]FINAL!$A$1:$BZ$1000,MATCH([1]FINAL!$BF$1,[1]FINAL!$A$1:$BZ$1,0),0),0)</f>
        <v>0</v>
      </c>
      <c r="M894" s="7">
        <f t="shared" si="67"/>
        <v>0</v>
      </c>
      <c r="N894" s="6">
        <f>IFERROR(VLOOKUP($A894,#REF!,MATCH(#REF!,#REF!,0),0),0)</f>
        <v>0</v>
      </c>
      <c r="O894" s="7">
        <f t="shared" si="68"/>
        <v>0</v>
      </c>
      <c r="P894" s="10" t="str">
        <f>IFERROR(VLOOKUP($A894,[1]FINAL!$A$1:$BZ$1000,MATCH([1]FINAL!$BB$1,[1]FINAL!$A$1:$BZ$1,0),0),"")</f>
        <v/>
      </c>
      <c r="Q894" s="18">
        <f t="shared" si="69"/>
        <v>1</v>
      </c>
    </row>
    <row r="895" spans="1:17" x14ac:dyDescent="0.25">
      <c r="A895" s="14">
        <f>[1]FINAL!$A893</f>
        <v>0</v>
      </c>
      <c r="B895" s="20" t="str">
        <f>IFERROR(VLOOKUP($A895,[1]FINAL!$A$1:$Z$1000,MATCH([1]FINAL!$T$1,[1]FINAL!$A$1:$Z$1,0),0),"")</f>
        <v/>
      </c>
      <c r="C895" s="3" t="str">
        <f>IFERROR(VLOOKUP($A895,[1]FINAL!$A$1:$Z$1000,MATCH([1]FINAL!$U$1,[1]FINAL!$A$1:$Z$1,0),0),"")</f>
        <v/>
      </c>
      <c r="D895" s="3" t="str">
        <f>IFERROR(VLOOKUP($A895,[1]FINAL!$A$1:$Z$1000,MATCH([1]FINAL!$V$1,[1]FINAL!$A$1:$Z$1,0),0),"")</f>
        <v/>
      </c>
      <c r="E895" s="6">
        <f t="shared" si="65"/>
        <v>0</v>
      </c>
      <c r="F895" s="5">
        <f t="shared" si="66"/>
        <v>0</v>
      </c>
      <c r="G895" s="5">
        <f>IFERROR(IF(H895&lt;&gt;"",H895,VLOOKUP($A895,[1]FINAL!$A$1:$BZ$1000,MATCH([1]FINAL!$BL$1,[1]FINAL!$A$1:$BZ$1,0),0)),0)</f>
        <v>0</v>
      </c>
      <c r="I895" s="5">
        <f>IFERROR(IF(J895&lt;&gt;"",J895,(IF(VLOOKUP($A895,#REF!,MATCH(#REF!,#REF!,0),0)=0,G895,VLOOKUP($A895,#REF!,MATCH(#REF!,#REF!,0),0)))),G895)</f>
        <v>0</v>
      </c>
      <c r="K895" s="6">
        <f>IFERROR(VLOOKUP($A895,#REF!,MATCH(#REF!,#REF!,0),0),0)</f>
        <v>0</v>
      </c>
      <c r="L895" s="6">
        <f>IFERROR(VLOOKUP($A895,[1]FINAL!$A$1:$BZ$1000,MATCH([1]FINAL!$BF$1,[1]FINAL!$A$1:$BZ$1,0),0),0)</f>
        <v>0</v>
      </c>
      <c r="M895" s="7">
        <f t="shared" si="67"/>
        <v>0</v>
      </c>
      <c r="N895" s="6">
        <f>IFERROR(VLOOKUP($A895,#REF!,MATCH(#REF!,#REF!,0),0),0)</f>
        <v>0</v>
      </c>
      <c r="O895" s="7">
        <f t="shared" si="68"/>
        <v>0</v>
      </c>
      <c r="P895" s="10" t="str">
        <f>IFERROR(VLOOKUP($A895,[1]FINAL!$A$1:$BZ$1000,MATCH([1]FINAL!$BB$1,[1]FINAL!$A$1:$BZ$1,0),0),"")</f>
        <v/>
      </c>
      <c r="Q895" s="18">
        <f t="shared" si="69"/>
        <v>1</v>
      </c>
    </row>
    <row r="896" spans="1:17" x14ac:dyDescent="0.25">
      <c r="A896" s="14">
        <f>[1]FINAL!$A894</f>
        <v>0</v>
      </c>
      <c r="B896" s="20" t="str">
        <f>IFERROR(VLOOKUP($A896,[1]FINAL!$A$1:$Z$1000,MATCH([1]FINAL!$T$1,[1]FINAL!$A$1:$Z$1,0),0),"")</f>
        <v/>
      </c>
      <c r="C896" s="3" t="str">
        <f>IFERROR(VLOOKUP($A896,[1]FINAL!$A$1:$Z$1000,MATCH([1]FINAL!$U$1,[1]FINAL!$A$1:$Z$1,0),0),"")</f>
        <v/>
      </c>
      <c r="D896" s="3" t="str">
        <f>IFERROR(VLOOKUP($A896,[1]FINAL!$A$1:$Z$1000,MATCH([1]FINAL!$V$1,[1]FINAL!$A$1:$Z$1,0),0),"")</f>
        <v/>
      </c>
      <c r="E896" s="6">
        <f t="shared" si="65"/>
        <v>0</v>
      </c>
      <c r="F896" s="5">
        <f t="shared" si="66"/>
        <v>0</v>
      </c>
      <c r="G896" s="5">
        <f>IFERROR(IF(H896&lt;&gt;"",H896,VLOOKUP($A896,[1]FINAL!$A$1:$BZ$1000,MATCH([1]FINAL!$BL$1,[1]FINAL!$A$1:$BZ$1,0),0)),0)</f>
        <v>0</v>
      </c>
      <c r="I896" s="5">
        <f>IFERROR(IF(J896&lt;&gt;"",J896,(IF(VLOOKUP($A896,#REF!,MATCH(#REF!,#REF!,0),0)=0,G896,VLOOKUP($A896,#REF!,MATCH(#REF!,#REF!,0),0)))),G896)</f>
        <v>0</v>
      </c>
      <c r="K896" s="6">
        <f>IFERROR(VLOOKUP($A896,#REF!,MATCH(#REF!,#REF!,0),0),0)</f>
        <v>0</v>
      </c>
      <c r="L896" s="6">
        <f>IFERROR(VLOOKUP($A896,[1]FINAL!$A$1:$BZ$1000,MATCH([1]FINAL!$BF$1,[1]FINAL!$A$1:$BZ$1,0),0),0)</f>
        <v>0</v>
      </c>
      <c r="M896" s="7">
        <f t="shared" si="67"/>
        <v>0</v>
      </c>
      <c r="N896" s="6">
        <f>IFERROR(VLOOKUP($A896,#REF!,MATCH(#REF!,#REF!,0),0),0)</f>
        <v>0</v>
      </c>
      <c r="O896" s="7">
        <f t="shared" si="68"/>
        <v>0</v>
      </c>
      <c r="P896" s="10" t="str">
        <f>IFERROR(VLOOKUP($A896,[1]FINAL!$A$1:$BZ$1000,MATCH([1]FINAL!$BB$1,[1]FINAL!$A$1:$BZ$1,0),0),"")</f>
        <v/>
      </c>
      <c r="Q896" s="18">
        <f t="shared" si="69"/>
        <v>1</v>
      </c>
    </row>
    <row r="897" spans="1:17" x14ac:dyDescent="0.25">
      <c r="A897" s="14">
        <f>[1]FINAL!$A895</f>
        <v>0</v>
      </c>
      <c r="B897" s="20" t="str">
        <f>IFERROR(VLOOKUP($A897,[1]FINAL!$A$1:$Z$1000,MATCH([1]FINAL!$T$1,[1]FINAL!$A$1:$Z$1,0),0),"")</f>
        <v/>
      </c>
      <c r="C897" s="3" t="str">
        <f>IFERROR(VLOOKUP($A897,[1]FINAL!$A$1:$Z$1000,MATCH([1]FINAL!$U$1,[1]FINAL!$A$1:$Z$1,0),0),"")</f>
        <v/>
      </c>
      <c r="D897" s="3" t="str">
        <f>IFERROR(VLOOKUP($A897,[1]FINAL!$A$1:$Z$1000,MATCH([1]FINAL!$V$1,[1]FINAL!$A$1:$Z$1,0),0),"")</f>
        <v/>
      </c>
      <c r="E897" s="6">
        <f t="shared" si="65"/>
        <v>0</v>
      </c>
      <c r="F897" s="5">
        <f t="shared" si="66"/>
        <v>0</v>
      </c>
      <c r="G897" s="5">
        <f>IFERROR(IF(H897&lt;&gt;"",H897,VLOOKUP($A897,[1]FINAL!$A$1:$BZ$1000,MATCH([1]FINAL!$BL$1,[1]FINAL!$A$1:$BZ$1,0),0)),0)</f>
        <v>0</v>
      </c>
      <c r="I897" s="5">
        <f>IFERROR(IF(J897&lt;&gt;"",J897,(IF(VLOOKUP($A897,#REF!,MATCH(#REF!,#REF!,0),0)=0,G897,VLOOKUP($A897,#REF!,MATCH(#REF!,#REF!,0),0)))),G897)</f>
        <v>0</v>
      </c>
      <c r="K897" s="6">
        <f>IFERROR(VLOOKUP($A897,#REF!,MATCH(#REF!,#REF!,0),0),0)</f>
        <v>0</v>
      </c>
      <c r="L897" s="6">
        <f>IFERROR(VLOOKUP($A897,[1]FINAL!$A$1:$BZ$1000,MATCH([1]FINAL!$BF$1,[1]FINAL!$A$1:$BZ$1,0),0),0)</f>
        <v>0</v>
      </c>
      <c r="M897" s="7">
        <f t="shared" si="67"/>
        <v>0</v>
      </c>
      <c r="N897" s="6">
        <f>IFERROR(VLOOKUP($A897,#REF!,MATCH(#REF!,#REF!,0),0),0)</f>
        <v>0</v>
      </c>
      <c r="O897" s="7">
        <f t="shared" si="68"/>
        <v>0</v>
      </c>
      <c r="P897" s="10" t="str">
        <f>IFERROR(VLOOKUP($A897,[1]FINAL!$A$1:$BZ$1000,MATCH([1]FINAL!$BB$1,[1]FINAL!$A$1:$BZ$1,0),0),"")</f>
        <v/>
      </c>
      <c r="Q897" s="18">
        <f t="shared" si="69"/>
        <v>1</v>
      </c>
    </row>
    <row r="898" spans="1:17" x14ac:dyDescent="0.25">
      <c r="A898" s="14">
        <f>[1]FINAL!$A896</f>
        <v>0</v>
      </c>
      <c r="B898" s="20" t="str">
        <f>IFERROR(VLOOKUP($A898,[1]FINAL!$A$1:$Z$1000,MATCH([1]FINAL!$T$1,[1]FINAL!$A$1:$Z$1,0),0),"")</f>
        <v/>
      </c>
      <c r="C898" s="3" t="str">
        <f>IFERROR(VLOOKUP($A898,[1]FINAL!$A$1:$Z$1000,MATCH([1]FINAL!$U$1,[1]FINAL!$A$1:$Z$1,0),0),"")</f>
        <v/>
      </c>
      <c r="D898" s="3" t="str">
        <f>IFERROR(VLOOKUP($A898,[1]FINAL!$A$1:$Z$1000,MATCH([1]FINAL!$V$1,[1]FINAL!$A$1:$Z$1,0),0),"")</f>
        <v/>
      </c>
      <c r="E898" s="6">
        <f t="shared" ref="E898:E961" si="70">IF($Q$1="ON",((G898*100000)+(I898*100000)+(M898*10000)+(O898*10000)+(K898*10))*Q898,((G898*100000)+(I898*100000)+(M898*10000)+(O898*10000)+(K898*10)))</f>
        <v>0</v>
      </c>
      <c r="F898" s="5">
        <f t="shared" ref="F898:F961" si="71">IFERROR(IF($Q$1="ON",((G898*$W$1)+(I898*$U$1))*Q898,((G898*$W$1)+(I898*$U$1))),0)</f>
        <v>0</v>
      </c>
      <c r="G898" s="5">
        <f>IFERROR(IF(H898&lt;&gt;"",H898,VLOOKUP($A898,[1]FINAL!$A$1:$BZ$1000,MATCH([1]FINAL!$BL$1,[1]FINAL!$A$1:$BZ$1,0),0)),0)</f>
        <v>0</v>
      </c>
      <c r="I898" s="5">
        <f>IFERROR(IF(J898&lt;&gt;"",J898,(IF(VLOOKUP($A898,#REF!,MATCH(#REF!,#REF!,0),0)=0,G898,VLOOKUP($A898,#REF!,MATCH(#REF!,#REF!,0),0)))),G898)</f>
        <v>0</v>
      </c>
      <c r="K898" s="6">
        <f>IFERROR(VLOOKUP($A898,#REF!,MATCH(#REF!,#REF!,0),0),0)</f>
        <v>0</v>
      </c>
      <c r="L898" s="6">
        <f>IFERROR(VLOOKUP($A898,[1]FINAL!$A$1:$BZ$1000,MATCH([1]FINAL!$BF$1,[1]FINAL!$A$1:$BZ$1,0),0),0)</f>
        <v>0</v>
      </c>
      <c r="M898" s="7">
        <f t="shared" ref="M898:M961" si="72">L898/90</f>
        <v>0</v>
      </c>
      <c r="N898" s="6">
        <f>IFERROR(VLOOKUP($A898,#REF!,MATCH(#REF!,#REF!,0),0),0)</f>
        <v>0</v>
      </c>
      <c r="O898" s="7">
        <f t="shared" ref="O898:O961" si="73">N898/90</f>
        <v>0</v>
      </c>
      <c r="P898" s="10" t="str">
        <f>IFERROR(VLOOKUP($A898,[1]FINAL!$A$1:$BZ$1000,MATCH([1]FINAL!$BB$1,[1]FINAL!$A$1:$BZ$1,0),0),"")</f>
        <v/>
      </c>
      <c r="Q898" s="18">
        <f t="shared" ref="Q898:Q961" si="74">IF(P898="",1,IF(P898=0,0.0001,P898/100))</f>
        <v>1</v>
      </c>
    </row>
    <row r="899" spans="1:17" x14ac:dyDescent="0.25">
      <c r="A899" s="14">
        <f>[1]FINAL!$A897</f>
        <v>0</v>
      </c>
      <c r="B899" s="20" t="str">
        <f>IFERROR(VLOOKUP($A899,[1]FINAL!$A$1:$Z$1000,MATCH([1]FINAL!$T$1,[1]FINAL!$A$1:$Z$1,0),0),"")</f>
        <v/>
      </c>
      <c r="C899" s="3" t="str">
        <f>IFERROR(VLOOKUP($A899,[1]FINAL!$A$1:$Z$1000,MATCH([1]FINAL!$U$1,[1]FINAL!$A$1:$Z$1,0),0),"")</f>
        <v/>
      </c>
      <c r="D899" s="3" t="str">
        <f>IFERROR(VLOOKUP($A899,[1]FINAL!$A$1:$Z$1000,MATCH([1]FINAL!$V$1,[1]FINAL!$A$1:$Z$1,0),0),"")</f>
        <v/>
      </c>
      <c r="E899" s="6">
        <f t="shared" si="70"/>
        <v>0</v>
      </c>
      <c r="F899" s="5">
        <f t="shared" si="71"/>
        <v>0</v>
      </c>
      <c r="G899" s="5">
        <f>IFERROR(IF(H899&lt;&gt;"",H899,VLOOKUP($A899,[1]FINAL!$A$1:$BZ$1000,MATCH([1]FINAL!$BL$1,[1]FINAL!$A$1:$BZ$1,0),0)),0)</f>
        <v>0</v>
      </c>
      <c r="I899" s="5">
        <f>IFERROR(IF(J899&lt;&gt;"",J899,(IF(VLOOKUP($A899,#REF!,MATCH(#REF!,#REF!,0),0)=0,G899,VLOOKUP($A899,#REF!,MATCH(#REF!,#REF!,0),0)))),G899)</f>
        <v>0</v>
      </c>
      <c r="K899" s="6">
        <f>IFERROR(VLOOKUP($A899,#REF!,MATCH(#REF!,#REF!,0),0),0)</f>
        <v>0</v>
      </c>
      <c r="L899" s="6">
        <f>IFERROR(VLOOKUP($A899,[1]FINAL!$A$1:$BZ$1000,MATCH([1]FINAL!$BF$1,[1]FINAL!$A$1:$BZ$1,0),0),0)</f>
        <v>0</v>
      </c>
      <c r="M899" s="7">
        <f t="shared" si="72"/>
        <v>0</v>
      </c>
      <c r="N899" s="6">
        <f>IFERROR(VLOOKUP($A899,#REF!,MATCH(#REF!,#REF!,0),0),0)</f>
        <v>0</v>
      </c>
      <c r="O899" s="7">
        <f t="shared" si="73"/>
        <v>0</v>
      </c>
      <c r="P899" s="10" t="str">
        <f>IFERROR(VLOOKUP($A899,[1]FINAL!$A$1:$BZ$1000,MATCH([1]FINAL!$BB$1,[1]FINAL!$A$1:$BZ$1,0),0),"")</f>
        <v/>
      </c>
      <c r="Q899" s="18">
        <f t="shared" si="74"/>
        <v>1</v>
      </c>
    </row>
    <row r="900" spans="1:17" x14ac:dyDescent="0.25">
      <c r="A900" s="14">
        <f>[1]FINAL!$A898</f>
        <v>0</v>
      </c>
      <c r="B900" s="20" t="str">
        <f>IFERROR(VLOOKUP($A900,[1]FINAL!$A$1:$Z$1000,MATCH([1]FINAL!$T$1,[1]FINAL!$A$1:$Z$1,0),0),"")</f>
        <v/>
      </c>
      <c r="C900" s="3" t="str">
        <f>IFERROR(VLOOKUP($A900,[1]FINAL!$A$1:$Z$1000,MATCH([1]FINAL!$U$1,[1]FINAL!$A$1:$Z$1,0),0),"")</f>
        <v/>
      </c>
      <c r="D900" s="3" t="str">
        <f>IFERROR(VLOOKUP($A900,[1]FINAL!$A$1:$Z$1000,MATCH([1]FINAL!$V$1,[1]FINAL!$A$1:$Z$1,0),0),"")</f>
        <v/>
      </c>
      <c r="E900" s="6">
        <f t="shared" si="70"/>
        <v>0</v>
      </c>
      <c r="F900" s="5">
        <f t="shared" si="71"/>
        <v>0</v>
      </c>
      <c r="G900" s="5">
        <f>IFERROR(IF(H900&lt;&gt;"",H900,VLOOKUP($A900,[1]FINAL!$A$1:$BZ$1000,MATCH([1]FINAL!$BL$1,[1]FINAL!$A$1:$BZ$1,0),0)),0)</f>
        <v>0</v>
      </c>
      <c r="I900" s="5">
        <f>IFERROR(IF(J900&lt;&gt;"",J900,(IF(VLOOKUP($A900,#REF!,MATCH(#REF!,#REF!,0),0)=0,G900,VLOOKUP($A900,#REF!,MATCH(#REF!,#REF!,0),0)))),G900)</f>
        <v>0</v>
      </c>
      <c r="K900" s="6">
        <f>IFERROR(VLOOKUP($A900,#REF!,MATCH(#REF!,#REF!,0),0),0)</f>
        <v>0</v>
      </c>
      <c r="L900" s="6">
        <f>IFERROR(VLOOKUP($A900,[1]FINAL!$A$1:$BZ$1000,MATCH([1]FINAL!$BF$1,[1]FINAL!$A$1:$BZ$1,0),0),0)</f>
        <v>0</v>
      </c>
      <c r="M900" s="7">
        <f t="shared" si="72"/>
        <v>0</v>
      </c>
      <c r="N900" s="6">
        <f>IFERROR(VLOOKUP($A900,#REF!,MATCH(#REF!,#REF!,0),0),0)</f>
        <v>0</v>
      </c>
      <c r="O900" s="7">
        <f t="shared" si="73"/>
        <v>0</v>
      </c>
      <c r="P900" s="10" t="str">
        <f>IFERROR(VLOOKUP($A900,[1]FINAL!$A$1:$BZ$1000,MATCH([1]FINAL!$BB$1,[1]FINAL!$A$1:$BZ$1,0),0),"")</f>
        <v/>
      </c>
      <c r="Q900" s="18">
        <f t="shared" si="74"/>
        <v>1</v>
      </c>
    </row>
    <row r="901" spans="1:17" x14ac:dyDescent="0.25">
      <c r="A901" s="14">
        <f>[1]FINAL!$A899</f>
        <v>0</v>
      </c>
      <c r="B901" s="20" t="str">
        <f>IFERROR(VLOOKUP($A901,[1]FINAL!$A$1:$Z$1000,MATCH([1]FINAL!$T$1,[1]FINAL!$A$1:$Z$1,0),0),"")</f>
        <v/>
      </c>
      <c r="C901" s="3" t="str">
        <f>IFERROR(VLOOKUP($A901,[1]FINAL!$A$1:$Z$1000,MATCH([1]FINAL!$U$1,[1]FINAL!$A$1:$Z$1,0),0),"")</f>
        <v/>
      </c>
      <c r="D901" s="3" t="str">
        <f>IFERROR(VLOOKUP($A901,[1]FINAL!$A$1:$Z$1000,MATCH([1]FINAL!$V$1,[1]FINAL!$A$1:$Z$1,0),0),"")</f>
        <v/>
      </c>
      <c r="E901" s="6">
        <f t="shared" si="70"/>
        <v>0</v>
      </c>
      <c r="F901" s="5">
        <f t="shared" si="71"/>
        <v>0</v>
      </c>
      <c r="G901" s="5">
        <f>IFERROR(IF(H901&lt;&gt;"",H901,VLOOKUP($A901,[1]FINAL!$A$1:$BZ$1000,MATCH([1]FINAL!$BL$1,[1]FINAL!$A$1:$BZ$1,0),0)),0)</f>
        <v>0</v>
      </c>
      <c r="I901" s="5">
        <f>IFERROR(IF(J901&lt;&gt;"",J901,(IF(VLOOKUP($A901,#REF!,MATCH(#REF!,#REF!,0),0)=0,G901,VLOOKUP($A901,#REF!,MATCH(#REF!,#REF!,0),0)))),G901)</f>
        <v>0</v>
      </c>
      <c r="K901" s="6">
        <f>IFERROR(VLOOKUP($A901,#REF!,MATCH(#REF!,#REF!,0),0),0)</f>
        <v>0</v>
      </c>
      <c r="L901" s="6">
        <f>IFERROR(VLOOKUP($A901,[1]FINAL!$A$1:$BZ$1000,MATCH([1]FINAL!$BF$1,[1]FINAL!$A$1:$BZ$1,0),0),0)</f>
        <v>0</v>
      </c>
      <c r="M901" s="7">
        <f t="shared" si="72"/>
        <v>0</v>
      </c>
      <c r="N901" s="6">
        <f>IFERROR(VLOOKUP($A901,#REF!,MATCH(#REF!,#REF!,0),0),0)</f>
        <v>0</v>
      </c>
      <c r="O901" s="7">
        <f t="shared" si="73"/>
        <v>0</v>
      </c>
      <c r="P901" s="10" t="str">
        <f>IFERROR(VLOOKUP($A901,[1]FINAL!$A$1:$BZ$1000,MATCH([1]FINAL!$BB$1,[1]FINAL!$A$1:$BZ$1,0),0),"")</f>
        <v/>
      </c>
      <c r="Q901" s="18">
        <f t="shared" si="74"/>
        <v>1</v>
      </c>
    </row>
    <row r="902" spans="1:17" x14ac:dyDescent="0.25">
      <c r="A902" s="14">
        <f>[1]FINAL!$A900</f>
        <v>0</v>
      </c>
      <c r="B902" s="20" t="str">
        <f>IFERROR(VLOOKUP($A902,[1]FINAL!$A$1:$Z$1000,MATCH([1]FINAL!$T$1,[1]FINAL!$A$1:$Z$1,0),0),"")</f>
        <v/>
      </c>
      <c r="C902" s="3" t="str">
        <f>IFERROR(VLOOKUP($A902,[1]FINAL!$A$1:$Z$1000,MATCH([1]FINAL!$U$1,[1]FINAL!$A$1:$Z$1,0),0),"")</f>
        <v/>
      </c>
      <c r="D902" s="3" t="str">
        <f>IFERROR(VLOOKUP($A902,[1]FINAL!$A$1:$Z$1000,MATCH([1]FINAL!$V$1,[1]FINAL!$A$1:$Z$1,0),0),"")</f>
        <v/>
      </c>
      <c r="E902" s="6">
        <f t="shared" si="70"/>
        <v>0</v>
      </c>
      <c r="F902" s="5">
        <f t="shared" si="71"/>
        <v>0</v>
      </c>
      <c r="G902" s="5">
        <f>IFERROR(IF(H902&lt;&gt;"",H902,VLOOKUP($A902,[1]FINAL!$A$1:$BZ$1000,MATCH([1]FINAL!$BL$1,[1]FINAL!$A$1:$BZ$1,0),0)),0)</f>
        <v>0</v>
      </c>
      <c r="I902" s="5">
        <f>IFERROR(IF(J902&lt;&gt;"",J902,(IF(VLOOKUP($A902,#REF!,MATCH(#REF!,#REF!,0),0)=0,G902,VLOOKUP($A902,#REF!,MATCH(#REF!,#REF!,0),0)))),G902)</f>
        <v>0</v>
      </c>
      <c r="K902" s="6">
        <f>IFERROR(VLOOKUP($A902,#REF!,MATCH(#REF!,#REF!,0),0),0)</f>
        <v>0</v>
      </c>
      <c r="L902" s="6">
        <f>IFERROR(VLOOKUP($A902,[1]FINAL!$A$1:$BZ$1000,MATCH([1]FINAL!$BF$1,[1]FINAL!$A$1:$BZ$1,0),0),0)</f>
        <v>0</v>
      </c>
      <c r="M902" s="7">
        <f t="shared" si="72"/>
        <v>0</v>
      </c>
      <c r="N902" s="6">
        <f>IFERROR(VLOOKUP($A902,#REF!,MATCH(#REF!,#REF!,0),0),0)</f>
        <v>0</v>
      </c>
      <c r="O902" s="7">
        <f t="shared" si="73"/>
        <v>0</v>
      </c>
      <c r="P902" s="10" t="str">
        <f>IFERROR(VLOOKUP($A902,[1]FINAL!$A$1:$BZ$1000,MATCH([1]FINAL!$BB$1,[1]FINAL!$A$1:$BZ$1,0),0),"")</f>
        <v/>
      </c>
      <c r="Q902" s="18">
        <f t="shared" si="74"/>
        <v>1</v>
      </c>
    </row>
    <row r="903" spans="1:17" x14ac:dyDescent="0.25">
      <c r="A903" s="14">
        <f>[1]FINAL!$A901</f>
        <v>0</v>
      </c>
      <c r="B903" s="20" t="str">
        <f>IFERROR(VLOOKUP($A903,[1]FINAL!$A$1:$Z$1000,MATCH([1]FINAL!$T$1,[1]FINAL!$A$1:$Z$1,0),0),"")</f>
        <v/>
      </c>
      <c r="C903" s="3" t="str">
        <f>IFERROR(VLOOKUP($A903,[1]FINAL!$A$1:$Z$1000,MATCH([1]FINAL!$U$1,[1]FINAL!$A$1:$Z$1,0),0),"")</f>
        <v/>
      </c>
      <c r="D903" s="3" t="str">
        <f>IFERROR(VLOOKUP($A903,[1]FINAL!$A$1:$Z$1000,MATCH([1]FINAL!$V$1,[1]FINAL!$A$1:$Z$1,0),0),"")</f>
        <v/>
      </c>
      <c r="E903" s="6">
        <f t="shared" si="70"/>
        <v>0</v>
      </c>
      <c r="F903" s="5">
        <f t="shared" si="71"/>
        <v>0</v>
      </c>
      <c r="G903" s="5">
        <f>IFERROR(IF(H903&lt;&gt;"",H903,VLOOKUP($A903,[1]FINAL!$A$1:$BZ$1000,MATCH([1]FINAL!$BL$1,[1]FINAL!$A$1:$BZ$1,0),0)),0)</f>
        <v>0</v>
      </c>
      <c r="I903" s="5">
        <f>IFERROR(IF(J903&lt;&gt;"",J903,(IF(VLOOKUP($A903,#REF!,MATCH(#REF!,#REF!,0),0)=0,G903,VLOOKUP($A903,#REF!,MATCH(#REF!,#REF!,0),0)))),G903)</f>
        <v>0</v>
      </c>
      <c r="K903" s="6">
        <f>IFERROR(VLOOKUP($A903,#REF!,MATCH(#REF!,#REF!,0),0),0)</f>
        <v>0</v>
      </c>
      <c r="L903" s="6">
        <f>IFERROR(VLOOKUP($A903,[1]FINAL!$A$1:$BZ$1000,MATCH([1]FINAL!$BF$1,[1]FINAL!$A$1:$BZ$1,0),0),0)</f>
        <v>0</v>
      </c>
      <c r="M903" s="7">
        <f t="shared" si="72"/>
        <v>0</v>
      </c>
      <c r="N903" s="6">
        <f>IFERROR(VLOOKUP($A903,#REF!,MATCH(#REF!,#REF!,0),0),0)</f>
        <v>0</v>
      </c>
      <c r="O903" s="7">
        <f t="shared" si="73"/>
        <v>0</v>
      </c>
      <c r="P903" s="10" t="str">
        <f>IFERROR(VLOOKUP($A903,[1]FINAL!$A$1:$BZ$1000,MATCH([1]FINAL!$BB$1,[1]FINAL!$A$1:$BZ$1,0),0),"")</f>
        <v/>
      </c>
      <c r="Q903" s="18">
        <f t="shared" si="74"/>
        <v>1</v>
      </c>
    </row>
    <row r="904" spans="1:17" x14ac:dyDescent="0.25">
      <c r="A904" s="14">
        <f>[1]FINAL!$A902</f>
        <v>0</v>
      </c>
      <c r="B904" s="20" t="str">
        <f>IFERROR(VLOOKUP($A904,[1]FINAL!$A$1:$Z$1000,MATCH([1]FINAL!$T$1,[1]FINAL!$A$1:$Z$1,0),0),"")</f>
        <v/>
      </c>
      <c r="C904" s="3" t="str">
        <f>IFERROR(VLOOKUP($A904,[1]FINAL!$A$1:$Z$1000,MATCH([1]FINAL!$U$1,[1]FINAL!$A$1:$Z$1,0),0),"")</f>
        <v/>
      </c>
      <c r="D904" s="3" t="str">
        <f>IFERROR(VLOOKUP($A904,[1]FINAL!$A$1:$Z$1000,MATCH([1]FINAL!$V$1,[1]FINAL!$A$1:$Z$1,0),0),"")</f>
        <v/>
      </c>
      <c r="E904" s="6">
        <f t="shared" si="70"/>
        <v>0</v>
      </c>
      <c r="F904" s="5">
        <f t="shared" si="71"/>
        <v>0</v>
      </c>
      <c r="G904" s="5">
        <f>IFERROR(IF(H904&lt;&gt;"",H904,VLOOKUP($A904,[1]FINAL!$A$1:$BZ$1000,MATCH([1]FINAL!$BL$1,[1]FINAL!$A$1:$BZ$1,0),0)),0)</f>
        <v>0</v>
      </c>
      <c r="I904" s="5">
        <f>IFERROR(IF(J904&lt;&gt;"",J904,(IF(VLOOKUP($A904,#REF!,MATCH(#REF!,#REF!,0),0)=0,G904,VLOOKUP($A904,#REF!,MATCH(#REF!,#REF!,0),0)))),G904)</f>
        <v>0</v>
      </c>
      <c r="K904" s="6">
        <f>IFERROR(VLOOKUP($A904,#REF!,MATCH(#REF!,#REF!,0),0),0)</f>
        <v>0</v>
      </c>
      <c r="L904" s="6">
        <f>IFERROR(VLOOKUP($A904,[1]FINAL!$A$1:$BZ$1000,MATCH([1]FINAL!$BF$1,[1]FINAL!$A$1:$BZ$1,0),0),0)</f>
        <v>0</v>
      </c>
      <c r="M904" s="7">
        <f t="shared" si="72"/>
        <v>0</v>
      </c>
      <c r="N904" s="6">
        <f>IFERROR(VLOOKUP($A904,#REF!,MATCH(#REF!,#REF!,0),0),0)</f>
        <v>0</v>
      </c>
      <c r="O904" s="7">
        <f t="shared" si="73"/>
        <v>0</v>
      </c>
      <c r="P904" s="10" t="str">
        <f>IFERROR(VLOOKUP($A904,[1]FINAL!$A$1:$BZ$1000,MATCH([1]FINAL!$BB$1,[1]FINAL!$A$1:$BZ$1,0),0),"")</f>
        <v/>
      </c>
      <c r="Q904" s="18">
        <f t="shared" si="74"/>
        <v>1</v>
      </c>
    </row>
    <row r="905" spans="1:17" x14ac:dyDescent="0.25">
      <c r="A905" s="14">
        <f>[1]FINAL!$A903</f>
        <v>0</v>
      </c>
      <c r="B905" s="20" t="str">
        <f>IFERROR(VLOOKUP($A905,[1]FINAL!$A$1:$Z$1000,MATCH([1]FINAL!$T$1,[1]FINAL!$A$1:$Z$1,0),0),"")</f>
        <v/>
      </c>
      <c r="C905" s="3" t="str">
        <f>IFERROR(VLOOKUP($A905,[1]FINAL!$A$1:$Z$1000,MATCH([1]FINAL!$U$1,[1]FINAL!$A$1:$Z$1,0),0),"")</f>
        <v/>
      </c>
      <c r="D905" s="3" t="str">
        <f>IFERROR(VLOOKUP($A905,[1]FINAL!$A$1:$Z$1000,MATCH([1]FINAL!$V$1,[1]FINAL!$A$1:$Z$1,0),0),"")</f>
        <v/>
      </c>
      <c r="E905" s="6">
        <f t="shared" si="70"/>
        <v>0</v>
      </c>
      <c r="F905" s="5">
        <f t="shared" si="71"/>
        <v>0</v>
      </c>
      <c r="G905" s="5">
        <f>IFERROR(IF(H905&lt;&gt;"",H905,VLOOKUP($A905,[1]FINAL!$A$1:$BZ$1000,MATCH([1]FINAL!$BL$1,[1]FINAL!$A$1:$BZ$1,0),0)),0)</f>
        <v>0</v>
      </c>
      <c r="I905" s="5">
        <f>IFERROR(IF(J905&lt;&gt;"",J905,(IF(VLOOKUP($A905,#REF!,MATCH(#REF!,#REF!,0),0)=0,G905,VLOOKUP($A905,#REF!,MATCH(#REF!,#REF!,0),0)))),G905)</f>
        <v>0</v>
      </c>
      <c r="K905" s="6">
        <f>IFERROR(VLOOKUP($A905,#REF!,MATCH(#REF!,#REF!,0),0),0)</f>
        <v>0</v>
      </c>
      <c r="L905" s="6">
        <f>IFERROR(VLOOKUP($A905,[1]FINAL!$A$1:$BZ$1000,MATCH([1]FINAL!$BF$1,[1]FINAL!$A$1:$BZ$1,0),0),0)</f>
        <v>0</v>
      </c>
      <c r="M905" s="7">
        <f t="shared" si="72"/>
        <v>0</v>
      </c>
      <c r="N905" s="6">
        <f>IFERROR(VLOOKUP($A905,#REF!,MATCH(#REF!,#REF!,0),0),0)</f>
        <v>0</v>
      </c>
      <c r="O905" s="7">
        <f t="shared" si="73"/>
        <v>0</v>
      </c>
      <c r="P905" s="10" t="str">
        <f>IFERROR(VLOOKUP($A905,[1]FINAL!$A$1:$BZ$1000,MATCH([1]FINAL!$BB$1,[1]FINAL!$A$1:$BZ$1,0),0),"")</f>
        <v/>
      </c>
      <c r="Q905" s="18">
        <f t="shared" si="74"/>
        <v>1</v>
      </c>
    </row>
    <row r="906" spans="1:17" x14ac:dyDescent="0.25">
      <c r="A906" s="14">
        <f>[1]FINAL!$A904</f>
        <v>0</v>
      </c>
      <c r="B906" s="20" t="str">
        <f>IFERROR(VLOOKUP($A906,[1]FINAL!$A$1:$Z$1000,MATCH([1]FINAL!$T$1,[1]FINAL!$A$1:$Z$1,0),0),"")</f>
        <v/>
      </c>
      <c r="C906" s="3" t="str">
        <f>IFERROR(VLOOKUP($A906,[1]FINAL!$A$1:$Z$1000,MATCH([1]FINAL!$U$1,[1]FINAL!$A$1:$Z$1,0),0),"")</f>
        <v/>
      </c>
      <c r="D906" s="3" t="str">
        <f>IFERROR(VLOOKUP($A906,[1]FINAL!$A$1:$Z$1000,MATCH([1]FINAL!$V$1,[1]FINAL!$A$1:$Z$1,0),0),"")</f>
        <v/>
      </c>
      <c r="E906" s="6">
        <f t="shared" si="70"/>
        <v>0</v>
      </c>
      <c r="F906" s="5">
        <f t="shared" si="71"/>
        <v>0</v>
      </c>
      <c r="G906" s="5">
        <f>IFERROR(IF(H906&lt;&gt;"",H906,VLOOKUP($A906,[1]FINAL!$A$1:$BZ$1000,MATCH([1]FINAL!$BL$1,[1]FINAL!$A$1:$BZ$1,0),0)),0)</f>
        <v>0</v>
      </c>
      <c r="I906" s="5">
        <f>IFERROR(IF(J906&lt;&gt;"",J906,(IF(VLOOKUP($A906,#REF!,MATCH(#REF!,#REF!,0),0)=0,G906,VLOOKUP($A906,#REF!,MATCH(#REF!,#REF!,0),0)))),G906)</f>
        <v>0</v>
      </c>
      <c r="K906" s="6">
        <f>IFERROR(VLOOKUP($A906,#REF!,MATCH(#REF!,#REF!,0),0),0)</f>
        <v>0</v>
      </c>
      <c r="L906" s="6">
        <f>IFERROR(VLOOKUP($A906,[1]FINAL!$A$1:$BZ$1000,MATCH([1]FINAL!$BF$1,[1]FINAL!$A$1:$BZ$1,0),0),0)</f>
        <v>0</v>
      </c>
      <c r="M906" s="7">
        <f t="shared" si="72"/>
        <v>0</v>
      </c>
      <c r="N906" s="6">
        <f>IFERROR(VLOOKUP($A906,#REF!,MATCH(#REF!,#REF!,0),0),0)</f>
        <v>0</v>
      </c>
      <c r="O906" s="7">
        <f t="shared" si="73"/>
        <v>0</v>
      </c>
      <c r="P906" s="10" t="str">
        <f>IFERROR(VLOOKUP($A906,[1]FINAL!$A$1:$BZ$1000,MATCH([1]FINAL!$BB$1,[1]FINAL!$A$1:$BZ$1,0),0),"")</f>
        <v/>
      </c>
      <c r="Q906" s="18">
        <f t="shared" si="74"/>
        <v>1</v>
      </c>
    </row>
    <row r="907" spans="1:17" x14ac:dyDescent="0.25">
      <c r="A907" s="14">
        <f>[1]FINAL!$A905</f>
        <v>0</v>
      </c>
      <c r="B907" s="20" t="str">
        <f>IFERROR(VLOOKUP($A907,[1]FINAL!$A$1:$Z$1000,MATCH([1]FINAL!$T$1,[1]FINAL!$A$1:$Z$1,0),0),"")</f>
        <v/>
      </c>
      <c r="C907" s="3" t="str">
        <f>IFERROR(VLOOKUP($A907,[1]FINAL!$A$1:$Z$1000,MATCH([1]FINAL!$U$1,[1]FINAL!$A$1:$Z$1,0),0),"")</f>
        <v/>
      </c>
      <c r="D907" s="3" t="str">
        <f>IFERROR(VLOOKUP($A907,[1]FINAL!$A$1:$Z$1000,MATCH([1]FINAL!$V$1,[1]FINAL!$A$1:$Z$1,0),0),"")</f>
        <v/>
      </c>
      <c r="E907" s="6">
        <f t="shared" si="70"/>
        <v>0</v>
      </c>
      <c r="F907" s="5">
        <f t="shared" si="71"/>
        <v>0</v>
      </c>
      <c r="G907" s="5">
        <f>IFERROR(IF(H907&lt;&gt;"",H907,VLOOKUP($A907,[1]FINAL!$A$1:$BZ$1000,MATCH([1]FINAL!$BL$1,[1]FINAL!$A$1:$BZ$1,0),0)),0)</f>
        <v>0</v>
      </c>
      <c r="I907" s="5">
        <f>IFERROR(IF(J907&lt;&gt;"",J907,(IF(VLOOKUP($A907,#REF!,MATCH(#REF!,#REF!,0),0)=0,G907,VLOOKUP($A907,#REF!,MATCH(#REF!,#REF!,0),0)))),G907)</f>
        <v>0</v>
      </c>
      <c r="K907" s="6">
        <f>IFERROR(VLOOKUP($A907,#REF!,MATCH(#REF!,#REF!,0),0),0)</f>
        <v>0</v>
      </c>
      <c r="L907" s="6">
        <f>IFERROR(VLOOKUP($A907,[1]FINAL!$A$1:$BZ$1000,MATCH([1]FINAL!$BF$1,[1]FINAL!$A$1:$BZ$1,0),0),0)</f>
        <v>0</v>
      </c>
      <c r="M907" s="7">
        <f t="shared" si="72"/>
        <v>0</v>
      </c>
      <c r="N907" s="6">
        <f>IFERROR(VLOOKUP($A907,#REF!,MATCH(#REF!,#REF!,0),0),0)</f>
        <v>0</v>
      </c>
      <c r="O907" s="7">
        <f t="shared" si="73"/>
        <v>0</v>
      </c>
      <c r="P907" s="10" t="str">
        <f>IFERROR(VLOOKUP($A907,[1]FINAL!$A$1:$BZ$1000,MATCH([1]FINAL!$BB$1,[1]FINAL!$A$1:$BZ$1,0),0),"")</f>
        <v/>
      </c>
      <c r="Q907" s="18">
        <f t="shared" si="74"/>
        <v>1</v>
      </c>
    </row>
    <row r="908" spans="1:17" x14ac:dyDescent="0.25">
      <c r="A908" s="14">
        <f>[1]FINAL!$A906</f>
        <v>0</v>
      </c>
      <c r="B908" s="20" t="str">
        <f>IFERROR(VLOOKUP($A908,[1]FINAL!$A$1:$Z$1000,MATCH([1]FINAL!$T$1,[1]FINAL!$A$1:$Z$1,0),0),"")</f>
        <v/>
      </c>
      <c r="C908" s="3" t="str">
        <f>IFERROR(VLOOKUP($A908,[1]FINAL!$A$1:$Z$1000,MATCH([1]FINAL!$U$1,[1]FINAL!$A$1:$Z$1,0),0),"")</f>
        <v/>
      </c>
      <c r="D908" s="3" t="str">
        <f>IFERROR(VLOOKUP($A908,[1]FINAL!$A$1:$Z$1000,MATCH([1]FINAL!$V$1,[1]FINAL!$A$1:$Z$1,0),0),"")</f>
        <v/>
      </c>
      <c r="E908" s="6">
        <f t="shared" si="70"/>
        <v>0</v>
      </c>
      <c r="F908" s="5">
        <f t="shared" si="71"/>
        <v>0</v>
      </c>
      <c r="G908" s="5">
        <f>IFERROR(IF(H908&lt;&gt;"",H908,VLOOKUP($A908,[1]FINAL!$A$1:$BZ$1000,MATCH([1]FINAL!$BL$1,[1]FINAL!$A$1:$BZ$1,0),0)),0)</f>
        <v>0</v>
      </c>
      <c r="I908" s="5">
        <f>IFERROR(IF(J908&lt;&gt;"",J908,(IF(VLOOKUP($A908,#REF!,MATCH(#REF!,#REF!,0),0)=0,G908,VLOOKUP($A908,#REF!,MATCH(#REF!,#REF!,0),0)))),G908)</f>
        <v>0</v>
      </c>
      <c r="K908" s="6">
        <f>IFERROR(VLOOKUP($A908,#REF!,MATCH(#REF!,#REF!,0),0),0)</f>
        <v>0</v>
      </c>
      <c r="L908" s="6">
        <f>IFERROR(VLOOKUP($A908,[1]FINAL!$A$1:$BZ$1000,MATCH([1]FINAL!$BF$1,[1]FINAL!$A$1:$BZ$1,0),0),0)</f>
        <v>0</v>
      </c>
      <c r="M908" s="7">
        <f t="shared" si="72"/>
        <v>0</v>
      </c>
      <c r="N908" s="6">
        <f>IFERROR(VLOOKUP($A908,#REF!,MATCH(#REF!,#REF!,0),0),0)</f>
        <v>0</v>
      </c>
      <c r="O908" s="7">
        <f t="shared" si="73"/>
        <v>0</v>
      </c>
      <c r="P908" s="10" t="str">
        <f>IFERROR(VLOOKUP($A908,[1]FINAL!$A$1:$BZ$1000,MATCH([1]FINAL!$BB$1,[1]FINAL!$A$1:$BZ$1,0),0),"")</f>
        <v/>
      </c>
      <c r="Q908" s="18">
        <f t="shared" si="74"/>
        <v>1</v>
      </c>
    </row>
    <row r="909" spans="1:17" x14ac:dyDescent="0.25">
      <c r="A909" s="14">
        <f>[1]FINAL!$A907</f>
        <v>0</v>
      </c>
      <c r="B909" s="20" t="str">
        <f>IFERROR(VLOOKUP($A909,[1]FINAL!$A$1:$Z$1000,MATCH([1]FINAL!$T$1,[1]FINAL!$A$1:$Z$1,0),0),"")</f>
        <v/>
      </c>
      <c r="C909" s="3" t="str">
        <f>IFERROR(VLOOKUP($A909,[1]FINAL!$A$1:$Z$1000,MATCH([1]FINAL!$U$1,[1]FINAL!$A$1:$Z$1,0),0),"")</f>
        <v/>
      </c>
      <c r="D909" s="3" t="str">
        <f>IFERROR(VLOOKUP($A909,[1]FINAL!$A$1:$Z$1000,MATCH([1]FINAL!$V$1,[1]FINAL!$A$1:$Z$1,0),0),"")</f>
        <v/>
      </c>
      <c r="E909" s="6">
        <f t="shared" si="70"/>
        <v>0</v>
      </c>
      <c r="F909" s="5">
        <f t="shared" si="71"/>
        <v>0</v>
      </c>
      <c r="G909" s="5">
        <f>IFERROR(IF(H909&lt;&gt;"",H909,VLOOKUP($A909,[1]FINAL!$A$1:$BZ$1000,MATCH([1]FINAL!$BL$1,[1]FINAL!$A$1:$BZ$1,0),0)),0)</f>
        <v>0</v>
      </c>
      <c r="I909" s="5">
        <f>IFERROR(IF(J909&lt;&gt;"",J909,(IF(VLOOKUP($A909,#REF!,MATCH(#REF!,#REF!,0),0)=0,G909,VLOOKUP($A909,#REF!,MATCH(#REF!,#REF!,0),0)))),G909)</f>
        <v>0</v>
      </c>
      <c r="K909" s="6">
        <f>IFERROR(VLOOKUP($A909,#REF!,MATCH(#REF!,#REF!,0),0),0)</f>
        <v>0</v>
      </c>
      <c r="L909" s="6">
        <f>IFERROR(VLOOKUP($A909,[1]FINAL!$A$1:$BZ$1000,MATCH([1]FINAL!$BF$1,[1]FINAL!$A$1:$BZ$1,0),0),0)</f>
        <v>0</v>
      </c>
      <c r="M909" s="7">
        <f t="shared" si="72"/>
        <v>0</v>
      </c>
      <c r="N909" s="6">
        <f>IFERROR(VLOOKUP($A909,#REF!,MATCH(#REF!,#REF!,0),0),0)</f>
        <v>0</v>
      </c>
      <c r="O909" s="7">
        <f t="shared" si="73"/>
        <v>0</v>
      </c>
      <c r="P909" s="10" t="str">
        <f>IFERROR(VLOOKUP($A909,[1]FINAL!$A$1:$BZ$1000,MATCH([1]FINAL!$BB$1,[1]FINAL!$A$1:$BZ$1,0),0),"")</f>
        <v/>
      </c>
      <c r="Q909" s="18">
        <f t="shared" si="74"/>
        <v>1</v>
      </c>
    </row>
    <row r="910" spans="1:17" x14ac:dyDescent="0.25">
      <c r="A910" s="14">
        <f>[1]FINAL!$A908</f>
        <v>0</v>
      </c>
      <c r="B910" s="20" t="str">
        <f>IFERROR(VLOOKUP($A910,[1]FINAL!$A$1:$Z$1000,MATCH([1]FINAL!$T$1,[1]FINAL!$A$1:$Z$1,0),0),"")</f>
        <v/>
      </c>
      <c r="C910" s="3" t="str">
        <f>IFERROR(VLOOKUP($A910,[1]FINAL!$A$1:$Z$1000,MATCH([1]FINAL!$U$1,[1]FINAL!$A$1:$Z$1,0),0),"")</f>
        <v/>
      </c>
      <c r="D910" s="3" t="str">
        <f>IFERROR(VLOOKUP($A910,[1]FINAL!$A$1:$Z$1000,MATCH([1]FINAL!$V$1,[1]FINAL!$A$1:$Z$1,0),0),"")</f>
        <v/>
      </c>
      <c r="E910" s="6">
        <f t="shared" si="70"/>
        <v>0</v>
      </c>
      <c r="F910" s="5">
        <f t="shared" si="71"/>
        <v>0</v>
      </c>
      <c r="G910" s="5">
        <f>IFERROR(IF(H910&lt;&gt;"",H910,VLOOKUP($A910,[1]FINAL!$A$1:$BZ$1000,MATCH([1]FINAL!$BL$1,[1]FINAL!$A$1:$BZ$1,0),0)),0)</f>
        <v>0</v>
      </c>
      <c r="I910" s="5">
        <f>IFERROR(IF(J910&lt;&gt;"",J910,(IF(VLOOKUP($A910,#REF!,MATCH(#REF!,#REF!,0),0)=0,G910,VLOOKUP($A910,#REF!,MATCH(#REF!,#REF!,0),0)))),G910)</f>
        <v>0</v>
      </c>
      <c r="K910" s="6">
        <f>IFERROR(VLOOKUP($A910,#REF!,MATCH(#REF!,#REF!,0),0),0)</f>
        <v>0</v>
      </c>
      <c r="L910" s="6">
        <f>IFERROR(VLOOKUP($A910,[1]FINAL!$A$1:$BZ$1000,MATCH([1]FINAL!$BF$1,[1]FINAL!$A$1:$BZ$1,0),0),0)</f>
        <v>0</v>
      </c>
      <c r="M910" s="7">
        <f t="shared" si="72"/>
        <v>0</v>
      </c>
      <c r="N910" s="6">
        <f>IFERROR(VLOOKUP($A910,#REF!,MATCH(#REF!,#REF!,0),0),0)</f>
        <v>0</v>
      </c>
      <c r="O910" s="7">
        <f t="shared" si="73"/>
        <v>0</v>
      </c>
      <c r="P910" s="10" t="str">
        <f>IFERROR(VLOOKUP($A910,[1]FINAL!$A$1:$BZ$1000,MATCH([1]FINAL!$BB$1,[1]FINAL!$A$1:$BZ$1,0),0),"")</f>
        <v/>
      </c>
      <c r="Q910" s="18">
        <f t="shared" si="74"/>
        <v>1</v>
      </c>
    </row>
    <row r="911" spans="1:17" x14ac:dyDescent="0.25">
      <c r="A911" s="14">
        <f>[1]FINAL!$A909</f>
        <v>0</v>
      </c>
      <c r="B911" s="20" t="str">
        <f>IFERROR(VLOOKUP($A911,[1]FINAL!$A$1:$Z$1000,MATCH([1]FINAL!$T$1,[1]FINAL!$A$1:$Z$1,0),0),"")</f>
        <v/>
      </c>
      <c r="C911" s="3" t="str">
        <f>IFERROR(VLOOKUP($A911,[1]FINAL!$A$1:$Z$1000,MATCH([1]FINAL!$U$1,[1]FINAL!$A$1:$Z$1,0),0),"")</f>
        <v/>
      </c>
      <c r="D911" s="3" t="str">
        <f>IFERROR(VLOOKUP($A911,[1]FINAL!$A$1:$Z$1000,MATCH([1]FINAL!$V$1,[1]FINAL!$A$1:$Z$1,0),0),"")</f>
        <v/>
      </c>
      <c r="E911" s="6">
        <f t="shared" si="70"/>
        <v>0</v>
      </c>
      <c r="F911" s="5">
        <f t="shared" si="71"/>
        <v>0</v>
      </c>
      <c r="G911" s="5">
        <f>IFERROR(IF(H911&lt;&gt;"",H911,VLOOKUP($A911,[1]FINAL!$A$1:$BZ$1000,MATCH([1]FINAL!$BL$1,[1]FINAL!$A$1:$BZ$1,0),0)),0)</f>
        <v>0</v>
      </c>
      <c r="I911" s="5">
        <f>IFERROR(IF(J911&lt;&gt;"",J911,(IF(VLOOKUP($A911,#REF!,MATCH(#REF!,#REF!,0),0)=0,G911,VLOOKUP($A911,#REF!,MATCH(#REF!,#REF!,0),0)))),G911)</f>
        <v>0</v>
      </c>
      <c r="K911" s="6">
        <f>IFERROR(VLOOKUP($A911,#REF!,MATCH(#REF!,#REF!,0),0),0)</f>
        <v>0</v>
      </c>
      <c r="L911" s="6">
        <f>IFERROR(VLOOKUP($A911,[1]FINAL!$A$1:$BZ$1000,MATCH([1]FINAL!$BF$1,[1]FINAL!$A$1:$BZ$1,0),0),0)</f>
        <v>0</v>
      </c>
      <c r="M911" s="7">
        <f t="shared" si="72"/>
        <v>0</v>
      </c>
      <c r="N911" s="6">
        <f>IFERROR(VLOOKUP($A911,#REF!,MATCH(#REF!,#REF!,0),0),0)</f>
        <v>0</v>
      </c>
      <c r="O911" s="7">
        <f t="shared" si="73"/>
        <v>0</v>
      </c>
      <c r="P911" s="10" t="str">
        <f>IFERROR(VLOOKUP($A911,[1]FINAL!$A$1:$BZ$1000,MATCH([1]FINAL!$BB$1,[1]FINAL!$A$1:$BZ$1,0),0),"")</f>
        <v/>
      </c>
      <c r="Q911" s="18">
        <f t="shared" si="74"/>
        <v>1</v>
      </c>
    </row>
    <row r="912" spans="1:17" x14ac:dyDescent="0.25">
      <c r="A912" s="14">
        <f>[1]FINAL!$A910</f>
        <v>0</v>
      </c>
      <c r="B912" s="20" t="str">
        <f>IFERROR(VLOOKUP($A912,[1]FINAL!$A$1:$Z$1000,MATCH([1]FINAL!$T$1,[1]FINAL!$A$1:$Z$1,0),0),"")</f>
        <v/>
      </c>
      <c r="C912" s="3" t="str">
        <f>IFERROR(VLOOKUP($A912,[1]FINAL!$A$1:$Z$1000,MATCH([1]FINAL!$U$1,[1]FINAL!$A$1:$Z$1,0),0),"")</f>
        <v/>
      </c>
      <c r="D912" s="3" t="str">
        <f>IFERROR(VLOOKUP($A912,[1]FINAL!$A$1:$Z$1000,MATCH([1]FINAL!$V$1,[1]FINAL!$A$1:$Z$1,0),0),"")</f>
        <v/>
      </c>
      <c r="E912" s="6">
        <f t="shared" si="70"/>
        <v>0</v>
      </c>
      <c r="F912" s="5">
        <f t="shared" si="71"/>
        <v>0</v>
      </c>
      <c r="G912" s="5">
        <f>IFERROR(IF(H912&lt;&gt;"",H912,VLOOKUP($A912,[1]FINAL!$A$1:$BZ$1000,MATCH([1]FINAL!$BL$1,[1]FINAL!$A$1:$BZ$1,0),0)),0)</f>
        <v>0</v>
      </c>
      <c r="I912" s="5">
        <f>IFERROR(IF(J912&lt;&gt;"",J912,(IF(VLOOKUP($A912,#REF!,MATCH(#REF!,#REF!,0),0)=0,G912,VLOOKUP($A912,#REF!,MATCH(#REF!,#REF!,0),0)))),G912)</f>
        <v>0</v>
      </c>
      <c r="K912" s="6">
        <f>IFERROR(VLOOKUP($A912,#REF!,MATCH(#REF!,#REF!,0),0),0)</f>
        <v>0</v>
      </c>
      <c r="L912" s="6">
        <f>IFERROR(VLOOKUP($A912,[1]FINAL!$A$1:$BZ$1000,MATCH([1]FINAL!$BF$1,[1]FINAL!$A$1:$BZ$1,0),0),0)</f>
        <v>0</v>
      </c>
      <c r="M912" s="7">
        <f t="shared" si="72"/>
        <v>0</v>
      </c>
      <c r="N912" s="6">
        <f>IFERROR(VLOOKUP($A912,#REF!,MATCH(#REF!,#REF!,0),0),0)</f>
        <v>0</v>
      </c>
      <c r="O912" s="7">
        <f t="shared" si="73"/>
        <v>0</v>
      </c>
      <c r="P912" s="10" t="str">
        <f>IFERROR(VLOOKUP($A912,[1]FINAL!$A$1:$BZ$1000,MATCH([1]FINAL!$BB$1,[1]FINAL!$A$1:$BZ$1,0),0),"")</f>
        <v/>
      </c>
      <c r="Q912" s="18">
        <f t="shared" si="74"/>
        <v>1</v>
      </c>
    </row>
    <row r="913" spans="1:17" x14ac:dyDescent="0.25">
      <c r="A913" s="14">
        <f>[1]FINAL!$A911</f>
        <v>0</v>
      </c>
      <c r="B913" s="20" t="str">
        <f>IFERROR(VLOOKUP($A913,[1]FINAL!$A$1:$Z$1000,MATCH([1]FINAL!$T$1,[1]FINAL!$A$1:$Z$1,0),0),"")</f>
        <v/>
      </c>
      <c r="C913" s="3" t="str">
        <f>IFERROR(VLOOKUP($A913,[1]FINAL!$A$1:$Z$1000,MATCH([1]FINAL!$U$1,[1]FINAL!$A$1:$Z$1,0),0),"")</f>
        <v/>
      </c>
      <c r="D913" s="3" t="str">
        <f>IFERROR(VLOOKUP($A913,[1]FINAL!$A$1:$Z$1000,MATCH([1]FINAL!$V$1,[1]FINAL!$A$1:$Z$1,0),0),"")</f>
        <v/>
      </c>
      <c r="E913" s="6">
        <f t="shared" si="70"/>
        <v>0</v>
      </c>
      <c r="F913" s="5">
        <f t="shared" si="71"/>
        <v>0</v>
      </c>
      <c r="G913" s="5">
        <f>IFERROR(IF(H913&lt;&gt;"",H913,VLOOKUP($A913,[1]FINAL!$A$1:$BZ$1000,MATCH([1]FINAL!$BL$1,[1]FINAL!$A$1:$BZ$1,0),0)),0)</f>
        <v>0</v>
      </c>
      <c r="I913" s="5">
        <f>IFERROR(IF(J913&lt;&gt;"",J913,(IF(VLOOKUP($A913,#REF!,MATCH(#REF!,#REF!,0),0)=0,G913,VLOOKUP($A913,#REF!,MATCH(#REF!,#REF!,0),0)))),G913)</f>
        <v>0</v>
      </c>
      <c r="K913" s="6">
        <f>IFERROR(VLOOKUP($A913,#REF!,MATCH(#REF!,#REF!,0),0),0)</f>
        <v>0</v>
      </c>
      <c r="L913" s="6">
        <f>IFERROR(VLOOKUP($A913,[1]FINAL!$A$1:$BZ$1000,MATCH([1]FINAL!$BF$1,[1]FINAL!$A$1:$BZ$1,0),0),0)</f>
        <v>0</v>
      </c>
      <c r="M913" s="7">
        <f t="shared" si="72"/>
        <v>0</v>
      </c>
      <c r="N913" s="6">
        <f>IFERROR(VLOOKUP($A913,#REF!,MATCH(#REF!,#REF!,0),0),0)</f>
        <v>0</v>
      </c>
      <c r="O913" s="7">
        <f t="shared" si="73"/>
        <v>0</v>
      </c>
      <c r="P913" s="10" t="str">
        <f>IFERROR(VLOOKUP($A913,[1]FINAL!$A$1:$BZ$1000,MATCH([1]FINAL!$BB$1,[1]FINAL!$A$1:$BZ$1,0),0),"")</f>
        <v/>
      </c>
      <c r="Q913" s="18">
        <f t="shared" si="74"/>
        <v>1</v>
      </c>
    </row>
    <row r="914" spans="1:17" x14ac:dyDescent="0.25">
      <c r="A914" s="14">
        <f>[1]FINAL!$A912</f>
        <v>0</v>
      </c>
      <c r="B914" s="20" t="str">
        <f>IFERROR(VLOOKUP($A914,[1]FINAL!$A$1:$Z$1000,MATCH([1]FINAL!$T$1,[1]FINAL!$A$1:$Z$1,0),0),"")</f>
        <v/>
      </c>
      <c r="C914" s="3" t="str">
        <f>IFERROR(VLOOKUP($A914,[1]FINAL!$A$1:$Z$1000,MATCH([1]FINAL!$U$1,[1]FINAL!$A$1:$Z$1,0),0),"")</f>
        <v/>
      </c>
      <c r="D914" s="3" t="str">
        <f>IFERROR(VLOOKUP($A914,[1]FINAL!$A$1:$Z$1000,MATCH([1]FINAL!$V$1,[1]FINAL!$A$1:$Z$1,0),0),"")</f>
        <v/>
      </c>
      <c r="E914" s="6">
        <f t="shared" si="70"/>
        <v>0</v>
      </c>
      <c r="F914" s="5">
        <f t="shared" si="71"/>
        <v>0</v>
      </c>
      <c r="G914" s="5">
        <f>IFERROR(IF(H914&lt;&gt;"",H914,VLOOKUP($A914,[1]FINAL!$A$1:$BZ$1000,MATCH([1]FINAL!$BL$1,[1]FINAL!$A$1:$BZ$1,0),0)),0)</f>
        <v>0</v>
      </c>
      <c r="I914" s="5">
        <f>IFERROR(IF(J914&lt;&gt;"",J914,(IF(VLOOKUP($A914,#REF!,MATCH(#REF!,#REF!,0),0)=0,G914,VLOOKUP($A914,#REF!,MATCH(#REF!,#REF!,0),0)))),G914)</f>
        <v>0</v>
      </c>
      <c r="K914" s="6">
        <f>IFERROR(VLOOKUP($A914,#REF!,MATCH(#REF!,#REF!,0),0),0)</f>
        <v>0</v>
      </c>
      <c r="L914" s="6">
        <f>IFERROR(VLOOKUP($A914,[1]FINAL!$A$1:$BZ$1000,MATCH([1]FINAL!$BF$1,[1]FINAL!$A$1:$BZ$1,0),0),0)</f>
        <v>0</v>
      </c>
      <c r="M914" s="7">
        <f t="shared" si="72"/>
        <v>0</v>
      </c>
      <c r="N914" s="6">
        <f>IFERROR(VLOOKUP($A914,#REF!,MATCH(#REF!,#REF!,0),0),0)</f>
        <v>0</v>
      </c>
      <c r="O914" s="7">
        <f t="shared" si="73"/>
        <v>0</v>
      </c>
      <c r="P914" s="10" t="str">
        <f>IFERROR(VLOOKUP($A914,[1]FINAL!$A$1:$BZ$1000,MATCH([1]FINAL!$BB$1,[1]FINAL!$A$1:$BZ$1,0),0),"")</f>
        <v/>
      </c>
      <c r="Q914" s="18">
        <f t="shared" si="74"/>
        <v>1</v>
      </c>
    </row>
    <row r="915" spans="1:17" x14ac:dyDescent="0.25">
      <c r="A915" s="14">
        <f>[1]FINAL!$A913</f>
        <v>0</v>
      </c>
      <c r="B915" s="20" t="str">
        <f>IFERROR(VLOOKUP($A915,[1]FINAL!$A$1:$Z$1000,MATCH([1]FINAL!$T$1,[1]FINAL!$A$1:$Z$1,0),0),"")</f>
        <v/>
      </c>
      <c r="C915" s="3" t="str">
        <f>IFERROR(VLOOKUP($A915,[1]FINAL!$A$1:$Z$1000,MATCH([1]FINAL!$U$1,[1]FINAL!$A$1:$Z$1,0),0),"")</f>
        <v/>
      </c>
      <c r="D915" s="3" t="str">
        <f>IFERROR(VLOOKUP($A915,[1]FINAL!$A$1:$Z$1000,MATCH([1]FINAL!$V$1,[1]FINAL!$A$1:$Z$1,0),0),"")</f>
        <v/>
      </c>
      <c r="E915" s="6">
        <f t="shared" si="70"/>
        <v>0</v>
      </c>
      <c r="F915" s="5">
        <f t="shared" si="71"/>
        <v>0</v>
      </c>
      <c r="G915" s="5">
        <f>IFERROR(IF(H915&lt;&gt;"",H915,VLOOKUP($A915,[1]FINAL!$A$1:$BZ$1000,MATCH([1]FINAL!$BL$1,[1]FINAL!$A$1:$BZ$1,0),0)),0)</f>
        <v>0</v>
      </c>
      <c r="I915" s="5">
        <f>IFERROR(IF(J915&lt;&gt;"",J915,(IF(VLOOKUP($A915,#REF!,MATCH(#REF!,#REF!,0),0)=0,G915,VLOOKUP($A915,#REF!,MATCH(#REF!,#REF!,0),0)))),G915)</f>
        <v>0</v>
      </c>
      <c r="K915" s="6">
        <f>IFERROR(VLOOKUP($A915,#REF!,MATCH(#REF!,#REF!,0),0),0)</f>
        <v>0</v>
      </c>
      <c r="L915" s="6">
        <f>IFERROR(VLOOKUP($A915,[1]FINAL!$A$1:$BZ$1000,MATCH([1]FINAL!$BF$1,[1]FINAL!$A$1:$BZ$1,0),0),0)</f>
        <v>0</v>
      </c>
      <c r="M915" s="7">
        <f t="shared" si="72"/>
        <v>0</v>
      </c>
      <c r="N915" s="6">
        <f>IFERROR(VLOOKUP($A915,#REF!,MATCH(#REF!,#REF!,0),0),0)</f>
        <v>0</v>
      </c>
      <c r="O915" s="7">
        <f t="shared" si="73"/>
        <v>0</v>
      </c>
      <c r="P915" s="10" t="str">
        <f>IFERROR(VLOOKUP($A915,[1]FINAL!$A$1:$BZ$1000,MATCH([1]FINAL!$BB$1,[1]FINAL!$A$1:$BZ$1,0),0),"")</f>
        <v/>
      </c>
      <c r="Q915" s="18">
        <f t="shared" si="74"/>
        <v>1</v>
      </c>
    </row>
    <row r="916" spans="1:17" x14ac:dyDescent="0.25">
      <c r="A916" s="14">
        <f>[1]FINAL!$A914</f>
        <v>0</v>
      </c>
      <c r="B916" s="20" t="str">
        <f>IFERROR(VLOOKUP($A916,[1]FINAL!$A$1:$Z$1000,MATCH([1]FINAL!$T$1,[1]FINAL!$A$1:$Z$1,0),0),"")</f>
        <v/>
      </c>
      <c r="C916" s="3" t="str">
        <f>IFERROR(VLOOKUP($A916,[1]FINAL!$A$1:$Z$1000,MATCH([1]FINAL!$U$1,[1]FINAL!$A$1:$Z$1,0),0),"")</f>
        <v/>
      </c>
      <c r="D916" s="3" t="str">
        <f>IFERROR(VLOOKUP($A916,[1]FINAL!$A$1:$Z$1000,MATCH([1]FINAL!$V$1,[1]FINAL!$A$1:$Z$1,0),0),"")</f>
        <v/>
      </c>
      <c r="E916" s="6">
        <f t="shared" si="70"/>
        <v>0</v>
      </c>
      <c r="F916" s="5">
        <f t="shared" si="71"/>
        <v>0</v>
      </c>
      <c r="G916" s="5">
        <f>IFERROR(IF(H916&lt;&gt;"",H916,VLOOKUP($A916,[1]FINAL!$A$1:$BZ$1000,MATCH([1]FINAL!$BL$1,[1]FINAL!$A$1:$BZ$1,0),0)),0)</f>
        <v>0</v>
      </c>
      <c r="I916" s="5">
        <f>IFERROR(IF(J916&lt;&gt;"",J916,(IF(VLOOKUP($A916,#REF!,MATCH(#REF!,#REF!,0),0)=0,G916,VLOOKUP($A916,#REF!,MATCH(#REF!,#REF!,0),0)))),G916)</f>
        <v>0</v>
      </c>
      <c r="K916" s="6">
        <f>IFERROR(VLOOKUP($A916,#REF!,MATCH(#REF!,#REF!,0),0),0)</f>
        <v>0</v>
      </c>
      <c r="L916" s="6">
        <f>IFERROR(VLOOKUP($A916,[1]FINAL!$A$1:$BZ$1000,MATCH([1]FINAL!$BF$1,[1]FINAL!$A$1:$BZ$1,0),0),0)</f>
        <v>0</v>
      </c>
      <c r="M916" s="7">
        <f t="shared" si="72"/>
        <v>0</v>
      </c>
      <c r="N916" s="6">
        <f>IFERROR(VLOOKUP($A916,#REF!,MATCH(#REF!,#REF!,0),0),0)</f>
        <v>0</v>
      </c>
      <c r="O916" s="7">
        <f t="shared" si="73"/>
        <v>0</v>
      </c>
      <c r="P916" s="10" t="str">
        <f>IFERROR(VLOOKUP($A916,[1]FINAL!$A$1:$BZ$1000,MATCH([1]FINAL!$BB$1,[1]FINAL!$A$1:$BZ$1,0),0),"")</f>
        <v/>
      </c>
      <c r="Q916" s="18">
        <f t="shared" si="74"/>
        <v>1</v>
      </c>
    </row>
    <row r="917" spans="1:17" x14ac:dyDescent="0.25">
      <c r="A917" s="14">
        <f>[1]FINAL!$A915</f>
        <v>0</v>
      </c>
      <c r="B917" s="20" t="str">
        <f>IFERROR(VLOOKUP($A917,[1]FINAL!$A$1:$Z$1000,MATCH([1]FINAL!$T$1,[1]FINAL!$A$1:$Z$1,0),0),"")</f>
        <v/>
      </c>
      <c r="C917" s="3" t="str">
        <f>IFERROR(VLOOKUP($A917,[1]FINAL!$A$1:$Z$1000,MATCH([1]FINAL!$U$1,[1]FINAL!$A$1:$Z$1,0),0),"")</f>
        <v/>
      </c>
      <c r="D917" s="3" t="str">
        <f>IFERROR(VLOOKUP($A917,[1]FINAL!$A$1:$Z$1000,MATCH([1]FINAL!$V$1,[1]FINAL!$A$1:$Z$1,0),0),"")</f>
        <v/>
      </c>
      <c r="E917" s="6">
        <f t="shared" si="70"/>
        <v>0</v>
      </c>
      <c r="F917" s="5">
        <f t="shared" si="71"/>
        <v>0</v>
      </c>
      <c r="G917" s="5">
        <f>IFERROR(IF(H917&lt;&gt;"",H917,VLOOKUP($A917,[1]FINAL!$A$1:$BZ$1000,MATCH([1]FINAL!$BL$1,[1]FINAL!$A$1:$BZ$1,0),0)),0)</f>
        <v>0</v>
      </c>
      <c r="I917" s="5">
        <f>IFERROR(IF(J917&lt;&gt;"",J917,(IF(VLOOKUP($A917,#REF!,MATCH(#REF!,#REF!,0),0)=0,G917,VLOOKUP($A917,#REF!,MATCH(#REF!,#REF!,0),0)))),G917)</f>
        <v>0</v>
      </c>
      <c r="K917" s="6">
        <f>IFERROR(VLOOKUP($A917,#REF!,MATCH(#REF!,#REF!,0),0),0)</f>
        <v>0</v>
      </c>
      <c r="L917" s="6">
        <f>IFERROR(VLOOKUP($A917,[1]FINAL!$A$1:$BZ$1000,MATCH([1]FINAL!$BF$1,[1]FINAL!$A$1:$BZ$1,0),0),0)</f>
        <v>0</v>
      </c>
      <c r="M917" s="7">
        <f t="shared" si="72"/>
        <v>0</v>
      </c>
      <c r="N917" s="6">
        <f>IFERROR(VLOOKUP($A917,#REF!,MATCH(#REF!,#REF!,0),0),0)</f>
        <v>0</v>
      </c>
      <c r="O917" s="7">
        <f t="shared" si="73"/>
        <v>0</v>
      </c>
      <c r="P917" s="10" t="str">
        <f>IFERROR(VLOOKUP($A917,[1]FINAL!$A$1:$BZ$1000,MATCH([1]FINAL!$BB$1,[1]FINAL!$A$1:$BZ$1,0),0),"")</f>
        <v/>
      </c>
      <c r="Q917" s="18">
        <f t="shared" si="74"/>
        <v>1</v>
      </c>
    </row>
    <row r="918" spans="1:17" x14ac:dyDescent="0.25">
      <c r="A918" s="14">
        <f>[1]FINAL!$A916</f>
        <v>0</v>
      </c>
      <c r="B918" s="20" t="str">
        <f>IFERROR(VLOOKUP($A918,[1]FINAL!$A$1:$Z$1000,MATCH([1]FINAL!$T$1,[1]FINAL!$A$1:$Z$1,0),0),"")</f>
        <v/>
      </c>
      <c r="C918" s="3" t="str">
        <f>IFERROR(VLOOKUP($A918,[1]FINAL!$A$1:$Z$1000,MATCH([1]FINAL!$U$1,[1]FINAL!$A$1:$Z$1,0),0),"")</f>
        <v/>
      </c>
      <c r="D918" s="3" t="str">
        <f>IFERROR(VLOOKUP($A918,[1]FINAL!$A$1:$Z$1000,MATCH([1]FINAL!$V$1,[1]FINAL!$A$1:$Z$1,0),0),"")</f>
        <v/>
      </c>
      <c r="E918" s="6">
        <f t="shared" si="70"/>
        <v>0</v>
      </c>
      <c r="F918" s="5">
        <f t="shared" si="71"/>
        <v>0</v>
      </c>
      <c r="G918" s="5">
        <f>IFERROR(IF(H918&lt;&gt;"",H918,VLOOKUP($A918,[1]FINAL!$A$1:$BZ$1000,MATCH([1]FINAL!$BL$1,[1]FINAL!$A$1:$BZ$1,0),0)),0)</f>
        <v>0</v>
      </c>
      <c r="I918" s="5">
        <f>IFERROR(IF(J918&lt;&gt;"",J918,(IF(VLOOKUP($A918,#REF!,MATCH(#REF!,#REF!,0),0)=0,G918,VLOOKUP($A918,#REF!,MATCH(#REF!,#REF!,0),0)))),G918)</f>
        <v>0</v>
      </c>
      <c r="K918" s="6">
        <f>IFERROR(VLOOKUP($A918,#REF!,MATCH(#REF!,#REF!,0),0),0)</f>
        <v>0</v>
      </c>
      <c r="L918" s="6">
        <f>IFERROR(VLOOKUP($A918,[1]FINAL!$A$1:$BZ$1000,MATCH([1]FINAL!$BF$1,[1]FINAL!$A$1:$BZ$1,0),0),0)</f>
        <v>0</v>
      </c>
      <c r="M918" s="7">
        <f t="shared" si="72"/>
        <v>0</v>
      </c>
      <c r="N918" s="6">
        <f>IFERROR(VLOOKUP($A918,#REF!,MATCH(#REF!,#REF!,0),0),0)</f>
        <v>0</v>
      </c>
      <c r="O918" s="7">
        <f t="shared" si="73"/>
        <v>0</v>
      </c>
      <c r="P918" s="10" t="str">
        <f>IFERROR(VLOOKUP($A918,[1]FINAL!$A$1:$BZ$1000,MATCH([1]FINAL!$BB$1,[1]FINAL!$A$1:$BZ$1,0),0),"")</f>
        <v/>
      </c>
      <c r="Q918" s="18">
        <f t="shared" si="74"/>
        <v>1</v>
      </c>
    </row>
    <row r="919" spans="1:17" x14ac:dyDescent="0.25">
      <c r="A919" s="14">
        <f>[1]FINAL!$A917</f>
        <v>0</v>
      </c>
      <c r="B919" s="20" t="str">
        <f>IFERROR(VLOOKUP($A919,[1]FINAL!$A$1:$Z$1000,MATCH([1]FINAL!$T$1,[1]FINAL!$A$1:$Z$1,0),0),"")</f>
        <v/>
      </c>
      <c r="C919" s="3" t="str">
        <f>IFERROR(VLOOKUP($A919,[1]FINAL!$A$1:$Z$1000,MATCH([1]FINAL!$U$1,[1]FINAL!$A$1:$Z$1,0),0),"")</f>
        <v/>
      </c>
      <c r="D919" s="3" t="str">
        <f>IFERROR(VLOOKUP($A919,[1]FINAL!$A$1:$Z$1000,MATCH([1]FINAL!$V$1,[1]FINAL!$A$1:$Z$1,0),0),"")</f>
        <v/>
      </c>
      <c r="E919" s="6">
        <f t="shared" si="70"/>
        <v>0</v>
      </c>
      <c r="F919" s="5">
        <f t="shared" si="71"/>
        <v>0</v>
      </c>
      <c r="G919" s="5">
        <f>IFERROR(IF(H919&lt;&gt;"",H919,VLOOKUP($A919,[1]FINAL!$A$1:$BZ$1000,MATCH([1]FINAL!$BL$1,[1]FINAL!$A$1:$BZ$1,0),0)),0)</f>
        <v>0</v>
      </c>
      <c r="I919" s="5">
        <f>IFERROR(IF(J919&lt;&gt;"",J919,(IF(VLOOKUP($A919,#REF!,MATCH(#REF!,#REF!,0),0)=0,G919,VLOOKUP($A919,#REF!,MATCH(#REF!,#REF!,0),0)))),G919)</f>
        <v>0</v>
      </c>
      <c r="K919" s="6">
        <f>IFERROR(VLOOKUP($A919,#REF!,MATCH(#REF!,#REF!,0),0),0)</f>
        <v>0</v>
      </c>
      <c r="L919" s="6">
        <f>IFERROR(VLOOKUP($A919,[1]FINAL!$A$1:$BZ$1000,MATCH([1]FINAL!$BF$1,[1]FINAL!$A$1:$BZ$1,0),0),0)</f>
        <v>0</v>
      </c>
      <c r="M919" s="7">
        <f t="shared" si="72"/>
        <v>0</v>
      </c>
      <c r="N919" s="6">
        <f>IFERROR(VLOOKUP($A919,#REF!,MATCH(#REF!,#REF!,0),0),0)</f>
        <v>0</v>
      </c>
      <c r="O919" s="7">
        <f t="shared" si="73"/>
        <v>0</v>
      </c>
      <c r="P919" s="10" t="str">
        <f>IFERROR(VLOOKUP($A919,[1]FINAL!$A$1:$BZ$1000,MATCH([1]FINAL!$BB$1,[1]FINAL!$A$1:$BZ$1,0),0),"")</f>
        <v/>
      </c>
      <c r="Q919" s="18">
        <f t="shared" si="74"/>
        <v>1</v>
      </c>
    </row>
    <row r="920" spans="1:17" x14ac:dyDescent="0.25">
      <c r="A920" s="14">
        <f>[1]FINAL!$A918</f>
        <v>0</v>
      </c>
      <c r="B920" s="20" t="str">
        <f>IFERROR(VLOOKUP($A920,[1]FINAL!$A$1:$Z$1000,MATCH([1]FINAL!$T$1,[1]FINAL!$A$1:$Z$1,0),0),"")</f>
        <v/>
      </c>
      <c r="C920" s="3" t="str">
        <f>IFERROR(VLOOKUP($A920,[1]FINAL!$A$1:$Z$1000,MATCH([1]FINAL!$U$1,[1]FINAL!$A$1:$Z$1,0),0),"")</f>
        <v/>
      </c>
      <c r="D920" s="3" t="str">
        <f>IFERROR(VLOOKUP($A920,[1]FINAL!$A$1:$Z$1000,MATCH([1]FINAL!$V$1,[1]FINAL!$A$1:$Z$1,0),0),"")</f>
        <v/>
      </c>
      <c r="E920" s="6">
        <f t="shared" si="70"/>
        <v>0</v>
      </c>
      <c r="F920" s="5">
        <f t="shared" si="71"/>
        <v>0</v>
      </c>
      <c r="G920" s="5">
        <f>IFERROR(IF(H920&lt;&gt;"",H920,VLOOKUP($A920,[1]FINAL!$A$1:$BZ$1000,MATCH([1]FINAL!$BL$1,[1]FINAL!$A$1:$BZ$1,0),0)),0)</f>
        <v>0</v>
      </c>
      <c r="I920" s="5">
        <f>IFERROR(IF(J920&lt;&gt;"",J920,(IF(VLOOKUP($A920,#REF!,MATCH(#REF!,#REF!,0),0)=0,G920,VLOOKUP($A920,#REF!,MATCH(#REF!,#REF!,0),0)))),G920)</f>
        <v>0</v>
      </c>
      <c r="K920" s="6">
        <f>IFERROR(VLOOKUP($A920,#REF!,MATCH(#REF!,#REF!,0),0),0)</f>
        <v>0</v>
      </c>
      <c r="L920" s="6">
        <f>IFERROR(VLOOKUP($A920,[1]FINAL!$A$1:$BZ$1000,MATCH([1]FINAL!$BF$1,[1]FINAL!$A$1:$BZ$1,0),0),0)</f>
        <v>0</v>
      </c>
      <c r="M920" s="7">
        <f t="shared" si="72"/>
        <v>0</v>
      </c>
      <c r="N920" s="6">
        <f>IFERROR(VLOOKUP($A920,#REF!,MATCH(#REF!,#REF!,0),0),0)</f>
        <v>0</v>
      </c>
      <c r="O920" s="7">
        <f t="shared" si="73"/>
        <v>0</v>
      </c>
      <c r="P920" s="10" t="str">
        <f>IFERROR(VLOOKUP($A920,[1]FINAL!$A$1:$BZ$1000,MATCH([1]FINAL!$BB$1,[1]FINAL!$A$1:$BZ$1,0),0),"")</f>
        <v/>
      </c>
      <c r="Q920" s="18">
        <f t="shared" si="74"/>
        <v>1</v>
      </c>
    </row>
    <row r="921" spans="1:17" x14ac:dyDescent="0.25">
      <c r="A921" s="14">
        <f>[1]FINAL!$A919</f>
        <v>0</v>
      </c>
      <c r="B921" s="20" t="str">
        <f>IFERROR(VLOOKUP($A921,[1]FINAL!$A$1:$Z$1000,MATCH([1]FINAL!$T$1,[1]FINAL!$A$1:$Z$1,0),0),"")</f>
        <v/>
      </c>
      <c r="C921" s="3" t="str">
        <f>IFERROR(VLOOKUP($A921,[1]FINAL!$A$1:$Z$1000,MATCH([1]FINAL!$U$1,[1]FINAL!$A$1:$Z$1,0),0),"")</f>
        <v/>
      </c>
      <c r="D921" s="3" t="str">
        <f>IFERROR(VLOOKUP($A921,[1]FINAL!$A$1:$Z$1000,MATCH([1]FINAL!$V$1,[1]FINAL!$A$1:$Z$1,0),0),"")</f>
        <v/>
      </c>
      <c r="E921" s="6">
        <f t="shared" si="70"/>
        <v>0</v>
      </c>
      <c r="F921" s="5">
        <f t="shared" si="71"/>
        <v>0</v>
      </c>
      <c r="G921" s="5">
        <f>IFERROR(IF(H921&lt;&gt;"",H921,VLOOKUP($A921,[1]FINAL!$A$1:$BZ$1000,MATCH([1]FINAL!$BL$1,[1]FINAL!$A$1:$BZ$1,0),0)),0)</f>
        <v>0</v>
      </c>
      <c r="I921" s="5">
        <f>IFERROR(IF(J921&lt;&gt;"",J921,(IF(VLOOKUP($A921,#REF!,MATCH(#REF!,#REF!,0),0)=0,G921,VLOOKUP($A921,#REF!,MATCH(#REF!,#REF!,0),0)))),G921)</f>
        <v>0</v>
      </c>
      <c r="K921" s="6">
        <f>IFERROR(VLOOKUP($A921,#REF!,MATCH(#REF!,#REF!,0),0),0)</f>
        <v>0</v>
      </c>
      <c r="L921" s="6">
        <f>IFERROR(VLOOKUP($A921,[1]FINAL!$A$1:$BZ$1000,MATCH([1]FINAL!$BF$1,[1]FINAL!$A$1:$BZ$1,0),0),0)</f>
        <v>0</v>
      </c>
      <c r="M921" s="7">
        <f t="shared" si="72"/>
        <v>0</v>
      </c>
      <c r="N921" s="6">
        <f>IFERROR(VLOOKUP($A921,#REF!,MATCH(#REF!,#REF!,0),0),0)</f>
        <v>0</v>
      </c>
      <c r="O921" s="7">
        <f t="shared" si="73"/>
        <v>0</v>
      </c>
      <c r="P921" s="10" t="str">
        <f>IFERROR(VLOOKUP($A921,[1]FINAL!$A$1:$BZ$1000,MATCH([1]FINAL!$BB$1,[1]FINAL!$A$1:$BZ$1,0),0),"")</f>
        <v/>
      </c>
      <c r="Q921" s="18">
        <f t="shared" si="74"/>
        <v>1</v>
      </c>
    </row>
    <row r="922" spans="1:17" x14ac:dyDescent="0.25">
      <c r="A922" s="14">
        <f>[1]FINAL!$A920</f>
        <v>0</v>
      </c>
      <c r="B922" s="20" t="str">
        <f>IFERROR(VLOOKUP($A922,[1]FINAL!$A$1:$Z$1000,MATCH([1]FINAL!$T$1,[1]FINAL!$A$1:$Z$1,0),0),"")</f>
        <v/>
      </c>
      <c r="C922" s="3" t="str">
        <f>IFERROR(VLOOKUP($A922,[1]FINAL!$A$1:$Z$1000,MATCH([1]FINAL!$U$1,[1]FINAL!$A$1:$Z$1,0),0),"")</f>
        <v/>
      </c>
      <c r="D922" s="3" t="str">
        <f>IFERROR(VLOOKUP($A922,[1]FINAL!$A$1:$Z$1000,MATCH([1]FINAL!$V$1,[1]FINAL!$A$1:$Z$1,0),0),"")</f>
        <v/>
      </c>
      <c r="E922" s="6">
        <f t="shared" si="70"/>
        <v>0</v>
      </c>
      <c r="F922" s="5">
        <f t="shared" si="71"/>
        <v>0</v>
      </c>
      <c r="G922" s="5">
        <f>IFERROR(IF(H922&lt;&gt;"",H922,VLOOKUP($A922,[1]FINAL!$A$1:$BZ$1000,MATCH([1]FINAL!$BL$1,[1]FINAL!$A$1:$BZ$1,0),0)),0)</f>
        <v>0</v>
      </c>
      <c r="I922" s="5">
        <f>IFERROR(IF(J922&lt;&gt;"",J922,(IF(VLOOKUP($A922,#REF!,MATCH(#REF!,#REF!,0),0)=0,G922,VLOOKUP($A922,#REF!,MATCH(#REF!,#REF!,0),0)))),G922)</f>
        <v>0</v>
      </c>
      <c r="K922" s="6">
        <f>IFERROR(VLOOKUP($A922,#REF!,MATCH(#REF!,#REF!,0),0),0)</f>
        <v>0</v>
      </c>
      <c r="L922" s="6">
        <f>IFERROR(VLOOKUP($A922,[1]FINAL!$A$1:$BZ$1000,MATCH([1]FINAL!$BF$1,[1]FINAL!$A$1:$BZ$1,0),0),0)</f>
        <v>0</v>
      </c>
      <c r="M922" s="7">
        <f t="shared" si="72"/>
        <v>0</v>
      </c>
      <c r="N922" s="6">
        <f>IFERROR(VLOOKUP($A922,#REF!,MATCH(#REF!,#REF!,0),0),0)</f>
        <v>0</v>
      </c>
      <c r="O922" s="7">
        <f t="shared" si="73"/>
        <v>0</v>
      </c>
      <c r="P922" s="10" t="str">
        <f>IFERROR(VLOOKUP($A922,[1]FINAL!$A$1:$BZ$1000,MATCH([1]FINAL!$BB$1,[1]FINAL!$A$1:$BZ$1,0),0),"")</f>
        <v/>
      </c>
      <c r="Q922" s="18">
        <f t="shared" si="74"/>
        <v>1</v>
      </c>
    </row>
    <row r="923" spans="1:17" x14ac:dyDescent="0.25">
      <c r="A923" s="14">
        <f>[1]FINAL!$A921</f>
        <v>0</v>
      </c>
      <c r="B923" s="20" t="str">
        <f>IFERROR(VLOOKUP($A923,[1]FINAL!$A$1:$Z$1000,MATCH([1]FINAL!$T$1,[1]FINAL!$A$1:$Z$1,0),0),"")</f>
        <v/>
      </c>
      <c r="C923" s="3" t="str">
        <f>IFERROR(VLOOKUP($A923,[1]FINAL!$A$1:$Z$1000,MATCH([1]FINAL!$U$1,[1]FINAL!$A$1:$Z$1,0),0),"")</f>
        <v/>
      </c>
      <c r="D923" s="3" t="str">
        <f>IFERROR(VLOOKUP($A923,[1]FINAL!$A$1:$Z$1000,MATCH([1]FINAL!$V$1,[1]FINAL!$A$1:$Z$1,0),0),"")</f>
        <v/>
      </c>
      <c r="E923" s="6">
        <f t="shared" si="70"/>
        <v>0</v>
      </c>
      <c r="F923" s="5">
        <f t="shared" si="71"/>
        <v>0</v>
      </c>
      <c r="G923" s="5">
        <f>IFERROR(IF(H923&lt;&gt;"",H923,VLOOKUP($A923,[1]FINAL!$A$1:$BZ$1000,MATCH([1]FINAL!$BL$1,[1]FINAL!$A$1:$BZ$1,0),0)),0)</f>
        <v>0</v>
      </c>
      <c r="I923" s="5">
        <f>IFERROR(IF(J923&lt;&gt;"",J923,(IF(VLOOKUP($A923,#REF!,MATCH(#REF!,#REF!,0),0)=0,G923,VLOOKUP($A923,#REF!,MATCH(#REF!,#REF!,0),0)))),G923)</f>
        <v>0</v>
      </c>
      <c r="K923" s="6">
        <f>IFERROR(VLOOKUP($A923,#REF!,MATCH(#REF!,#REF!,0),0),0)</f>
        <v>0</v>
      </c>
      <c r="L923" s="6">
        <f>IFERROR(VLOOKUP($A923,[1]FINAL!$A$1:$BZ$1000,MATCH([1]FINAL!$BF$1,[1]FINAL!$A$1:$BZ$1,0),0),0)</f>
        <v>0</v>
      </c>
      <c r="M923" s="7">
        <f t="shared" si="72"/>
        <v>0</v>
      </c>
      <c r="N923" s="6">
        <f>IFERROR(VLOOKUP($A923,#REF!,MATCH(#REF!,#REF!,0),0),0)</f>
        <v>0</v>
      </c>
      <c r="O923" s="7">
        <f t="shared" si="73"/>
        <v>0</v>
      </c>
      <c r="P923" s="10" t="str">
        <f>IFERROR(VLOOKUP($A923,[1]FINAL!$A$1:$BZ$1000,MATCH([1]FINAL!$BB$1,[1]FINAL!$A$1:$BZ$1,0),0),"")</f>
        <v/>
      </c>
      <c r="Q923" s="18">
        <f t="shared" si="74"/>
        <v>1</v>
      </c>
    </row>
    <row r="924" spans="1:17" x14ac:dyDescent="0.25">
      <c r="A924" s="14">
        <f>[1]FINAL!$A922</f>
        <v>0</v>
      </c>
      <c r="B924" s="20" t="str">
        <f>IFERROR(VLOOKUP($A924,[1]FINAL!$A$1:$Z$1000,MATCH([1]FINAL!$T$1,[1]FINAL!$A$1:$Z$1,0),0),"")</f>
        <v/>
      </c>
      <c r="C924" s="3" t="str">
        <f>IFERROR(VLOOKUP($A924,[1]FINAL!$A$1:$Z$1000,MATCH([1]FINAL!$U$1,[1]FINAL!$A$1:$Z$1,0),0),"")</f>
        <v/>
      </c>
      <c r="D924" s="3" t="str">
        <f>IFERROR(VLOOKUP($A924,[1]FINAL!$A$1:$Z$1000,MATCH([1]FINAL!$V$1,[1]FINAL!$A$1:$Z$1,0),0),"")</f>
        <v/>
      </c>
      <c r="E924" s="6">
        <f t="shared" si="70"/>
        <v>0</v>
      </c>
      <c r="F924" s="5">
        <f t="shared" si="71"/>
        <v>0</v>
      </c>
      <c r="G924" s="5">
        <f>IFERROR(IF(H924&lt;&gt;"",H924,VLOOKUP($A924,[1]FINAL!$A$1:$BZ$1000,MATCH([1]FINAL!$BL$1,[1]FINAL!$A$1:$BZ$1,0),0)),0)</f>
        <v>0</v>
      </c>
      <c r="I924" s="5">
        <f>IFERROR(IF(J924&lt;&gt;"",J924,(IF(VLOOKUP($A924,#REF!,MATCH(#REF!,#REF!,0),0)=0,G924,VLOOKUP($A924,#REF!,MATCH(#REF!,#REF!,0),0)))),G924)</f>
        <v>0</v>
      </c>
      <c r="K924" s="6">
        <f>IFERROR(VLOOKUP($A924,#REF!,MATCH(#REF!,#REF!,0),0),0)</f>
        <v>0</v>
      </c>
      <c r="L924" s="6">
        <f>IFERROR(VLOOKUP($A924,[1]FINAL!$A$1:$BZ$1000,MATCH([1]FINAL!$BF$1,[1]FINAL!$A$1:$BZ$1,0),0),0)</f>
        <v>0</v>
      </c>
      <c r="M924" s="7">
        <f t="shared" si="72"/>
        <v>0</v>
      </c>
      <c r="N924" s="6">
        <f>IFERROR(VLOOKUP($A924,#REF!,MATCH(#REF!,#REF!,0),0),0)</f>
        <v>0</v>
      </c>
      <c r="O924" s="7">
        <f t="shared" si="73"/>
        <v>0</v>
      </c>
      <c r="P924" s="10" t="str">
        <f>IFERROR(VLOOKUP($A924,[1]FINAL!$A$1:$BZ$1000,MATCH([1]FINAL!$BB$1,[1]FINAL!$A$1:$BZ$1,0),0),"")</f>
        <v/>
      </c>
      <c r="Q924" s="18">
        <f t="shared" si="74"/>
        <v>1</v>
      </c>
    </row>
    <row r="925" spans="1:17" x14ac:dyDescent="0.25">
      <c r="A925" s="14">
        <f>[1]FINAL!$A923</f>
        <v>0</v>
      </c>
      <c r="B925" s="20" t="str">
        <f>IFERROR(VLOOKUP($A925,[1]FINAL!$A$1:$Z$1000,MATCH([1]FINAL!$T$1,[1]FINAL!$A$1:$Z$1,0),0),"")</f>
        <v/>
      </c>
      <c r="C925" s="3" t="str">
        <f>IFERROR(VLOOKUP($A925,[1]FINAL!$A$1:$Z$1000,MATCH([1]FINAL!$U$1,[1]FINAL!$A$1:$Z$1,0),0),"")</f>
        <v/>
      </c>
      <c r="D925" s="3" t="str">
        <f>IFERROR(VLOOKUP($A925,[1]FINAL!$A$1:$Z$1000,MATCH([1]FINAL!$V$1,[1]FINAL!$A$1:$Z$1,0),0),"")</f>
        <v/>
      </c>
      <c r="E925" s="6">
        <f t="shared" si="70"/>
        <v>0</v>
      </c>
      <c r="F925" s="5">
        <f t="shared" si="71"/>
        <v>0</v>
      </c>
      <c r="G925" s="5">
        <f>IFERROR(IF(H925&lt;&gt;"",H925,VLOOKUP($A925,[1]FINAL!$A$1:$BZ$1000,MATCH([1]FINAL!$BL$1,[1]FINAL!$A$1:$BZ$1,0),0)),0)</f>
        <v>0</v>
      </c>
      <c r="I925" s="5">
        <f>IFERROR(IF(J925&lt;&gt;"",J925,(IF(VLOOKUP($A925,#REF!,MATCH(#REF!,#REF!,0),0)=0,G925,VLOOKUP($A925,#REF!,MATCH(#REF!,#REF!,0),0)))),G925)</f>
        <v>0</v>
      </c>
      <c r="K925" s="6">
        <f>IFERROR(VLOOKUP($A925,#REF!,MATCH(#REF!,#REF!,0),0),0)</f>
        <v>0</v>
      </c>
      <c r="L925" s="6">
        <f>IFERROR(VLOOKUP($A925,[1]FINAL!$A$1:$BZ$1000,MATCH([1]FINAL!$BF$1,[1]FINAL!$A$1:$BZ$1,0),0),0)</f>
        <v>0</v>
      </c>
      <c r="M925" s="7">
        <f t="shared" si="72"/>
        <v>0</v>
      </c>
      <c r="N925" s="6">
        <f>IFERROR(VLOOKUP($A925,#REF!,MATCH(#REF!,#REF!,0),0),0)</f>
        <v>0</v>
      </c>
      <c r="O925" s="7">
        <f t="shared" si="73"/>
        <v>0</v>
      </c>
      <c r="P925" s="10" t="str">
        <f>IFERROR(VLOOKUP($A925,[1]FINAL!$A$1:$BZ$1000,MATCH([1]FINAL!$BB$1,[1]FINAL!$A$1:$BZ$1,0),0),"")</f>
        <v/>
      </c>
      <c r="Q925" s="18">
        <f t="shared" si="74"/>
        <v>1</v>
      </c>
    </row>
    <row r="926" spans="1:17" x14ac:dyDescent="0.25">
      <c r="A926" s="14">
        <f>[1]FINAL!$A924</f>
        <v>0</v>
      </c>
      <c r="B926" s="20" t="str">
        <f>IFERROR(VLOOKUP($A926,[1]FINAL!$A$1:$Z$1000,MATCH([1]FINAL!$T$1,[1]FINAL!$A$1:$Z$1,0),0),"")</f>
        <v/>
      </c>
      <c r="C926" s="3" t="str">
        <f>IFERROR(VLOOKUP($A926,[1]FINAL!$A$1:$Z$1000,MATCH([1]FINAL!$U$1,[1]FINAL!$A$1:$Z$1,0),0),"")</f>
        <v/>
      </c>
      <c r="D926" s="3" t="str">
        <f>IFERROR(VLOOKUP($A926,[1]FINAL!$A$1:$Z$1000,MATCH([1]FINAL!$V$1,[1]FINAL!$A$1:$Z$1,0),0),"")</f>
        <v/>
      </c>
      <c r="E926" s="6">
        <f t="shared" si="70"/>
        <v>0</v>
      </c>
      <c r="F926" s="5">
        <f t="shared" si="71"/>
        <v>0</v>
      </c>
      <c r="G926" s="5">
        <f>IFERROR(IF(H926&lt;&gt;"",H926,VLOOKUP($A926,[1]FINAL!$A$1:$BZ$1000,MATCH([1]FINAL!$BL$1,[1]FINAL!$A$1:$BZ$1,0),0)),0)</f>
        <v>0</v>
      </c>
      <c r="I926" s="5">
        <f>IFERROR(IF(J926&lt;&gt;"",J926,(IF(VLOOKUP($A926,#REF!,MATCH(#REF!,#REF!,0),0)=0,G926,VLOOKUP($A926,#REF!,MATCH(#REF!,#REF!,0),0)))),G926)</f>
        <v>0</v>
      </c>
      <c r="K926" s="6">
        <f>IFERROR(VLOOKUP($A926,#REF!,MATCH(#REF!,#REF!,0),0),0)</f>
        <v>0</v>
      </c>
      <c r="L926" s="6">
        <f>IFERROR(VLOOKUP($A926,[1]FINAL!$A$1:$BZ$1000,MATCH([1]FINAL!$BF$1,[1]FINAL!$A$1:$BZ$1,0),0),0)</f>
        <v>0</v>
      </c>
      <c r="M926" s="7">
        <f t="shared" si="72"/>
        <v>0</v>
      </c>
      <c r="N926" s="6">
        <f>IFERROR(VLOOKUP($A926,#REF!,MATCH(#REF!,#REF!,0),0),0)</f>
        <v>0</v>
      </c>
      <c r="O926" s="7">
        <f t="shared" si="73"/>
        <v>0</v>
      </c>
      <c r="P926" s="10" t="str">
        <f>IFERROR(VLOOKUP($A926,[1]FINAL!$A$1:$BZ$1000,MATCH([1]FINAL!$BB$1,[1]FINAL!$A$1:$BZ$1,0),0),"")</f>
        <v/>
      </c>
      <c r="Q926" s="18">
        <f t="shared" si="74"/>
        <v>1</v>
      </c>
    </row>
    <row r="927" spans="1:17" x14ac:dyDescent="0.25">
      <c r="A927" s="14">
        <f>[1]FINAL!$A925</f>
        <v>0</v>
      </c>
      <c r="B927" s="20" t="str">
        <f>IFERROR(VLOOKUP($A927,[1]FINAL!$A$1:$Z$1000,MATCH([1]FINAL!$T$1,[1]FINAL!$A$1:$Z$1,0),0),"")</f>
        <v/>
      </c>
      <c r="C927" s="3" t="str">
        <f>IFERROR(VLOOKUP($A927,[1]FINAL!$A$1:$Z$1000,MATCH([1]FINAL!$U$1,[1]FINAL!$A$1:$Z$1,0),0),"")</f>
        <v/>
      </c>
      <c r="D927" s="3" t="str">
        <f>IFERROR(VLOOKUP($A927,[1]FINAL!$A$1:$Z$1000,MATCH([1]FINAL!$V$1,[1]FINAL!$A$1:$Z$1,0),0),"")</f>
        <v/>
      </c>
      <c r="E927" s="6">
        <f t="shared" si="70"/>
        <v>0</v>
      </c>
      <c r="F927" s="5">
        <f t="shared" si="71"/>
        <v>0</v>
      </c>
      <c r="G927" s="5">
        <f>IFERROR(IF(H927&lt;&gt;"",H927,VLOOKUP($A927,[1]FINAL!$A$1:$BZ$1000,MATCH([1]FINAL!$BL$1,[1]FINAL!$A$1:$BZ$1,0),0)),0)</f>
        <v>0</v>
      </c>
      <c r="I927" s="5">
        <f>IFERROR(IF(J927&lt;&gt;"",J927,(IF(VLOOKUP($A927,#REF!,MATCH(#REF!,#REF!,0),0)=0,G927,VLOOKUP($A927,#REF!,MATCH(#REF!,#REF!,0),0)))),G927)</f>
        <v>0</v>
      </c>
      <c r="K927" s="6">
        <f>IFERROR(VLOOKUP($A927,#REF!,MATCH(#REF!,#REF!,0),0),0)</f>
        <v>0</v>
      </c>
      <c r="L927" s="6">
        <f>IFERROR(VLOOKUP($A927,[1]FINAL!$A$1:$BZ$1000,MATCH([1]FINAL!$BF$1,[1]FINAL!$A$1:$BZ$1,0),0),0)</f>
        <v>0</v>
      </c>
      <c r="M927" s="7">
        <f t="shared" si="72"/>
        <v>0</v>
      </c>
      <c r="N927" s="6">
        <f>IFERROR(VLOOKUP($A927,#REF!,MATCH(#REF!,#REF!,0),0),0)</f>
        <v>0</v>
      </c>
      <c r="O927" s="7">
        <f t="shared" si="73"/>
        <v>0</v>
      </c>
      <c r="P927" s="10" t="str">
        <f>IFERROR(VLOOKUP($A927,[1]FINAL!$A$1:$BZ$1000,MATCH([1]FINAL!$BB$1,[1]FINAL!$A$1:$BZ$1,0),0),"")</f>
        <v/>
      </c>
      <c r="Q927" s="18">
        <f t="shared" si="74"/>
        <v>1</v>
      </c>
    </row>
    <row r="928" spans="1:17" x14ac:dyDescent="0.25">
      <c r="A928" s="14">
        <f>[1]FINAL!$A926</f>
        <v>0</v>
      </c>
      <c r="B928" s="20" t="str">
        <f>IFERROR(VLOOKUP($A928,[1]FINAL!$A$1:$Z$1000,MATCH([1]FINAL!$T$1,[1]FINAL!$A$1:$Z$1,0),0),"")</f>
        <v/>
      </c>
      <c r="C928" s="3" t="str">
        <f>IFERROR(VLOOKUP($A928,[1]FINAL!$A$1:$Z$1000,MATCH([1]FINAL!$U$1,[1]FINAL!$A$1:$Z$1,0),0),"")</f>
        <v/>
      </c>
      <c r="D928" s="3" t="str">
        <f>IFERROR(VLOOKUP($A928,[1]FINAL!$A$1:$Z$1000,MATCH([1]FINAL!$V$1,[1]FINAL!$A$1:$Z$1,0),0),"")</f>
        <v/>
      </c>
      <c r="E928" s="6">
        <f t="shared" si="70"/>
        <v>0</v>
      </c>
      <c r="F928" s="5">
        <f t="shared" si="71"/>
        <v>0</v>
      </c>
      <c r="G928" s="5">
        <f>IFERROR(IF(H928&lt;&gt;"",H928,VLOOKUP($A928,[1]FINAL!$A$1:$BZ$1000,MATCH([1]FINAL!$BL$1,[1]FINAL!$A$1:$BZ$1,0),0)),0)</f>
        <v>0</v>
      </c>
      <c r="I928" s="5">
        <f>IFERROR(IF(J928&lt;&gt;"",J928,(IF(VLOOKUP($A928,#REF!,MATCH(#REF!,#REF!,0),0)=0,G928,VLOOKUP($A928,#REF!,MATCH(#REF!,#REF!,0),0)))),G928)</f>
        <v>0</v>
      </c>
      <c r="K928" s="6">
        <f>IFERROR(VLOOKUP($A928,#REF!,MATCH(#REF!,#REF!,0),0),0)</f>
        <v>0</v>
      </c>
      <c r="L928" s="6">
        <f>IFERROR(VLOOKUP($A928,[1]FINAL!$A$1:$BZ$1000,MATCH([1]FINAL!$BF$1,[1]FINAL!$A$1:$BZ$1,0),0),0)</f>
        <v>0</v>
      </c>
      <c r="M928" s="7">
        <f t="shared" si="72"/>
        <v>0</v>
      </c>
      <c r="N928" s="6">
        <f>IFERROR(VLOOKUP($A928,#REF!,MATCH(#REF!,#REF!,0),0),0)</f>
        <v>0</v>
      </c>
      <c r="O928" s="7">
        <f t="shared" si="73"/>
        <v>0</v>
      </c>
      <c r="P928" s="10" t="str">
        <f>IFERROR(VLOOKUP($A928,[1]FINAL!$A$1:$BZ$1000,MATCH([1]FINAL!$BB$1,[1]FINAL!$A$1:$BZ$1,0),0),"")</f>
        <v/>
      </c>
      <c r="Q928" s="18">
        <f t="shared" si="74"/>
        <v>1</v>
      </c>
    </row>
    <row r="929" spans="1:17" x14ac:dyDescent="0.25">
      <c r="A929" s="14">
        <f>[1]FINAL!$A927</f>
        <v>0</v>
      </c>
      <c r="B929" s="20" t="str">
        <f>IFERROR(VLOOKUP($A929,[1]FINAL!$A$1:$Z$1000,MATCH([1]FINAL!$T$1,[1]FINAL!$A$1:$Z$1,0),0),"")</f>
        <v/>
      </c>
      <c r="C929" s="3" t="str">
        <f>IFERROR(VLOOKUP($A929,[1]FINAL!$A$1:$Z$1000,MATCH([1]FINAL!$U$1,[1]FINAL!$A$1:$Z$1,0),0),"")</f>
        <v/>
      </c>
      <c r="D929" s="3" t="str">
        <f>IFERROR(VLOOKUP($A929,[1]FINAL!$A$1:$Z$1000,MATCH([1]FINAL!$V$1,[1]FINAL!$A$1:$Z$1,0),0),"")</f>
        <v/>
      </c>
      <c r="E929" s="6">
        <f t="shared" si="70"/>
        <v>0</v>
      </c>
      <c r="F929" s="5">
        <f t="shared" si="71"/>
        <v>0</v>
      </c>
      <c r="G929" s="5">
        <f>IFERROR(IF(H929&lt;&gt;"",H929,VLOOKUP($A929,[1]FINAL!$A$1:$BZ$1000,MATCH([1]FINAL!$BL$1,[1]FINAL!$A$1:$BZ$1,0),0)),0)</f>
        <v>0</v>
      </c>
      <c r="I929" s="5">
        <f>IFERROR(IF(J929&lt;&gt;"",J929,(IF(VLOOKUP($A929,#REF!,MATCH(#REF!,#REF!,0),0)=0,G929,VLOOKUP($A929,#REF!,MATCH(#REF!,#REF!,0),0)))),G929)</f>
        <v>0</v>
      </c>
      <c r="K929" s="6">
        <f>IFERROR(VLOOKUP($A929,#REF!,MATCH(#REF!,#REF!,0),0),0)</f>
        <v>0</v>
      </c>
      <c r="L929" s="6">
        <f>IFERROR(VLOOKUP($A929,[1]FINAL!$A$1:$BZ$1000,MATCH([1]FINAL!$BF$1,[1]FINAL!$A$1:$BZ$1,0),0),0)</f>
        <v>0</v>
      </c>
      <c r="M929" s="7">
        <f t="shared" si="72"/>
        <v>0</v>
      </c>
      <c r="N929" s="6">
        <f>IFERROR(VLOOKUP($A929,#REF!,MATCH(#REF!,#REF!,0),0),0)</f>
        <v>0</v>
      </c>
      <c r="O929" s="7">
        <f t="shared" si="73"/>
        <v>0</v>
      </c>
      <c r="P929" s="10" t="str">
        <f>IFERROR(VLOOKUP($A929,[1]FINAL!$A$1:$BZ$1000,MATCH([1]FINAL!$BB$1,[1]FINAL!$A$1:$BZ$1,0),0),"")</f>
        <v/>
      </c>
      <c r="Q929" s="18">
        <f t="shared" si="74"/>
        <v>1</v>
      </c>
    </row>
    <row r="930" spans="1:17" x14ac:dyDescent="0.25">
      <c r="A930" s="14">
        <f>[1]FINAL!$A928</f>
        <v>0</v>
      </c>
      <c r="B930" s="20" t="str">
        <f>IFERROR(VLOOKUP($A930,[1]FINAL!$A$1:$Z$1000,MATCH([1]FINAL!$T$1,[1]FINAL!$A$1:$Z$1,0),0),"")</f>
        <v/>
      </c>
      <c r="C930" s="3" t="str">
        <f>IFERROR(VLOOKUP($A930,[1]FINAL!$A$1:$Z$1000,MATCH([1]FINAL!$U$1,[1]FINAL!$A$1:$Z$1,0),0),"")</f>
        <v/>
      </c>
      <c r="D930" s="3" t="str">
        <f>IFERROR(VLOOKUP($A930,[1]FINAL!$A$1:$Z$1000,MATCH([1]FINAL!$V$1,[1]FINAL!$A$1:$Z$1,0),0),"")</f>
        <v/>
      </c>
      <c r="E930" s="6">
        <f t="shared" si="70"/>
        <v>0</v>
      </c>
      <c r="F930" s="5">
        <f t="shared" si="71"/>
        <v>0</v>
      </c>
      <c r="G930" s="5">
        <f>IFERROR(IF(H930&lt;&gt;"",H930,VLOOKUP($A930,[1]FINAL!$A$1:$BZ$1000,MATCH([1]FINAL!$BL$1,[1]FINAL!$A$1:$BZ$1,0),0)),0)</f>
        <v>0</v>
      </c>
      <c r="I930" s="5">
        <f>IFERROR(IF(J930&lt;&gt;"",J930,(IF(VLOOKUP($A930,#REF!,MATCH(#REF!,#REF!,0),0)=0,G930,VLOOKUP($A930,#REF!,MATCH(#REF!,#REF!,0),0)))),G930)</f>
        <v>0</v>
      </c>
      <c r="K930" s="6">
        <f>IFERROR(VLOOKUP($A930,#REF!,MATCH(#REF!,#REF!,0),0),0)</f>
        <v>0</v>
      </c>
      <c r="L930" s="6">
        <f>IFERROR(VLOOKUP($A930,[1]FINAL!$A$1:$BZ$1000,MATCH([1]FINAL!$BF$1,[1]FINAL!$A$1:$BZ$1,0),0),0)</f>
        <v>0</v>
      </c>
      <c r="M930" s="7">
        <f t="shared" si="72"/>
        <v>0</v>
      </c>
      <c r="N930" s="6">
        <f>IFERROR(VLOOKUP($A930,#REF!,MATCH(#REF!,#REF!,0),0),0)</f>
        <v>0</v>
      </c>
      <c r="O930" s="7">
        <f t="shared" si="73"/>
        <v>0</v>
      </c>
      <c r="P930" s="10" t="str">
        <f>IFERROR(VLOOKUP($A930,[1]FINAL!$A$1:$BZ$1000,MATCH([1]FINAL!$BB$1,[1]FINAL!$A$1:$BZ$1,0),0),"")</f>
        <v/>
      </c>
      <c r="Q930" s="18">
        <f t="shared" si="74"/>
        <v>1</v>
      </c>
    </row>
    <row r="931" spans="1:17" x14ac:dyDescent="0.25">
      <c r="A931" s="14">
        <f>[1]FINAL!$A929</f>
        <v>0</v>
      </c>
      <c r="B931" s="20" t="str">
        <f>IFERROR(VLOOKUP($A931,[1]FINAL!$A$1:$Z$1000,MATCH([1]FINAL!$T$1,[1]FINAL!$A$1:$Z$1,0),0),"")</f>
        <v/>
      </c>
      <c r="C931" s="3" t="str">
        <f>IFERROR(VLOOKUP($A931,[1]FINAL!$A$1:$Z$1000,MATCH([1]FINAL!$U$1,[1]FINAL!$A$1:$Z$1,0),0),"")</f>
        <v/>
      </c>
      <c r="D931" s="3" t="str">
        <f>IFERROR(VLOOKUP($A931,[1]FINAL!$A$1:$Z$1000,MATCH([1]FINAL!$V$1,[1]FINAL!$A$1:$Z$1,0),0),"")</f>
        <v/>
      </c>
      <c r="E931" s="6">
        <f t="shared" si="70"/>
        <v>0</v>
      </c>
      <c r="F931" s="5">
        <f t="shared" si="71"/>
        <v>0</v>
      </c>
      <c r="G931" s="5">
        <f>IFERROR(IF(H931&lt;&gt;"",H931,VLOOKUP($A931,[1]FINAL!$A$1:$BZ$1000,MATCH([1]FINAL!$BL$1,[1]FINAL!$A$1:$BZ$1,0),0)),0)</f>
        <v>0</v>
      </c>
      <c r="I931" s="5">
        <f>IFERROR(IF(J931&lt;&gt;"",J931,(IF(VLOOKUP($A931,#REF!,MATCH(#REF!,#REF!,0),0)=0,G931,VLOOKUP($A931,#REF!,MATCH(#REF!,#REF!,0),0)))),G931)</f>
        <v>0</v>
      </c>
      <c r="K931" s="6">
        <f>IFERROR(VLOOKUP($A931,#REF!,MATCH(#REF!,#REF!,0),0),0)</f>
        <v>0</v>
      </c>
      <c r="L931" s="6">
        <f>IFERROR(VLOOKUP($A931,[1]FINAL!$A$1:$BZ$1000,MATCH([1]FINAL!$BF$1,[1]FINAL!$A$1:$BZ$1,0),0),0)</f>
        <v>0</v>
      </c>
      <c r="M931" s="7">
        <f t="shared" si="72"/>
        <v>0</v>
      </c>
      <c r="N931" s="6">
        <f>IFERROR(VLOOKUP($A931,#REF!,MATCH(#REF!,#REF!,0),0),0)</f>
        <v>0</v>
      </c>
      <c r="O931" s="7">
        <f t="shared" si="73"/>
        <v>0</v>
      </c>
      <c r="P931" s="10" t="str">
        <f>IFERROR(VLOOKUP($A931,[1]FINAL!$A$1:$BZ$1000,MATCH([1]FINAL!$BB$1,[1]FINAL!$A$1:$BZ$1,0),0),"")</f>
        <v/>
      </c>
      <c r="Q931" s="18">
        <f t="shared" si="74"/>
        <v>1</v>
      </c>
    </row>
    <row r="932" spans="1:17" x14ac:dyDescent="0.25">
      <c r="A932" s="14">
        <f>[1]FINAL!$A930</f>
        <v>0</v>
      </c>
      <c r="B932" s="20" t="str">
        <f>IFERROR(VLOOKUP($A932,[1]FINAL!$A$1:$Z$1000,MATCH([1]FINAL!$T$1,[1]FINAL!$A$1:$Z$1,0),0),"")</f>
        <v/>
      </c>
      <c r="C932" s="3" t="str">
        <f>IFERROR(VLOOKUP($A932,[1]FINAL!$A$1:$Z$1000,MATCH([1]FINAL!$U$1,[1]FINAL!$A$1:$Z$1,0),0),"")</f>
        <v/>
      </c>
      <c r="D932" s="3" t="str">
        <f>IFERROR(VLOOKUP($A932,[1]FINAL!$A$1:$Z$1000,MATCH([1]FINAL!$V$1,[1]FINAL!$A$1:$Z$1,0),0),"")</f>
        <v/>
      </c>
      <c r="E932" s="6">
        <f t="shared" si="70"/>
        <v>0</v>
      </c>
      <c r="F932" s="5">
        <f t="shared" si="71"/>
        <v>0</v>
      </c>
      <c r="G932" s="5">
        <f>IFERROR(IF(H932&lt;&gt;"",H932,VLOOKUP($A932,[1]FINAL!$A$1:$BZ$1000,MATCH([1]FINAL!$BL$1,[1]FINAL!$A$1:$BZ$1,0),0)),0)</f>
        <v>0</v>
      </c>
      <c r="I932" s="5">
        <f>IFERROR(IF(J932&lt;&gt;"",J932,(IF(VLOOKUP($A932,#REF!,MATCH(#REF!,#REF!,0),0)=0,G932,VLOOKUP($A932,#REF!,MATCH(#REF!,#REF!,0),0)))),G932)</f>
        <v>0</v>
      </c>
      <c r="K932" s="6">
        <f>IFERROR(VLOOKUP($A932,#REF!,MATCH(#REF!,#REF!,0),0),0)</f>
        <v>0</v>
      </c>
      <c r="L932" s="6">
        <f>IFERROR(VLOOKUP($A932,[1]FINAL!$A$1:$BZ$1000,MATCH([1]FINAL!$BF$1,[1]FINAL!$A$1:$BZ$1,0),0),0)</f>
        <v>0</v>
      </c>
      <c r="M932" s="7">
        <f t="shared" si="72"/>
        <v>0</v>
      </c>
      <c r="N932" s="6">
        <f>IFERROR(VLOOKUP($A932,#REF!,MATCH(#REF!,#REF!,0),0),0)</f>
        <v>0</v>
      </c>
      <c r="O932" s="7">
        <f t="shared" si="73"/>
        <v>0</v>
      </c>
      <c r="P932" s="10" t="str">
        <f>IFERROR(VLOOKUP($A932,[1]FINAL!$A$1:$BZ$1000,MATCH([1]FINAL!$BB$1,[1]FINAL!$A$1:$BZ$1,0),0),"")</f>
        <v/>
      </c>
      <c r="Q932" s="18">
        <f t="shared" si="74"/>
        <v>1</v>
      </c>
    </row>
    <row r="933" spans="1:17" x14ac:dyDescent="0.25">
      <c r="A933" s="14">
        <f>[1]FINAL!$A931</f>
        <v>0</v>
      </c>
      <c r="B933" s="20" t="str">
        <f>IFERROR(VLOOKUP($A933,[1]FINAL!$A$1:$Z$1000,MATCH([1]FINAL!$T$1,[1]FINAL!$A$1:$Z$1,0),0),"")</f>
        <v/>
      </c>
      <c r="C933" s="3" t="str">
        <f>IFERROR(VLOOKUP($A933,[1]FINAL!$A$1:$Z$1000,MATCH([1]FINAL!$U$1,[1]FINAL!$A$1:$Z$1,0),0),"")</f>
        <v/>
      </c>
      <c r="D933" s="3" t="str">
        <f>IFERROR(VLOOKUP($A933,[1]FINAL!$A$1:$Z$1000,MATCH([1]FINAL!$V$1,[1]FINAL!$A$1:$Z$1,0),0),"")</f>
        <v/>
      </c>
      <c r="E933" s="6">
        <f t="shared" si="70"/>
        <v>0</v>
      </c>
      <c r="F933" s="5">
        <f t="shared" si="71"/>
        <v>0</v>
      </c>
      <c r="G933" s="5">
        <f>IFERROR(IF(H933&lt;&gt;"",H933,VLOOKUP($A933,[1]FINAL!$A$1:$BZ$1000,MATCH([1]FINAL!$BL$1,[1]FINAL!$A$1:$BZ$1,0),0)),0)</f>
        <v>0</v>
      </c>
      <c r="I933" s="5">
        <f>IFERROR(IF(J933&lt;&gt;"",J933,(IF(VLOOKUP($A933,#REF!,MATCH(#REF!,#REF!,0),0)=0,G933,VLOOKUP($A933,#REF!,MATCH(#REF!,#REF!,0),0)))),G933)</f>
        <v>0</v>
      </c>
      <c r="K933" s="6">
        <f>IFERROR(VLOOKUP($A933,#REF!,MATCH(#REF!,#REF!,0),0),0)</f>
        <v>0</v>
      </c>
      <c r="L933" s="6">
        <f>IFERROR(VLOOKUP($A933,[1]FINAL!$A$1:$BZ$1000,MATCH([1]FINAL!$BF$1,[1]FINAL!$A$1:$BZ$1,0),0),0)</f>
        <v>0</v>
      </c>
      <c r="M933" s="7">
        <f t="shared" si="72"/>
        <v>0</v>
      </c>
      <c r="N933" s="6">
        <f>IFERROR(VLOOKUP($A933,#REF!,MATCH(#REF!,#REF!,0),0),0)</f>
        <v>0</v>
      </c>
      <c r="O933" s="7">
        <f t="shared" si="73"/>
        <v>0</v>
      </c>
      <c r="P933" s="10" t="str">
        <f>IFERROR(VLOOKUP($A933,[1]FINAL!$A$1:$BZ$1000,MATCH([1]FINAL!$BB$1,[1]FINAL!$A$1:$BZ$1,0),0),"")</f>
        <v/>
      </c>
      <c r="Q933" s="18">
        <f t="shared" si="74"/>
        <v>1</v>
      </c>
    </row>
    <row r="934" spans="1:17" x14ac:dyDescent="0.25">
      <c r="A934" s="14">
        <f>[1]FINAL!$A932</f>
        <v>0</v>
      </c>
      <c r="B934" s="20" t="str">
        <f>IFERROR(VLOOKUP($A934,[1]FINAL!$A$1:$Z$1000,MATCH([1]FINAL!$T$1,[1]FINAL!$A$1:$Z$1,0),0),"")</f>
        <v/>
      </c>
      <c r="C934" s="3" t="str">
        <f>IFERROR(VLOOKUP($A934,[1]FINAL!$A$1:$Z$1000,MATCH([1]FINAL!$U$1,[1]FINAL!$A$1:$Z$1,0),0),"")</f>
        <v/>
      </c>
      <c r="D934" s="3" t="str">
        <f>IFERROR(VLOOKUP($A934,[1]FINAL!$A$1:$Z$1000,MATCH([1]FINAL!$V$1,[1]FINAL!$A$1:$Z$1,0),0),"")</f>
        <v/>
      </c>
      <c r="E934" s="6">
        <f t="shared" si="70"/>
        <v>0</v>
      </c>
      <c r="F934" s="5">
        <f t="shared" si="71"/>
        <v>0</v>
      </c>
      <c r="G934" s="5">
        <f>IFERROR(IF(H934&lt;&gt;"",H934,VLOOKUP($A934,[1]FINAL!$A$1:$BZ$1000,MATCH([1]FINAL!$BL$1,[1]FINAL!$A$1:$BZ$1,0),0)),0)</f>
        <v>0</v>
      </c>
      <c r="I934" s="5">
        <f>IFERROR(IF(J934&lt;&gt;"",J934,(IF(VLOOKUP($A934,#REF!,MATCH(#REF!,#REF!,0),0)=0,G934,VLOOKUP($A934,#REF!,MATCH(#REF!,#REF!,0),0)))),G934)</f>
        <v>0</v>
      </c>
      <c r="K934" s="6">
        <f>IFERROR(VLOOKUP($A934,#REF!,MATCH(#REF!,#REF!,0),0),0)</f>
        <v>0</v>
      </c>
      <c r="L934" s="6">
        <f>IFERROR(VLOOKUP($A934,[1]FINAL!$A$1:$BZ$1000,MATCH([1]FINAL!$BF$1,[1]FINAL!$A$1:$BZ$1,0),0),0)</f>
        <v>0</v>
      </c>
      <c r="M934" s="7">
        <f t="shared" si="72"/>
        <v>0</v>
      </c>
      <c r="N934" s="6">
        <f>IFERROR(VLOOKUP($A934,#REF!,MATCH(#REF!,#REF!,0),0),0)</f>
        <v>0</v>
      </c>
      <c r="O934" s="7">
        <f t="shared" si="73"/>
        <v>0</v>
      </c>
      <c r="P934" s="10" t="str">
        <f>IFERROR(VLOOKUP($A934,[1]FINAL!$A$1:$BZ$1000,MATCH([1]FINAL!$BB$1,[1]FINAL!$A$1:$BZ$1,0),0),"")</f>
        <v/>
      </c>
      <c r="Q934" s="18">
        <f t="shared" si="74"/>
        <v>1</v>
      </c>
    </row>
    <row r="935" spans="1:17" x14ac:dyDescent="0.25">
      <c r="A935" s="14">
        <f>[1]FINAL!$A933</f>
        <v>0</v>
      </c>
      <c r="B935" s="20" t="str">
        <f>IFERROR(VLOOKUP($A935,[1]FINAL!$A$1:$Z$1000,MATCH([1]FINAL!$T$1,[1]FINAL!$A$1:$Z$1,0),0),"")</f>
        <v/>
      </c>
      <c r="C935" s="3" t="str">
        <f>IFERROR(VLOOKUP($A935,[1]FINAL!$A$1:$Z$1000,MATCH([1]FINAL!$U$1,[1]FINAL!$A$1:$Z$1,0),0),"")</f>
        <v/>
      </c>
      <c r="D935" s="3" t="str">
        <f>IFERROR(VLOOKUP($A935,[1]FINAL!$A$1:$Z$1000,MATCH([1]FINAL!$V$1,[1]FINAL!$A$1:$Z$1,0),0),"")</f>
        <v/>
      </c>
      <c r="E935" s="6">
        <f t="shared" si="70"/>
        <v>0</v>
      </c>
      <c r="F935" s="5">
        <f t="shared" si="71"/>
        <v>0</v>
      </c>
      <c r="G935" s="5">
        <f>IFERROR(IF(H935&lt;&gt;"",H935,VLOOKUP($A935,[1]FINAL!$A$1:$BZ$1000,MATCH([1]FINAL!$BL$1,[1]FINAL!$A$1:$BZ$1,0),0)),0)</f>
        <v>0</v>
      </c>
      <c r="I935" s="5">
        <f>IFERROR(IF(J935&lt;&gt;"",J935,(IF(VLOOKUP($A935,#REF!,MATCH(#REF!,#REF!,0),0)=0,G935,VLOOKUP($A935,#REF!,MATCH(#REF!,#REF!,0),0)))),G935)</f>
        <v>0</v>
      </c>
      <c r="K935" s="6">
        <f>IFERROR(VLOOKUP($A935,#REF!,MATCH(#REF!,#REF!,0),0),0)</f>
        <v>0</v>
      </c>
      <c r="L935" s="6">
        <f>IFERROR(VLOOKUP($A935,[1]FINAL!$A$1:$BZ$1000,MATCH([1]FINAL!$BF$1,[1]FINAL!$A$1:$BZ$1,0),0),0)</f>
        <v>0</v>
      </c>
      <c r="M935" s="7">
        <f t="shared" si="72"/>
        <v>0</v>
      </c>
      <c r="N935" s="6">
        <f>IFERROR(VLOOKUP($A935,#REF!,MATCH(#REF!,#REF!,0),0),0)</f>
        <v>0</v>
      </c>
      <c r="O935" s="7">
        <f t="shared" si="73"/>
        <v>0</v>
      </c>
      <c r="P935" s="10" t="str">
        <f>IFERROR(VLOOKUP($A935,[1]FINAL!$A$1:$BZ$1000,MATCH([1]FINAL!$BB$1,[1]FINAL!$A$1:$BZ$1,0),0),"")</f>
        <v/>
      </c>
      <c r="Q935" s="18">
        <f t="shared" si="74"/>
        <v>1</v>
      </c>
    </row>
    <row r="936" spans="1:17" x14ac:dyDescent="0.25">
      <c r="A936" s="14">
        <f>[1]FINAL!$A934</f>
        <v>0</v>
      </c>
      <c r="B936" s="20" t="str">
        <f>IFERROR(VLOOKUP($A936,[1]FINAL!$A$1:$Z$1000,MATCH([1]FINAL!$T$1,[1]FINAL!$A$1:$Z$1,0),0),"")</f>
        <v/>
      </c>
      <c r="C936" s="3" t="str">
        <f>IFERROR(VLOOKUP($A936,[1]FINAL!$A$1:$Z$1000,MATCH([1]FINAL!$U$1,[1]FINAL!$A$1:$Z$1,0),0),"")</f>
        <v/>
      </c>
      <c r="D936" s="3" t="str">
        <f>IFERROR(VLOOKUP($A936,[1]FINAL!$A$1:$Z$1000,MATCH([1]FINAL!$V$1,[1]FINAL!$A$1:$Z$1,0),0),"")</f>
        <v/>
      </c>
      <c r="E936" s="6">
        <f t="shared" si="70"/>
        <v>0</v>
      </c>
      <c r="F936" s="5">
        <f t="shared" si="71"/>
        <v>0</v>
      </c>
      <c r="G936" s="5">
        <f>IFERROR(IF(H936&lt;&gt;"",H936,VLOOKUP($A936,[1]FINAL!$A$1:$BZ$1000,MATCH([1]FINAL!$BL$1,[1]FINAL!$A$1:$BZ$1,0),0)),0)</f>
        <v>0</v>
      </c>
      <c r="I936" s="5">
        <f>IFERROR(IF(J936&lt;&gt;"",J936,(IF(VLOOKUP($A936,#REF!,MATCH(#REF!,#REF!,0),0)=0,G936,VLOOKUP($A936,#REF!,MATCH(#REF!,#REF!,0),0)))),G936)</f>
        <v>0</v>
      </c>
      <c r="K936" s="6">
        <f>IFERROR(VLOOKUP($A936,#REF!,MATCH(#REF!,#REF!,0),0),0)</f>
        <v>0</v>
      </c>
      <c r="L936" s="6">
        <f>IFERROR(VLOOKUP($A936,[1]FINAL!$A$1:$BZ$1000,MATCH([1]FINAL!$BF$1,[1]FINAL!$A$1:$BZ$1,0),0),0)</f>
        <v>0</v>
      </c>
      <c r="M936" s="7">
        <f t="shared" si="72"/>
        <v>0</v>
      </c>
      <c r="N936" s="6">
        <f>IFERROR(VLOOKUP($A936,#REF!,MATCH(#REF!,#REF!,0),0),0)</f>
        <v>0</v>
      </c>
      <c r="O936" s="7">
        <f t="shared" si="73"/>
        <v>0</v>
      </c>
      <c r="P936" s="10" t="str">
        <f>IFERROR(VLOOKUP($A936,[1]FINAL!$A$1:$BZ$1000,MATCH([1]FINAL!$BB$1,[1]FINAL!$A$1:$BZ$1,0),0),"")</f>
        <v/>
      </c>
      <c r="Q936" s="18">
        <f t="shared" si="74"/>
        <v>1</v>
      </c>
    </row>
    <row r="937" spans="1:17" x14ac:dyDescent="0.25">
      <c r="A937" s="14">
        <f>[1]FINAL!$A935</f>
        <v>0</v>
      </c>
      <c r="B937" s="20" t="str">
        <f>IFERROR(VLOOKUP($A937,[1]FINAL!$A$1:$Z$1000,MATCH([1]FINAL!$T$1,[1]FINAL!$A$1:$Z$1,0),0),"")</f>
        <v/>
      </c>
      <c r="C937" s="3" t="str">
        <f>IFERROR(VLOOKUP($A937,[1]FINAL!$A$1:$Z$1000,MATCH([1]FINAL!$U$1,[1]FINAL!$A$1:$Z$1,0),0),"")</f>
        <v/>
      </c>
      <c r="D937" s="3" t="str">
        <f>IFERROR(VLOOKUP($A937,[1]FINAL!$A$1:$Z$1000,MATCH([1]FINAL!$V$1,[1]FINAL!$A$1:$Z$1,0),0),"")</f>
        <v/>
      </c>
      <c r="E937" s="6">
        <f t="shared" si="70"/>
        <v>0</v>
      </c>
      <c r="F937" s="5">
        <f t="shared" si="71"/>
        <v>0</v>
      </c>
      <c r="G937" s="5">
        <f>IFERROR(IF(H937&lt;&gt;"",H937,VLOOKUP($A937,[1]FINAL!$A$1:$BZ$1000,MATCH([1]FINAL!$BL$1,[1]FINAL!$A$1:$BZ$1,0),0)),0)</f>
        <v>0</v>
      </c>
      <c r="I937" s="5">
        <f>IFERROR(IF(J937&lt;&gt;"",J937,(IF(VLOOKUP($A937,#REF!,MATCH(#REF!,#REF!,0),0)=0,G937,VLOOKUP($A937,#REF!,MATCH(#REF!,#REF!,0),0)))),G937)</f>
        <v>0</v>
      </c>
      <c r="K937" s="6">
        <f>IFERROR(VLOOKUP($A937,#REF!,MATCH(#REF!,#REF!,0),0),0)</f>
        <v>0</v>
      </c>
      <c r="L937" s="6">
        <f>IFERROR(VLOOKUP($A937,[1]FINAL!$A$1:$BZ$1000,MATCH([1]FINAL!$BF$1,[1]FINAL!$A$1:$BZ$1,0),0),0)</f>
        <v>0</v>
      </c>
      <c r="M937" s="7">
        <f t="shared" si="72"/>
        <v>0</v>
      </c>
      <c r="N937" s="6">
        <f>IFERROR(VLOOKUP($A937,#REF!,MATCH(#REF!,#REF!,0),0),0)</f>
        <v>0</v>
      </c>
      <c r="O937" s="7">
        <f t="shared" si="73"/>
        <v>0</v>
      </c>
      <c r="P937" s="10" t="str">
        <f>IFERROR(VLOOKUP($A937,[1]FINAL!$A$1:$BZ$1000,MATCH([1]FINAL!$BB$1,[1]FINAL!$A$1:$BZ$1,0),0),"")</f>
        <v/>
      </c>
      <c r="Q937" s="18">
        <f t="shared" si="74"/>
        <v>1</v>
      </c>
    </row>
    <row r="938" spans="1:17" x14ac:dyDescent="0.25">
      <c r="A938" s="14">
        <f>[1]FINAL!$A936</f>
        <v>0</v>
      </c>
      <c r="B938" s="20" t="str">
        <f>IFERROR(VLOOKUP($A938,[1]FINAL!$A$1:$Z$1000,MATCH([1]FINAL!$T$1,[1]FINAL!$A$1:$Z$1,0),0),"")</f>
        <v/>
      </c>
      <c r="C938" s="3" t="str">
        <f>IFERROR(VLOOKUP($A938,[1]FINAL!$A$1:$Z$1000,MATCH([1]FINAL!$U$1,[1]FINAL!$A$1:$Z$1,0),0),"")</f>
        <v/>
      </c>
      <c r="D938" s="3" t="str">
        <f>IFERROR(VLOOKUP($A938,[1]FINAL!$A$1:$Z$1000,MATCH([1]FINAL!$V$1,[1]FINAL!$A$1:$Z$1,0),0),"")</f>
        <v/>
      </c>
      <c r="E938" s="6">
        <f t="shared" si="70"/>
        <v>0</v>
      </c>
      <c r="F938" s="5">
        <f t="shared" si="71"/>
        <v>0</v>
      </c>
      <c r="G938" s="5">
        <f>IFERROR(IF(H938&lt;&gt;"",H938,VLOOKUP($A938,[1]FINAL!$A$1:$BZ$1000,MATCH([1]FINAL!$BL$1,[1]FINAL!$A$1:$BZ$1,0),0)),0)</f>
        <v>0</v>
      </c>
      <c r="I938" s="5">
        <f>IFERROR(IF(J938&lt;&gt;"",J938,(IF(VLOOKUP($A938,#REF!,MATCH(#REF!,#REF!,0),0)=0,G938,VLOOKUP($A938,#REF!,MATCH(#REF!,#REF!,0),0)))),G938)</f>
        <v>0</v>
      </c>
      <c r="K938" s="6">
        <f>IFERROR(VLOOKUP($A938,#REF!,MATCH(#REF!,#REF!,0),0),0)</f>
        <v>0</v>
      </c>
      <c r="L938" s="6">
        <f>IFERROR(VLOOKUP($A938,[1]FINAL!$A$1:$BZ$1000,MATCH([1]FINAL!$BF$1,[1]FINAL!$A$1:$BZ$1,0),0),0)</f>
        <v>0</v>
      </c>
      <c r="M938" s="7">
        <f t="shared" si="72"/>
        <v>0</v>
      </c>
      <c r="N938" s="6">
        <f>IFERROR(VLOOKUP($A938,#REF!,MATCH(#REF!,#REF!,0),0),0)</f>
        <v>0</v>
      </c>
      <c r="O938" s="7">
        <f t="shared" si="73"/>
        <v>0</v>
      </c>
      <c r="P938" s="10" t="str">
        <f>IFERROR(VLOOKUP($A938,[1]FINAL!$A$1:$BZ$1000,MATCH([1]FINAL!$BB$1,[1]FINAL!$A$1:$BZ$1,0),0),"")</f>
        <v/>
      </c>
      <c r="Q938" s="18">
        <f t="shared" si="74"/>
        <v>1</v>
      </c>
    </row>
    <row r="939" spans="1:17" x14ac:dyDescent="0.25">
      <c r="A939" s="14">
        <f>[1]FINAL!$A937</f>
        <v>0</v>
      </c>
      <c r="B939" s="20" t="str">
        <f>IFERROR(VLOOKUP($A939,[1]FINAL!$A$1:$Z$1000,MATCH([1]FINAL!$T$1,[1]FINAL!$A$1:$Z$1,0),0),"")</f>
        <v/>
      </c>
      <c r="C939" s="3" t="str">
        <f>IFERROR(VLOOKUP($A939,[1]FINAL!$A$1:$Z$1000,MATCH([1]FINAL!$U$1,[1]FINAL!$A$1:$Z$1,0),0),"")</f>
        <v/>
      </c>
      <c r="D939" s="3" t="str">
        <f>IFERROR(VLOOKUP($A939,[1]FINAL!$A$1:$Z$1000,MATCH([1]FINAL!$V$1,[1]FINAL!$A$1:$Z$1,0),0),"")</f>
        <v/>
      </c>
      <c r="E939" s="6">
        <f t="shared" si="70"/>
        <v>0</v>
      </c>
      <c r="F939" s="5">
        <f t="shared" si="71"/>
        <v>0</v>
      </c>
      <c r="G939" s="5">
        <f>IFERROR(IF(H939&lt;&gt;"",H939,VLOOKUP($A939,[1]FINAL!$A$1:$BZ$1000,MATCH([1]FINAL!$BL$1,[1]FINAL!$A$1:$BZ$1,0),0)),0)</f>
        <v>0</v>
      </c>
      <c r="I939" s="5">
        <f>IFERROR(IF(J939&lt;&gt;"",J939,(IF(VLOOKUP($A939,#REF!,MATCH(#REF!,#REF!,0),0)=0,G939,VLOOKUP($A939,#REF!,MATCH(#REF!,#REF!,0),0)))),G939)</f>
        <v>0</v>
      </c>
      <c r="K939" s="6">
        <f>IFERROR(VLOOKUP($A939,#REF!,MATCH(#REF!,#REF!,0),0),0)</f>
        <v>0</v>
      </c>
      <c r="L939" s="6">
        <f>IFERROR(VLOOKUP($A939,[1]FINAL!$A$1:$BZ$1000,MATCH([1]FINAL!$BF$1,[1]FINAL!$A$1:$BZ$1,0),0),0)</f>
        <v>0</v>
      </c>
      <c r="M939" s="7">
        <f t="shared" si="72"/>
        <v>0</v>
      </c>
      <c r="N939" s="6">
        <f>IFERROR(VLOOKUP($A939,#REF!,MATCH(#REF!,#REF!,0),0),0)</f>
        <v>0</v>
      </c>
      <c r="O939" s="7">
        <f t="shared" si="73"/>
        <v>0</v>
      </c>
      <c r="P939" s="10" t="str">
        <f>IFERROR(VLOOKUP($A939,[1]FINAL!$A$1:$BZ$1000,MATCH([1]FINAL!$BB$1,[1]FINAL!$A$1:$BZ$1,0),0),"")</f>
        <v/>
      </c>
      <c r="Q939" s="18">
        <f t="shared" si="74"/>
        <v>1</v>
      </c>
    </row>
    <row r="940" spans="1:17" x14ac:dyDescent="0.25">
      <c r="A940" s="14">
        <f>[1]FINAL!$A938</f>
        <v>0</v>
      </c>
      <c r="B940" s="20" t="str">
        <f>IFERROR(VLOOKUP($A940,[1]FINAL!$A$1:$Z$1000,MATCH([1]FINAL!$T$1,[1]FINAL!$A$1:$Z$1,0),0),"")</f>
        <v/>
      </c>
      <c r="C940" s="3" t="str">
        <f>IFERROR(VLOOKUP($A940,[1]FINAL!$A$1:$Z$1000,MATCH([1]FINAL!$U$1,[1]FINAL!$A$1:$Z$1,0),0),"")</f>
        <v/>
      </c>
      <c r="D940" s="3" t="str">
        <f>IFERROR(VLOOKUP($A940,[1]FINAL!$A$1:$Z$1000,MATCH([1]FINAL!$V$1,[1]FINAL!$A$1:$Z$1,0),0),"")</f>
        <v/>
      </c>
      <c r="E940" s="6">
        <f t="shared" si="70"/>
        <v>0</v>
      </c>
      <c r="F940" s="5">
        <f t="shared" si="71"/>
        <v>0</v>
      </c>
      <c r="G940" s="5">
        <f>IFERROR(IF(H940&lt;&gt;"",H940,VLOOKUP($A940,[1]FINAL!$A$1:$BZ$1000,MATCH([1]FINAL!$BL$1,[1]FINAL!$A$1:$BZ$1,0),0)),0)</f>
        <v>0</v>
      </c>
      <c r="I940" s="5">
        <f>IFERROR(IF(J940&lt;&gt;"",J940,(IF(VLOOKUP($A940,#REF!,MATCH(#REF!,#REF!,0),0)=0,G940,VLOOKUP($A940,#REF!,MATCH(#REF!,#REF!,0),0)))),G940)</f>
        <v>0</v>
      </c>
      <c r="K940" s="6">
        <f>IFERROR(VLOOKUP($A940,#REF!,MATCH(#REF!,#REF!,0),0),0)</f>
        <v>0</v>
      </c>
      <c r="L940" s="6">
        <f>IFERROR(VLOOKUP($A940,[1]FINAL!$A$1:$BZ$1000,MATCH([1]FINAL!$BF$1,[1]FINAL!$A$1:$BZ$1,0),0),0)</f>
        <v>0</v>
      </c>
      <c r="M940" s="7">
        <f t="shared" si="72"/>
        <v>0</v>
      </c>
      <c r="N940" s="6">
        <f>IFERROR(VLOOKUP($A940,#REF!,MATCH(#REF!,#REF!,0),0),0)</f>
        <v>0</v>
      </c>
      <c r="O940" s="7">
        <f t="shared" si="73"/>
        <v>0</v>
      </c>
      <c r="P940" s="10" t="str">
        <f>IFERROR(VLOOKUP($A940,[1]FINAL!$A$1:$BZ$1000,MATCH([1]FINAL!$BB$1,[1]FINAL!$A$1:$BZ$1,0),0),"")</f>
        <v/>
      </c>
      <c r="Q940" s="18">
        <f t="shared" si="74"/>
        <v>1</v>
      </c>
    </row>
    <row r="941" spans="1:17" x14ac:dyDescent="0.25">
      <c r="A941" s="14">
        <f>[1]FINAL!$A939</f>
        <v>0</v>
      </c>
      <c r="B941" s="20" t="str">
        <f>IFERROR(VLOOKUP($A941,[1]FINAL!$A$1:$Z$1000,MATCH([1]FINAL!$T$1,[1]FINAL!$A$1:$Z$1,0),0),"")</f>
        <v/>
      </c>
      <c r="C941" s="3" t="str">
        <f>IFERROR(VLOOKUP($A941,[1]FINAL!$A$1:$Z$1000,MATCH([1]FINAL!$U$1,[1]FINAL!$A$1:$Z$1,0),0),"")</f>
        <v/>
      </c>
      <c r="D941" s="3" t="str">
        <f>IFERROR(VLOOKUP($A941,[1]FINAL!$A$1:$Z$1000,MATCH([1]FINAL!$V$1,[1]FINAL!$A$1:$Z$1,0),0),"")</f>
        <v/>
      </c>
      <c r="E941" s="6">
        <f t="shared" si="70"/>
        <v>0</v>
      </c>
      <c r="F941" s="5">
        <f t="shared" si="71"/>
        <v>0</v>
      </c>
      <c r="G941" s="5">
        <f>IFERROR(IF(H941&lt;&gt;"",H941,VLOOKUP($A941,[1]FINAL!$A$1:$BZ$1000,MATCH([1]FINAL!$BL$1,[1]FINAL!$A$1:$BZ$1,0),0)),0)</f>
        <v>0</v>
      </c>
      <c r="I941" s="5">
        <f>IFERROR(IF(J941&lt;&gt;"",J941,(IF(VLOOKUP($A941,#REF!,MATCH(#REF!,#REF!,0),0)=0,G941,VLOOKUP($A941,#REF!,MATCH(#REF!,#REF!,0),0)))),G941)</f>
        <v>0</v>
      </c>
      <c r="K941" s="6">
        <f>IFERROR(VLOOKUP($A941,#REF!,MATCH(#REF!,#REF!,0),0),0)</f>
        <v>0</v>
      </c>
      <c r="L941" s="6">
        <f>IFERROR(VLOOKUP($A941,[1]FINAL!$A$1:$BZ$1000,MATCH([1]FINAL!$BF$1,[1]FINAL!$A$1:$BZ$1,0),0),0)</f>
        <v>0</v>
      </c>
      <c r="M941" s="7">
        <f t="shared" si="72"/>
        <v>0</v>
      </c>
      <c r="N941" s="6">
        <f>IFERROR(VLOOKUP($A941,#REF!,MATCH(#REF!,#REF!,0),0),0)</f>
        <v>0</v>
      </c>
      <c r="O941" s="7">
        <f t="shared" si="73"/>
        <v>0</v>
      </c>
      <c r="P941" s="10" t="str">
        <f>IFERROR(VLOOKUP($A941,[1]FINAL!$A$1:$BZ$1000,MATCH([1]FINAL!$BB$1,[1]FINAL!$A$1:$BZ$1,0),0),"")</f>
        <v/>
      </c>
      <c r="Q941" s="18">
        <f t="shared" si="74"/>
        <v>1</v>
      </c>
    </row>
    <row r="942" spans="1:17" x14ac:dyDescent="0.25">
      <c r="A942" s="14">
        <f>[1]FINAL!$A940</f>
        <v>0</v>
      </c>
      <c r="B942" s="20" t="str">
        <f>IFERROR(VLOOKUP($A942,[1]FINAL!$A$1:$Z$1000,MATCH([1]FINAL!$T$1,[1]FINAL!$A$1:$Z$1,0),0),"")</f>
        <v/>
      </c>
      <c r="C942" s="3" t="str">
        <f>IFERROR(VLOOKUP($A942,[1]FINAL!$A$1:$Z$1000,MATCH([1]FINAL!$U$1,[1]FINAL!$A$1:$Z$1,0),0),"")</f>
        <v/>
      </c>
      <c r="D942" s="3" t="str">
        <f>IFERROR(VLOOKUP($A942,[1]FINAL!$A$1:$Z$1000,MATCH([1]FINAL!$V$1,[1]FINAL!$A$1:$Z$1,0),0),"")</f>
        <v/>
      </c>
      <c r="E942" s="6">
        <f t="shared" si="70"/>
        <v>0</v>
      </c>
      <c r="F942" s="5">
        <f t="shared" si="71"/>
        <v>0</v>
      </c>
      <c r="G942" s="5">
        <f>IFERROR(IF(H942&lt;&gt;"",H942,VLOOKUP($A942,[1]FINAL!$A$1:$BZ$1000,MATCH([1]FINAL!$BL$1,[1]FINAL!$A$1:$BZ$1,0),0)),0)</f>
        <v>0</v>
      </c>
      <c r="I942" s="5">
        <f>IFERROR(IF(J942&lt;&gt;"",J942,(IF(VLOOKUP($A942,#REF!,MATCH(#REF!,#REF!,0),0)=0,G942,VLOOKUP($A942,#REF!,MATCH(#REF!,#REF!,0),0)))),G942)</f>
        <v>0</v>
      </c>
      <c r="K942" s="6">
        <f>IFERROR(VLOOKUP($A942,#REF!,MATCH(#REF!,#REF!,0),0),0)</f>
        <v>0</v>
      </c>
      <c r="L942" s="6">
        <f>IFERROR(VLOOKUP($A942,[1]FINAL!$A$1:$BZ$1000,MATCH([1]FINAL!$BF$1,[1]FINAL!$A$1:$BZ$1,0),0),0)</f>
        <v>0</v>
      </c>
      <c r="M942" s="7">
        <f t="shared" si="72"/>
        <v>0</v>
      </c>
      <c r="N942" s="6">
        <f>IFERROR(VLOOKUP($A942,#REF!,MATCH(#REF!,#REF!,0),0),0)</f>
        <v>0</v>
      </c>
      <c r="O942" s="7">
        <f t="shared" si="73"/>
        <v>0</v>
      </c>
      <c r="P942" s="10" t="str">
        <f>IFERROR(VLOOKUP($A942,[1]FINAL!$A$1:$BZ$1000,MATCH([1]FINAL!$BB$1,[1]FINAL!$A$1:$BZ$1,0),0),"")</f>
        <v/>
      </c>
      <c r="Q942" s="18">
        <f t="shared" si="74"/>
        <v>1</v>
      </c>
    </row>
    <row r="943" spans="1:17" x14ac:dyDescent="0.25">
      <c r="A943" s="14">
        <f>[1]FINAL!$A941</f>
        <v>0</v>
      </c>
      <c r="B943" s="20" t="str">
        <f>IFERROR(VLOOKUP($A943,[1]FINAL!$A$1:$Z$1000,MATCH([1]FINAL!$T$1,[1]FINAL!$A$1:$Z$1,0),0),"")</f>
        <v/>
      </c>
      <c r="C943" s="3" t="str">
        <f>IFERROR(VLOOKUP($A943,[1]FINAL!$A$1:$Z$1000,MATCH([1]FINAL!$U$1,[1]FINAL!$A$1:$Z$1,0),0),"")</f>
        <v/>
      </c>
      <c r="D943" s="3" t="str">
        <f>IFERROR(VLOOKUP($A943,[1]FINAL!$A$1:$Z$1000,MATCH([1]FINAL!$V$1,[1]FINAL!$A$1:$Z$1,0),0),"")</f>
        <v/>
      </c>
      <c r="E943" s="6">
        <f t="shared" si="70"/>
        <v>0</v>
      </c>
      <c r="F943" s="5">
        <f t="shared" si="71"/>
        <v>0</v>
      </c>
      <c r="G943" s="5">
        <f>IFERROR(IF(H943&lt;&gt;"",H943,VLOOKUP($A943,[1]FINAL!$A$1:$BZ$1000,MATCH([1]FINAL!$BL$1,[1]FINAL!$A$1:$BZ$1,0),0)),0)</f>
        <v>0</v>
      </c>
      <c r="I943" s="5">
        <f>IFERROR(IF(J943&lt;&gt;"",J943,(IF(VLOOKUP($A943,#REF!,MATCH(#REF!,#REF!,0),0)=0,G943,VLOOKUP($A943,#REF!,MATCH(#REF!,#REF!,0),0)))),G943)</f>
        <v>0</v>
      </c>
      <c r="K943" s="6">
        <f>IFERROR(VLOOKUP($A943,#REF!,MATCH(#REF!,#REF!,0),0),0)</f>
        <v>0</v>
      </c>
      <c r="L943" s="6">
        <f>IFERROR(VLOOKUP($A943,[1]FINAL!$A$1:$BZ$1000,MATCH([1]FINAL!$BF$1,[1]FINAL!$A$1:$BZ$1,0),0),0)</f>
        <v>0</v>
      </c>
      <c r="M943" s="7">
        <f t="shared" si="72"/>
        <v>0</v>
      </c>
      <c r="N943" s="6">
        <f>IFERROR(VLOOKUP($A943,#REF!,MATCH(#REF!,#REF!,0),0),0)</f>
        <v>0</v>
      </c>
      <c r="O943" s="7">
        <f t="shared" si="73"/>
        <v>0</v>
      </c>
      <c r="P943" s="10" t="str">
        <f>IFERROR(VLOOKUP($A943,[1]FINAL!$A$1:$BZ$1000,MATCH([1]FINAL!$BB$1,[1]FINAL!$A$1:$BZ$1,0),0),"")</f>
        <v/>
      </c>
      <c r="Q943" s="18">
        <f t="shared" si="74"/>
        <v>1</v>
      </c>
    </row>
    <row r="944" spans="1:17" x14ac:dyDescent="0.25">
      <c r="A944" s="14">
        <f>[1]FINAL!$A942</f>
        <v>0</v>
      </c>
      <c r="B944" s="20" t="str">
        <f>IFERROR(VLOOKUP($A944,[1]FINAL!$A$1:$Z$1000,MATCH([1]FINAL!$T$1,[1]FINAL!$A$1:$Z$1,0),0),"")</f>
        <v/>
      </c>
      <c r="C944" s="3" t="str">
        <f>IFERROR(VLOOKUP($A944,[1]FINAL!$A$1:$Z$1000,MATCH([1]FINAL!$U$1,[1]FINAL!$A$1:$Z$1,0),0),"")</f>
        <v/>
      </c>
      <c r="D944" s="3" t="str">
        <f>IFERROR(VLOOKUP($A944,[1]FINAL!$A$1:$Z$1000,MATCH([1]FINAL!$V$1,[1]FINAL!$A$1:$Z$1,0),0),"")</f>
        <v/>
      </c>
      <c r="E944" s="6">
        <f t="shared" si="70"/>
        <v>0</v>
      </c>
      <c r="F944" s="5">
        <f t="shared" si="71"/>
        <v>0</v>
      </c>
      <c r="G944" s="5">
        <f>IFERROR(IF(H944&lt;&gt;"",H944,VLOOKUP($A944,[1]FINAL!$A$1:$BZ$1000,MATCH([1]FINAL!$BL$1,[1]FINAL!$A$1:$BZ$1,0),0)),0)</f>
        <v>0</v>
      </c>
      <c r="I944" s="5">
        <f>IFERROR(IF(J944&lt;&gt;"",J944,(IF(VLOOKUP($A944,#REF!,MATCH(#REF!,#REF!,0),0)=0,G944,VLOOKUP($A944,#REF!,MATCH(#REF!,#REF!,0),0)))),G944)</f>
        <v>0</v>
      </c>
      <c r="K944" s="6">
        <f>IFERROR(VLOOKUP($A944,#REF!,MATCH(#REF!,#REF!,0),0),0)</f>
        <v>0</v>
      </c>
      <c r="L944" s="6">
        <f>IFERROR(VLOOKUP($A944,[1]FINAL!$A$1:$BZ$1000,MATCH([1]FINAL!$BF$1,[1]FINAL!$A$1:$BZ$1,0),0),0)</f>
        <v>0</v>
      </c>
      <c r="M944" s="7">
        <f t="shared" si="72"/>
        <v>0</v>
      </c>
      <c r="N944" s="6">
        <f>IFERROR(VLOOKUP($A944,#REF!,MATCH(#REF!,#REF!,0),0),0)</f>
        <v>0</v>
      </c>
      <c r="O944" s="7">
        <f t="shared" si="73"/>
        <v>0</v>
      </c>
      <c r="P944" s="10" t="str">
        <f>IFERROR(VLOOKUP($A944,[1]FINAL!$A$1:$BZ$1000,MATCH([1]FINAL!$BB$1,[1]FINAL!$A$1:$BZ$1,0),0),"")</f>
        <v/>
      </c>
      <c r="Q944" s="18">
        <f t="shared" si="74"/>
        <v>1</v>
      </c>
    </row>
    <row r="945" spans="1:17" x14ac:dyDescent="0.25">
      <c r="A945" s="14">
        <f>[1]FINAL!$A943</f>
        <v>0</v>
      </c>
      <c r="B945" s="20" t="str">
        <f>IFERROR(VLOOKUP($A945,[1]FINAL!$A$1:$Z$1000,MATCH([1]FINAL!$T$1,[1]FINAL!$A$1:$Z$1,0),0),"")</f>
        <v/>
      </c>
      <c r="C945" s="3" t="str">
        <f>IFERROR(VLOOKUP($A945,[1]FINAL!$A$1:$Z$1000,MATCH([1]FINAL!$U$1,[1]FINAL!$A$1:$Z$1,0),0),"")</f>
        <v/>
      </c>
      <c r="D945" s="3" t="str">
        <f>IFERROR(VLOOKUP($A945,[1]FINAL!$A$1:$Z$1000,MATCH([1]FINAL!$V$1,[1]FINAL!$A$1:$Z$1,0),0),"")</f>
        <v/>
      </c>
      <c r="E945" s="6">
        <f t="shared" si="70"/>
        <v>0</v>
      </c>
      <c r="F945" s="5">
        <f t="shared" si="71"/>
        <v>0</v>
      </c>
      <c r="G945" s="5">
        <f>IFERROR(IF(H945&lt;&gt;"",H945,VLOOKUP($A945,[1]FINAL!$A$1:$BZ$1000,MATCH([1]FINAL!$BL$1,[1]FINAL!$A$1:$BZ$1,0),0)),0)</f>
        <v>0</v>
      </c>
      <c r="I945" s="5">
        <f>IFERROR(IF(J945&lt;&gt;"",J945,(IF(VLOOKUP($A945,#REF!,MATCH(#REF!,#REF!,0),0)=0,G945,VLOOKUP($A945,#REF!,MATCH(#REF!,#REF!,0),0)))),G945)</f>
        <v>0</v>
      </c>
      <c r="K945" s="6">
        <f>IFERROR(VLOOKUP($A945,#REF!,MATCH(#REF!,#REF!,0),0),0)</f>
        <v>0</v>
      </c>
      <c r="L945" s="6">
        <f>IFERROR(VLOOKUP($A945,[1]FINAL!$A$1:$BZ$1000,MATCH([1]FINAL!$BF$1,[1]FINAL!$A$1:$BZ$1,0),0),0)</f>
        <v>0</v>
      </c>
      <c r="M945" s="7">
        <f t="shared" si="72"/>
        <v>0</v>
      </c>
      <c r="N945" s="6">
        <f>IFERROR(VLOOKUP($A945,#REF!,MATCH(#REF!,#REF!,0),0),0)</f>
        <v>0</v>
      </c>
      <c r="O945" s="7">
        <f t="shared" si="73"/>
        <v>0</v>
      </c>
      <c r="P945" s="10" t="str">
        <f>IFERROR(VLOOKUP($A945,[1]FINAL!$A$1:$BZ$1000,MATCH([1]FINAL!$BB$1,[1]FINAL!$A$1:$BZ$1,0),0),"")</f>
        <v/>
      </c>
      <c r="Q945" s="18">
        <f t="shared" si="74"/>
        <v>1</v>
      </c>
    </row>
    <row r="946" spans="1:17" x14ac:dyDescent="0.25">
      <c r="A946" s="14">
        <f>[1]FINAL!$A944</f>
        <v>0</v>
      </c>
      <c r="B946" s="20" t="str">
        <f>IFERROR(VLOOKUP($A946,[1]FINAL!$A$1:$Z$1000,MATCH([1]FINAL!$T$1,[1]FINAL!$A$1:$Z$1,0),0),"")</f>
        <v/>
      </c>
      <c r="C946" s="3" t="str">
        <f>IFERROR(VLOOKUP($A946,[1]FINAL!$A$1:$Z$1000,MATCH([1]FINAL!$U$1,[1]FINAL!$A$1:$Z$1,0),0),"")</f>
        <v/>
      </c>
      <c r="D946" s="3" t="str">
        <f>IFERROR(VLOOKUP($A946,[1]FINAL!$A$1:$Z$1000,MATCH([1]FINAL!$V$1,[1]FINAL!$A$1:$Z$1,0),0),"")</f>
        <v/>
      </c>
      <c r="E946" s="6">
        <f t="shared" si="70"/>
        <v>0</v>
      </c>
      <c r="F946" s="5">
        <f t="shared" si="71"/>
        <v>0</v>
      </c>
      <c r="G946" s="5">
        <f>IFERROR(IF(H946&lt;&gt;"",H946,VLOOKUP($A946,[1]FINAL!$A$1:$BZ$1000,MATCH([1]FINAL!$BL$1,[1]FINAL!$A$1:$BZ$1,0),0)),0)</f>
        <v>0</v>
      </c>
      <c r="I946" s="5">
        <f>IFERROR(IF(J946&lt;&gt;"",J946,(IF(VLOOKUP($A946,#REF!,MATCH(#REF!,#REF!,0),0)=0,G946,VLOOKUP($A946,#REF!,MATCH(#REF!,#REF!,0),0)))),G946)</f>
        <v>0</v>
      </c>
      <c r="K946" s="6">
        <f>IFERROR(VLOOKUP($A946,#REF!,MATCH(#REF!,#REF!,0),0),0)</f>
        <v>0</v>
      </c>
      <c r="L946" s="6">
        <f>IFERROR(VLOOKUP($A946,[1]FINAL!$A$1:$BZ$1000,MATCH([1]FINAL!$BF$1,[1]FINAL!$A$1:$BZ$1,0),0),0)</f>
        <v>0</v>
      </c>
      <c r="M946" s="7">
        <f t="shared" si="72"/>
        <v>0</v>
      </c>
      <c r="N946" s="6">
        <f>IFERROR(VLOOKUP($A946,#REF!,MATCH(#REF!,#REF!,0),0),0)</f>
        <v>0</v>
      </c>
      <c r="O946" s="7">
        <f t="shared" si="73"/>
        <v>0</v>
      </c>
      <c r="P946" s="10" t="str">
        <f>IFERROR(VLOOKUP($A946,[1]FINAL!$A$1:$BZ$1000,MATCH([1]FINAL!$BB$1,[1]FINAL!$A$1:$BZ$1,0),0),"")</f>
        <v/>
      </c>
      <c r="Q946" s="18">
        <f t="shared" si="74"/>
        <v>1</v>
      </c>
    </row>
    <row r="947" spans="1:17" x14ac:dyDescent="0.25">
      <c r="A947" s="14">
        <f>[1]FINAL!$A945</f>
        <v>0</v>
      </c>
      <c r="B947" s="20" t="str">
        <f>IFERROR(VLOOKUP($A947,[1]FINAL!$A$1:$Z$1000,MATCH([1]FINAL!$T$1,[1]FINAL!$A$1:$Z$1,0),0),"")</f>
        <v/>
      </c>
      <c r="C947" s="3" t="str">
        <f>IFERROR(VLOOKUP($A947,[1]FINAL!$A$1:$Z$1000,MATCH([1]FINAL!$U$1,[1]FINAL!$A$1:$Z$1,0),0),"")</f>
        <v/>
      </c>
      <c r="D947" s="3" t="str">
        <f>IFERROR(VLOOKUP($A947,[1]FINAL!$A$1:$Z$1000,MATCH([1]FINAL!$V$1,[1]FINAL!$A$1:$Z$1,0),0),"")</f>
        <v/>
      </c>
      <c r="E947" s="6">
        <f t="shared" si="70"/>
        <v>0</v>
      </c>
      <c r="F947" s="5">
        <f t="shared" si="71"/>
        <v>0</v>
      </c>
      <c r="G947" s="5">
        <f>IFERROR(IF(H947&lt;&gt;"",H947,VLOOKUP($A947,[1]FINAL!$A$1:$BZ$1000,MATCH([1]FINAL!$BL$1,[1]FINAL!$A$1:$BZ$1,0),0)),0)</f>
        <v>0</v>
      </c>
      <c r="I947" s="5">
        <f>IFERROR(IF(J947&lt;&gt;"",J947,(IF(VLOOKUP($A947,#REF!,MATCH(#REF!,#REF!,0),0)=0,G947,VLOOKUP($A947,#REF!,MATCH(#REF!,#REF!,0),0)))),G947)</f>
        <v>0</v>
      </c>
      <c r="K947" s="6">
        <f>IFERROR(VLOOKUP($A947,#REF!,MATCH(#REF!,#REF!,0),0),0)</f>
        <v>0</v>
      </c>
      <c r="L947" s="6">
        <f>IFERROR(VLOOKUP($A947,[1]FINAL!$A$1:$BZ$1000,MATCH([1]FINAL!$BF$1,[1]FINAL!$A$1:$BZ$1,0),0),0)</f>
        <v>0</v>
      </c>
      <c r="M947" s="7">
        <f t="shared" si="72"/>
        <v>0</v>
      </c>
      <c r="N947" s="6">
        <f>IFERROR(VLOOKUP($A947,#REF!,MATCH(#REF!,#REF!,0),0),0)</f>
        <v>0</v>
      </c>
      <c r="O947" s="7">
        <f t="shared" si="73"/>
        <v>0</v>
      </c>
      <c r="P947" s="10" t="str">
        <f>IFERROR(VLOOKUP($A947,[1]FINAL!$A$1:$BZ$1000,MATCH([1]FINAL!$BB$1,[1]FINAL!$A$1:$BZ$1,0),0),"")</f>
        <v/>
      </c>
      <c r="Q947" s="18">
        <f t="shared" si="74"/>
        <v>1</v>
      </c>
    </row>
    <row r="948" spans="1:17" x14ac:dyDescent="0.25">
      <c r="A948" s="14">
        <f>[1]FINAL!$A946</f>
        <v>0</v>
      </c>
      <c r="B948" s="20" t="str">
        <f>IFERROR(VLOOKUP($A948,[1]FINAL!$A$1:$Z$1000,MATCH([1]FINAL!$T$1,[1]FINAL!$A$1:$Z$1,0),0),"")</f>
        <v/>
      </c>
      <c r="C948" s="3" t="str">
        <f>IFERROR(VLOOKUP($A948,[1]FINAL!$A$1:$Z$1000,MATCH([1]FINAL!$U$1,[1]FINAL!$A$1:$Z$1,0),0),"")</f>
        <v/>
      </c>
      <c r="D948" s="3" t="str">
        <f>IFERROR(VLOOKUP($A948,[1]FINAL!$A$1:$Z$1000,MATCH([1]FINAL!$V$1,[1]FINAL!$A$1:$Z$1,0),0),"")</f>
        <v/>
      </c>
      <c r="E948" s="6">
        <f t="shared" si="70"/>
        <v>0</v>
      </c>
      <c r="F948" s="5">
        <f t="shared" si="71"/>
        <v>0</v>
      </c>
      <c r="G948" s="5">
        <f>IFERROR(IF(H948&lt;&gt;"",H948,VLOOKUP($A948,[1]FINAL!$A$1:$BZ$1000,MATCH([1]FINAL!$BL$1,[1]FINAL!$A$1:$BZ$1,0),0)),0)</f>
        <v>0</v>
      </c>
      <c r="I948" s="5">
        <f>IFERROR(IF(J948&lt;&gt;"",J948,(IF(VLOOKUP($A948,#REF!,MATCH(#REF!,#REF!,0),0)=0,G948,VLOOKUP($A948,#REF!,MATCH(#REF!,#REF!,0),0)))),G948)</f>
        <v>0</v>
      </c>
      <c r="K948" s="6">
        <f>IFERROR(VLOOKUP($A948,#REF!,MATCH(#REF!,#REF!,0),0),0)</f>
        <v>0</v>
      </c>
      <c r="L948" s="6">
        <f>IFERROR(VLOOKUP($A948,[1]FINAL!$A$1:$BZ$1000,MATCH([1]FINAL!$BF$1,[1]FINAL!$A$1:$BZ$1,0),0),0)</f>
        <v>0</v>
      </c>
      <c r="M948" s="7">
        <f t="shared" si="72"/>
        <v>0</v>
      </c>
      <c r="N948" s="6">
        <f>IFERROR(VLOOKUP($A948,#REF!,MATCH(#REF!,#REF!,0),0),0)</f>
        <v>0</v>
      </c>
      <c r="O948" s="7">
        <f t="shared" si="73"/>
        <v>0</v>
      </c>
      <c r="P948" s="10" t="str">
        <f>IFERROR(VLOOKUP($A948,[1]FINAL!$A$1:$BZ$1000,MATCH([1]FINAL!$BB$1,[1]FINAL!$A$1:$BZ$1,0),0),"")</f>
        <v/>
      </c>
      <c r="Q948" s="18">
        <f t="shared" si="74"/>
        <v>1</v>
      </c>
    </row>
    <row r="949" spans="1:17" x14ac:dyDescent="0.25">
      <c r="A949" s="14">
        <f>[1]FINAL!$A947</f>
        <v>0</v>
      </c>
      <c r="B949" s="20" t="str">
        <f>IFERROR(VLOOKUP($A949,[1]FINAL!$A$1:$Z$1000,MATCH([1]FINAL!$T$1,[1]FINAL!$A$1:$Z$1,0),0),"")</f>
        <v/>
      </c>
      <c r="C949" s="3" t="str">
        <f>IFERROR(VLOOKUP($A949,[1]FINAL!$A$1:$Z$1000,MATCH([1]FINAL!$U$1,[1]FINAL!$A$1:$Z$1,0),0),"")</f>
        <v/>
      </c>
      <c r="D949" s="3" t="str">
        <f>IFERROR(VLOOKUP($A949,[1]FINAL!$A$1:$Z$1000,MATCH([1]FINAL!$V$1,[1]FINAL!$A$1:$Z$1,0),0),"")</f>
        <v/>
      </c>
      <c r="E949" s="6">
        <f t="shared" si="70"/>
        <v>0</v>
      </c>
      <c r="F949" s="5">
        <f t="shared" si="71"/>
        <v>0</v>
      </c>
      <c r="G949" s="5">
        <f>IFERROR(IF(H949&lt;&gt;"",H949,VLOOKUP($A949,[1]FINAL!$A$1:$BZ$1000,MATCH([1]FINAL!$BL$1,[1]FINAL!$A$1:$BZ$1,0),0)),0)</f>
        <v>0</v>
      </c>
      <c r="I949" s="5">
        <f>IFERROR(IF(J949&lt;&gt;"",J949,(IF(VLOOKUP($A949,#REF!,MATCH(#REF!,#REF!,0),0)=0,G949,VLOOKUP($A949,#REF!,MATCH(#REF!,#REF!,0),0)))),G949)</f>
        <v>0</v>
      </c>
      <c r="K949" s="6">
        <f>IFERROR(VLOOKUP($A949,#REF!,MATCH(#REF!,#REF!,0),0),0)</f>
        <v>0</v>
      </c>
      <c r="L949" s="6">
        <f>IFERROR(VLOOKUP($A949,[1]FINAL!$A$1:$BZ$1000,MATCH([1]FINAL!$BF$1,[1]FINAL!$A$1:$BZ$1,0),0),0)</f>
        <v>0</v>
      </c>
      <c r="M949" s="7">
        <f t="shared" si="72"/>
        <v>0</v>
      </c>
      <c r="N949" s="6">
        <f>IFERROR(VLOOKUP($A949,#REF!,MATCH(#REF!,#REF!,0),0),0)</f>
        <v>0</v>
      </c>
      <c r="O949" s="7">
        <f t="shared" si="73"/>
        <v>0</v>
      </c>
      <c r="P949" s="10" t="str">
        <f>IFERROR(VLOOKUP($A949,[1]FINAL!$A$1:$BZ$1000,MATCH([1]FINAL!$BB$1,[1]FINAL!$A$1:$BZ$1,0),0),"")</f>
        <v/>
      </c>
      <c r="Q949" s="18">
        <f t="shared" si="74"/>
        <v>1</v>
      </c>
    </row>
    <row r="950" spans="1:17" x14ac:dyDescent="0.25">
      <c r="A950" s="14">
        <f>[1]FINAL!$A948</f>
        <v>0</v>
      </c>
      <c r="B950" s="20" t="str">
        <f>IFERROR(VLOOKUP($A950,[1]FINAL!$A$1:$Z$1000,MATCH([1]FINAL!$T$1,[1]FINAL!$A$1:$Z$1,0),0),"")</f>
        <v/>
      </c>
      <c r="C950" s="3" t="str">
        <f>IFERROR(VLOOKUP($A950,[1]FINAL!$A$1:$Z$1000,MATCH([1]FINAL!$U$1,[1]FINAL!$A$1:$Z$1,0),0),"")</f>
        <v/>
      </c>
      <c r="D950" s="3" t="str">
        <f>IFERROR(VLOOKUP($A950,[1]FINAL!$A$1:$Z$1000,MATCH([1]FINAL!$V$1,[1]FINAL!$A$1:$Z$1,0),0),"")</f>
        <v/>
      </c>
      <c r="E950" s="6">
        <f t="shared" si="70"/>
        <v>0</v>
      </c>
      <c r="F950" s="5">
        <f t="shared" si="71"/>
        <v>0</v>
      </c>
      <c r="G950" s="5">
        <f>IFERROR(IF(H950&lt;&gt;"",H950,VLOOKUP($A950,[1]FINAL!$A$1:$BZ$1000,MATCH([1]FINAL!$BL$1,[1]FINAL!$A$1:$BZ$1,0),0)),0)</f>
        <v>0</v>
      </c>
      <c r="I950" s="5">
        <f>IFERROR(IF(J950&lt;&gt;"",J950,(IF(VLOOKUP($A950,#REF!,MATCH(#REF!,#REF!,0),0)=0,G950,VLOOKUP($A950,#REF!,MATCH(#REF!,#REF!,0),0)))),G950)</f>
        <v>0</v>
      </c>
      <c r="K950" s="6">
        <f>IFERROR(VLOOKUP($A950,#REF!,MATCH(#REF!,#REF!,0),0),0)</f>
        <v>0</v>
      </c>
      <c r="L950" s="6">
        <f>IFERROR(VLOOKUP($A950,[1]FINAL!$A$1:$BZ$1000,MATCH([1]FINAL!$BF$1,[1]FINAL!$A$1:$BZ$1,0),0),0)</f>
        <v>0</v>
      </c>
      <c r="M950" s="7">
        <f t="shared" si="72"/>
        <v>0</v>
      </c>
      <c r="N950" s="6">
        <f>IFERROR(VLOOKUP($A950,#REF!,MATCH(#REF!,#REF!,0),0),0)</f>
        <v>0</v>
      </c>
      <c r="O950" s="7">
        <f t="shared" si="73"/>
        <v>0</v>
      </c>
      <c r="P950" s="10" t="str">
        <f>IFERROR(VLOOKUP($A950,[1]FINAL!$A$1:$BZ$1000,MATCH([1]FINAL!$BB$1,[1]FINAL!$A$1:$BZ$1,0),0),"")</f>
        <v/>
      </c>
      <c r="Q950" s="18">
        <f t="shared" si="74"/>
        <v>1</v>
      </c>
    </row>
    <row r="951" spans="1:17" x14ac:dyDescent="0.25">
      <c r="A951" s="14">
        <f>[1]FINAL!$A949</f>
        <v>0</v>
      </c>
      <c r="B951" s="20" t="str">
        <f>IFERROR(VLOOKUP($A951,[1]FINAL!$A$1:$Z$1000,MATCH([1]FINAL!$T$1,[1]FINAL!$A$1:$Z$1,0),0),"")</f>
        <v/>
      </c>
      <c r="C951" s="3" t="str">
        <f>IFERROR(VLOOKUP($A951,[1]FINAL!$A$1:$Z$1000,MATCH([1]FINAL!$U$1,[1]FINAL!$A$1:$Z$1,0),0),"")</f>
        <v/>
      </c>
      <c r="D951" s="3" t="str">
        <f>IFERROR(VLOOKUP($A951,[1]FINAL!$A$1:$Z$1000,MATCH([1]FINAL!$V$1,[1]FINAL!$A$1:$Z$1,0),0),"")</f>
        <v/>
      </c>
      <c r="E951" s="6">
        <f t="shared" si="70"/>
        <v>0</v>
      </c>
      <c r="F951" s="5">
        <f t="shared" si="71"/>
        <v>0</v>
      </c>
      <c r="G951" s="5">
        <f>IFERROR(IF(H951&lt;&gt;"",H951,VLOOKUP($A951,[1]FINAL!$A$1:$BZ$1000,MATCH([1]FINAL!$BL$1,[1]FINAL!$A$1:$BZ$1,0),0)),0)</f>
        <v>0</v>
      </c>
      <c r="I951" s="5">
        <f>IFERROR(IF(J951&lt;&gt;"",J951,(IF(VLOOKUP($A951,#REF!,MATCH(#REF!,#REF!,0),0)=0,G951,VLOOKUP($A951,#REF!,MATCH(#REF!,#REF!,0),0)))),G951)</f>
        <v>0</v>
      </c>
      <c r="K951" s="6">
        <f>IFERROR(VLOOKUP($A951,#REF!,MATCH(#REF!,#REF!,0),0),0)</f>
        <v>0</v>
      </c>
      <c r="L951" s="6">
        <f>IFERROR(VLOOKUP($A951,[1]FINAL!$A$1:$BZ$1000,MATCH([1]FINAL!$BF$1,[1]FINAL!$A$1:$BZ$1,0),0),0)</f>
        <v>0</v>
      </c>
      <c r="M951" s="7">
        <f t="shared" si="72"/>
        <v>0</v>
      </c>
      <c r="N951" s="6">
        <f>IFERROR(VLOOKUP($A951,#REF!,MATCH(#REF!,#REF!,0),0),0)</f>
        <v>0</v>
      </c>
      <c r="O951" s="7">
        <f t="shared" si="73"/>
        <v>0</v>
      </c>
      <c r="P951" s="10" t="str">
        <f>IFERROR(VLOOKUP($A951,[1]FINAL!$A$1:$BZ$1000,MATCH([1]FINAL!$BB$1,[1]FINAL!$A$1:$BZ$1,0),0),"")</f>
        <v/>
      </c>
      <c r="Q951" s="18">
        <f t="shared" si="74"/>
        <v>1</v>
      </c>
    </row>
    <row r="952" spans="1:17" x14ac:dyDescent="0.25">
      <c r="A952" s="14">
        <f>[1]FINAL!$A950</f>
        <v>0</v>
      </c>
      <c r="B952" s="20" t="str">
        <f>IFERROR(VLOOKUP($A952,[1]FINAL!$A$1:$Z$1000,MATCH([1]FINAL!$T$1,[1]FINAL!$A$1:$Z$1,0),0),"")</f>
        <v/>
      </c>
      <c r="C952" s="3" t="str">
        <f>IFERROR(VLOOKUP($A952,[1]FINAL!$A$1:$Z$1000,MATCH([1]FINAL!$U$1,[1]FINAL!$A$1:$Z$1,0),0),"")</f>
        <v/>
      </c>
      <c r="D952" s="3" t="str">
        <f>IFERROR(VLOOKUP($A952,[1]FINAL!$A$1:$Z$1000,MATCH([1]FINAL!$V$1,[1]FINAL!$A$1:$Z$1,0),0),"")</f>
        <v/>
      </c>
      <c r="E952" s="6">
        <f t="shared" si="70"/>
        <v>0</v>
      </c>
      <c r="F952" s="5">
        <f t="shared" si="71"/>
        <v>0</v>
      </c>
      <c r="G952" s="5">
        <f>IFERROR(IF(H952&lt;&gt;"",H952,VLOOKUP($A952,[1]FINAL!$A$1:$BZ$1000,MATCH([1]FINAL!$BL$1,[1]FINAL!$A$1:$BZ$1,0),0)),0)</f>
        <v>0</v>
      </c>
      <c r="I952" s="5">
        <f>IFERROR(IF(J952&lt;&gt;"",J952,(IF(VLOOKUP($A952,#REF!,MATCH(#REF!,#REF!,0),0)=0,G952,VLOOKUP($A952,#REF!,MATCH(#REF!,#REF!,0),0)))),G952)</f>
        <v>0</v>
      </c>
      <c r="K952" s="6">
        <f>IFERROR(VLOOKUP($A952,#REF!,MATCH(#REF!,#REF!,0),0),0)</f>
        <v>0</v>
      </c>
      <c r="L952" s="6">
        <f>IFERROR(VLOOKUP($A952,[1]FINAL!$A$1:$BZ$1000,MATCH([1]FINAL!$BF$1,[1]FINAL!$A$1:$BZ$1,0),0),0)</f>
        <v>0</v>
      </c>
      <c r="M952" s="7">
        <f t="shared" si="72"/>
        <v>0</v>
      </c>
      <c r="N952" s="6">
        <f>IFERROR(VLOOKUP($A952,#REF!,MATCH(#REF!,#REF!,0),0),0)</f>
        <v>0</v>
      </c>
      <c r="O952" s="7">
        <f t="shared" si="73"/>
        <v>0</v>
      </c>
      <c r="P952" s="10" t="str">
        <f>IFERROR(VLOOKUP($A952,[1]FINAL!$A$1:$BZ$1000,MATCH([1]FINAL!$BB$1,[1]FINAL!$A$1:$BZ$1,0),0),"")</f>
        <v/>
      </c>
      <c r="Q952" s="18">
        <f t="shared" si="74"/>
        <v>1</v>
      </c>
    </row>
    <row r="953" spans="1:17" x14ac:dyDescent="0.25">
      <c r="A953" s="14">
        <f>[1]FINAL!$A951</f>
        <v>0</v>
      </c>
      <c r="B953" s="20" t="str">
        <f>IFERROR(VLOOKUP($A953,[1]FINAL!$A$1:$Z$1000,MATCH([1]FINAL!$T$1,[1]FINAL!$A$1:$Z$1,0),0),"")</f>
        <v/>
      </c>
      <c r="C953" s="3" t="str">
        <f>IFERROR(VLOOKUP($A953,[1]FINAL!$A$1:$Z$1000,MATCH([1]FINAL!$U$1,[1]FINAL!$A$1:$Z$1,0),0),"")</f>
        <v/>
      </c>
      <c r="D953" s="3" t="str">
        <f>IFERROR(VLOOKUP($A953,[1]FINAL!$A$1:$Z$1000,MATCH([1]FINAL!$V$1,[1]FINAL!$A$1:$Z$1,0),0),"")</f>
        <v/>
      </c>
      <c r="E953" s="6">
        <f t="shared" si="70"/>
        <v>0</v>
      </c>
      <c r="F953" s="5">
        <f t="shared" si="71"/>
        <v>0</v>
      </c>
      <c r="G953" s="5">
        <f>IFERROR(IF(H953&lt;&gt;"",H953,VLOOKUP($A953,[1]FINAL!$A$1:$BZ$1000,MATCH([1]FINAL!$BL$1,[1]FINAL!$A$1:$BZ$1,0),0)),0)</f>
        <v>0</v>
      </c>
      <c r="I953" s="5">
        <f>IFERROR(IF(J953&lt;&gt;"",J953,(IF(VLOOKUP($A953,#REF!,MATCH(#REF!,#REF!,0),0)=0,G953,VLOOKUP($A953,#REF!,MATCH(#REF!,#REF!,0),0)))),G953)</f>
        <v>0</v>
      </c>
      <c r="K953" s="6">
        <f>IFERROR(VLOOKUP($A953,#REF!,MATCH(#REF!,#REF!,0),0),0)</f>
        <v>0</v>
      </c>
      <c r="L953" s="6">
        <f>IFERROR(VLOOKUP($A953,[1]FINAL!$A$1:$BZ$1000,MATCH([1]FINAL!$BF$1,[1]FINAL!$A$1:$BZ$1,0),0),0)</f>
        <v>0</v>
      </c>
      <c r="M953" s="7">
        <f t="shared" si="72"/>
        <v>0</v>
      </c>
      <c r="N953" s="6">
        <f>IFERROR(VLOOKUP($A953,#REF!,MATCH(#REF!,#REF!,0),0),0)</f>
        <v>0</v>
      </c>
      <c r="O953" s="7">
        <f t="shared" si="73"/>
        <v>0</v>
      </c>
      <c r="P953" s="10" t="str">
        <f>IFERROR(VLOOKUP($A953,[1]FINAL!$A$1:$BZ$1000,MATCH([1]FINAL!$BB$1,[1]FINAL!$A$1:$BZ$1,0),0),"")</f>
        <v/>
      </c>
      <c r="Q953" s="18">
        <f t="shared" si="74"/>
        <v>1</v>
      </c>
    </row>
    <row r="954" spans="1:17" x14ac:dyDescent="0.25">
      <c r="A954" s="14">
        <f>[1]FINAL!$A952</f>
        <v>0</v>
      </c>
      <c r="B954" s="20" t="str">
        <f>IFERROR(VLOOKUP($A954,[1]FINAL!$A$1:$Z$1000,MATCH([1]FINAL!$T$1,[1]FINAL!$A$1:$Z$1,0),0),"")</f>
        <v/>
      </c>
      <c r="C954" s="3" t="str">
        <f>IFERROR(VLOOKUP($A954,[1]FINAL!$A$1:$Z$1000,MATCH([1]FINAL!$U$1,[1]FINAL!$A$1:$Z$1,0),0),"")</f>
        <v/>
      </c>
      <c r="D954" s="3" t="str">
        <f>IFERROR(VLOOKUP($A954,[1]FINAL!$A$1:$Z$1000,MATCH([1]FINAL!$V$1,[1]FINAL!$A$1:$Z$1,0),0),"")</f>
        <v/>
      </c>
      <c r="E954" s="6">
        <f t="shared" si="70"/>
        <v>0</v>
      </c>
      <c r="F954" s="5">
        <f t="shared" si="71"/>
        <v>0</v>
      </c>
      <c r="G954" s="5">
        <f>IFERROR(IF(H954&lt;&gt;"",H954,VLOOKUP($A954,[1]FINAL!$A$1:$BZ$1000,MATCH([1]FINAL!$BL$1,[1]FINAL!$A$1:$BZ$1,0),0)),0)</f>
        <v>0</v>
      </c>
      <c r="I954" s="5">
        <f>IFERROR(IF(J954&lt;&gt;"",J954,(IF(VLOOKUP($A954,#REF!,MATCH(#REF!,#REF!,0),0)=0,G954,VLOOKUP($A954,#REF!,MATCH(#REF!,#REF!,0),0)))),G954)</f>
        <v>0</v>
      </c>
      <c r="K954" s="6">
        <f>IFERROR(VLOOKUP($A954,#REF!,MATCH(#REF!,#REF!,0),0),0)</f>
        <v>0</v>
      </c>
      <c r="L954" s="6">
        <f>IFERROR(VLOOKUP($A954,[1]FINAL!$A$1:$BZ$1000,MATCH([1]FINAL!$BF$1,[1]FINAL!$A$1:$BZ$1,0),0),0)</f>
        <v>0</v>
      </c>
      <c r="M954" s="7">
        <f t="shared" si="72"/>
        <v>0</v>
      </c>
      <c r="N954" s="6">
        <f>IFERROR(VLOOKUP($A954,#REF!,MATCH(#REF!,#REF!,0),0),0)</f>
        <v>0</v>
      </c>
      <c r="O954" s="7">
        <f t="shared" si="73"/>
        <v>0</v>
      </c>
      <c r="P954" s="10" t="str">
        <f>IFERROR(VLOOKUP($A954,[1]FINAL!$A$1:$BZ$1000,MATCH([1]FINAL!$BB$1,[1]FINAL!$A$1:$BZ$1,0),0),"")</f>
        <v/>
      </c>
      <c r="Q954" s="18">
        <f t="shared" si="74"/>
        <v>1</v>
      </c>
    </row>
    <row r="955" spans="1:17" x14ac:dyDescent="0.25">
      <c r="A955" s="14">
        <f>[1]FINAL!$A953</f>
        <v>0</v>
      </c>
      <c r="B955" s="20" t="str">
        <f>IFERROR(VLOOKUP($A955,[1]FINAL!$A$1:$Z$1000,MATCH([1]FINAL!$T$1,[1]FINAL!$A$1:$Z$1,0),0),"")</f>
        <v/>
      </c>
      <c r="C955" s="3" t="str">
        <f>IFERROR(VLOOKUP($A955,[1]FINAL!$A$1:$Z$1000,MATCH([1]FINAL!$U$1,[1]FINAL!$A$1:$Z$1,0),0),"")</f>
        <v/>
      </c>
      <c r="D955" s="3" t="str">
        <f>IFERROR(VLOOKUP($A955,[1]FINAL!$A$1:$Z$1000,MATCH([1]FINAL!$V$1,[1]FINAL!$A$1:$Z$1,0),0),"")</f>
        <v/>
      </c>
      <c r="E955" s="6">
        <f t="shared" si="70"/>
        <v>0</v>
      </c>
      <c r="F955" s="5">
        <f t="shared" si="71"/>
        <v>0</v>
      </c>
      <c r="G955" s="5">
        <f>IFERROR(IF(H955&lt;&gt;"",H955,VLOOKUP($A955,[1]FINAL!$A$1:$BZ$1000,MATCH([1]FINAL!$BL$1,[1]FINAL!$A$1:$BZ$1,0),0)),0)</f>
        <v>0</v>
      </c>
      <c r="I955" s="5">
        <f>IFERROR(IF(J955&lt;&gt;"",J955,(IF(VLOOKUP($A955,#REF!,MATCH(#REF!,#REF!,0),0)=0,G955,VLOOKUP($A955,#REF!,MATCH(#REF!,#REF!,0),0)))),G955)</f>
        <v>0</v>
      </c>
      <c r="K955" s="6">
        <f>IFERROR(VLOOKUP($A955,#REF!,MATCH(#REF!,#REF!,0),0),0)</f>
        <v>0</v>
      </c>
      <c r="L955" s="6">
        <f>IFERROR(VLOOKUP($A955,[1]FINAL!$A$1:$BZ$1000,MATCH([1]FINAL!$BF$1,[1]FINAL!$A$1:$BZ$1,0),0),0)</f>
        <v>0</v>
      </c>
      <c r="M955" s="7">
        <f t="shared" si="72"/>
        <v>0</v>
      </c>
      <c r="N955" s="6">
        <f>IFERROR(VLOOKUP($A955,#REF!,MATCH(#REF!,#REF!,0),0),0)</f>
        <v>0</v>
      </c>
      <c r="O955" s="7">
        <f t="shared" si="73"/>
        <v>0</v>
      </c>
      <c r="P955" s="10" t="str">
        <f>IFERROR(VLOOKUP($A955,[1]FINAL!$A$1:$BZ$1000,MATCH([1]FINAL!$BB$1,[1]FINAL!$A$1:$BZ$1,0),0),"")</f>
        <v/>
      </c>
      <c r="Q955" s="18">
        <f t="shared" si="74"/>
        <v>1</v>
      </c>
    </row>
    <row r="956" spans="1:17" x14ac:dyDescent="0.25">
      <c r="A956" s="14">
        <f>[1]FINAL!$A954</f>
        <v>0</v>
      </c>
      <c r="B956" s="20" t="str">
        <f>IFERROR(VLOOKUP($A956,[1]FINAL!$A$1:$Z$1000,MATCH([1]FINAL!$T$1,[1]FINAL!$A$1:$Z$1,0),0),"")</f>
        <v/>
      </c>
      <c r="C956" s="3" t="str">
        <f>IFERROR(VLOOKUP($A956,[1]FINAL!$A$1:$Z$1000,MATCH([1]FINAL!$U$1,[1]FINAL!$A$1:$Z$1,0),0),"")</f>
        <v/>
      </c>
      <c r="D956" s="3" t="str">
        <f>IFERROR(VLOOKUP($A956,[1]FINAL!$A$1:$Z$1000,MATCH([1]FINAL!$V$1,[1]FINAL!$A$1:$Z$1,0),0),"")</f>
        <v/>
      </c>
      <c r="E956" s="6">
        <f t="shared" si="70"/>
        <v>0</v>
      </c>
      <c r="F956" s="5">
        <f t="shared" si="71"/>
        <v>0</v>
      </c>
      <c r="G956" s="5">
        <f>IFERROR(IF(H956&lt;&gt;"",H956,VLOOKUP($A956,[1]FINAL!$A$1:$BZ$1000,MATCH([1]FINAL!$BL$1,[1]FINAL!$A$1:$BZ$1,0),0)),0)</f>
        <v>0</v>
      </c>
      <c r="I956" s="5">
        <f>IFERROR(IF(J956&lt;&gt;"",J956,(IF(VLOOKUP($A956,#REF!,MATCH(#REF!,#REF!,0),0)=0,G956,VLOOKUP($A956,#REF!,MATCH(#REF!,#REF!,0),0)))),G956)</f>
        <v>0</v>
      </c>
      <c r="K956" s="6">
        <f>IFERROR(VLOOKUP($A956,#REF!,MATCH(#REF!,#REF!,0),0),0)</f>
        <v>0</v>
      </c>
      <c r="L956" s="6">
        <f>IFERROR(VLOOKUP($A956,[1]FINAL!$A$1:$BZ$1000,MATCH([1]FINAL!$BF$1,[1]FINAL!$A$1:$BZ$1,0),0),0)</f>
        <v>0</v>
      </c>
      <c r="M956" s="7">
        <f t="shared" si="72"/>
        <v>0</v>
      </c>
      <c r="N956" s="6">
        <f>IFERROR(VLOOKUP($A956,#REF!,MATCH(#REF!,#REF!,0),0),0)</f>
        <v>0</v>
      </c>
      <c r="O956" s="7">
        <f t="shared" si="73"/>
        <v>0</v>
      </c>
      <c r="P956" s="10" t="str">
        <f>IFERROR(VLOOKUP($A956,[1]FINAL!$A$1:$BZ$1000,MATCH([1]FINAL!$BB$1,[1]FINAL!$A$1:$BZ$1,0),0),"")</f>
        <v/>
      </c>
      <c r="Q956" s="18">
        <f t="shared" si="74"/>
        <v>1</v>
      </c>
    </row>
    <row r="957" spans="1:17" x14ac:dyDescent="0.25">
      <c r="A957" s="14">
        <f>[1]FINAL!$A955</f>
        <v>0</v>
      </c>
      <c r="B957" s="20" t="str">
        <f>IFERROR(VLOOKUP($A957,[1]FINAL!$A$1:$Z$1000,MATCH([1]FINAL!$T$1,[1]FINAL!$A$1:$Z$1,0),0),"")</f>
        <v/>
      </c>
      <c r="C957" s="3" t="str">
        <f>IFERROR(VLOOKUP($A957,[1]FINAL!$A$1:$Z$1000,MATCH([1]FINAL!$U$1,[1]FINAL!$A$1:$Z$1,0),0),"")</f>
        <v/>
      </c>
      <c r="D957" s="3" t="str">
        <f>IFERROR(VLOOKUP($A957,[1]FINAL!$A$1:$Z$1000,MATCH([1]FINAL!$V$1,[1]FINAL!$A$1:$Z$1,0),0),"")</f>
        <v/>
      </c>
      <c r="E957" s="6">
        <f t="shared" si="70"/>
        <v>0</v>
      </c>
      <c r="F957" s="5">
        <f t="shared" si="71"/>
        <v>0</v>
      </c>
      <c r="G957" s="5">
        <f>IFERROR(IF(H957&lt;&gt;"",H957,VLOOKUP($A957,[1]FINAL!$A$1:$BZ$1000,MATCH([1]FINAL!$BL$1,[1]FINAL!$A$1:$BZ$1,0),0)),0)</f>
        <v>0</v>
      </c>
      <c r="I957" s="5">
        <f>IFERROR(IF(J957&lt;&gt;"",J957,(IF(VLOOKUP($A957,#REF!,MATCH(#REF!,#REF!,0),0)=0,G957,VLOOKUP($A957,#REF!,MATCH(#REF!,#REF!,0),0)))),G957)</f>
        <v>0</v>
      </c>
      <c r="K957" s="6">
        <f>IFERROR(VLOOKUP($A957,#REF!,MATCH(#REF!,#REF!,0),0),0)</f>
        <v>0</v>
      </c>
      <c r="L957" s="6">
        <f>IFERROR(VLOOKUP($A957,[1]FINAL!$A$1:$BZ$1000,MATCH([1]FINAL!$BF$1,[1]FINAL!$A$1:$BZ$1,0),0),0)</f>
        <v>0</v>
      </c>
      <c r="M957" s="7">
        <f t="shared" si="72"/>
        <v>0</v>
      </c>
      <c r="N957" s="6">
        <f>IFERROR(VLOOKUP($A957,#REF!,MATCH(#REF!,#REF!,0),0),0)</f>
        <v>0</v>
      </c>
      <c r="O957" s="7">
        <f t="shared" si="73"/>
        <v>0</v>
      </c>
      <c r="P957" s="10" t="str">
        <f>IFERROR(VLOOKUP($A957,[1]FINAL!$A$1:$BZ$1000,MATCH([1]FINAL!$BB$1,[1]FINAL!$A$1:$BZ$1,0),0),"")</f>
        <v/>
      </c>
      <c r="Q957" s="18">
        <f t="shared" si="74"/>
        <v>1</v>
      </c>
    </row>
    <row r="958" spans="1:17" x14ac:dyDescent="0.25">
      <c r="A958" s="14">
        <f>[1]FINAL!$A956</f>
        <v>0</v>
      </c>
      <c r="B958" s="20" t="str">
        <f>IFERROR(VLOOKUP($A958,[1]FINAL!$A$1:$Z$1000,MATCH([1]FINAL!$T$1,[1]FINAL!$A$1:$Z$1,0),0),"")</f>
        <v/>
      </c>
      <c r="C958" s="3" t="str">
        <f>IFERROR(VLOOKUP($A958,[1]FINAL!$A$1:$Z$1000,MATCH([1]FINAL!$U$1,[1]FINAL!$A$1:$Z$1,0),0),"")</f>
        <v/>
      </c>
      <c r="D958" s="3" t="str">
        <f>IFERROR(VLOOKUP($A958,[1]FINAL!$A$1:$Z$1000,MATCH([1]FINAL!$V$1,[1]FINAL!$A$1:$Z$1,0),0),"")</f>
        <v/>
      </c>
      <c r="E958" s="6">
        <f t="shared" si="70"/>
        <v>0</v>
      </c>
      <c r="F958" s="5">
        <f t="shared" si="71"/>
        <v>0</v>
      </c>
      <c r="G958" s="5">
        <f>IFERROR(IF(H958&lt;&gt;"",H958,VLOOKUP($A958,[1]FINAL!$A$1:$BZ$1000,MATCH([1]FINAL!$BL$1,[1]FINAL!$A$1:$BZ$1,0),0)),0)</f>
        <v>0</v>
      </c>
      <c r="I958" s="5">
        <f>IFERROR(IF(J958&lt;&gt;"",J958,(IF(VLOOKUP($A958,#REF!,MATCH(#REF!,#REF!,0),0)=0,G958,VLOOKUP($A958,#REF!,MATCH(#REF!,#REF!,0),0)))),G958)</f>
        <v>0</v>
      </c>
      <c r="K958" s="6">
        <f>IFERROR(VLOOKUP($A958,#REF!,MATCH(#REF!,#REF!,0),0),0)</f>
        <v>0</v>
      </c>
      <c r="L958" s="6">
        <f>IFERROR(VLOOKUP($A958,[1]FINAL!$A$1:$BZ$1000,MATCH([1]FINAL!$BF$1,[1]FINAL!$A$1:$BZ$1,0),0),0)</f>
        <v>0</v>
      </c>
      <c r="M958" s="7">
        <f t="shared" si="72"/>
        <v>0</v>
      </c>
      <c r="N958" s="6">
        <f>IFERROR(VLOOKUP($A958,#REF!,MATCH(#REF!,#REF!,0),0),0)</f>
        <v>0</v>
      </c>
      <c r="O958" s="7">
        <f t="shared" si="73"/>
        <v>0</v>
      </c>
      <c r="P958" s="10" t="str">
        <f>IFERROR(VLOOKUP($A958,[1]FINAL!$A$1:$BZ$1000,MATCH([1]FINAL!$BB$1,[1]FINAL!$A$1:$BZ$1,0),0),"")</f>
        <v/>
      </c>
      <c r="Q958" s="18">
        <f t="shared" si="74"/>
        <v>1</v>
      </c>
    </row>
    <row r="959" spans="1:17" x14ac:dyDescent="0.25">
      <c r="A959" s="14">
        <f>[1]FINAL!$A957</f>
        <v>0</v>
      </c>
      <c r="B959" s="20" t="str">
        <f>IFERROR(VLOOKUP($A959,[1]FINAL!$A$1:$Z$1000,MATCH([1]FINAL!$T$1,[1]FINAL!$A$1:$Z$1,0),0),"")</f>
        <v/>
      </c>
      <c r="C959" s="3" t="str">
        <f>IFERROR(VLOOKUP($A959,[1]FINAL!$A$1:$Z$1000,MATCH([1]FINAL!$U$1,[1]FINAL!$A$1:$Z$1,0),0),"")</f>
        <v/>
      </c>
      <c r="D959" s="3" t="str">
        <f>IFERROR(VLOOKUP($A959,[1]FINAL!$A$1:$Z$1000,MATCH([1]FINAL!$V$1,[1]FINAL!$A$1:$Z$1,0),0),"")</f>
        <v/>
      </c>
      <c r="E959" s="6">
        <f t="shared" si="70"/>
        <v>0</v>
      </c>
      <c r="F959" s="5">
        <f t="shared" si="71"/>
        <v>0</v>
      </c>
      <c r="G959" s="5">
        <f>IFERROR(IF(H959&lt;&gt;"",H959,VLOOKUP($A959,[1]FINAL!$A$1:$BZ$1000,MATCH([1]FINAL!$BL$1,[1]FINAL!$A$1:$BZ$1,0),0)),0)</f>
        <v>0</v>
      </c>
      <c r="I959" s="5">
        <f>IFERROR(IF(J959&lt;&gt;"",J959,(IF(VLOOKUP($A959,#REF!,MATCH(#REF!,#REF!,0),0)=0,G959,VLOOKUP($A959,#REF!,MATCH(#REF!,#REF!,0),0)))),G959)</f>
        <v>0</v>
      </c>
      <c r="K959" s="6">
        <f>IFERROR(VLOOKUP($A959,#REF!,MATCH(#REF!,#REF!,0),0),0)</f>
        <v>0</v>
      </c>
      <c r="L959" s="6">
        <f>IFERROR(VLOOKUP($A959,[1]FINAL!$A$1:$BZ$1000,MATCH([1]FINAL!$BF$1,[1]FINAL!$A$1:$BZ$1,0),0),0)</f>
        <v>0</v>
      </c>
      <c r="M959" s="7">
        <f t="shared" si="72"/>
        <v>0</v>
      </c>
      <c r="N959" s="6">
        <f>IFERROR(VLOOKUP($A959,#REF!,MATCH(#REF!,#REF!,0),0),0)</f>
        <v>0</v>
      </c>
      <c r="O959" s="7">
        <f t="shared" si="73"/>
        <v>0</v>
      </c>
      <c r="P959" s="10" t="str">
        <f>IFERROR(VLOOKUP($A959,[1]FINAL!$A$1:$BZ$1000,MATCH([1]FINAL!$BB$1,[1]FINAL!$A$1:$BZ$1,0),0),"")</f>
        <v/>
      </c>
      <c r="Q959" s="18">
        <f t="shared" si="74"/>
        <v>1</v>
      </c>
    </row>
    <row r="960" spans="1:17" x14ac:dyDescent="0.25">
      <c r="A960" s="14">
        <f>[1]FINAL!$A958</f>
        <v>0</v>
      </c>
      <c r="B960" s="20" t="str">
        <f>IFERROR(VLOOKUP($A960,[1]FINAL!$A$1:$Z$1000,MATCH([1]FINAL!$T$1,[1]FINAL!$A$1:$Z$1,0),0),"")</f>
        <v/>
      </c>
      <c r="C960" s="3" t="str">
        <f>IFERROR(VLOOKUP($A960,[1]FINAL!$A$1:$Z$1000,MATCH([1]FINAL!$U$1,[1]FINAL!$A$1:$Z$1,0),0),"")</f>
        <v/>
      </c>
      <c r="D960" s="3" t="str">
        <f>IFERROR(VLOOKUP($A960,[1]FINAL!$A$1:$Z$1000,MATCH([1]FINAL!$V$1,[1]FINAL!$A$1:$Z$1,0),0),"")</f>
        <v/>
      </c>
      <c r="E960" s="6">
        <f t="shared" si="70"/>
        <v>0</v>
      </c>
      <c r="F960" s="5">
        <f t="shared" si="71"/>
        <v>0</v>
      </c>
      <c r="G960" s="5">
        <f>IFERROR(IF(H960&lt;&gt;"",H960,VLOOKUP($A960,[1]FINAL!$A$1:$BZ$1000,MATCH([1]FINAL!$BL$1,[1]FINAL!$A$1:$BZ$1,0),0)),0)</f>
        <v>0</v>
      </c>
      <c r="I960" s="5">
        <f>IFERROR(IF(J960&lt;&gt;"",J960,(IF(VLOOKUP($A960,#REF!,MATCH(#REF!,#REF!,0),0)=0,G960,VLOOKUP($A960,#REF!,MATCH(#REF!,#REF!,0),0)))),G960)</f>
        <v>0</v>
      </c>
      <c r="K960" s="6">
        <f>IFERROR(VLOOKUP($A960,#REF!,MATCH(#REF!,#REF!,0),0),0)</f>
        <v>0</v>
      </c>
      <c r="L960" s="6">
        <f>IFERROR(VLOOKUP($A960,[1]FINAL!$A$1:$BZ$1000,MATCH([1]FINAL!$BF$1,[1]FINAL!$A$1:$BZ$1,0),0),0)</f>
        <v>0</v>
      </c>
      <c r="M960" s="7">
        <f t="shared" si="72"/>
        <v>0</v>
      </c>
      <c r="N960" s="6">
        <f>IFERROR(VLOOKUP($A960,#REF!,MATCH(#REF!,#REF!,0),0),0)</f>
        <v>0</v>
      </c>
      <c r="O960" s="7">
        <f t="shared" si="73"/>
        <v>0</v>
      </c>
      <c r="P960" s="10" t="str">
        <f>IFERROR(VLOOKUP($A960,[1]FINAL!$A$1:$BZ$1000,MATCH([1]FINAL!$BB$1,[1]FINAL!$A$1:$BZ$1,0),0),"")</f>
        <v/>
      </c>
      <c r="Q960" s="18">
        <f t="shared" si="74"/>
        <v>1</v>
      </c>
    </row>
    <row r="961" spans="1:17" x14ac:dyDescent="0.25">
      <c r="A961" s="14">
        <f>[1]FINAL!$A959</f>
        <v>0</v>
      </c>
      <c r="B961" s="20" t="str">
        <f>IFERROR(VLOOKUP($A961,[1]FINAL!$A$1:$Z$1000,MATCH([1]FINAL!$T$1,[1]FINAL!$A$1:$Z$1,0),0),"")</f>
        <v/>
      </c>
      <c r="C961" s="3" t="str">
        <f>IFERROR(VLOOKUP($A961,[1]FINAL!$A$1:$Z$1000,MATCH([1]FINAL!$U$1,[1]FINAL!$A$1:$Z$1,0),0),"")</f>
        <v/>
      </c>
      <c r="D961" s="3" t="str">
        <f>IFERROR(VLOOKUP($A961,[1]FINAL!$A$1:$Z$1000,MATCH([1]FINAL!$V$1,[1]FINAL!$A$1:$Z$1,0),0),"")</f>
        <v/>
      </c>
      <c r="E961" s="6">
        <f t="shared" si="70"/>
        <v>0</v>
      </c>
      <c r="F961" s="5">
        <f t="shared" si="71"/>
        <v>0</v>
      </c>
      <c r="G961" s="5">
        <f>IFERROR(IF(H961&lt;&gt;"",H961,VLOOKUP($A961,[1]FINAL!$A$1:$BZ$1000,MATCH([1]FINAL!$BL$1,[1]FINAL!$A$1:$BZ$1,0),0)),0)</f>
        <v>0</v>
      </c>
      <c r="I961" s="5">
        <f>IFERROR(IF(J961&lt;&gt;"",J961,(IF(VLOOKUP($A961,#REF!,MATCH(#REF!,#REF!,0),0)=0,G961,VLOOKUP($A961,#REF!,MATCH(#REF!,#REF!,0),0)))),G961)</f>
        <v>0</v>
      </c>
      <c r="K961" s="6">
        <f>IFERROR(VLOOKUP($A961,#REF!,MATCH(#REF!,#REF!,0),0),0)</f>
        <v>0</v>
      </c>
      <c r="L961" s="6">
        <f>IFERROR(VLOOKUP($A961,[1]FINAL!$A$1:$BZ$1000,MATCH([1]FINAL!$BF$1,[1]FINAL!$A$1:$BZ$1,0),0),0)</f>
        <v>0</v>
      </c>
      <c r="M961" s="7">
        <f t="shared" si="72"/>
        <v>0</v>
      </c>
      <c r="N961" s="6">
        <f>IFERROR(VLOOKUP($A961,#REF!,MATCH(#REF!,#REF!,0),0),0)</f>
        <v>0</v>
      </c>
      <c r="O961" s="7">
        <f t="shared" si="73"/>
        <v>0</v>
      </c>
      <c r="P961" s="10" t="str">
        <f>IFERROR(VLOOKUP($A961,[1]FINAL!$A$1:$BZ$1000,MATCH([1]FINAL!$BB$1,[1]FINAL!$A$1:$BZ$1,0),0),"")</f>
        <v/>
      </c>
      <c r="Q961" s="18">
        <f t="shared" si="74"/>
        <v>1</v>
      </c>
    </row>
    <row r="962" spans="1:17" x14ac:dyDescent="0.25">
      <c r="A962" s="14">
        <f>[1]FINAL!$A960</f>
        <v>0</v>
      </c>
      <c r="B962" s="20" t="str">
        <f>IFERROR(VLOOKUP($A962,[1]FINAL!$A$1:$Z$1000,MATCH([1]FINAL!$T$1,[1]FINAL!$A$1:$Z$1,0),0),"")</f>
        <v/>
      </c>
      <c r="C962" s="3" t="str">
        <f>IFERROR(VLOOKUP($A962,[1]FINAL!$A$1:$Z$1000,MATCH([1]FINAL!$U$1,[1]FINAL!$A$1:$Z$1,0),0),"")</f>
        <v/>
      </c>
      <c r="D962" s="3" t="str">
        <f>IFERROR(VLOOKUP($A962,[1]FINAL!$A$1:$Z$1000,MATCH([1]FINAL!$V$1,[1]FINAL!$A$1:$Z$1,0),0),"")</f>
        <v/>
      </c>
      <c r="E962" s="6">
        <f t="shared" ref="E962:E1000" si="75">IF($Q$1="ON",((G962*100000)+(I962*100000)+(M962*10000)+(O962*10000)+(K962*10))*Q962,((G962*100000)+(I962*100000)+(M962*10000)+(O962*10000)+(K962*10)))</f>
        <v>0</v>
      </c>
      <c r="F962" s="5">
        <f t="shared" ref="F962:F1025" si="76">IFERROR(IF($Q$1="ON",((G962*$W$1)+(I962*$U$1))*Q962,((G962*$W$1)+(I962*$U$1))),0)</f>
        <v>0</v>
      </c>
      <c r="G962" s="5">
        <f>IFERROR(IF(H962&lt;&gt;"",H962,VLOOKUP($A962,[1]FINAL!$A$1:$BZ$1000,MATCH([1]FINAL!$BL$1,[1]FINAL!$A$1:$BZ$1,0),0)),0)</f>
        <v>0</v>
      </c>
      <c r="I962" s="5">
        <f>IFERROR(IF(J962&lt;&gt;"",J962,(IF(VLOOKUP($A962,#REF!,MATCH(#REF!,#REF!,0),0)=0,G962,VLOOKUP($A962,#REF!,MATCH(#REF!,#REF!,0),0)))),G962)</f>
        <v>0</v>
      </c>
      <c r="K962" s="6">
        <f>IFERROR(VLOOKUP($A962,#REF!,MATCH(#REF!,#REF!,0),0),0)</f>
        <v>0</v>
      </c>
      <c r="L962" s="6">
        <f>IFERROR(VLOOKUP($A962,[1]FINAL!$A$1:$BZ$1000,MATCH([1]FINAL!$BF$1,[1]FINAL!$A$1:$BZ$1,0),0),0)</f>
        <v>0</v>
      </c>
      <c r="M962" s="7">
        <f t="shared" ref="M962:M1025" si="77">L962/90</f>
        <v>0</v>
      </c>
      <c r="N962" s="6">
        <f>IFERROR(VLOOKUP($A962,#REF!,MATCH(#REF!,#REF!,0),0),0)</f>
        <v>0</v>
      </c>
      <c r="O962" s="7">
        <f t="shared" ref="O962:O1025" si="78">N962/90</f>
        <v>0</v>
      </c>
      <c r="P962" s="10" t="str">
        <f>IFERROR(VLOOKUP($A962,[1]FINAL!$A$1:$BZ$1000,MATCH([1]FINAL!$BB$1,[1]FINAL!$A$1:$BZ$1,0),0),"")</f>
        <v/>
      </c>
      <c r="Q962" s="18">
        <f t="shared" ref="Q962:Q1025" si="79">IF(P962="",1,IF(P962=0,0.0001,P962/100))</f>
        <v>1</v>
      </c>
    </row>
    <row r="963" spans="1:17" x14ac:dyDescent="0.25">
      <c r="A963" s="14">
        <f>[1]FINAL!$A961</f>
        <v>0</v>
      </c>
      <c r="B963" s="20" t="str">
        <f>IFERROR(VLOOKUP($A963,[1]FINAL!$A$1:$Z$1000,MATCH([1]FINAL!$T$1,[1]FINAL!$A$1:$Z$1,0),0),"")</f>
        <v/>
      </c>
      <c r="C963" s="3" t="str">
        <f>IFERROR(VLOOKUP($A963,[1]FINAL!$A$1:$Z$1000,MATCH([1]FINAL!$U$1,[1]FINAL!$A$1:$Z$1,0),0),"")</f>
        <v/>
      </c>
      <c r="D963" s="3" t="str">
        <f>IFERROR(VLOOKUP($A963,[1]FINAL!$A$1:$Z$1000,MATCH([1]FINAL!$V$1,[1]FINAL!$A$1:$Z$1,0),0),"")</f>
        <v/>
      </c>
      <c r="E963" s="6">
        <f t="shared" si="75"/>
        <v>0</v>
      </c>
      <c r="F963" s="5">
        <f t="shared" si="76"/>
        <v>0</v>
      </c>
      <c r="G963" s="5">
        <f>IFERROR(IF(H963&lt;&gt;"",H963,VLOOKUP($A963,[1]FINAL!$A$1:$BZ$1000,MATCH([1]FINAL!$BL$1,[1]FINAL!$A$1:$BZ$1,0),0)),0)</f>
        <v>0</v>
      </c>
      <c r="I963" s="5">
        <f>IFERROR(IF(J963&lt;&gt;"",J963,(IF(VLOOKUP($A963,#REF!,MATCH(#REF!,#REF!,0),0)=0,G963,VLOOKUP($A963,#REF!,MATCH(#REF!,#REF!,0),0)))),G963)</f>
        <v>0</v>
      </c>
      <c r="K963" s="6">
        <f>IFERROR(VLOOKUP($A963,#REF!,MATCH(#REF!,#REF!,0),0),0)</f>
        <v>0</v>
      </c>
      <c r="L963" s="6">
        <f>IFERROR(VLOOKUP($A963,[1]FINAL!$A$1:$BZ$1000,MATCH([1]FINAL!$BF$1,[1]FINAL!$A$1:$BZ$1,0),0),0)</f>
        <v>0</v>
      </c>
      <c r="M963" s="7">
        <f t="shared" si="77"/>
        <v>0</v>
      </c>
      <c r="N963" s="6">
        <f>IFERROR(VLOOKUP($A963,#REF!,MATCH(#REF!,#REF!,0),0),0)</f>
        <v>0</v>
      </c>
      <c r="O963" s="7">
        <f t="shared" si="78"/>
        <v>0</v>
      </c>
      <c r="P963" s="10" t="str">
        <f>IFERROR(VLOOKUP($A963,[1]FINAL!$A$1:$BZ$1000,MATCH([1]FINAL!$BB$1,[1]FINAL!$A$1:$BZ$1,0),0),"")</f>
        <v/>
      </c>
      <c r="Q963" s="18">
        <f t="shared" si="79"/>
        <v>1</v>
      </c>
    </row>
    <row r="964" spans="1:17" x14ac:dyDescent="0.25">
      <c r="A964" s="14">
        <f>[1]FINAL!$A962</f>
        <v>0</v>
      </c>
      <c r="B964" s="20" t="str">
        <f>IFERROR(VLOOKUP($A964,[1]FINAL!$A$1:$Z$1000,MATCH([1]FINAL!$T$1,[1]FINAL!$A$1:$Z$1,0),0),"")</f>
        <v/>
      </c>
      <c r="C964" s="3" t="str">
        <f>IFERROR(VLOOKUP($A964,[1]FINAL!$A$1:$Z$1000,MATCH([1]FINAL!$U$1,[1]FINAL!$A$1:$Z$1,0),0),"")</f>
        <v/>
      </c>
      <c r="D964" s="3" t="str">
        <f>IFERROR(VLOOKUP($A964,[1]FINAL!$A$1:$Z$1000,MATCH([1]FINAL!$V$1,[1]FINAL!$A$1:$Z$1,0),0),"")</f>
        <v/>
      </c>
      <c r="E964" s="6">
        <f t="shared" si="75"/>
        <v>0</v>
      </c>
      <c r="F964" s="5">
        <f t="shared" si="76"/>
        <v>0</v>
      </c>
      <c r="G964" s="5">
        <f>IFERROR(IF(H964&lt;&gt;"",H964,VLOOKUP($A964,[1]FINAL!$A$1:$BZ$1000,MATCH([1]FINAL!$BL$1,[1]FINAL!$A$1:$BZ$1,0),0)),0)</f>
        <v>0</v>
      </c>
      <c r="I964" s="5">
        <f>IFERROR(IF(J964&lt;&gt;"",J964,(IF(VLOOKUP($A964,#REF!,MATCH(#REF!,#REF!,0),0)=0,G964,VLOOKUP($A964,#REF!,MATCH(#REF!,#REF!,0),0)))),G964)</f>
        <v>0</v>
      </c>
      <c r="K964" s="6">
        <f>IFERROR(VLOOKUP($A964,#REF!,MATCH(#REF!,#REF!,0),0),0)</f>
        <v>0</v>
      </c>
      <c r="L964" s="6">
        <f>IFERROR(VLOOKUP($A964,[1]FINAL!$A$1:$BZ$1000,MATCH([1]FINAL!$BF$1,[1]FINAL!$A$1:$BZ$1,0),0),0)</f>
        <v>0</v>
      </c>
      <c r="M964" s="7">
        <f t="shared" si="77"/>
        <v>0</v>
      </c>
      <c r="N964" s="6">
        <f>IFERROR(VLOOKUP($A964,#REF!,MATCH(#REF!,#REF!,0),0),0)</f>
        <v>0</v>
      </c>
      <c r="O964" s="7">
        <f t="shared" si="78"/>
        <v>0</v>
      </c>
      <c r="P964" s="10" t="str">
        <f>IFERROR(VLOOKUP($A964,[1]FINAL!$A$1:$BZ$1000,MATCH([1]FINAL!$BB$1,[1]FINAL!$A$1:$BZ$1,0),0),"")</f>
        <v/>
      </c>
      <c r="Q964" s="18">
        <f t="shared" si="79"/>
        <v>1</v>
      </c>
    </row>
    <row r="965" spans="1:17" x14ac:dyDescent="0.25">
      <c r="A965" s="14">
        <f>[1]FINAL!$A963</f>
        <v>0</v>
      </c>
      <c r="B965" s="20" t="str">
        <f>IFERROR(VLOOKUP($A965,[1]FINAL!$A$1:$Z$1000,MATCH([1]FINAL!$T$1,[1]FINAL!$A$1:$Z$1,0),0),"")</f>
        <v/>
      </c>
      <c r="C965" s="3" t="str">
        <f>IFERROR(VLOOKUP($A965,[1]FINAL!$A$1:$Z$1000,MATCH([1]FINAL!$U$1,[1]FINAL!$A$1:$Z$1,0),0),"")</f>
        <v/>
      </c>
      <c r="D965" s="3" t="str">
        <f>IFERROR(VLOOKUP($A965,[1]FINAL!$A$1:$Z$1000,MATCH([1]FINAL!$V$1,[1]FINAL!$A$1:$Z$1,0),0),"")</f>
        <v/>
      </c>
      <c r="E965" s="6">
        <f t="shared" si="75"/>
        <v>0</v>
      </c>
      <c r="F965" s="5">
        <f t="shared" si="76"/>
        <v>0</v>
      </c>
      <c r="G965" s="5">
        <f>IFERROR(IF(H965&lt;&gt;"",H965,VLOOKUP($A965,[1]FINAL!$A$1:$BZ$1000,MATCH([1]FINAL!$BL$1,[1]FINAL!$A$1:$BZ$1,0),0)),0)</f>
        <v>0</v>
      </c>
      <c r="I965" s="5">
        <f>IFERROR(IF(J965&lt;&gt;"",J965,(IF(VLOOKUP($A965,#REF!,MATCH(#REF!,#REF!,0),0)=0,G965,VLOOKUP($A965,#REF!,MATCH(#REF!,#REF!,0),0)))),G965)</f>
        <v>0</v>
      </c>
      <c r="K965" s="6">
        <f>IFERROR(VLOOKUP($A965,#REF!,MATCH(#REF!,#REF!,0),0),0)</f>
        <v>0</v>
      </c>
      <c r="L965" s="6">
        <f>IFERROR(VLOOKUP($A965,[1]FINAL!$A$1:$BZ$1000,MATCH([1]FINAL!$BF$1,[1]FINAL!$A$1:$BZ$1,0),0),0)</f>
        <v>0</v>
      </c>
      <c r="M965" s="7">
        <f t="shared" si="77"/>
        <v>0</v>
      </c>
      <c r="N965" s="6">
        <f>IFERROR(VLOOKUP($A965,#REF!,MATCH(#REF!,#REF!,0),0),0)</f>
        <v>0</v>
      </c>
      <c r="O965" s="7">
        <f t="shared" si="78"/>
        <v>0</v>
      </c>
      <c r="P965" s="10" t="str">
        <f>IFERROR(VLOOKUP($A965,[1]FINAL!$A$1:$BZ$1000,MATCH([1]FINAL!$BB$1,[1]FINAL!$A$1:$BZ$1,0),0),"")</f>
        <v/>
      </c>
      <c r="Q965" s="18">
        <f t="shared" si="79"/>
        <v>1</v>
      </c>
    </row>
    <row r="966" spans="1:17" x14ac:dyDescent="0.25">
      <c r="A966" s="14">
        <f>[1]FINAL!$A964</f>
        <v>0</v>
      </c>
      <c r="B966" s="20" t="str">
        <f>IFERROR(VLOOKUP($A966,[1]FINAL!$A$1:$Z$1000,MATCH([1]FINAL!$T$1,[1]FINAL!$A$1:$Z$1,0),0),"")</f>
        <v/>
      </c>
      <c r="C966" s="3" t="str">
        <f>IFERROR(VLOOKUP($A966,[1]FINAL!$A$1:$Z$1000,MATCH([1]FINAL!$U$1,[1]FINAL!$A$1:$Z$1,0),0),"")</f>
        <v/>
      </c>
      <c r="D966" s="3" t="str">
        <f>IFERROR(VLOOKUP($A966,[1]FINAL!$A$1:$Z$1000,MATCH([1]FINAL!$V$1,[1]FINAL!$A$1:$Z$1,0),0),"")</f>
        <v/>
      </c>
      <c r="E966" s="6">
        <f t="shared" si="75"/>
        <v>0</v>
      </c>
      <c r="F966" s="5">
        <f t="shared" si="76"/>
        <v>0</v>
      </c>
      <c r="G966" s="5">
        <f>IFERROR(IF(H966&lt;&gt;"",H966,VLOOKUP($A966,[1]FINAL!$A$1:$BZ$1000,MATCH([1]FINAL!$BL$1,[1]FINAL!$A$1:$BZ$1,0),0)),0)</f>
        <v>0</v>
      </c>
      <c r="I966" s="5">
        <f>IFERROR(IF(J966&lt;&gt;"",J966,(IF(VLOOKUP($A966,#REF!,MATCH(#REF!,#REF!,0),0)=0,G966,VLOOKUP($A966,#REF!,MATCH(#REF!,#REF!,0),0)))),G966)</f>
        <v>0</v>
      </c>
      <c r="K966" s="6">
        <f>IFERROR(VLOOKUP($A966,#REF!,MATCH(#REF!,#REF!,0),0),0)</f>
        <v>0</v>
      </c>
      <c r="L966" s="6">
        <f>IFERROR(VLOOKUP($A966,[1]FINAL!$A$1:$BZ$1000,MATCH([1]FINAL!$BF$1,[1]FINAL!$A$1:$BZ$1,0),0),0)</f>
        <v>0</v>
      </c>
      <c r="M966" s="7">
        <f t="shared" si="77"/>
        <v>0</v>
      </c>
      <c r="N966" s="6">
        <f>IFERROR(VLOOKUP($A966,#REF!,MATCH(#REF!,#REF!,0),0),0)</f>
        <v>0</v>
      </c>
      <c r="O966" s="7">
        <f t="shared" si="78"/>
        <v>0</v>
      </c>
      <c r="P966" s="10" t="str">
        <f>IFERROR(VLOOKUP($A966,[1]FINAL!$A$1:$BZ$1000,MATCH([1]FINAL!$BB$1,[1]FINAL!$A$1:$BZ$1,0),0),"")</f>
        <v/>
      </c>
      <c r="Q966" s="18">
        <f t="shared" si="79"/>
        <v>1</v>
      </c>
    </row>
    <row r="967" spans="1:17" x14ac:dyDescent="0.25">
      <c r="A967" s="14">
        <f>[1]FINAL!$A965</f>
        <v>0</v>
      </c>
      <c r="B967" s="20" t="str">
        <f>IFERROR(VLOOKUP($A967,[1]FINAL!$A$1:$Z$1000,MATCH([1]FINAL!$T$1,[1]FINAL!$A$1:$Z$1,0),0),"")</f>
        <v/>
      </c>
      <c r="C967" s="3" t="str">
        <f>IFERROR(VLOOKUP($A967,[1]FINAL!$A$1:$Z$1000,MATCH([1]FINAL!$U$1,[1]FINAL!$A$1:$Z$1,0),0),"")</f>
        <v/>
      </c>
      <c r="D967" s="3" t="str">
        <f>IFERROR(VLOOKUP($A967,[1]FINAL!$A$1:$Z$1000,MATCH([1]FINAL!$V$1,[1]FINAL!$A$1:$Z$1,0),0),"")</f>
        <v/>
      </c>
      <c r="E967" s="6">
        <f t="shared" si="75"/>
        <v>0</v>
      </c>
      <c r="F967" s="5">
        <f t="shared" si="76"/>
        <v>0</v>
      </c>
      <c r="G967" s="5">
        <f>IFERROR(IF(H967&lt;&gt;"",H967,VLOOKUP($A967,[1]FINAL!$A$1:$BZ$1000,MATCH([1]FINAL!$BL$1,[1]FINAL!$A$1:$BZ$1,0),0)),0)</f>
        <v>0</v>
      </c>
      <c r="I967" s="5">
        <f>IFERROR(IF(J967&lt;&gt;"",J967,(IF(VLOOKUP($A967,#REF!,MATCH(#REF!,#REF!,0),0)=0,G967,VLOOKUP($A967,#REF!,MATCH(#REF!,#REF!,0),0)))),G967)</f>
        <v>0</v>
      </c>
      <c r="K967" s="6">
        <f>IFERROR(VLOOKUP($A967,#REF!,MATCH(#REF!,#REF!,0),0),0)</f>
        <v>0</v>
      </c>
      <c r="L967" s="6">
        <f>IFERROR(VLOOKUP($A967,[1]FINAL!$A$1:$BZ$1000,MATCH([1]FINAL!$BF$1,[1]FINAL!$A$1:$BZ$1,0),0),0)</f>
        <v>0</v>
      </c>
      <c r="M967" s="7">
        <f t="shared" si="77"/>
        <v>0</v>
      </c>
      <c r="N967" s="6">
        <f>IFERROR(VLOOKUP($A967,#REF!,MATCH(#REF!,#REF!,0),0),0)</f>
        <v>0</v>
      </c>
      <c r="O967" s="7">
        <f t="shared" si="78"/>
        <v>0</v>
      </c>
      <c r="P967" s="10" t="str">
        <f>IFERROR(VLOOKUP($A967,[1]FINAL!$A$1:$BZ$1000,MATCH([1]FINAL!$BB$1,[1]FINAL!$A$1:$BZ$1,0),0),"")</f>
        <v/>
      </c>
      <c r="Q967" s="18">
        <f t="shared" si="79"/>
        <v>1</v>
      </c>
    </row>
    <row r="968" spans="1:17" x14ac:dyDescent="0.25">
      <c r="A968" s="14">
        <f>[1]FINAL!$A966</f>
        <v>0</v>
      </c>
      <c r="B968" s="20" t="str">
        <f>IFERROR(VLOOKUP($A968,[1]FINAL!$A$1:$Z$1000,MATCH([1]FINAL!$T$1,[1]FINAL!$A$1:$Z$1,0),0),"")</f>
        <v/>
      </c>
      <c r="C968" s="3" t="str">
        <f>IFERROR(VLOOKUP($A968,[1]FINAL!$A$1:$Z$1000,MATCH([1]FINAL!$U$1,[1]FINAL!$A$1:$Z$1,0),0),"")</f>
        <v/>
      </c>
      <c r="D968" s="3" t="str">
        <f>IFERROR(VLOOKUP($A968,[1]FINAL!$A$1:$Z$1000,MATCH([1]FINAL!$V$1,[1]FINAL!$A$1:$Z$1,0),0),"")</f>
        <v/>
      </c>
      <c r="E968" s="6">
        <f t="shared" si="75"/>
        <v>0</v>
      </c>
      <c r="F968" s="5">
        <f t="shared" si="76"/>
        <v>0</v>
      </c>
      <c r="G968" s="5">
        <f>IFERROR(IF(H968&lt;&gt;"",H968,VLOOKUP($A968,[1]FINAL!$A$1:$BZ$1000,MATCH([1]FINAL!$BL$1,[1]FINAL!$A$1:$BZ$1,0),0)),0)</f>
        <v>0</v>
      </c>
      <c r="I968" s="5">
        <f>IFERROR(IF(J968&lt;&gt;"",J968,(IF(VLOOKUP($A968,#REF!,MATCH(#REF!,#REF!,0),0)=0,G968,VLOOKUP($A968,#REF!,MATCH(#REF!,#REF!,0),0)))),G968)</f>
        <v>0</v>
      </c>
      <c r="K968" s="6">
        <f>IFERROR(VLOOKUP($A968,#REF!,MATCH(#REF!,#REF!,0),0),0)</f>
        <v>0</v>
      </c>
      <c r="L968" s="6">
        <f>IFERROR(VLOOKUP($A968,[1]FINAL!$A$1:$BZ$1000,MATCH([1]FINAL!$BF$1,[1]FINAL!$A$1:$BZ$1,0),0),0)</f>
        <v>0</v>
      </c>
      <c r="M968" s="7">
        <f t="shared" si="77"/>
        <v>0</v>
      </c>
      <c r="N968" s="6">
        <f>IFERROR(VLOOKUP($A968,#REF!,MATCH(#REF!,#REF!,0),0),0)</f>
        <v>0</v>
      </c>
      <c r="O968" s="7">
        <f t="shared" si="78"/>
        <v>0</v>
      </c>
      <c r="P968" s="10" t="str">
        <f>IFERROR(VLOOKUP($A968,[1]FINAL!$A$1:$BZ$1000,MATCH([1]FINAL!$BB$1,[1]FINAL!$A$1:$BZ$1,0),0),"")</f>
        <v/>
      </c>
      <c r="Q968" s="18">
        <f t="shared" si="79"/>
        <v>1</v>
      </c>
    </row>
    <row r="969" spans="1:17" x14ac:dyDescent="0.25">
      <c r="A969" s="14">
        <f>[1]FINAL!$A967</f>
        <v>0</v>
      </c>
      <c r="B969" s="20" t="str">
        <f>IFERROR(VLOOKUP($A969,[1]FINAL!$A$1:$Z$1000,MATCH([1]FINAL!$T$1,[1]FINAL!$A$1:$Z$1,0),0),"")</f>
        <v/>
      </c>
      <c r="C969" s="3" t="str">
        <f>IFERROR(VLOOKUP($A969,[1]FINAL!$A$1:$Z$1000,MATCH([1]FINAL!$U$1,[1]FINAL!$A$1:$Z$1,0),0),"")</f>
        <v/>
      </c>
      <c r="D969" s="3" t="str">
        <f>IFERROR(VLOOKUP($A969,[1]FINAL!$A$1:$Z$1000,MATCH([1]FINAL!$V$1,[1]FINAL!$A$1:$Z$1,0),0),"")</f>
        <v/>
      </c>
      <c r="E969" s="6">
        <f t="shared" si="75"/>
        <v>0</v>
      </c>
      <c r="F969" s="5">
        <f t="shared" si="76"/>
        <v>0</v>
      </c>
      <c r="G969" s="5">
        <f>IFERROR(IF(H969&lt;&gt;"",H969,VLOOKUP($A969,[1]FINAL!$A$1:$BZ$1000,MATCH([1]FINAL!$BL$1,[1]FINAL!$A$1:$BZ$1,0),0)),0)</f>
        <v>0</v>
      </c>
      <c r="I969" s="5">
        <f>IFERROR(IF(J969&lt;&gt;"",J969,(IF(VLOOKUP($A969,#REF!,MATCH(#REF!,#REF!,0),0)=0,G969,VLOOKUP($A969,#REF!,MATCH(#REF!,#REF!,0),0)))),G969)</f>
        <v>0</v>
      </c>
      <c r="K969" s="6">
        <f>IFERROR(VLOOKUP($A969,#REF!,MATCH(#REF!,#REF!,0),0),0)</f>
        <v>0</v>
      </c>
      <c r="L969" s="6">
        <f>IFERROR(VLOOKUP($A969,[1]FINAL!$A$1:$BZ$1000,MATCH([1]FINAL!$BF$1,[1]FINAL!$A$1:$BZ$1,0),0),0)</f>
        <v>0</v>
      </c>
      <c r="M969" s="7">
        <f t="shared" si="77"/>
        <v>0</v>
      </c>
      <c r="N969" s="6">
        <f>IFERROR(VLOOKUP($A969,#REF!,MATCH(#REF!,#REF!,0),0),0)</f>
        <v>0</v>
      </c>
      <c r="O969" s="7">
        <f t="shared" si="78"/>
        <v>0</v>
      </c>
      <c r="P969" s="10" t="str">
        <f>IFERROR(VLOOKUP($A969,[1]FINAL!$A$1:$BZ$1000,MATCH([1]FINAL!$BB$1,[1]FINAL!$A$1:$BZ$1,0),0),"")</f>
        <v/>
      </c>
      <c r="Q969" s="18">
        <f t="shared" si="79"/>
        <v>1</v>
      </c>
    </row>
    <row r="970" spans="1:17" x14ac:dyDescent="0.25">
      <c r="A970" s="14">
        <f>[1]FINAL!$A968</f>
        <v>0</v>
      </c>
      <c r="B970" s="20" t="str">
        <f>IFERROR(VLOOKUP($A970,[1]FINAL!$A$1:$Z$1000,MATCH([1]FINAL!$T$1,[1]FINAL!$A$1:$Z$1,0),0),"")</f>
        <v/>
      </c>
      <c r="C970" s="3" t="str">
        <f>IFERROR(VLOOKUP($A970,[1]FINAL!$A$1:$Z$1000,MATCH([1]FINAL!$U$1,[1]FINAL!$A$1:$Z$1,0),0),"")</f>
        <v/>
      </c>
      <c r="D970" s="3" t="str">
        <f>IFERROR(VLOOKUP($A970,[1]FINAL!$A$1:$Z$1000,MATCH([1]FINAL!$V$1,[1]FINAL!$A$1:$Z$1,0),0),"")</f>
        <v/>
      </c>
      <c r="E970" s="6">
        <f t="shared" si="75"/>
        <v>0</v>
      </c>
      <c r="F970" s="5">
        <f t="shared" si="76"/>
        <v>0</v>
      </c>
      <c r="G970" s="5">
        <f>IFERROR(IF(H970&lt;&gt;"",H970,VLOOKUP($A970,[1]FINAL!$A$1:$BZ$1000,MATCH([1]FINAL!$BL$1,[1]FINAL!$A$1:$BZ$1,0),0)),0)</f>
        <v>0</v>
      </c>
      <c r="I970" s="5">
        <f>IFERROR(IF(J970&lt;&gt;"",J970,(IF(VLOOKUP($A970,#REF!,MATCH(#REF!,#REF!,0),0)=0,G970,VLOOKUP($A970,#REF!,MATCH(#REF!,#REF!,0),0)))),G970)</f>
        <v>0</v>
      </c>
      <c r="K970" s="6">
        <f>IFERROR(VLOOKUP($A970,#REF!,MATCH(#REF!,#REF!,0),0),0)</f>
        <v>0</v>
      </c>
      <c r="L970" s="6">
        <f>IFERROR(VLOOKUP($A970,[1]FINAL!$A$1:$BZ$1000,MATCH([1]FINAL!$BF$1,[1]FINAL!$A$1:$BZ$1,0),0),0)</f>
        <v>0</v>
      </c>
      <c r="M970" s="7">
        <f t="shared" si="77"/>
        <v>0</v>
      </c>
      <c r="N970" s="6">
        <f>IFERROR(VLOOKUP($A970,#REF!,MATCH(#REF!,#REF!,0),0),0)</f>
        <v>0</v>
      </c>
      <c r="O970" s="7">
        <f t="shared" si="78"/>
        <v>0</v>
      </c>
      <c r="P970" s="10" t="str">
        <f>IFERROR(VLOOKUP($A970,[1]FINAL!$A$1:$BZ$1000,MATCH([1]FINAL!$BB$1,[1]FINAL!$A$1:$BZ$1,0),0),"")</f>
        <v/>
      </c>
      <c r="Q970" s="18">
        <f t="shared" si="79"/>
        <v>1</v>
      </c>
    </row>
    <row r="971" spans="1:17" x14ac:dyDescent="0.25">
      <c r="A971" s="14">
        <f>[1]FINAL!$A969</f>
        <v>0</v>
      </c>
      <c r="B971" s="20" t="str">
        <f>IFERROR(VLOOKUP($A971,[1]FINAL!$A$1:$Z$1000,MATCH([1]FINAL!$T$1,[1]FINAL!$A$1:$Z$1,0),0),"")</f>
        <v/>
      </c>
      <c r="C971" s="3" t="str">
        <f>IFERROR(VLOOKUP($A971,[1]FINAL!$A$1:$Z$1000,MATCH([1]FINAL!$U$1,[1]FINAL!$A$1:$Z$1,0),0),"")</f>
        <v/>
      </c>
      <c r="D971" s="3" t="str">
        <f>IFERROR(VLOOKUP($A971,[1]FINAL!$A$1:$Z$1000,MATCH([1]FINAL!$V$1,[1]FINAL!$A$1:$Z$1,0),0),"")</f>
        <v/>
      </c>
      <c r="E971" s="6">
        <f t="shared" si="75"/>
        <v>0</v>
      </c>
      <c r="F971" s="5">
        <f t="shared" si="76"/>
        <v>0</v>
      </c>
      <c r="G971" s="5">
        <f>IFERROR(IF(H971&lt;&gt;"",H971,VLOOKUP($A971,[1]FINAL!$A$1:$BZ$1000,MATCH([1]FINAL!$BL$1,[1]FINAL!$A$1:$BZ$1,0),0)),0)</f>
        <v>0</v>
      </c>
      <c r="I971" s="5">
        <f>IFERROR(IF(J971&lt;&gt;"",J971,(IF(VLOOKUP($A971,#REF!,MATCH(#REF!,#REF!,0),0)=0,G971,VLOOKUP($A971,#REF!,MATCH(#REF!,#REF!,0),0)))),G971)</f>
        <v>0</v>
      </c>
      <c r="K971" s="6">
        <f>IFERROR(VLOOKUP($A971,#REF!,MATCH(#REF!,#REF!,0),0),0)</f>
        <v>0</v>
      </c>
      <c r="L971" s="6">
        <f>IFERROR(VLOOKUP($A971,[1]FINAL!$A$1:$BZ$1000,MATCH([1]FINAL!$BF$1,[1]FINAL!$A$1:$BZ$1,0),0),0)</f>
        <v>0</v>
      </c>
      <c r="M971" s="7">
        <f t="shared" si="77"/>
        <v>0</v>
      </c>
      <c r="N971" s="6">
        <f>IFERROR(VLOOKUP($A971,#REF!,MATCH(#REF!,#REF!,0),0),0)</f>
        <v>0</v>
      </c>
      <c r="O971" s="7">
        <f t="shared" si="78"/>
        <v>0</v>
      </c>
      <c r="P971" s="10" t="str">
        <f>IFERROR(VLOOKUP($A971,[1]FINAL!$A$1:$BZ$1000,MATCH([1]FINAL!$BB$1,[1]FINAL!$A$1:$BZ$1,0),0),"")</f>
        <v/>
      </c>
      <c r="Q971" s="18">
        <f t="shared" si="79"/>
        <v>1</v>
      </c>
    </row>
    <row r="972" spans="1:17" x14ac:dyDescent="0.25">
      <c r="A972" s="14">
        <f>[1]FINAL!$A970</f>
        <v>0</v>
      </c>
      <c r="B972" s="20" t="str">
        <f>IFERROR(VLOOKUP($A972,[1]FINAL!$A$1:$Z$1000,MATCH([1]FINAL!$T$1,[1]FINAL!$A$1:$Z$1,0),0),"")</f>
        <v/>
      </c>
      <c r="C972" s="3" t="str">
        <f>IFERROR(VLOOKUP($A972,[1]FINAL!$A$1:$Z$1000,MATCH([1]FINAL!$U$1,[1]FINAL!$A$1:$Z$1,0),0),"")</f>
        <v/>
      </c>
      <c r="D972" s="3" t="str">
        <f>IFERROR(VLOOKUP($A972,[1]FINAL!$A$1:$Z$1000,MATCH([1]FINAL!$V$1,[1]FINAL!$A$1:$Z$1,0),0),"")</f>
        <v/>
      </c>
      <c r="E972" s="6">
        <f t="shared" si="75"/>
        <v>0</v>
      </c>
      <c r="F972" s="5">
        <f t="shared" si="76"/>
        <v>0</v>
      </c>
      <c r="G972" s="5">
        <f>IFERROR(IF(H972&lt;&gt;"",H972,VLOOKUP($A972,[1]FINAL!$A$1:$BZ$1000,MATCH([1]FINAL!$BL$1,[1]FINAL!$A$1:$BZ$1,0),0)),0)</f>
        <v>0</v>
      </c>
      <c r="I972" s="5">
        <f>IFERROR(IF(J972&lt;&gt;"",J972,(IF(VLOOKUP($A972,#REF!,MATCH(#REF!,#REF!,0),0)=0,G972,VLOOKUP($A972,#REF!,MATCH(#REF!,#REF!,0),0)))),G972)</f>
        <v>0</v>
      </c>
      <c r="K972" s="6">
        <f>IFERROR(VLOOKUP($A972,#REF!,MATCH(#REF!,#REF!,0),0),0)</f>
        <v>0</v>
      </c>
      <c r="L972" s="6">
        <f>IFERROR(VLOOKUP($A972,[1]FINAL!$A$1:$BZ$1000,MATCH([1]FINAL!$BF$1,[1]FINAL!$A$1:$BZ$1,0),0),0)</f>
        <v>0</v>
      </c>
      <c r="M972" s="7">
        <f t="shared" si="77"/>
        <v>0</v>
      </c>
      <c r="N972" s="6">
        <f>IFERROR(VLOOKUP($A972,#REF!,MATCH(#REF!,#REF!,0),0),0)</f>
        <v>0</v>
      </c>
      <c r="O972" s="7">
        <f t="shared" si="78"/>
        <v>0</v>
      </c>
      <c r="P972" s="10" t="str">
        <f>IFERROR(VLOOKUP($A972,[1]FINAL!$A$1:$BZ$1000,MATCH([1]FINAL!$BB$1,[1]FINAL!$A$1:$BZ$1,0),0),"")</f>
        <v/>
      </c>
      <c r="Q972" s="18">
        <f t="shared" si="79"/>
        <v>1</v>
      </c>
    </row>
    <row r="973" spans="1:17" x14ac:dyDescent="0.25">
      <c r="A973" s="14">
        <f>[1]FINAL!$A971</f>
        <v>0</v>
      </c>
      <c r="B973" s="20" t="str">
        <f>IFERROR(VLOOKUP($A973,[1]FINAL!$A$1:$Z$1000,MATCH([1]FINAL!$T$1,[1]FINAL!$A$1:$Z$1,0),0),"")</f>
        <v/>
      </c>
      <c r="C973" s="3" t="str">
        <f>IFERROR(VLOOKUP($A973,[1]FINAL!$A$1:$Z$1000,MATCH([1]FINAL!$U$1,[1]FINAL!$A$1:$Z$1,0),0),"")</f>
        <v/>
      </c>
      <c r="D973" s="3" t="str">
        <f>IFERROR(VLOOKUP($A973,[1]FINAL!$A$1:$Z$1000,MATCH([1]FINAL!$V$1,[1]FINAL!$A$1:$Z$1,0),0),"")</f>
        <v/>
      </c>
      <c r="E973" s="6">
        <f t="shared" si="75"/>
        <v>0</v>
      </c>
      <c r="F973" s="5">
        <f t="shared" si="76"/>
        <v>0</v>
      </c>
      <c r="G973" s="5">
        <f>IFERROR(IF(H973&lt;&gt;"",H973,VLOOKUP($A973,[1]FINAL!$A$1:$BZ$1000,MATCH([1]FINAL!$BL$1,[1]FINAL!$A$1:$BZ$1,0),0)),0)</f>
        <v>0</v>
      </c>
      <c r="I973" s="5">
        <f>IFERROR(IF(J973&lt;&gt;"",J973,(IF(VLOOKUP($A973,#REF!,MATCH(#REF!,#REF!,0),0)=0,G973,VLOOKUP($A973,#REF!,MATCH(#REF!,#REF!,0),0)))),G973)</f>
        <v>0</v>
      </c>
      <c r="K973" s="6">
        <f>IFERROR(VLOOKUP($A973,#REF!,MATCH(#REF!,#REF!,0),0),0)</f>
        <v>0</v>
      </c>
      <c r="L973" s="6">
        <f>IFERROR(VLOOKUP($A973,[1]FINAL!$A$1:$BZ$1000,MATCH([1]FINAL!$BF$1,[1]FINAL!$A$1:$BZ$1,0),0),0)</f>
        <v>0</v>
      </c>
      <c r="M973" s="7">
        <f t="shared" si="77"/>
        <v>0</v>
      </c>
      <c r="N973" s="6">
        <f>IFERROR(VLOOKUP($A973,#REF!,MATCH(#REF!,#REF!,0),0),0)</f>
        <v>0</v>
      </c>
      <c r="O973" s="7">
        <f t="shared" si="78"/>
        <v>0</v>
      </c>
      <c r="P973" s="10" t="str">
        <f>IFERROR(VLOOKUP($A973,[1]FINAL!$A$1:$BZ$1000,MATCH([1]FINAL!$BB$1,[1]FINAL!$A$1:$BZ$1,0),0),"")</f>
        <v/>
      </c>
      <c r="Q973" s="18">
        <f t="shared" si="79"/>
        <v>1</v>
      </c>
    </row>
    <row r="974" spans="1:17" x14ac:dyDescent="0.25">
      <c r="A974" s="14">
        <f>[1]FINAL!$A972</f>
        <v>0</v>
      </c>
      <c r="B974" s="20" t="str">
        <f>IFERROR(VLOOKUP($A974,[1]FINAL!$A$1:$Z$1000,MATCH([1]FINAL!$T$1,[1]FINAL!$A$1:$Z$1,0),0),"")</f>
        <v/>
      </c>
      <c r="C974" s="3" t="str">
        <f>IFERROR(VLOOKUP($A974,[1]FINAL!$A$1:$Z$1000,MATCH([1]FINAL!$U$1,[1]FINAL!$A$1:$Z$1,0),0),"")</f>
        <v/>
      </c>
      <c r="D974" s="3" t="str">
        <f>IFERROR(VLOOKUP($A974,[1]FINAL!$A$1:$Z$1000,MATCH([1]FINAL!$V$1,[1]FINAL!$A$1:$Z$1,0),0),"")</f>
        <v/>
      </c>
      <c r="E974" s="6">
        <f t="shared" si="75"/>
        <v>0</v>
      </c>
      <c r="F974" s="5">
        <f t="shared" si="76"/>
        <v>0</v>
      </c>
      <c r="G974" s="5">
        <f>IFERROR(IF(H974&lt;&gt;"",H974,VLOOKUP($A974,[1]FINAL!$A$1:$BZ$1000,MATCH([1]FINAL!$BL$1,[1]FINAL!$A$1:$BZ$1,0),0)),0)</f>
        <v>0</v>
      </c>
      <c r="I974" s="5">
        <f>IFERROR(IF(J974&lt;&gt;"",J974,(IF(VLOOKUP($A974,#REF!,MATCH(#REF!,#REF!,0),0)=0,G974,VLOOKUP($A974,#REF!,MATCH(#REF!,#REF!,0),0)))),G974)</f>
        <v>0</v>
      </c>
      <c r="K974" s="6">
        <f>IFERROR(VLOOKUP($A974,#REF!,MATCH(#REF!,#REF!,0),0),0)</f>
        <v>0</v>
      </c>
      <c r="L974" s="6">
        <f>IFERROR(VLOOKUP($A974,[1]FINAL!$A$1:$BZ$1000,MATCH([1]FINAL!$BF$1,[1]FINAL!$A$1:$BZ$1,0),0),0)</f>
        <v>0</v>
      </c>
      <c r="M974" s="7">
        <f t="shared" si="77"/>
        <v>0</v>
      </c>
      <c r="N974" s="6">
        <f>IFERROR(VLOOKUP($A974,#REF!,MATCH(#REF!,#REF!,0),0),0)</f>
        <v>0</v>
      </c>
      <c r="O974" s="7">
        <f t="shared" si="78"/>
        <v>0</v>
      </c>
      <c r="P974" s="10" t="str">
        <f>IFERROR(VLOOKUP($A974,[1]FINAL!$A$1:$BZ$1000,MATCH([1]FINAL!$BB$1,[1]FINAL!$A$1:$BZ$1,0),0),"")</f>
        <v/>
      </c>
      <c r="Q974" s="18">
        <f t="shared" si="79"/>
        <v>1</v>
      </c>
    </row>
    <row r="975" spans="1:17" x14ac:dyDescent="0.25">
      <c r="A975" s="14">
        <f>[1]FINAL!$A973</f>
        <v>0</v>
      </c>
      <c r="B975" s="20" t="str">
        <f>IFERROR(VLOOKUP($A975,[1]FINAL!$A$1:$Z$1000,MATCH([1]FINAL!$T$1,[1]FINAL!$A$1:$Z$1,0),0),"")</f>
        <v/>
      </c>
      <c r="C975" s="3" t="str">
        <f>IFERROR(VLOOKUP($A975,[1]FINAL!$A$1:$Z$1000,MATCH([1]FINAL!$U$1,[1]FINAL!$A$1:$Z$1,0),0),"")</f>
        <v/>
      </c>
      <c r="D975" s="3" t="str">
        <f>IFERROR(VLOOKUP($A975,[1]FINAL!$A$1:$Z$1000,MATCH([1]FINAL!$V$1,[1]FINAL!$A$1:$Z$1,0),0),"")</f>
        <v/>
      </c>
      <c r="E975" s="6">
        <f t="shared" si="75"/>
        <v>0</v>
      </c>
      <c r="F975" s="5">
        <f t="shared" si="76"/>
        <v>0</v>
      </c>
      <c r="G975" s="5">
        <f>IFERROR(IF(H975&lt;&gt;"",H975,VLOOKUP($A975,[1]FINAL!$A$1:$BZ$1000,MATCH([1]FINAL!$BL$1,[1]FINAL!$A$1:$BZ$1,0),0)),0)</f>
        <v>0</v>
      </c>
      <c r="I975" s="5">
        <f>IFERROR(IF(J975&lt;&gt;"",J975,(IF(VLOOKUP($A975,#REF!,MATCH(#REF!,#REF!,0),0)=0,G975,VLOOKUP($A975,#REF!,MATCH(#REF!,#REF!,0),0)))),G975)</f>
        <v>0</v>
      </c>
      <c r="K975" s="6">
        <f>IFERROR(VLOOKUP($A975,#REF!,MATCH(#REF!,#REF!,0),0),0)</f>
        <v>0</v>
      </c>
      <c r="L975" s="6">
        <f>IFERROR(VLOOKUP($A975,[1]FINAL!$A$1:$BZ$1000,MATCH([1]FINAL!$BF$1,[1]FINAL!$A$1:$BZ$1,0),0),0)</f>
        <v>0</v>
      </c>
      <c r="M975" s="7">
        <f t="shared" si="77"/>
        <v>0</v>
      </c>
      <c r="N975" s="6">
        <f>IFERROR(VLOOKUP($A975,#REF!,MATCH(#REF!,#REF!,0),0),0)</f>
        <v>0</v>
      </c>
      <c r="O975" s="7">
        <f t="shared" si="78"/>
        <v>0</v>
      </c>
      <c r="P975" s="10" t="str">
        <f>IFERROR(VLOOKUP($A975,[1]FINAL!$A$1:$BZ$1000,MATCH([1]FINAL!$BB$1,[1]FINAL!$A$1:$BZ$1,0),0),"")</f>
        <v/>
      </c>
      <c r="Q975" s="18">
        <f t="shared" si="79"/>
        <v>1</v>
      </c>
    </row>
    <row r="976" spans="1:17" x14ac:dyDescent="0.25">
      <c r="A976" s="14">
        <f>[1]FINAL!$A974</f>
        <v>0</v>
      </c>
      <c r="B976" s="20" t="str">
        <f>IFERROR(VLOOKUP($A976,[1]FINAL!$A$1:$Z$1000,MATCH([1]FINAL!$T$1,[1]FINAL!$A$1:$Z$1,0),0),"")</f>
        <v/>
      </c>
      <c r="C976" s="3" t="str">
        <f>IFERROR(VLOOKUP($A976,[1]FINAL!$A$1:$Z$1000,MATCH([1]FINAL!$U$1,[1]FINAL!$A$1:$Z$1,0),0),"")</f>
        <v/>
      </c>
      <c r="D976" s="3" t="str">
        <f>IFERROR(VLOOKUP($A976,[1]FINAL!$A$1:$Z$1000,MATCH([1]FINAL!$V$1,[1]FINAL!$A$1:$Z$1,0),0),"")</f>
        <v/>
      </c>
      <c r="E976" s="6">
        <f t="shared" si="75"/>
        <v>0</v>
      </c>
      <c r="F976" s="5">
        <f t="shared" si="76"/>
        <v>0</v>
      </c>
      <c r="G976" s="5">
        <f>IFERROR(IF(H976&lt;&gt;"",H976,VLOOKUP($A976,[1]FINAL!$A$1:$BZ$1000,MATCH([1]FINAL!$BL$1,[1]FINAL!$A$1:$BZ$1,0),0)),0)</f>
        <v>0</v>
      </c>
      <c r="I976" s="5">
        <f>IFERROR(IF(J976&lt;&gt;"",J976,(IF(VLOOKUP($A976,#REF!,MATCH(#REF!,#REF!,0),0)=0,G976,VLOOKUP($A976,#REF!,MATCH(#REF!,#REF!,0),0)))),G976)</f>
        <v>0</v>
      </c>
      <c r="K976" s="6">
        <f>IFERROR(VLOOKUP($A976,#REF!,MATCH(#REF!,#REF!,0),0),0)</f>
        <v>0</v>
      </c>
      <c r="L976" s="6">
        <f>IFERROR(VLOOKUP($A976,[1]FINAL!$A$1:$BZ$1000,MATCH([1]FINAL!$BF$1,[1]FINAL!$A$1:$BZ$1,0),0),0)</f>
        <v>0</v>
      </c>
      <c r="M976" s="7">
        <f t="shared" si="77"/>
        <v>0</v>
      </c>
      <c r="N976" s="6">
        <f>IFERROR(VLOOKUP($A976,#REF!,MATCH(#REF!,#REF!,0),0),0)</f>
        <v>0</v>
      </c>
      <c r="O976" s="7">
        <f t="shared" si="78"/>
        <v>0</v>
      </c>
      <c r="P976" s="10" t="str">
        <f>IFERROR(VLOOKUP($A976,[1]FINAL!$A$1:$BZ$1000,MATCH([1]FINAL!$BB$1,[1]FINAL!$A$1:$BZ$1,0),0),"")</f>
        <v/>
      </c>
      <c r="Q976" s="18">
        <f t="shared" si="79"/>
        <v>1</v>
      </c>
    </row>
    <row r="977" spans="1:17" x14ac:dyDescent="0.25">
      <c r="A977" s="14">
        <f>[1]FINAL!$A975</f>
        <v>0</v>
      </c>
      <c r="B977" s="20" t="str">
        <f>IFERROR(VLOOKUP($A977,[1]FINAL!$A$1:$Z$1000,MATCH([1]FINAL!$T$1,[1]FINAL!$A$1:$Z$1,0),0),"")</f>
        <v/>
      </c>
      <c r="C977" s="3" t="str">
        <f>IFERROR(VLOOKUP($A977,[1]FINAL!$A$1:$Z$1000,MATCH([1]FINAL!$U$1,[1]FINAL!$A$1:$Z$1,0),0),"")</f>
        <v/>
      </c>
      <c r="D977" s="3" t="str">
        <f>IFERROR(VLOOKUP($A977,[1]FINAL!$A$1:$Z$1000,MATCH([1]FINAL!$V$1,[1]FINAL!$A$1:$Z$1,0),0),"")</f>
        <v/>
      </c>
      <c r="E977" s="6">
        <f t="shared" si="75"/>
        <v>0</v>
      </c>
      <c r="F977" s="5">
        <f t="shared" si="76"/>
        <v>0</v>
      </c>
      <c r="G977" s="5">
        <f>IFERROR(IF(H977&lt;&gt;"",H977,VLOOKUP($A977,[1]FINAL!$A$1:$BZ$1000,MATCH([1]FINAL!$BL$1,[1]FINAL!$A$1:$BZ$1,0),0)),0)</f>
        <v>0</v>
      </c>
      <c r="I977" s="5">
        <f>IFERROR(IF(J977&lt;&gt;"",J977,(IF(VLOOKUP($A977,#REF!,MATCH(#REF!,#REF!,0),0)=0,G977,VLOOKUP($A977,#REF!,MATCH(#REF!,#REF!,0),0)))),G977)</f>
        <v>0</v>
      </c>
      <c r="K977" s="6">
        <f>IFERROR(VLOOKUP($A977,#REF!,MATCH(#REF!,#REF!,0),0),0)</f>
        <v>0</v>
      </c>
      <c r="L977" s="6">
        <f>IFERROR(VLOOKUP($A977,[1]FINAL!$A$1:$BZ$1000,MATCH([1]FINAL!$BF$1,[1]FINAL!$A$1:$BZ$1,0),0),0)</f>
        <v>0</v>
      </c>
      <c r="M977" s="7">
        <f t="shared" si="77"/>
        <v>0</v>
      </c>
      <c r="N977" s="6">
        <f>IFERROR(VLOOKUP($A977,#REF!,MATCH(#REF!,#REF!,0),0),0)</f>
        <v>0</v>
      </c>
      <c r="O977" s="7">
        <f t="shared" si="78"/>
        <v>0</v>
      </c>
      <c r="P977" s="10" t="str">
        <f>IFERROR(VLOOKUP($A977,[1]FINAL!$A$1:$BZ$1000,MATCH([1]FINAL!$BB$1,[1]FINAL!$A$1:$BZ$1,0),0),"")</f>
        <v/>
      </c>
      <c r="Q977" s="18">
        <f t="shared" si="79"/>
        <v>1</v>
      </c>
    </row>
    <row r="978" spans="1:17" x14ac:dyDescent="0.25">
      <c r="A978" s="14">
        <f>[1]FINAL!$A976</f>
        <v>0</v>
      </c>
      <c r="B978" s="20" t="str">
        <f>IFERROR(VLOOKUP($A978,[1]FINAL!$A$1:$Z$1000,MATCH([1]FINAL!$T$1,[1]FINAL!$A$1:$Z$1,0),0),"")</f>
        <v/>
      </c>
      <c r="C978" s="3" t="str">
        <f>IFERROR(VLOOKUP($A978,[1]FINAL!$A$1:$Z$1000,MATCH([1]FINAL!$U$1,[1]FINAL!$A$1:$Z$1,0),0),"")</f>
        <v/>
      </c>
      <c r="D978" s="3" t="str">
        <f>IFERROR(VLOOKUP($A978,[1]FINAL!$A$1:$Z$1000,MATCH([1]FINAL!$V$1,[1]FINAL!$A$1:$Z$1,0),0),"")</f>
        <v/>
      </c>
      <c r="E978" s="6">
        <f t="shared" si="75"/>
        <v>0</v>
      </c>
      <c r="F978" s="5">
        <f t="shared" si="76"/>
        <v>0</v>
      </c>
      <c r="G978" s="5">
        <f>IFERROR(IF(H978&lt;&gt;"",H978,VLOOKUP($A978,[1]FINAL!$A$1:$BZ$1000,MATCH([1]FINAL!$BL$1,[1]FINAL!$A$1:$BZ$1,0),0)),0)</f>
        <v>0</v>
      </c>
      <c r="I978" s="5">
        <f>IFERROR(IF(J978&lt;&gt;"",J978,(IF(VLOOKUP($A978,#REF!,MATCH(#REF!,#REF!,0),0)=0,G978,VLOOKUP($A978,#REF!,MATCH(#REF!,#REF!,0),0)))),G978)</f>
        <v>0</v>
      </c>
      <c r="K978" s="6">
        <f>IFERROR(VLOOKUP($A978,#REF!,MATCH(#REF!,#REF!,0),0),0)</f>
        <v>0</v>
      </c>
      <c r="L978" s="6">
        <f>IFERROR(VLOOKUP($A978,[1]FINAL!$A$1:$BZ$1000,MATCH([1]FINAL!$BF$1,[1]FINAL!$A$1:$BZ$1,0),0),0)</f>
        <v>0</v>
      </c>
      <c r="M978" s="7">
        <f t="shared" si="77"/>
        <v>0</v>
      </c>
      <c r="N978" s="6">
        <f>IFERROR(VLOOKUP($A978,#REF!,MATCH(#REF!,#REF!,0),0),0)</f>
        <v>0</v>
      </c>
      <c r="O978" s="7">
        <f t="shared" si="78"/>
        <v>0</v>
      </c>
      <c r="P978" s="10" t="str">
        <f>IFERROR(VLOOKUP($A978,[1]FINAL!$A$1:$BZ$1000,MATCH([1]FINAL!$BB$1,[1]FINAL!$A$1:$BZ$1,0),0),"")</f>
        <v/>
      </c>
      <c r="Q978" s="18">
        <f t="shared" si="79"/>
        <v>1</v>
      </c>
    </row>
    <row r="979" spans="1:17" x14ac:dyDescent="0.25">
      <c r="A979" s="14">
        <f>[1]FINAL!$A977</f>
        <v>0</v>
      </c>
      <c r="B979" s="20" t="str">
        <f>IFERROR(VLOOKUP($A979,[1]FINAL!$A$1:$Z$1000,MATCH([1]FINAL!$T$1,[1]FINAL!$A$1:$Z$1,0),0),"")</f>
        <v/>
      </c>
      <c r="C979" s="3" t="str">
        <f>IFERROR(VLOOKUP($A979,[1]FINAL!$A$1:$Z$1000,MATCH([1]FINAL!$U$1,[1]FINAL!$A$1:$Z$1,0),0),"")</f>
        <v/>
      </c>
      <c r="D979" s="3" t="str">
        <f>IFERROR(VLOOKUP($A979,[1]FINAL!$A$1:$Z$1000,MATCH([1]FINAL!$V$1,[1]FINAL!$A$1:$Z$1,0),0),"")</f>
        <v/>
      </c>
      <c r="E979" s="6">
        <f t="shared" si="75"/>
        <v>0</v>
      </c>
      <c r="F979" s="5">
        <f t="shared" si="76"/>
        <v>0</v>
      </c>
      <c r="G979" s="5">
        <f>IFERROR(IF(H979&lt;&gt;"",H979,VLOOKUP($A979,[1]FINAL!$A$1:$BZ$1000,MATCH([1]FINAL!$BL$1,[1]FINAL!$A$1:$BZ$1,0),0)),0)</f>
        <v>0</v>
      </c>
      <c r="I979" s="5">
        <f>IFERROR(IF(J979&lt;&gt;"",J979,(IF(VLOOKUP($A979,#REF!,MATCH(#REF!,#REF!,0),0)=0,G979,VLOOKUP($A979,#REF!,MATCH(#REF!,#REF!,0),0)))),G979)</f>
        <v>0</v>
      </c>
      <c r="K979" s="6">
        <f>IFERROR(VLOOKUP($A979,#REF!,MATCH(#REF!,#REF!,0),0),0)</f>
        <v>0</v>
      </c>
      <c r="L979" s="6">
        <f>IFERROR(VLOOKUP($A979,[1]FINAL!$A$1:$BZ$1000,MATCH([1]FINAL!$BF$1,[1]FINAL!$A$1:$BZ$1,0),0),0)</f>
        <v>0</v>
      </c>
      <c r="M979" s="7">
        <f t="shared" si="77"/>
        <v>0</v>
      </c>
      <c r="N979" s="6">
        <f>IFERROR(VLOOKUP($A979,#REF!,MATCH(#REF!,#REF!,0),0),0)</f>
        <v>0</v>
      </c>
      <c r="O979" s="7">
        <f t="shared" si="78"/>
        <v>0</v>
      </c>
      <c r="P979" s="10" t="str">
        <f>IFERROR(VLOOKUP($A979,[1]FINAL!$A$1:$BZ$1000,MATCH([1]FINAL!$BB$1,[1]FINAL!$A$1:$BZ$1,0),0),"")</f>
        <v/>
      </c>
      <c r="Q979" s="18">
        <f t="shared" si="79"/>
        <v>1</v>
      </c>
    </row>
    <row r="980" spans="1:17" x14ac:dyDescent="0.25">
      <c r="A980" s="14">
        <f>[1]FINAL!$A978</f>
        <v>0</v>
      </c>
      <c r="B980" s="20" t="str">
        <f>IFERROR(VLOOKUP($A980,[1]FINAL!$A$1:$Z$1000,MATCH([1]FINAL!$T$1,[1]FINAL!$A$1:$Z$1,0),0),"")</f>
        <v/>
      </c>
      <c r="C980" s="3" t="str">
        <f>IFERROR(VLOOKUP($A980,[1]FINAL!$A$1:$Z$1000,MATCH([1]FINAL!$U$1,[1]FINAL!$A$1:$Z$1,0),0),"")</f>
        <v/>
      </c>
      <c r="D980" s="3" t="str">
        <f>IFERROR(VLOOKUP($A980,[1]FINAL!$A$1:$Z$1000,MATCH([1]FINAL!$V$1,[1]FINAL!$A$1:$Z$1,0),0),"")</f>
        <v/>
      </c>
      <c r="E980" s="6">
        <f t="shared" si="75"/>
        <v>0</v>
      </c>
      <c r="F980" s="5">
        <f t="shared" si="76"/>
        <v>0</v>
      </c>
      <c r="G980" s="5">
        <f>IFERROR(IF(H980&lt;&gt;"",H980,VLOOKUP($A980,[1]FINAL!$A$1:$BZ$1000,MATCH([1]FINAL!$BL$1,[1]FINAL!$A$1:$BZ$1,0),0)),0)</f>
        <v>0</v>
      </c>
      <c r="I980" s="5">
        <f>IFERROR(IF(J980&lt;&gt;"",J980,(IF(VLOOKUP($A980,#REF!,MATCH(#REF!,#REF!,0),0)=0,G980,VLOOKUP($A980,#REF!,MATCH(#REF!,#REF!,0),0)))),G980)</f>
        <v>0</v>
      </c>
      <c r="K980" s="6">
        <f>IFERROR(VLOOKUP($A980,#REF!,MATCH(#REF!,#REF!,0),0),0)</f>
        <v>0</v>
      </c>
      <c r="L980" s="6">
        <f>IFERROR(VLOOKUP($A980,[1]FINAL!$A$1:$BZ$1000,MATCH([1]FINAL!$BF$1,[1]FINAL!$A$1:$BZ$1,0),0),0)</f>
        <v>0</v>
      </c>
      <c r="M980" s="7">
        <f t="shared" si="77"/>
        <v>0</v>
      </c>
      <c r="N980" s="6">
        <f>IFERROR(VLOOKUP($A980,#REF!,MATCH(#REF!,#REF!,0),0),0)</f>
        <v>0</v>
      </c>
      <c r="O980" s="7">
        <f t="shared" si="78"/>
        <v>0</v>
      </c>
      <c r="P980" s="10" t="str">
        <f>IFERROR(VLOOKUP($A980,[1]FINAL!$A$1:$BZ$1000,MATCH([1]FINAL!$BB$1,[1]FINAL!$A$1:$BZ$1,0),0),"")</f>
        <v/>
      </c>
      <c r="Q980" s="18">
        <f t="shared" si="79"/>
        <v>1</v>
      </c>
    </row>
    <row r="981" spans="1:17" x14ac:dyDescent="0.25">
      <c r="A981" s="14">
        <f>[1]FINAL!$A979</f>
        <v>0</v>
      </c>
      <c r="B981" s="20" t="str">
        <f>IFERROR(VLOOKUP($A981,[1]FINAL!$A$1:$Z$1000,MATCH([1]FINAL!$T$1,[1]FINAL!$A$1:$Z$1,0),0),"")</f>
        <v/>
      </c>
      <c r="C981" s="3" t="str">
        <f>IFERROR(VLOOKUP($A981,[1]FINAL!$A$1:$Z$1000,MATCH([1]FINAL!$U$1,[1]FINAL!$A$1:$Z$1,0),0),"")</f>
        <v/>
      </c>
      <c r="D981" s="3" t="str">
        <f>IFERROR(VLOOKUP($A981,[1]FINAL!$A$1:$Z$1000,MATCH([1]FINAL!$V$1,[1]FINAL!$A$1:$Z$1,0),0),"")</f>
        <v/>
      </c>
      <c r="E981" s="6">
        <f t="shared" si="75"/>
        <v>0</v>
      </c>
      <c r="F981" s="5">
        <f t="shared" si="76"/>
        <v>0</v>
      </c>
      <c r="G981" s="5">
        <f>IFERROR(IF(H981&lt;&gt;"",H981,VLOOKUP($A981,[1]FINAL!$A$1:$BZ$1000,MATCH([1]FINAL!$BL$1,[1]FINAL!$A$1:$BZ$1,0),0)),0)</f>
        <v>0</v>
      </c>
      <c r="I981" s="5">
        <f>IFERROR(IF(J981&lt;&gt;"",J981,(IF(VLOOKUP($A981,#REF!,MATCH(#REF!,#REF!,0),0)=0,G981,VLOOKUP($A981,#REF!,MATCH(#REF!,#REF!,0),0)))),G981)</f>
        <v>0</v>
      </c>
      <c r="K981" s="6">
        <f>IFERROR(VLOOKUP($A981,#REF!,MATCH(#REF!,#REF!,0),0),0)</f>
        <v>0</v>
      </c>
      <c r="L981" s="6">
        <f>IFERROR(VLOOKUP($A981,[1]FINAL!$A$1:$BZ$1000,MATCH([1]FINAL!$BF$1,[1]FINAL!$A$1:$BZ$1,0),0),0)</f>
        <v>0</v>
      </c>
      <c r="M981" s="7">
        <f t="shared" si="77"/>
        <v>0</v>
      </c>
      <c r="N981" s="6">
        <f>IFERROR(VLOOKUP($A981,#REF!,MATCH(#REF!,#REF!,0),0),0)</f>
        <v>0</v>
      </c>
      <c r="O981" s="7">
        <f t="shared" si="78"/>
        <v>0</v>
      </c>
      <c r="P981" s="10" t="str">
        <f>IFERROR(VLOOKUP($A981,[1]FINAL!$A$1:$BZ$1000,MATCH([1]FINAL!$BB$1,[1]FINAL!$A$1:$BZ$1,0),0),"")</f>
        <v/>
      </c>
      <c r="Q981" s="18">
        <f t="shared" si="79"/>
        <v>1</v>
      </c>
    </row>
    <row r="982" spans="1:17" x14ac:dyDescent="0.25">
      <c r="A982" s="14">
        <f>[1]FINAL!$A980</f>
        <v>0</v>
      </c>
      <c r="B982" s="20" t="str">
        <f>IFERROR(VLOOKUP($A982,[1]FINAL!$A$1:$Z$1000,MATCH([1]FINAL!$T$1,[1]FINAL!$A$1:$Z$1,0),0),"")</f>
        <v/>
      </c>
      <c r="C982" s="3" t="str">
        <f>IFERROR(VLOOKUP($A982,[1]FINAL!$A$1:$Z$1000,MATCH([1]FINAL!$U$1,[1]FINAL!$A$1:$Z$1,0),0),"")</f>
        <v/>
      </c>
      <c r="D982" s="3" t="str">
        <f>IFERROR(VLOOKUP($A982,[1]FINAL!$A$1:$Z$1000,MATCH([1]FINAL!$V$1,[1]FINAL!$A$1:$Z$1,0),0),"")</f>
        <v/>
      </c>
      <c r="E982" s="6">
        <f t="shared" si="75"/>
        <v>0</v>
      </c>
      <c r="F982" s="5">
        <f t="shared" si="76"/>
        <v>0</v>
      </c>
      <c r="G982" s="5">
        <f>IFERROR(IF(H982&lt;&gt;"",H982,VLOOKUP($A982,[1]FINAL!$A$1:$BZ$1000,MATCH([1]FINAL!$BL$1,[1]FINAL!$A$1:$BZ$1,0),0)),0)</f>
        <v>0</v>
      </c>
      <c r="I982" s="5">
        <f>IFERROR(IF(J982&lt;&gt;"",J982,(IF(VLOOKUP($A982,#REF!,MATCH(#REF!,#REF!,0),0)=0,G982,VLOOKUP($A982,#REF!,MATCH(#REF!,#REF!,0),0)))),G982)</f>
        <v>0</v>
      </c>
      <c r="K982" s="6">
        <f>IFERROR(VLOOKUP($A982,#REF!,MATCH(#REF!,#REF!,0),0),0)</f>
        <v>0</v>
      </c>
      <c r="L982" s="6">
        <f>IFERROR(VLOOKUP($A982,[1]FINAL!$A$1:$BZ$1000,MATCH([1]FINAL!$BF$1,[1]FINAL!$A$1:$BZ$1,0),0),0)</f>
        <v>0</v>
      </c>
      <c r="M982" s="7">
        <f t="shared" si="77"/>
        <v>0</v>
      </c>
      <c r="N982" s="6">
        <f>IFERROR(VLOOKUP($A982,#REF!,MATCH(#REF!,#REF!,0),0),0)</f>
        <v>0</v>
      </c>
      <c r="O982" s="7">
        <f t="shared" si="78"/>
        <v>0</v>
      </c>
      <c r="P982" s="10" t="str">
        <f>IFERROR(VLOOKUP($A982,[1]FINAL!$A$1:$BZ$1000,MATCH([1]FINAL!$BB$1,[1]FINAL!$A$1:$BZ$1,0),0),"")</f>
        <v/>
      </c>
      <c r="Q982" s="18">
        <f t="shared" si="79"/>
        <v>1</v>
      </c>
    </row>
    <row r="983" spans="1:17" x14ac:dyDescent="0.25">
      <c r="A983" s="14">
        <f>[1]FINAL!$A981</f>
        <v>0</v>
      </c>
      <c r="B983" s="20" t="str">
        <f>IFERROR(VLOOKUP($A983,[1]FINAL!$A$1:$Z$1000,MATCH([1]FINAL!$T$1,[1]FINAL!$A$1:$Z$1,0),0),"")</f>
        <v/>
      </c>
      <c r="C983" s="3" t="str">
        <f>IFERROR(VLOOKUP($A983,[1]FINAL!$A$1:$Z$1000,MATCH([1]FINAL!$U$1,[1]FINAL!$A$1:$Z$1,0),0),"")</f>
        <v/>
      </c>
      <c r="D983" s="3" t="str">
        <f>IFERROR(VLOOKUP($A983,[1]FINAL!$A$1:$Z$1000,MATCH([1]FINAL!$V$1,[1]FINAL!$A$1:$Z$1,0),0),"")</f>
        <v/>
      </c>
      <c r="E983" s="6">
        <f t="shared" si="75"/>
        <v>0</v>
      </c>
      <c r="F983" s="5">
        <f t="shared" si="76"/>
        <v>0</v>
      </c>
      <c r="G983" s="5">
        <f>IFERROR(IF(H983&lt;&gt;"",H983,VLOOKUP($A983,[1]FINAL!$A$1:$BZ$1000,MATCH([1]FINAL!$BL$1,[1]FINAL!$A$1:$BZ$1,0),0)),0)</f>
        <v>0</v>
      </c>
      <c r="I983" s="5">
        <f>IFERROR(IF(J983&lt;&gt;"",J983,(IF(VLOOKUP($A983,#REF!,MATCH(#REF!,#REF!,0),0)=0,G983,VLOOKUP($A983,#REF!,MATCH(#REF!,#REF!,0),0)))),G983)</f>
        <v>0</v>
      </c>
      <c r="K983" s="6">
        <f>IFERROR(VLOOKUP($A983,#REF!,MATCH(#REF!,#REF!,0),0),0)</f>
        <v>0</v>
      </c>
      <c r="L983" s="6">
        <f>IFERROR(VLOOKUP($A983,[1]FINAL!$A$1:$BZ$1000,MATCH([1]FINAL!$BF$1,[1]FINAL!$A$1:$BZ$1,0),0),0)</f>
        <v>0</v>
      </c>
      <c r="M983" s="7">
        <f t="shared" si="77"/>
        <v>0</v>
      </c>
      <c r="N983" s="6">
        <f>IFERROR(VLOOKUP($A983,#REF!,MATCH(#REF!,#REF!,0),0),0)</f>
        <v>0</v>
      </c>
      <c r="O983" s="7">
        <f t="shared" si="78"/>
        <v>0</v>
      </c>
      <c r="P983" s="10" t="str">
        <f>IFERROR(VLOOKUP($A983,[1]FINAL!$A$1:$BZ$1000,MATCH([1]FINAL!$BB$1,[1]FINAL!$A$1:$BZ$1,0),0),"")</f>
        <v/>
      </c>
      <c r="Q983" s="18">
        <f t="shared" si="79"/>
        <v>1</v>
      </c>
    </row>
    <row r="984" spans="1:17" x14ac:dyDescent="0.25">
      <c r="A984" s="14">
        <f>[1]FINAL!$A982</f>
        <v>0</v>
      </c>
      <c r="B984" s="20" t="str">
        <f>IFERROR(VLOOKUP($A984,[1]FINAL!$A$1:$Z$1000,MATCH([1]FINAL!$T$1,[1]FINAL!$A$1:$Z$1,0),0),"")</f>
        <v/>
      </c>
      <c r="C984" s="3" t="str">
        <f>IFERROR(VLOOKUP($A984,[1]FINAL!$A$1:$Z$1000,MATCH([1]FINAL!$U$1,[1]FINAL!$A$1:$Z$1,0),0),"")</f>
        <v/>
      </c>
      <c r="D984" s="3" t="str">
        <f>IFERROR(VLOOKUP($A984,[1]FINAL!$A$1:$Z$1000,MATCH([1]FINAL!$V$1,[1]FINAL!$A$1:$Z$1,0),0),"")</f>
        <v/>
      </c>
      <c r="E984" s="6">
        <f t="shared" si="75"/>
        <v>0</v>
      </c>
      <c r="F984" s="5">
        <f t="shared" si="76"/>
        <v>0</v>
      </c>
      <c r="G984" s="5">
        <f>IFERROR(IF(H984&lt;&gt;"",H984,VLOOKUP($A984,[1]FINAL!$A$1:$BZ$1000,MATCH([1]FINAL!$BL$1,[1]FINAL!$A$1:$BZ$1,0),0)),0)</f>
        <v>0</v>
      </c>
      <c r="I984" s="5">
        <f>IFERROR(IF(J984&lt;&gt;"",J984,(IF(VLOOKUP($A984,#REF!,MATCH(#REF!,#REF!,0),0)=0,G984,VLOOKUP($A984,#REF!,MATCH(#REF!,#REF!,0),0)))),G984)</f>
        <v>0</v>
      </c>
      <c r="K984" s="6">
        <f>IFERROR(VLOOKUP($A984,#REF!,MATCH(#REF!,#REF!,0),0),0)</f>
        <v>0</v>
      </c>
      <c r="L984" s="6">
        <f>IFERROR(VLOOKUP($A984,[1]FINAL!$A$1:$BZ$1000,MATCH([1]FINAL!$BF$1,[1]FINAL!$A$1:$BZ$1,0),0),0)</f>
        <v>0</v>
      </c>
      <c r="M984" s="7">
        <f t="shared" si="77"/>
        <v>0</v>
      </c>
      <c r="N984" s="6">
        <f>IFERROR(VLOOKUP($A984,#REF!,MATCH(#REF!,#REF!,0),0),0)</f>
        <v>0</v>
      </c>
      <c r="O984" s="7">
        <f t="shared" si="78"/>
        <v>0</v>
      </c>
      <c r="P984" s="10" t="str">
        <f>IFERROR(VLOOKUP($A984,[1]FINAL!$A$1:$BZ$1000,MATCH([1]FINAL!$BB$1,[1]FINAL!$A$1:$BZ$1,0),0),"")</f>
        <v/>
      </c>
      <c r="Q984" s="18">
        <f t="shared" si="79"/>
        <v>1</v>
      </c>
    </row>
    <row r="985" spans="1:17" x14ac:dyDescent="0.25">
      <c r="A985" s="14">
        <f>[1]FINAL!$A983</f>
        <v>0</v>
      </c>
      <c r="B985" s="20" t="str">
        <f>IFERROR(VLOOKUP($A985,[1]FINAL!$A$1:$Z$1000,MATCH([1]FINAL!$T$1,[1]FINAL!$A$1:$Z$1,0),0),"")</f>
        <v/>
      </c>
      <c r="C985" s="3" t="str">
        <f>IFERROR(VLOOKUP($A985,[1]FINAL!$A$1:$Z$1000,MATCH([1]FINAL!$U$1,[1]FINAL!$A$1:$Z$1,0),0),"")</f>
        <v/>
      </c>
      <c r="D985" s="3" t="str">
        <f>IFERROR(VLOOKUP($A985,[1]FINAL!$A$1:$Z$1000,MATCH([1]FINAL!$V$1,[1]FINAL!$A$1:$Z$1,0),0),"")</f>
        <v/>
      </c>
      <c r="E985" s="6">
        <f t="shared" si="75"/>
        <v>0</v>
      </c>
      <c r="F985" s="5">
        <f t="shared" si="76"/>
        <v>0</v>
      </c>
      <c r="G985" s="5">
        <f>IFERROR(IF(H985&lt;&gt;"",H985,VLOOKUP($A985,[1]FINAL!$A$1:$BZ$1000,MATCH([1]FINAL!$BL$1,[1]FINAL!$A$1:$BZ$1,0),0)),0)</f>
        <v>0</v>
      </c>
      <c r="I985" s="5">
        <f>IFERROR(IF(J985&lt;&gt;"",J985,(IF(VLOOKUP($A985,#REF!,MATCH(#REF!,#REF!,0),0)=0,G985,VLOOKUP($A985,#REF!,MATCH(#REF!,#REF!,0),0)))),G985)</f>
        <v>0</v>
      </c>
      <c r="K985" s="6">
        <f>IFERROR(VLOOKUP($A985,#REF!,MATCH(#REF!,#REF!,0),0),0)</f>
        <v>0</v>
      </c>
      <c r="L985" s="6">
        <f>IFERROR(VLOOKUP($A985,[1]FINAL!$A$1:$BZ$1000,MATCH([1]FINAL!$BF$1,[1]FINAL!$A$1:$BZ$1,0),0),0)</f>
        <v>0</v>
      </c>
      <c r="M985" s="7">
        <f t="shared" si="77"/>
        <v>0</v>
      </c>
      <c r="N985" s="6">
        <f>IFERROR(VLOOKUP($A985,#REF!,MATCH(#REF!,#REF!,0),0),0)</f>
        <v>0</v>
      </c>
      <c r="O985" s="7">
        <f t="shared" si="78"/>
        <v>0</v>
      </c>
      <c r="P985" s="10" t="str">
        <f>IFERROR(VLOOKUP($A985,[1]FINAL!$A$1:$BZ$1000,MATCH([1]FINAL!$BB$1,[1]FINAL!$A$1:$BZ$1,0),0),"")</f>
        <v/>
      </c>
      <c r="Q985" s="18">
        <f t="shared" si="79"/>
        <v>1</v>
      </c>
    </row>
    <row r="986" spans="1:17" x14ac:dyDescent="0.25">
      <c r="A986" s="14">
        <f>[1]FINAL!$A984</f>
        <v>0</v>
      </c>
      <c r="B986" s="20" t="str">
        <f>IFERROR(VLOOKUP($A986,[1]FINAL!$A$1:$Z$1000,MATCH([1]FINAL!$T$1,[1]FINAL!$A$1:$Z$1,0),0),"")</f>
        <v/>
      </c>
      <c r="C986" s="3" t="str">
        <f>IFERROR(VLOOKUP($A986,[1]FINAL!$A$1:$Z$1000,MATCH([1]FINAL!$U$1,[1]FINAL!$A$1:$Z$1,0),0),"")</f>
        <v/>
      </c>
      <c r="D986" s="3" t="str">
        <f>IFERROR(VLOOKUP($A986,[1]FINAL!$A$1:$Z$1000,MATCH([1]FINAL!$V$1,[1]FINAL!$A$1:$Z$1,0),0),"")</f>
        <v/>
      </c>
      <c r="E986" s="6">
        <f t="shared" si="75"/>
        <v>0</v>
      </c>
      <c r="F986" s="5">
        <f t="shared" si="76"/>
        <v>0</v>
      </c>
      <c r="G986" s="5">
        <f>IFERROR(IF(H986&lt;&gt;"",H986,VLOOKUP($A986,[1]FINAL!$A$1:$BZ$1000,MATCH([1]FINAL!$BL$1,[1]FINAL!$A$1:$BZ$1,0),0)),0)</f>
        <v>0</v>
      </c>
      <c r="I986" s="5">
        <f>IFERROR(IF(J986&lt;&gt;"",J986,(IF(VLOOKUP($A986,#REF!,MATCH(#REF!,#REF!,0),0)=0,G986,VLOOKUP($A986,#REF!,MATCH(#REF!,#REF!,0),0)))),G986)</f>
        <v>0</v>
      </c>
      <c r="K986" s="6">
        <f>IFERROR(VLOOKUP($A986,#REF!,MATCH(#REF!,#REF!,0),0),0)</f>
        <v>0</v>
      </c>
      <c r="L986" s="6">
        <f>IFERROR(VLOOKUP($A986,[1]FINAL!$A$1:$BZ$1000,MATCH([1]FINAL!$BF$1,[1]FINAL!$A$1:$BZ$1,0),0),0)</f>
        <v>0</v>
      </c>
      <c r="M986" s="7">
        <f t="shared" si="77"/>
        <v>0</v>
      </c>
      <c r="N986" s="6">
        <f>IFERROR(VLOOKUP($A986,#REF!,MATCH(#REF!,#REF!,0),0),0)</f>
        <v>0</v>
      </c>
      <c r="O986" s="7">
        <f t="shared" si="78"/>
        <v>0</v>
      </c>
      <c r="P986" s="10" t="str">
        <f>IFERROR(VLOOKUP($A986,[1]FINAL!$A$1:$BZ$1000,MATCH([1]FINAL!$BB$1,[1]FINAL!$A$1:$BZ$1,0),0),"")</f>
        <v/>
      </c>
      <c r="Q986" s="18">
        <f t="shared" si="79"/>
        <v>1</v>
      </c>
    </row>
    <row r="987" spans="1:17" x14ac:dyDescent="0.25">
      <c r="A987" s="14">
        <f>[1]FINAL!$A985</f>
        <v>0</v>
      </c>
      <c r="B987" s="20" t="str">
        <f>IFERROR(VLOOKUP($A987,[1]FINAL!$A$1:$Z$1000,MATCH([1]FINAL!$T$1,[1]FINAL!$A$1:$Z$1,0),0),"")</f>
        <v/>
      </c>
      <c r="C987" s="3" t="str">
        <f>IFERROR(VLOOKUP($A987,[1]FINAL!$A$1:$Z$1000,MATCH([1]FINAL!$U$1,[1]FINAL!$A$1:$Z$1,0),0),"")</f>
        <v/>
      </c>
      <c r="D987" s="3" t="str">
        <f>IFERROR(VLOOKUP($A987,[1]FINAL!$A$1:$Z$1000,MATCH([1]FINAL!$V$1,[1]FINAL!$A$1:$Z$1,0),0),"")</f>
        <v/>
      </c>
      <c r="E987" s="6">
        <f t="shared" si="75"/>
        <v>0</v>
      </c>
      <c r="F987" s="5">
        <f t="shared" si="76"/>
        <v>0</v>
      </c>
      <c r="G987" s="5">
        <f>IFERROR(IF(H987&lt;&gt;"",H987,VLOOKUP($A987,[1]FINAL!$A$1:$BZ$1000,MATCH([1]FINAL!$BL$1,[1]FINAL!$A$1:$BZ$1,0),0)),0)</f>
        <v>0</v>
      </c>
      <c r="I987" s="5">
        <f>IFERROR(IF(J987&lt;&gt;"",J987,(IF(VLOOKUP($A987,#REF!,MATCH(#REF!,#REF!,0),0)=0,G987,VLOOKUP($A987,#REF!,MATCH(#REF!,#REF!,0),0)))),G987)</f>
        <v>0</v>
      </c>
      <c r="K987" s="6">
        <f>IFERROR(VLOOKUP($A987,#REF!,MATCH(#REF!,#REF!,0),0),0)</f>
        <v>0</v>
      </c>
      <c r="L987" s="6">
        <f>IFERROR(VLOOKUP($A987,[1]FINAL!$A$1:$BZ$1000,MATCH([1]FINAL!$BF$1,[1]FINAL!$A$1:$BZ$1,0),0),0)</f>
        <v>0</v>
      </c>
      <c r="M987" s="7">
        <f t="shared" si="77"/>
        <v>0</v>
      </c>
      <c r="N987" s="6">
        <f>IFERROR(VLOOKUP($A987,#REF!,MATCH(#REF!,#REF!,0),0),0)</f>
        <v>0</v>
      </c>
      <c r="O987" s="7">
        <f t="shared" si="78"/>
        <v>0</v>
      </c>
      <c r="P987" s="10" t="str">
        <f>IFERROR(VLOOKUP($A987,[1]FINAL!$A$1:$BZ$1000,MATCH([1]FINAL!$BB$1,[1]FINAL!$A$1:$BZ$1,0),0),"")</f>
        <v/>
      </c>
      <c r="Q987" s="18">
        <f t="shared" si="79"/>
        <v>1</v>
      </c>
    </row>
    <row r="988" spans="1:17" x14ac:dyDescent="0.25">
      <c r="A988" s="14">
        <f>[1]FINAL!$A986</f>
        <v>0</v>
      </c>
      <c r="B988" s="20" t="str">
        <f>IFERROR(VLOOKUP($A988,[1]FINAL!$A$1:$Z$1000,MATCH([1]FINAL!$T$1,[1]FINAL!$A$1:$Z$1,0),0),"")</f>
        <v/>
      </c>
      <c r="C988" s="3" t="str">
        <f>IFERROR(VLOOKUP($A988,[1]FINAL!$A$1:$Z$1000,MATCH([1]FINAL!$U$1,[1]FINAL!$A$1:$Z$1,0),0),"")</f>
        <v/>
      </c>
      <c r="D988" s="3" t="str">
        <f>IFERROR(VLOOKUP($A988,[1]FINAL!$A$1:$Z$1000,MATCH([1]FINAL!$V$1,[1]FINAL!$A$1:$Z$1,0),0),"")</f>
        <v/>
      </c>
      <c r="E988" s="6">
        <f t="shared" si="75"/>
        <v>0</v>
      </c>
      <c r="F988" s="5">
        <f t="shared" si="76"/>
        <v>0</v>
      </c>
      <c r="G988" s="5">
        <f>IFERROR(IF(H988&lt;&gt;"",H988,VLOOKUP($A988,[1]FINAL!$A$1:$BZ$1000,MATCH([1]FINAL!$BL$1,[1]FINAL!$A$1:$BZ$1,0),0)),0)</f>
        <v>0</v>
      </c>
      <c r="I988" s="5">
        <f>IFERROR(IF(J988&lt;&gt;"",J988,(IF(VLOOKUP($A988,#REF!,MATCH(#REF!,#REF!,0),0)=0,G988,VLOOKUP($A988,#REF!,MATCH(#REF!,#REF!,0),0)))),G988)</f>
        <v>0</v>
      </c>
      <c r="K988" s="6">
        <f>IFERROR(VLOOKUP($A988,#REF!,MATCH(#REF!,#REF!,0),0),0)</f>
        <v>0</v>
      </c>
      <c r="L988" s="6">
        <f>IFERROR(VLOOKUP($A988,[1]FINAL!$A$1:$BZ$1000,MATCH([1]FINAL!$BF$1,[1]FINAL!$A$1:$BZ$1,0),0),0)</f>
        <v>0</v>
      </c>
      <c r="M988" s="7">
        <f t="shared" si="77"/>
        <v>0</v>
      </c>
      <c r="N988" s="6">
        <f>IFERROR(VLOOKUP($A988,#REF!,MATCH(#REF!,#REF!,0),0),0)</f>
        <v>0</v>
      </c>
      <c r="O988" s="7">
        <f t="shared" si="78"/>
        <v>0</v>
      </c>
      <c r="P988" s="10" t="str">
        <f>IFERROR(VLOOKUP($A988,[1]FINAL!$A$1:$BZ$1000,MATCH([1]FINAL!$BB$1,[1]FINAL!$A$1:$BZ$1,0),0),"")</f>
        <v/>
      </c>
      <c r="Q988" s="18">
        <f t="shared" si="79"/>
        <v>1</v>
      </c>
    </row>
    <row r="989" spans="1:17" x14ac:dyDescent="0.25">
      <c r="A989" s="14">
        <f>[1]FINAL!$A987</f>
        <v>0</v>
      </c>
      <c r="B989" s="20" t="str">
        <f>IFERROR(VLOOKUP($A989,[1]FINAL!$A$1:$Z$1000,MATCH([1]FINAL!$T$1,[1]FINAL!$A$1:$Z$1,0),0),"")</f>
        <v/>
      </c>
      <c r="C989" s="3" t="str">
        <f>IFERROR(VLOOKUP($A989,[1]FINAL!$A$1:$Z$1000,MATCH([1]FINAL!$U$1,[1]FINAL!$A$1:$Z$1,0),0),"")</f>
        <v/>
      </c>
      <c r="D989" s="3" t="str">
        <f>IFERROR(VLOOKUP($A989,[1]FINAL!$A$1:$Z$1000,MATCH([1]FINAL!$V$1,[1]FINAL!$A$1:$Z$1,0),0),"")</f>
        <v/>
      </c>
      <c r="E989" s="6">
        <f t="shared" si="75"/>
        <v>0</v>
      </c>
      <c r="F989" s="5">
        <f t="shared" si="76"/>
        <v>0</v>
      </c>
      <c r="G989" s="5">
        <f>IFERROR(IF(H989&lt;&gt;"",H989,VLOOKUP($A989,[1]FINAL!$A$1:$BZ$1000,MATCH([1]FINAL!$BL$1,[1]FINAL!$A$1:$BZ$1,0),0)),0)</f>
        <v>0</v>
      </c>
      <c r="I989" s="5">
        <f>IFERROR(IF(J989&lt;&gt;"",J989,(IF(VLOOKUP($A989,#REF!,MATCH(#REF!,#REF!,0),0)=0,G989,VLOOKUP($A989,#REF!,MATCH(#REF!,#REF!,0),0)))),G989)</f>
        <v>0</v>
      </c>
      <c r="K989" s="6">
        <f>IFERROR(VLOOKUP($A989,#REF!,MATCH(#REF!,#REF!,0),0),0)</f>
        <v>0</v>
      </c>
      <c r="L989" s="6">
        <f>IFERROR(VLOOKUP($A989,[1]FINAL!$A$1:$BZ$1000,MATCH([1]FINAL!$BF$1,[1]FINAL!$A$1:$BZ$1,0),0),0)</f>
        <v>0</v>
      </c>
      <c r="M989" s="7">
        <f t="shared" si="77"/>
        <v>0</v>
      </c>
      <c r="N989" s="6">
        <f>IFERROR(VLOOKUP($A989,#REF!,MATCH(#REF!,#REF!,0),0),0)</f>
        <v>0</v>
      </c>
      <c r="O989" s="7">
        <f t="shared" si="78"/>
        <v>0</v>
      </c>
      <c r="P989" s="10" t="str">
        <f>IFERROR(VLOOKUP($A989,[1]FINAL!$A$1:$BZ$1000,MATCH([1]FINAL!$BB$1,[1]FINAL!$A$1:$BZ$1,0),0),"")</f>
        <v/>
      </c>
      <c r="Q989" s="18">
        <f t="shared" si="79"/>
        <v>1</v>
      </c>
    </row>
    <row r="990" spans="1:17" x14ac:dyDescent="0.25">
      <c r="A990" s="14">
        <f>[1]FINAL!$A988</f>
        <v>0</v>
      </c>
      <c r="B990" s="20" t="str">
        <f>IFERROR(VLOOKUP($A990,[1]FINAL!$A$1:$Z$1000,MATCH([1]FINAL!$T$1,[1]FINAL!$A$1:$Z$1,0),0),"")</f>
        <v/>
      </c>
      <c r="C990" s="3" t="str">
        <f>IFERROR(VLOOKUP($A990,[1]FINAL!$A$1:$Z$1000,MATCH([1]FINAL!$U$1,[1]FINAL!$A$1:$Z$1,0),0),"")</f>
        <v/>
      </c>
      <c r="D990" s="3" t="str">
        <f>IFERROR(VLOOKUP($A990,[1]FINAL!$A$1:$Z$1000,MATCH([1]FINAL!$V$1,[1]FINAL!$A$1:$Z$1,0),0),"")</f>
        <v/>
      </c>
      <c r="E990" s="6">
        <f t="shared" si="75"/>
        <v>0</v>
      </c>
      <c r="F990" s="5">
        <f t="shared" si="76"/>
        <v>0</v>
      </c>
      <c r="G990" s="5">
        <f>IFERROR(IF(H990&lt;&gt;"",H990,VLOOKUP($A990,[1]FINAL!$A$1:$BZ$1000,MATCH([1]FINAL!$BL$1,[1]FINAL!$A$1:$BZ$1,0),0)),0)</f>
        <v>0</v>
      </c>
      <c r="I990" s="5">
        <f>IFERROR(IF(J990&lt;&gt;"",J990,(IF(VLOOKUP($A990,#REF!,MATCH(#REF!,#REF!,0),0)=0,G990,VLOOKUP($A990,#REF!,MATCH(#REF!,#REF!,0),0)))),G990)</f>
        <v>0</v>
      </c>
      <c r="K990" s="6">
        <f>IFERROR(VLOOKUP($A990,#REF!,MATCH(#REF!,#REF!,0),0),0)</f>
        <v>0</v>
      </c>
      <c r="L990" s="6">
        <f>IFERROR(VLOOKUP($A990,[1]FINAL!$A$1:$BZ$1000,MATCH([1]FINAL!$BF$1,[1]FINAL!$A$1:$BZ$1,0),0),0)</f>
        <v>0</v>
      </c>
      <c r="M990" s="7">
        <f t="shared" si="77"/>
        <v>0</v>
      </c>
      <c r="N990" s="6">
        <f>IFERROR(VLOOKUP($A990,#REF!,MATCH(#REF!,#REF!,0),0),0)</f>
        <v>0</v>
      </c>
      <c r="O990" s="7">
        <f t="shared" si="78"/>
        <v>0</v>
      </c>
      <c r="P990" s="10" t="str">
        <f>IFERROR(VLOOKUP($A990,[1]FINAL!$A$1:$BZ$1000,MATCH([1]FINAL!$BB$1,[1]FINAL!$A$1:$BZ$1,0),0),"")</f>
        <v/>
      </c>
      <c r="Q990" s="18">
        <f t="shared" si="79"/>
        <v>1</v>
      </c>
    </row>
    <row r="991" spans="1:17" x14ac:dyDescent="0.25">
      <c r="A991" s="14">
        <f>[1]FINAL!$A989</f>
        <v>0</v>
      </c>
      <c r="B991" s="20" t="str">
        <f>IFERROR(VLOOKUP($A991,[1]FINAL!$A$1:$Z$1000,MATCH([1]FINAL!$T$1,[1]FINAL!$A$1:$Z$1,0),0),"")</f>
        <v/>
      </c>
      <c r="C991" s="3" t="str">
        <f>IFERROR(VLOOKUP($A991,[1]FINAL!$A$1:$Z$1000,MATCH([1]FINAL!$U$1,[1]FINAL!$A$1:$Z$1,0),0),"")</f>
        <v/>
      </c>
      <c r="D991" s="3" t="str">
        <f>IFERROR(VLOOKUP($A991,[1]FINAL!$A$1:$Z$1000,MATCH([1]FINAL!$V$1,[1]FINAL!$A$1:$Z$1,0),0),"")</f>
        <v/>
      </c>
      <c r="E991" s="6">
        <f t="shared" si="75"/>
        <v>0</v>
      </c>
      <c r="F991" s="5">
        <f t="shared" si="76"/>
        <v>0</v>
      </c>
      <c r="G991" s="5">
        <f>IFERROR(IF(H991&lt;&gt;"",H991,VLOOKUP($A991,[1]FINAL!$A$1:$BZ$1000,MATCH([1]FINAL!$BL$1,[1]FINAL!$A$1:$BZ$1,0),0)),0)</f>
        <v>0</v>
      </c>
      <c r="I991" s="5">
        <f>IFERROR(IF(J991&lt;&gt;"",J991,(IF(VLOOKUP($A991,#REF!,MATCH(#REF!,#REF!,0),0)=0,G991,VLOOKUP($A991,#REF!,MATCH(#REF!,#REF!,0),0)))),G991)</f>
        <v>0</v>
      </c>
      <c r="K991" s="6">
        <f>IFERROR(VLOOKUP($A991,#REF!,MATCH(#REF!,#REF!,0),0),0)</f>
        <v>0</v>
      </c>
      <c r="L991" s="6">
        <f>IFERROR(VLOOKUP($A991,[1]FINAL!$A$1:$BZ$1000,MATCH([1]FINAL!$BF$1,[1]FINAL!$A$1:$BZ$1,0),0),0)</f>
        <v>0</v>
      </c>
      <c r="M991" s="7">
        <f t="shared" si="77"/>
        <v>0</v>
      </c>
      <c r="N991" s="6">
        <f>IFERROR(VLOOKUP($A991,#REF!,MATCH(#REF!,#REF!,0),0),0)</f>
        <v>0</v>
      </c>
      <c r="O991" s="7">
        <f t="shared" si="78"/>
        <v>0</v>
      </c>
      <c r="P991" s="10" t="str">
        <f>IFERROR(VLOOKUP($A991,[1]FINAL!$A$1:$BZ$1000,MATCH([1]FINAL!$BB$1,[1]FINAL!$A$1:$BZ$1,0),0),"")</f>
        <v/>
      </c>
      <c r="Q991" s="18">
        <f t="shared" si="79"/>
        <v>1</v>
      </c>
    </row>
    <row r="992" spans="1:17" x14ac:dyDescent="0.25">
      <c r="A992" s="14">
        <f>[1]FINAL!$A990</f>
        <v>0</v>
      </c>
      <c r="B992" s="20" t="str">
        <f>IFERROR(VLOOKUP($A992,[1]FINAL!$A$1:$Z$1000,MATCH([1]FINAL!$T$1,[1]FINAL!$A$1:$Z$1,0),0),"")</f>
        <v/>
      </c>
      <c r="C992" s="3" t="str">
        <f>IFERROR(VLOOKUP($A992,[1]FINAL!$A$1:$Z$1000,MATCH([1]FINAL!$U$1,[1]FINAL!$A$1:$Z$1,0),0),"")</f>
        <v/>
      </c>
      <c r="D992" s="3" t="str">
        <f>IFERROR(VLOOKUP($A992,[1]FINAL!$A$1:$Z$1000,MATCH([1]FINAL!$V$1,[1]FINAL!$A$1:$Z$1,0),0),"")</f>
        <v/>
      </c>
      <c r="E992" s="6">
        <f t="shared" si="75"/>
        <v>0</v>
      </c>
      <c r="F992" s="5">
        <f t="shared" si="76"/>
        <v>0</v>
      </c>
      <c r="G992" s="5">
        <f>IFERROR(IF(H992&lt;&gt;"",H992,VLOOKUP($A992,[1]FINAL!$A$1:$BZ$1000,MATCH([1]FINAL!$BL$1,[1]FINAL!$A$1:$BZ$1,0),0)),0)</f>
        <v>0</v>
      </c>
      <c r="I992" s="5">
        <f>IFERROR(IF(J992&lt;&gt;"",J992,(IF(VLOOKUP($A992,#REF!,MATCH(#REF!,#REF!,0),0)=0,G992,VLOOKUP($A992,#REF!,MATCH(#REF!,#REF!,0),0)))),G992)</f>
        <v>0</v>
      </c>
      <c r="K992" s="6">
        <f>IFERROR(VLOOKUP($A992,#REF!,MATCH(#REF!,#REF!,0),0),0)</f>
        <v>0</v>
      </c>
      <c r="L992" s="6">
        <f>IFERROR(VLOOKUP($A992,[1]FINAL!$A$1:$BZ$1000,MATCH([1]FINAL!$BF$1,[1]FINAL!$A$1:$BZ$1,0),0),0)</f>
        <v>0</v>
      </c>
      <c r="M992" s="7">
        <f t="shared" si="77"/>
        <v>0</v>
      </c>
      <c r="N992" s="6">
        <f>IFERROR(VLOOKUP($A992,#REF!,MATCH(#REF!,#REF!,0),0),0)</f>
        <v>0</v>
      </c>
      <c r="O992" s="7">
        <f t="shared" si="78"/>
        <v>0</v>
      </c>
      <c r="P992" s="10" t="str">
        <f>IFERROR(VLOOKUP($A992,[1]FINAL!$A$1:$BZ$1000,MATCH([1]FINAL!$BB$1,[1]FINAL!$A$1:$BZ$1,0),0),"")</f>
        <v/>
      </c>
      <c r="Q992" s="18">
        <f t="shared" si="79"/>
        <v>1</v>
      </c>
    </row>
    <row r="993" spans="1:17" x14ac:dyDescent="0.25">
      <c r="A993" s="14">
        <f>[1]FINAL!$A991</f>
        <v>0</v>
      </c>
      <c r="B993" s="20" t="str">
        <f>IFERROR(VLOOKUP($A993,[1]FINAL!$A$1:$Z$1000,MATCH([1]FINAL!$T$1,[1]FINAL!$A$1:$Z$1,0),0),"")</f>
        <v/>
      </c>
      <c r="C993" s="3" t="str">
        <f>IFERROR(VLOOKUP($A993,[1]FINAL!$A$1:$Z$1000,MATCH([1]FINAL!$U$1,[1]FINAL!$A$1:$Z$1,0),0),"")</f>
        <v/>
      </c>
      <c r="D993" s="3" t="str">
        <f>IFERROR(VLOOKUP($A993,[1]FINAL!$A$1:$Z$1000,MATCH([1]FINAL!$V$1,[1]FINAL!$A$1:$Z$1,0),0),"")</f>
        <v/>
      </c>
      <c r="E993" s="6">
        <f t="shared" si="75"/>
        <v>0</v>
      </c>
      <c r="F993" s="5">
        <f t="shared" si="76"/>
        <v>0</v>
      </c>
      <c r="G993" s="5">
        <f>IFERROR(IF(H993&lt;&gt;"",H993,VLOOKUP($A993,[1]FINAL!$A$1:$BZ$1000,MATCH([1]FINAL!$BL$1,[1]FINAL!$A$1:$BZ$1,0),0)),0)</f>
        <v>0</v>
      </c>
      <c r="I993" s="5">
        <f>IFERROR(IF(J993&lt;&gt;"",J993,(IF(VLOOKUP($A993,#REF!,MATCH(#REF!,#REF!,0),0)=0,G993,VLOOKUP($A993,#REF!,MATCH(#REF!,#REF!,0),0)))),G993)</f>
        <v>0</v>
      </c>
      <c r="K993" s="6">
        <f>IFERROR(VLOOKUP($A993,#REF!,MATCH(#REF!,#REF!,0),0),0)</f>
        <v>0</v>
      </c>
      <c r="L993" s="6">
        <f>IFERROR(VLOOKUP($A993,[1]FINAL!$A$1:$BZ$1000,MATCH([1]FINAL!$BF$1,[1]FINAL!$A$1:$BZ$1,0),0),0)</f>
        <v>0</v>
      </c>
      <c r="M993" s="7">
        <f t="shared" si="77"/>
        <v>0</v>
      </c>
      <c r="N993" s="6">
        <f>IFERROR(VLOOKUP($A993,#REF!,MATCH(#REF!,#REF!,0),0),0)</f>
        <v>0</v>
      </c>
      <c r="O993" s="7">
        <f t="shared" si="78"/>
        <v>0</v>
      </c>
      <c r="P993" s="10" t="str">
        <f>IFERROR(VLOOKUP($A993,[1]FINAL!$A$1:$BZ$1000,MATCH([1]FINAL!$BB$1,[1]FINAL!$A$1:$BZ$1,0),0),"")</f>
        <v/>
      </c>
      <c r="Q993" s="18">
        <f t="shared" si="79"/>
        <v>1</v>
      </c>
    </row>
    <row r="994" spans="1:17" x14ac:dyDescent="0.25">
      <c r="A994" s="14">
        <f>[1]FINAL!$A992</f>
        <v>0</v>
      </c>
      <c r="B994" s="20" t="str">
        <f>IFERROR(VLOOKUP($A994,[1]FINAL!$A$1:$Z$1000,MATCH([1]FINAL!$T$1,[1]FINAL!$A$1:$Z$1,0),0),"")</f>
        <v/>
      </c>
      <c r="C994" s="3" t="str">
        <f>IFERROR(VLOOKUP($A994,[1]FINAL!$A$1:$Z$1000,MATCH([1]FINAL!$U$1,[1]FINAL!$A$1:$Z$1,0),0),"")</f>
        <v/>
      </c>
      <c r="D994" s="3" t="str">
        <f>IFERROR(VLOOKUP($A994,[1]FINAL!$A$1:$Z$1000,MATCH([1]FINAL!$V$1,[1]FINAL!$A$1:$Z$1,0),0),"")</f>
        <v/>
      </c>
      <c r="E994" s="6">
        <f t="shared" si="75"/>
        <v>0</v>
      </c>
      <c r="F994" s="5">
        <f t="shared" si="76"/>
        <v>0</v>
      </c>
      <c r="G994" s="5">
        <f>IFERROR(IF(H994&lt;&gt;"",H994,VLOOKUP($A994,[1]FINAL!$A$1:$BZ$1000,MATCH([1]FINAL!$BL$1,[1]FINAL!$A$1:$BZ$1,0),0)),0)</f>
        <v>0</v>
      </c>
      <c r="I994" s="5">
        <f>IFERROR(IF(J994&lt;&gt;"",J994,(IF(VLOOKUP($A994,#REF!,MATCH(#REF!,#REF!,0),0)=0,G994,VLOOKUP($A994,#REF!,MATCH(#REF!,#REF!,0),0)))),G994)</f>
        <v>0</v>
      </c>
      <c r="K994" s="6">
        <f>IFERROR(VLOOKUP($A994,#REF!,MATCH(#REF!,#REF!,0),0),0)</f>
        <v>0</v>
      </c>
      <c r="L994" s="6">
        <f>IFERROR(VLOOKUP($A994,[1]FINAL!$A$1:$BZ$1000,MATCH([1]FINAL!$BF$1,[1]FINAL!$A$1:$BZ$1,0),0),0)</f>
        <v>0</v>
      </c>
      <c r="M994" s="7">
        <f t="shared" si="77"/>
        <v>0</v>
      </c>
      <c r="N994" s="6">
        <f>IFERROR(VLOOKUP($A994,#REF!,MATCH(#REF!,#REF!,0),0),0)</f>
        <v>0</v>
      </c>
      <c r="O994" s="7">
        <f t="shared" si="78"/>
        <v>0</v>
      </c>
      <c r="P994" s="10" t="str">
        <f>IFERROR(VLOOKUP($A994,[1]FINAL!$A$1:$BZ$1000,MATCH([1]FINAL!$BB$1,[1]FINAL!$A$1:$BZ$1,0),0),"")</f>
        <v/>
      </c>
      <c r="Q994" s="18">
        <f t="shared" si="79"/>
        <v>1</v>
      </c>
    </row>
    <row r="995" spans="1:17" x14ac:dyDescent="0.25">
      <c r="A995" s="14">
        <f>[1]FINAL!$A993</f>
        <v>0</v>
      </c>
      <c r="B995" s="20" t="str">
        <f>IFERROR(VLOOKUP($A995,[1]FINAL!$A$1:$Z$1000,MATCH([1]FINAL!$T$1,[1]FINAL!$A$1:$Z$1,0),0),"")</f>
        <v/>
      </c>
      <c r="C995" s="3" t="str">
        <f>IFERROR(VLOOKUP($A995,[1]FINAL!$A$1:$Z$1000,MATCH([1]FINAL!$U$1,[1]FINAL!$A$1:$Z$1,0),0),"")</f>
        <v/>
      </c>
      <c r="D995" s="3" t="str">
        <f>IFERROR(VLOOKUP($A995,[1]FINAL!$A$1:$Z$1000,MATCH([1]FINAL!$V$1,[1]FINAL!$A$1:$Z$1,0),0),"")</f>
        <v/>
      </c>
      <c r="E995" s="6">
        <f t="shared" si="75"/>
        <v>0</v>
      </c>
      <c r="F995" s="5">
        <f t="shared" si="76"/>
        <v>0</v>
      </c>
      <c r="G995" s="5">
        <f>IFERROR(IF(H995&lt;&gt;"",H995,VLOOKUP($A995,[1]FINAL!$A$1:$BZ$1000,MATCH([1]FINAL!$BL$1,[1]FINAL!$A$1:$BZ$1,0),0)),0)</f>
        <v>0</v>
      </c>
      <c r="I995" s="5">
        <f>IFERROR(IF(J995&lt;&gt;"",J995,(IF(VLOOKUP($A995,#REF!,MATCH(#REF!,#REF!,0),0)=0,G995,VLOOKUP($A995,#REF!,MATCH(#REF!,#REF!,0),0)))),G995)</f>
        <v>0</v>
      </c>
      <c r="K995" s="6">
        <f>IFERROR(VLOOKUP($A995,#REF!,MATCH(#REF!,#REF!,0),0),0)</f>
        <v>0</v>
      </c>
      <c r="L995" s="6">
        <f>IFERROR(VLOOKUP($A995,[1]FINAL!$A$1:$BZ$1000,MATCH([1]FINAL!$BF$1,[1]FINAL!$A$1:$BZ$1,0),0),0)</f>
        <v>0</v>
      </c>
      <c r="M995" s="7">
        <f t="shared" si="77"/>
        <v>0</v>
      </c>
      <c r="N995" s="6">
        <f>IFERROR(VLOOKUP($A995,#REF!,MATCH(#REF!,#REF!,0),0),0)</f>
        <v>0</v>
      </c>
      <c r="O995" s="7">
        <f t="shared" si="78"/>
        <v>0</v>
      </c>
      <c r="P995" s="10" t="str">
        <f>IFERROR(VLOOKUP($A995,[1]FINAL!$A$1:$BZ$1000,MATCH([1]FINAL!$BB$1,[1]FINAL!$A$1:$BZ$1,0),0),"")</f>
        <v/>
      </c>
      <c r="Q995" s="18">
        <f t="shared" si="79"/>
        <v>1</v>
      </c>
    </row>
    <row r="996" spans="1:17" x14ac:dyDescent="0.25">
      <c r="A996" s="14">
        <f>[1]FINAL!$A994</f>
        <v>0</v>
      </c>
      <c r="B996" s="20" t="str">
        <f>IFERROR(VLOOKUP($A996,[1]FINAL!$A$1:$Z$1000,MATCH([1]FINAL!$T$1,[1]FINAL!$A$1:$Z$1,0),0),"")</f>
        <v/>
      </c>
      <c r="C996" s="3" t="str">
        <f>IFERROR(VLOOKUP($A996,[1]FINAL!$A$1:$Z$1000,MATCH([1]FINAL!$U$1,[1]FINAL!$A$1:$Z$1,0),0),"")</f>
        <v/>
      </c>
      <c r="D996" s="3" t="str">
        <f>IFERROR(VLOOKUP($A996,[1]FINAL!$A$1:$Z$1000,MATCH([1]FINAL!$V$1,[1]FINAL!$A$1:$Z$1,0),0),"")</f>
        <v/>
      </c>
      <c r="E996" s="6">
        <f t="shared" si="75"/>
        <v>0</v>
      </c>
      <c r="F996" s="5">
        <f t="shared" si="76"/>
        <v>0</v>
      </c>
      <c r="G996" s="5">
        <f>IFERROR(IF(H996&lt;&gt;"",H996,VLOOKUP($A996,[1]FINAL!$A$1:$BZ$1000,MATCH([1]FINAL!$BL$1,[1]FINAL!$A$1:$BZ$1,0),0)),0)</f>
        <v>0</v>
      </c>
      <c r="I996" s="5">
        <f>IFERROR(IF(J996&lt;&gt;"",J996,(IF(VLOOKUP($A996,#REF!,MATCH(#REF!,#REF!,0),0)=0,G996,VLOOKUP($A996,#REF!,MATCH(#REF!,#REF!,0),0)))),G996)</f>
        <v>0</v>
      </c>
      <c r="K996" s="6">
        <f>IFERROR(VLOOKUP($A996,#REF!,MATCH(#REF!,#REF!,0),0),0)</f>
        <v>0</v>
      </c>
      <c r="L996" s="6">
        <f>IFERROR(VLOOKUP($A996,[1]FINAL!$A$1:$BZ$1000,MATCH([1]FINAL!$BF$1,[1]FINAL!$A$1:$BZ$1,0),0),0)</f>
        <v>0</v>
      </c>
      <c r="M996" s="7">
        <f t="shared" si="77"/>
        <v>0</v>
      </c>
      <c r="N996" s="6">
        <f>IFERROR(VLOOKUP($A996,#REF!,MATCH(#REF!,#REF!,0),0),0)</f>
        <v>0</v>
      </c>
      <c r="O996" s="7">
        <f t="shared" si="78"/>
        <v>0</v>
      </c>
      <c r="P996" s="10" t="str">
        <f>IFERROR(VLOOKUP($A996,[1]FINAL!$A$1:$BZ$1000,MATCH([1]FINAL!$BB$1,[1]FINAL!$A$1:$BZ$1,0),0),"")</f>
        <v/>
      </c>
      <c r="Q996" s="18">
        <f t="shared" si="79"/>
        <v>1</v>
      </c>
    </row>
    <row r="997" spans="1:17" x14ac:dyDescent="0.25">
      <c r="A997" s="14" t="str">
        <f>[1]FINAL!$A995</f>
        <v>Nayef Aguerd</v>
      </c>
      <c r="B997" s="20">
        <f>IFERROR(VLOOKUP($A997,[1]FINAL!$A$1:$Z$1000,MATCH([1]FINAL!$T$1,[1]FINAL!$A$1:$Z$1,0),0),"")</f>
        <v>0</v>
      </c>
      <c r="C997" s="3" t="str">
        <f>IFERROR(VLOOKUP($A997,[1]FINAL!$A$1:$Z$1000,MATCH([1]FINAL!$U$1,[1]FINAL!$A$1:$Z$1,0),0),"")</f>
        <v/>
      </c>
      <c r="D997" s="3" t="str">
        <f>IFERROR(VLOOKUP($A997,[1]FINAL!$A$1:$Z$1000,MATCH([1]FINAL!$V$1,[1]FINAL!$A$1:$Z$1,0),0),"")</f>
        <v>A</v>
      </c>
      <c r="E997" s="6">
        <f t="shared" si="75"/>
        <v>210000</v>
      </c>
      <c r="F997" s="5">
        <f t="shared" si="76"/>
        <v>1</v>
      </c>
      <c r="G997" s="5">
        <f>IFERROR(IF(H997&lt;&gt;"",H997,VLOOKUP($A997,[1]FINAL!$A$1:$BZ$1000,MATCH([1]FINAL!$BL$1,[1]FINAL!$A$1:$BZ$1,0),0)),0)</f>
        <v>1</v>
      </c>
      <c r="I997" s="5">
        <f>IFERROR(IF(J997&lt;&gt;"",J997,(IF(VLOOKUP($A997,#REF!,MATCH(#REF!,#REF!,0),0)=0,G997,VLOOKUP($A997,#REF!,MATCH(#REF!,#REF!,0),0)))),G997)</f>
        <v>1</v>
      </c>
      <c r="K997" s="6">
        <f>IFERROR(VLOOKUP($A997,#REF!,MATCH(#REF!,#REF!,0),0),0)</f>
        <v>0</v>
      </c>
      <c r="L997" s="6">
        <f>IFERROR(VLOOKUP($A997,[1]FINAL!$A$1:$BZ$1000,MATCH([1]FINAL!$BF$1,[1]FINAL!$A$1:$BZ$1,0),0),0)</f>
        <v>90</v>
      </c>
      <c r="M997" s="7">
        <f t="shared" si="77"/>
        <v>1</v>
      </c>
      <c r="N997" s="6">
        <f>IFERROR(VLOOKUP($A997,#REF!,MATCH(#REF!,#REF!,0),0),0)</f>
        <v>0</v>
      </c>
      <c r="O997" s="7">
        <f t="shared" si="78"/>
        <v>0</v>
      </c>
      <c r="P997" s="10" t="str">
        <f>IFERROR(VLOOKUP($A997,[1]FINAL!$A$1:$BZ$1000,MATCH([1]FINAL!$BB$1,[1]FINAL!$A$1:$BZ$1,0),0),"")</f>
        <v/>
      </c>
      <c r="Q997" s="18">
        <f t="shared" si="79"/>
        <v>1</v>
      </c>
    </row>
    <row r="998" spans="1:17" x14ac:dyDescent="0.25">
      <c r="A998" s="14" t="str">
        <f>[1]FINAL!$A996</f>
        <v>Emil Krafth</v>
      </c>
      <c r="B998" s="20">
        <f>IFERROR(VLOOKUP($A998,[1]FINAL!$A$1:$Z$1000,MATCH([1]FINAL!$T$1,[1]FINAL!$A$1:$Z$1,0),0),"")</f>
        <v>0</v>
      </c>
      <c r="C998" s="3" t="str">
        <f>IFERROR(VLOOKUP($A998,[1]FINAL!$A$1:$Z$1000,MATCH([1]FINAL!$U$1,[1]FINAL!$A$1:$Z$1,0),0),"")</f>
        <v/>
      </c>
      <c r="D998" s="3" t="str">
        <f>IFERROR(VLOOKUP($A998,[1]FINAL!$A$1:$Z$1000,MATCH([1]FINAL!$V$1,[1]FINAL!$A$1:$Z$1,0),0),"")</f>
        <v>A</v>
      </c>
      <c r="E998" s="6">
        <f t="shared" si="75"/>
        <v>25000</v>
      </c>
      <c r="F998" s="5">
        <f t="shared" si="76"/>
        <v>0.1</v>
      </c>
      <c r="G998" s="5">
        <f>IFERROR(IF(H998&lt;&gt;"",H998,VLOOKUP($A998,[1]FINAL!$A$1:$BZ$1000,MATCH([1]FINAL!$BL$1,[1]FINAL!$A$1:$BZ$1,0),0)),0)</f>
        <v>0.1</v>
      </c>
      <c r="I998" s="5">
        <f>IFERROR(IF(J998&lt;&gt;"",J998,(IF(VLOOKUP($A998,#REF!,MATCH(#REF!,#REF!,0),0)=0,G998,VLOOKUP($A998,#REF!,MATCH(#REF!,#REF!,0),0)))),G998)</f>
        <v>0.1</v>
      </c>
      <c r="K998" s="6">
        <f>IFERROR(VLOOKUP($A998,#REF!,MATCH(#REF!,#REF!,0),0),0)</f>
        <v>0</v>
      </c>
      <c r="L998" s="6">
        <f>IFERROR(VLOOKUP($A998,[1]FINAL!$A$1:$BZ$1000,MATCH([1]FINAL!$BF$1,[1]FINAL!$A$1:$BZ$1,0),0),0)</f>
        <v>45</v>
      </c>
      <c r="M998" s="7">
        <f t="shared" si="77"/>
        <v>0.5</v>
      </c>
      <c r="N998" s="6">
        <f>IFERROR(VLOOKUP($A998,#REF!,MATCH(#REF!,#REF!,0),0),0)</f>
        <v>0</v>
      </c>
      <c r="O998" s="7">
        <f t="shared" si="78"/>
        <v>0</v>
      </c>
      <c r="P998" s="10" t="str">
        <f>IFERROR(VLOOKUP($A998,[1]FINAL!$A$1:$BZ$1000,MATCH([1]FINAL!$BB$1,[1]FINAL!$A$1:$BZ$1,0),0),"")</f>
        <v/>
      </c>
      <c r="Q998" s="18">
        <f t="shared" si="79"/>
        <v>1</v>
      </c>
    </row>
    <row r="999" spans="1:17" x14ac:dyDescent="0.25">
      <c r="A999" s="14" t="str">
        <f>[1]FINAL!$A997</f>
        <v>Sam Byram</v>
      </c>
      <c r="B999" s="20">
        <f>IFERROR(VLOOKUP($A999,[1]FINAL!$A$1:$Z$1000,MATCH([1]FINAL!$T$1,[1]FINAL!$A$1:$Z$1,0),0),"")</f>
        <v>0</v>
      </c>
      <c r="C999" s="3" t="str">
        <f>IFERROR(VLOOKUP($A999,[1]FINAL!$A$1:$Z$1000,MATCH([1]FINAL!$U$1,[1]FINAL!$A$1:$Z$1,0),0),"")</f>
        <v>LB</v>
      </c>
      <c r="D999" s="3" t="str">
        <f>IFERROR(VLOOKUP($A999,[1]FINAL!$A$1:$Z$1000,MATCH([1]FINAL!$V$1,[1]FINAL!$A$1:$Z$1,0),0),"")</f>
        <v>A</v>
      </c>
      <c r="E999" s="6">
        <f t="shared" si="75"/>
        <v>0</v>
      </c>
      <c r="F999" s="5">
        <f t="shared" si="76"/>
        <v>0</v>
      </c>
      <c r="G999" s="5">
        <f>IFERROR(IF(H999&lt;&gt;"",H999,VLOOKUP($A999,[1]FINAL!$A$1:$BZ$1000,MATCH([1]FINAL!$BL$1,[1]FINAL!$A$1:$BZ$1,0),0)),0)</f>
        <v>0</v>
      </c>
      <c r="I999" s="5">
        <f>IFERROR(IF(J999&lt;&gt;"",J999,(IF(VLOOKUP($A999,#REF!,MATCH(#REF!,#REF!,0),0)=0,G999,VLOOKUP($A999,#REF!,MATCH(#REF!,#REF!,0),0)))),G999)</f>
        <v>0</v>
      </c>
      <c r="K999" s="6">
        <f>IFERROR(VLOOKUP($A999,#REF!,MATCH(#REF!,#REF!,0),0),0)</f>
        <v>0</v>
      </c>
      <c r="L999" s="6">
        <f>IFERROR(VLOOKUP($A999,[1]FINAL!$A$1:$BZ$1000,MATCH([1]FINAL!$BF$1,[1]FINAL!$A$1:$BZ$1,0),0),0)</f>
        <v>0</v>
      </c>
      <c r="M999" s="7">
        <f t="shared" si="77"/>
        <v>0</v>
      </c>
      <c r="N999" s="6">
        <f>IFERROR(VLOOKUP($A999,#REF!,MATCH(#REF!,#REF!,0),0),0)</f>
        <v>0</v>
      </c>
      <c r="O999" s="7">
        <f t="shared" si="78"/>
        <v>0</v>
      </c>
      <c r="P999" s="10" t="str">
        <f>IFERROR(VLOOKUP($A999,[1]FINAL!$A$1:$BZ$1000,MATCH([1]FINAL!$BB$1,[1]FINAL!$A$1:$BZ$1,0),0),"")</f>
        <v/>
      </c>
      <c r="Q999" s="18">
        <f t="shared" si="79"/>
        <v>1</v>
      </c>
    </row>
    <row r="1000" spans="1:17" x14ac:dyDescent="0.25">
      <c r="A1000" s="14" t="str">
        <f>[1]FINAL!$A1000</f>
        <v>Diego Coppola</v>
      </c>
      <c r="B1000" s="20" t="str">
        <f>IFERROR(VLOOKUP($A1000,[1]FINAL!$A$1:$Z$1000,MATCH([1]FINAL!$T$1,[1]FINAL!$A$1:$Z$1,0),0),"")</f>
        <v>DEF</v>
      </c>
      <c r="C1000" s="3" t="str">
        <f>IFERROR(VLOOKUP($A1000,[1]FINAL!$A$1:$Z$1000,MATCH([1]FINAL!$U$1,[1]FINAL!$A$1:$Z$1,0),0),"")</f>
        <v/>
      </c>
      <c r="D1000" s="3" t="str">
        <f>IFERROR(VLOOKUP($A1000,[1]FINAL!$A$1:$Z$1000,MATCH([1]FINAL!$V$1,[1]FINAL!$A$1:$Z$1,0),0),"")</f>
        <v>BHA</v>
      </c>
      <c r="E1000" s="6">
        <f t="shared" si="75"/>
        <v>27959.595959595961</v>
      </c>
      <c r="F1000" s="5">
        <f t="shared" si="76"/>
        <v>9.0909090909090912E-2</v>
      </c>
      <c r="G1000" s="5">
        <f>IFERROR(IF(H1000&lt;&gt;"",H1000,VLOOKUP($A1000,[1]FINAL!$A$1:$BZ$1000,MATCH([1]FINAL!$BL$1,[1]FINAL!$A$1:$BZ$1,0),0)),0)</f>
        <v>9.0909090909090912E-2</v>
      </c>
      <c r="I1000" s="5">
        <f>IFERROR(IF(J1000&lt;&gt;"",J1000,(IF(VLOOKUP($A1000,#REF!,MATCH(#REF!,#REF!,0),0)=0,G1000,VLOOKUP($A1000,#REF!,MATCH(#REF!,#REF!,0),0)))),G1000)</f>
        <v>9.0909090909090912E-2</v>
      </c>
      <c r="K1000" s="6">
        <f>IFERROR(VLOOKUP($A1000,#REF!,MATCH(#REF!,#REF!,0),0),0)</f>
        <v>0</v>
      </c>
      <c r="L1000" s="6">
        <f>IFERROR(VLOOKUP($A1000,[1]FINAL!$A$1:$BZ$1000,MATCH([1]FINAL!$BF$1,[1]FINAL!$A$1:$BZ$1,0),0),0)</f>
        <v>88</v>
      </c>
      <c r="M1000" s="7">
        <f t="shared" si="77"/>
        <v>0.97777777777777775</v>
      </c>
      <c r="N1000" s="6">
        <f>IFERROR(VLOOKUP($A1000,#REF!,MATCH(#REF!,#REF!,0),0),0)</f>
        <v>0</v>
      </c>
      <c r="O1000" s="7">
        <f t="shared" si="78"/>
        <v>0</v>
      </c>
      <c r="P1000" s="10" t="str">
        <f>IFERROR(VLOOKUP($A1000,[1]FINAL!$A$1:$BZ$1000,MATCH([1]FINAL!$BB$1,[1]FINAL!$A$1:$BZ$1,0),0),"")</f>
        <v/>
      </c>
      <c r="Q1000" s="18">
        <f t="shared" si="79"/>
        <v>1</v>
      </c>
    </row>
  </sheetData>
  <sortState ref="A2:Q1000">
    <sortCondition descending="1" ref="F1"/>
  </sortState>
  <conditionalFormatting sqref="G1:G1048576 I1:I1000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0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0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0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Q1 P1001:Q1048576 P2:P1000">
    <cfRule type="colorScale" priority="66">
      <colorScale>
        <cfvo type="min"/>
        <cfvo type="percentile" val="75"/>
        <cfvo type="max"/>
        <color rgb="FFF8696B"/>
        <color rgb="FFFFEB84"/>
        <color rgb="FF63BE7B"/>
      </colorScale>
    </cfRule>
  </conditionalFormatting>
  <conditionalFormatting sqref="F2:F100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ntainsText" dxfId="33" priority="1" operator="containsText" text="FWD">
      <formula>NOT(ISERROR(SEARCH("FWD",B1)))</formula>
    </cfRule>
    <cfRule type="containsText" dxfId="32" priority="2" operator="containsText" text="MID">
      <formula>NOT(ISERROR(SEARCH("MID",B1)))</formula>
    </cfRule>
    <cfRule type="containsText" dxfId="31" priority="3" operator="containsText" text="DEF">
      <formula>NOT(ISERROR(SEARCH("DEF",B1)))</formula>
    </cfRule>
    <cfRule type="containsText" dxfId="30" priority="4" operator="containsText" text="GK">
      <formula>NOT(ISERROR(SEARCH("GK",B1)))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" operator="containsText" id="{E7645F57-F745-4F39-BE15-4A6FAF865515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0C117062-67B7-4914-BC69-365B7E54E0D9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8E516D44-A5E3-41B0-9C03-70A2A22B5F4D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01FCF072-BA72-48A8-8071-6984970FCC97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4" operator="containsText" id="{24127D72-CCF6-44AE-AEDE-11EF60565467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5" operator="containsText" id="{4152DF9B-21EC-4605-A251-1492D1767B03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6" operator="containsText" id="{3E3B7AFD-0597-4658-8D07-8BC6C10DEAFC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7" operator="containsText" id="{1C616B43-D9FC-446C-9E82-5C3E340D8EB8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8" operator="containsText" id="{D7285971-2578-4F16-A626-2D148859CD9B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9" operator="containsText" id="{4CBCFF54-6111-4487-A0D4-6834E5CBD2B6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0" operator="containsText" id="{A1C474EF-07D0-45CE-ADB6-82B4D9B3D54D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1" operator="containsText" id="{964B50A5-5918-45BD-A845-C1BC3FB765E4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2" operator="containsText" id="{4F5677BE-F5B3-4D58-95D9-BA0054B191B6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3" operator="containsText" id="{18A7ABB3-C5D0-477D-AA56-2BDABCDD5B71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4" operator="containsText" id="{1E72CB18-09A0-4334-8436-B4F7B1BB2AB2}">
            <xm:f>NOT(ISERROR(SEARCH([MODEL.xlsm]INFO!#REF!,A2)))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m:sqref>A2:A1000</xm:sqref>
        </x14:conditionalFormatting>
        <x14:conditionalFormatting xmlns:xm="http://schemas.microsoft.com/office/excel/2006/main">
          <x14:cfRule type="containsText" priority="35" operator="containsText" id="{420AAD49-3837-465F-B756-FCA23F0FC164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FAF683AD-6893-42C8-9FC6-1AF90F7A3C32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C8BB3C27-0515-4BB7-8B0C-277BEF7D0199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8EEC4906-DA99-46AE-9EBF-5FA2C619BEE9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9" operator="containsText" id="{E387EAAC-A7C3-4A9F-8028-4002C14C9DC7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41F793A2-B14D-43E9-8EB9-D1963D59668C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1" operator="containsText" id="{C770A769-0823-41AB-9475-EB7D5D40EBD4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2" operator="containsText" id="{2724A849-88A4-4D74-AEF1-021368D1C2F0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66886423-D93D-43C8-9657-36F4B6A78D7B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9125B9AC-351C-4A73-B97C-40A1C6E0F4E5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5" operator="containsText" id="{D16B983A-2B53-46D7-BECF-46F00DF4E762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D978CA9F-3B1D-4700-B93F-7502FE5D486A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AE99627E-7D44-4DC1-ADBC-E268AFF5317F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5DF45A23-75F9-4E9E-8A8D-84840F50DD54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C5199AAC-D88E-44B0-A2E3-04C03419F775}">
            <xm:f>NOT(ISERROR(SEARCH([MODEL.xlsm]INFO!#REF!,A1)))</xm:f>
            <xm:f>[MODEL.xlsm]INFO!#REF!</xm:f>
            <x14:dxf>
              <fill>
                <patternFill>
                  <bgColor rgb="FF00B0F0"/>
                </patternFill>
              </fill>
            </x14:dxf>
          </x14:cfRule>
          <xm:sqref>A1 A1001:A1048576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</cp:lastModifiedBy>
  <dcterms:created xsi:type="dcterms:W3CDTF">2025-09-15T19:17:46Z</dcterms:created>
  <dcterms:modified xsi:type="dcterms:W3CDTF">2026-07-29T20:10:31Z</dcterms:modified>
</cp:coreProperties>
</file>